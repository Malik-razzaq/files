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tables/table1.xml" ContentType="application/vnd.openxmlformats-officedocument.spreadsheetml.tab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1.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4.xml" ContentType="application/vnd.openxmlformats-officedocument.spreadsheetml.pivotTab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7.xml" ContentType="application/vnd.openxmlformats-officedocument.spreadsheetml.pivotTable+xml"/>
  <Override PartName="/xl/drawings/drawing14.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8.xml" ContentType="application/vnd.openxmlformats-officedocument.spreadsheetml.pivotTable+xml"/>
  <Override PartName="/xl/drawings/drawing15.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9.xml" ContentType="application/vnd.openxmlformats-officedocument.spreadsheetml.pivotTable+xml"/>
  <Override PartName="/xl/drawings/drawing16.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20.xml" ContentType="application/vnd.openxmlformats-officedocument.spreadsheetml.pivotTable+xml"/>
  <Override PartName="/xl/drawings/drawing17.xml" ContentType="application/vnd.openxmlformats-officedocument.drawing+xml"/>
  <Override PartName="/xl/slicers/slicer1.xml" ContentType="application/vnd.ms-excel.slicer+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21.xml" ContentType="application/vnd.openxmlformats-officedocument.spreadsheetml.pivotTable+xml"/>
  <Override PartName="/xl/drawings/drawing18.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pivotTables/pivotTable22.xml" ContentType="application/vnd.openxmlformats-officedocument.spreadsheetml.pivotTable+xml"/>
  <Override PartName="/xl/drawings/drawing19.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DELL\Downloads\"/>
    </mc:Choice>
  </mc:AlternateContent>
  <xr:revisionPtr revIDLastSave="0" documentId="13_ncr:1_{D4555967-C0CA-4FD1-9770-DFB8B9ACD368}" xr6:coauthVersionLast="47" xr6:coauthVersionMax="47" xr10:uidLastSave="{00000000-0000-0000-0000-000000000000}"/>
  <bookViews>
    <workbookView xWindow="-120" yWindow="-120" windowWidth="20730" windowHeight="11160" firstSheet="19" activeTab="22" xr2:uid="{00000000-000D-0000-FFFF-FFFF00000000}"/>
  </bookViews>
  <sheets>
    <sheet name="ANALYZE BY DEPT" sheetId="5" r:id="rId1"/>
    <sheet name="ANALYZEE BY MONTH" sheetId="6" r:id="rId2"/>
    <sheet name="ANALYZE BY ACCOUNT" sheetId="7" r:id="rId3"/>
    <sheet name="Sheet13" sheetId="17" r:id="rId4"/>
    <sheet name="Sheet19" sheetId="23" r:id="rId5"/>
    <sheet name="GeneralLedger" sheetId="1" r:id="rId6"/>
    <sheet name="Sheet22" sheetId="38" r:id="rId7"/>
    <sheet name="Sheet10" sheetId="14" r:id="rId8"/>
    <sheet name="Sheet16" sheetId="20" r:id="rId9"/>
    <sheet name="BUDGETFORECAST" sheetId="2" r:id="rId10"/>
    <sheet name="Sheet7" sheetId="27" r:id="rId11"/>
    <sheet name="Sheet8" sheetId="28" r:id="rId12"/>
    <sheet name="Sheet9" sheetId="29" r:id="rId13"/>
    <sheet name="Sheet11" sheetId="30" r:id="rId14"/>
    <sheet name="Sheet12" sheetId="31" r:id="rId15"/>
    <sheet name="Sheet17" sheetId="33" r:id="rId16"/>
    <sheet name="Sheet20" sheetId="36" r:id="rId17"/>
    <sheet name="Sheet25" sheetId="41" r:id="rId18"/>
    <sheet name="ac vs bu" sheetId="42" r:id="rId19"/>
    <sheet name="top cont to var" sheetId="43" r:id="rId20"/>
    <sheet name="mom trends" sheetId="44" r:id="rId21"/>
    <sheet name="performance" sheetId="45" r:id="rId22"/>
    <sheet name="dashboard" sheetId="46" r:id="rId23"/>
    <sheet name="Sheet1" sheetId="47" r:id="rId24"/>
    <sheet name="Sheet6" sheetId="49" r:id="rId25"/>
    <sheet name="ACTUAL VS BUDGET" sheetId="26" r:id="rId26"/>
    <sheet name="Sheet5" sheetId="48" r:id="rId27"/>
  </sheets>
  <definedNames>
    <definedName name="_xlnm._FilterDatabase" localSheetId="2" hidden="1">'ANALYZE BY ACCOUNT'!$A$3:$B$10</definedName>
    <definedName name="_xlnm._FilterDatabase" localSheetId="14" hidden="1">Sheet12!$A$3:$A$4</definedName>
    <definedName name="_xlnm._FilterDatabase" localSheetId="3" hidden="1">Sheet13!$A$3:$B$16</definedName>
    <definedName name="_xlnm._FilterDatabase" localSheetId="11" hidden="1">Sheet8!$A$2:$C$11</definedName>
    <definedName name="_xlnm._FilterDatabase" localSheetId="19" hidden="1">'top cont to var'!$A$2:$B$41</definedName>
    <definedName name="_xlcn.WorksheetConnection_cleanfile.xlsxTable11" hidden="1">Table1[]</definedName>
    <definedName name="Slicer_AccountName">#N/A</definedName>
    <definedName name="Slicer_CLASSIFY_PERFORMANCE">#N/A</definedName>
    <definedName name="Slicer_Dept1">#N/A</definedName>
    <definedName name="Slicer_Material_Flag">#N/A</definedName>
    <definedName name="Slicer_YearMonth">#N/A</definedName>
  </definedNames>
  <calcPr calcId="191029"/>
  <pivotCaches>
    <pivotCache cacheId="0" r:id="rId28"/>
    <pivotCache cacheId="1" r:id="rId29"/>
    <pivotCache cacheId="2" r:id="rId30"/>
    <pivotCache cacheId="3" r:id="rId31"/>
    <pivotCache cacheId="4" r:id="rId32"/>
    <pivotCache cacheId="5" r:id="rId33"/>
    <pivotCache cacheId="6" r:id="rId34"/>
  </pivotCaches>
  <extLst>
    <ext xmlns:x14="http://schemas.microsoft.com/office/spreadsheetml/2009/9/main" uri="{BBE1A952-AA13-448e-AADC-164F8A28A991}">
      <x14:slicerCaches>
        <x14:slicerCache r:id="rId35"/>
        <x14:slicerCache r:id="rId36"/>
        <x14:slicerCache r:id="rId37"/>
        <x14:slicerCache r:id="rId38"/>
        <x14:slicerCache r:id="rId3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clean file.xlsx!Table1"/>
        </x15:modelTables>
      </x15:dataModel>
    </ext>
  </extLst>
</workbook>
</file>

<file path=xl/calcChain.xml><?xml version="1.0" encoding="utf-8"?>
<calcChain xmlns="http://schemas.openxmlformats.org/spreadsheetml/2006/main">
  <c r="C5" i="14" l="1"/>
  <c r="B5" i="14"/>
  <c r="D4" i="14"/>
  <c r="E4" i="14" s="1"/>
  <c r="D3" i="14"/>
  <c r="D5" i="14" s="1"/>
  <c r="E5" i="14" s="1"/>
  <c r="Q3" i="26"/>
  <c r="Q4" i="26"/>
  <c r="Q5" i="26"/>
  <c r="Q6" i="26"/>
  <c r="Q7" i="26"/>
  <c r="Q8" i="26"/>
  <c r="Q9" i="26"/>
  <c r="Q10" i="26"/>
  <c r="Q11" i="26"/>
  <c r="Q12" i="26"/>
  <c r="Q13" i="26"/>
  <c r="Q14" i="26"/>
  <c r="Q15" i="26"/>
  <c r="Q16" i="26"/>
  <c r="Q17" i="26"/>
  <c r="Q18" i="26"/>
  <c r="Q19" i="26"/>
  <c r="Q20" i="26"/>
  <c r="Q21" i="26"/>
  <c r="Q22" i="26"/>
  <c r="Q23" i="26"/>
  <c r="Q24" i="26"/>
  <c r="Q25" i="26"/>
  <c r="Q26" i="26"/>
  <c r="Q27" i="26"/>
  <c r="Q28" i="26"/>
  <c r="Q29" i="26"/>
  <c r="Q30" i="26"/>
  <c r="Q31" i="26"/>
  <c r="Q32" i="26"/>
  <c r="Q33" i="26"/>
  <c r="Q34" i="26"/>
  <c r="Q35" i="26"/>
  <c r="Q36" i="26"/>
  <c r="Q37" i="26"/>
  <c r="Q38" i="26"/>
  <c r="Q39" i="26"/>
  <c r="Q40" i="26"/>
  <c r="Q41" i="26"/>
  <c r="Q42" i="26"/>
  <c r="Q43" i="26"/>
  <c r="Q44" i="26"/>
  <c r="Q45" i="26"/>
  <c r="Q46" i="26"/>
  <c r="Q47" i="26"/>
  <c r="Q48" i="26"/>
  <c r="Q49" i="26"/>
  <c r="Q50" i="26"/>
  <c r="Q51" i="26"/>
  <c r="Q52" i="26"/>
  <c r="Q53" i="26"/>
  <c r="Q54" i="26"/>
  <c r="Q55" i="26"/>
  <c r="Q56" i="26"/>
  <c r="Q57" i="26"/>
  <c r="Q58" i="26"/>
  <c r="Q59" i="26"/>
  <c r="Q60" i="26"/>
  <c r="Q61" i="26"/>
  <c r="Q62" i="26"/>
  <c r="Q63" i="26"/>
  <c r="Q64" i="26"/>
  <c r="Q65" i="26"/>
  <c r="Q66" i="26"/>
  <c r="Q67" i="26"/>
  <c r="Q68" i="26"/>
  <c r="Q69" i="26"/>
  <c r="Q70" i="26"/>
  <c r="Q71" i="26"/>
  <c r="Q72" i="26"/>
  <c r="Q73" i="26"/>
  <c r="Q74" i="26"/>
  <c r="Q75" i="26"/>
  <c r="Q76" i="26"/>
  <c r="Q77" i="26"/>
  <c r="Q78" i="26"/>
  <c r="Q79" i="26"/>
  <c r="Q80" i="26"/>
  <c r="Q81" i="26"/>
  <c r="Q82" i="26"/>
  <c r="Q83" i="26"/>
  <c r="Q84" i="26"/>
  <c r="Q85" i="26"/>
  <c r="Q86" i="26"/>
  <c r="Q87" i="26"/>
  <c r="Q88" i="26"/>
  <c r="Q89" i="26"/>
  <c r="Q90" i="26"/>
  <c r="Q91" i="26"/>
  <c r="Q92" i="26"/>
  <c r="Q93" i="26"/>
  <c r="Q94" i="26"/>
  <c r="Q95" i="26"/>
  <c r="Q96" i="26"/>
  <c r="Q97" i="26"/>
  <c r="Q98" i="26"/>
  <c r="Q99" i="26"/>
  <c r="Q100" i="26"/>
  <c r="Q101" i="26"/>
  <c r="Q102" i="26"/>
  <c r="Q103" i="26"/>
  <c r="Q104" i="26"/>
  <c r="Q105" i="26"/>
  <c r="Q106" i="26"/>
  <c r="Q107" i="26"/>
  <c r="Q108" i="26"/>
  <c r="Q109" i="26"/>
  <c r="Q110" i="26"/>
  <c r="Q111" i="26"/>
  <c r="Q112" i="26"/>
  <c r="Q113" i="26"/>
  <c r="Q114" i="26"/>
  <c r="Q115" i="26"/>
  <c r="Q116" i="26"/>
  <c r="Q117" i="26"/>
  <c r="Q118" i="26"/>
  <c r="Q119" i="26"/>
  <c r="Q120" i="26"/>
  <c r="Q121" i="26"/>
  <c r="Q122" i="26"/>
  <c r="Q123" i="26"/>
  <c r="Q124" i="26"/>
  <c r="Q125" i="26"/>
  <c r="Q126" i="26"/>
  <c r="Q127" i="26"/>
  <c r="Q128" i="26"/>
  <c r="Q129" i="26"/>
  <c r="Q130" i="26"/>
  <c r="Q131" i="26"/>
  <c r="Q132" i="26"/>
  <c r="Q133" i="26"/>
  <c r="Q134" i="26"/>
  <c r="Q135" i="26"/>
  <c r="Q136" i="26"/>
  <c r="Q137" i="26"/>
  <c r="Q138" i="26"/>
  <c r="Q139" i="26"/>
  <c r="Q140" i="26"/>
  <c r="Q141" i="26"/>
  <c r="Q142" i="26"/>
  <c r="Q143" i="26"/>
  <c r="Q144" i="26"/>
  <c r="Q145" i="26"/>
  <c r="Q146" i="26"/>
  <c r="Q147" i="26"/>
  <c r="Q148" i="26"/>
  <c r="Q149" i="26"/>
  <c r="Q150" i="26"/>
  <c r="Q151" i="26"/>
  <c r="Q152" i="26"/>
  <c r="Q153" i="26"/>
  <c r="Q154" i="26"/>
  <c r="Q155" i="26"/>
  <c r="Q156" i="26"/>
  <c r="Q157" i="26"/>
  <c r="Q158" i="26"/>
  <c r="Q159" i="26"/>
  <c r="Q160" i="26"/>
  <c r="Q161" i="26"/>
  <c r="Q162" i="26"/>
  <c r="Q163" i="26"/>
  <c r="Q164" i="26"/>
  <c r="Q165" i="26"/>
  <c r="Q166" i="26"/>
  <c r="Q167" i="26"/>
  <c r="Q168" i="26"/>
  <c r="Q169" i="26"/>
  <c r="Q170" i="26"/>
  <c r="Q171" i="26"/>
  <c r="Q172" i="26"/>
  <c r="Q173" i="26"/>
  <c r="Q174" i="26"/>
  <c r="Q175" i="26"/>
  <c r="Q176" i="26"/>
  <c r="Q177" i="26"/>
  <c r="Q178" i="26"/>
  <c r="Q179" i="26"/>
  <c r="Q180" i="26"/>
  <c r="Q181" i="26"/>
  <c r="Q182" i="26"/>
  <c r="Q183" i="26"/>
  <c r="Q184" i="26"/>
  <c r="Q185" i="26"/>
  <c r="Q186" i="26"/>
  <c r="Q187" i="26"/>
  <c r="Q188" i="26"/>
  <c r="Q189" i="26"/>
  <c r="Q190" i="26"/>
  <c r="Q191" i="26"/>
  <c r="Q192" i="26"/>
  <c r="Q193" i="26"/>
  <c r="Q194" i="26"/>
  <c r="Q195" i="26"/>
  <c r="Q196" i="26"/>
  <c r="Q197" i="26"/>
  <c r="Q198" i="26"/>
  <c r="Q199" i="26"/>
  <c r="Q200" i="26"/>
  <c r="Q201" i="26"/>
  <c r="Q202" i="26"/>
  <c r="Q203" i="26"/>
  <c r="Q204" i="26"/>
  <c r="Q205" i="26"/>
  <c r="Q206" i="26"/>
  <c r="Q207" i="26"/>
  <c r="Q208" i="26"/>
  <c r="Q209" i="26"/>
  <c r="Q210" i="26"/>
  <c r="Q211" i="26"/>
  <c r="Q212" i="26"/>
  <c r="Q213" i="26"/>
  <c r="Q214" i="26"/>
  <c r="Q215" i="26"/>
  <c r="Q216" i="26"/>
  <c r="Q217" i="26"/>
  <c r="Q218" i="26"/>
  <c r="Q219" i="26"/>
  <c r="Q220" i="26"/>
  <c r="Q221" i="26"/>
  <c r="Q222" i="26"/>
  <c r="Q223" i="26"/>
  <c r="Q224" i="26"/>
  <c r="Q225" i="26"/>
  <c r="Q226" i="26"/>
  <c r="Q227" i="26"/>
  <c r="Q228" i="26"/>
  <c r="Q229" i="26"/>
  <c r="Q230" i="26"/>
  <c r="Q231" i="26"/>
  <c r="Q232" i="26"/>
  <c r="Q233" i="26"/>
  <c r="Q234" i="26"/>
  <c r="Q235" i="26"/>
  <c r="Q236" i="26"/>
  <c r="Q237" i="26"/>
  <c r="Q238" i="26"/>
  <c r="Q239" i="26"/>
  <c r="Q240" i="26"/>
  <c r="Q241" i="26"/>
  <c r="Q242" i="26"/>
  <c r="Q243" i="26"/>
  <c r="Q244" i="26"/>
  <c r="Q245" i="26"/>
  <c r="Q246" i="26"/>
  <c r="Q247" i="26"/>
  <c r="Q248" i="26"/>
  <c r="Q249" i="26"/>
  <c r="Q250" i="26"/>
  <c r="Q251" i="26"/>
  <c r="Q252" i="26"/>
  <c r="Q253" i="26"/>
  <c r="Q254" i="26"/>
  <c r="Q255" i="26"/>
  <c r="Q256" i="26"/>
  <c r="Q257" i="26"/>
  <c r="Q258" i="26"/>
  <c r="Q259" i="26"/>
  <c r="Q260" i="26"/>
  <c r="Q261" i="26"/>
  <c r="Q262" i="26"/>
  <c r="Q263" i="26"/>
  <c r="Q264" i="26"/>
  <c r="Q265" i="26"/>
  <c r="Q266" i="26"/>
  <c r="Q267" i="26"/>
  <c r="Q268" i="26"/>
  <c r="Q269" i="26"/>
  <c r="Q270" i="26"/>
  <c r="Q271" i="26"/>
  <c r="Q272" i="26"/>
  <c r="Q273" i="26"/>
  <c r="Q274" i="26"/>
  <c r="Q275" i="26"/>
  <c r="Q276" i="26"/>
  <c r="Q277" i="26"/>
  <c r="Q278" i="26"/>
  <c r="Q279" i="26"/>
  <c r="Q280" i="26"/>
  <c r="Q281" i="26"/>
  <c r="Q282" i="26"/>
  <c r="Q283" i="26"/>
  <c r="Q284" i="26"/>
  <c r="Q285" i="26"/>
  <c r="Q286" i="26"/>
  <c r="Q287" i="26"/>
  <c r="Q288" i="26"/>
  <c r="Q289" i="26"/>
  <c r="Q290" i="26"/>
  <c r="Q291" i="26"/>
  <c r="Q292" i="26"/>
  <c r="Q293" i="26"/>
  <c r="Q294" i="26"/>
  <c r="Q295" i="26"/>
  <c r="Q296" i="26"/>
  <c r="Q297" i="26"/>
  <c r="Q298" i="26"/>
  <c r="Q299" i="26"/>
  <c r="Q300" i="26"/>
  <c r="Q301" i="26"/>
  <c r="Q302" i="26"/>
  <c r="Q303" i="26"/>
  <c r="Q304" i="26"/>
  <c r="Q305" i="26"/>
  <c r="Q306" i="26"/>
  <c r="Q307" i="26"/>
  <c r="Q308" i="26"/>
  <c r="Q309" i="26"/>
  <c r="Q310" i="26"/>
  <c r="Q311" i="26"/>
  <c r="Q312" i="26"/>
  <c r="Q313" i="26"/>
  <c r="Q314" i="26"/>
  <c r="Q315" i="26"/>
  <c r="Q316" i="26"/>
  <c r="Q317" i="26"/>
  <c r="Q318" i="26"/>
  <c r="Q319" i="26"/>
  <c r="Q320" i="26"/>
  <c r="Q321" i="26"/>
  <c r="Q322" i="26"/>
  <c r="Q323" i="26"/>
  <c r="Q324" i="26"/>
  <c r="Q325" i="26"/>
  <c r="Q326" i="26"/>
  <c r="Q327" i="26"/>
  <c r="Q328" i="26"/>
  <c r="Q329" i="26"/>
  <c r="Q330" i="26"/>
  <c r="Q331" i="26"/>
  <c r="Q332" i="26"/>
  <c r="Q333" i="26"/>
  <c r="Q334" i="26"/>
  <c r="Q335" i="26"/>
  <c r="Q336" i="26"/>
  <c r="Q337" i="26"/>
  <c r="Q338" i="26"/>
  <c r="Q339" i="26"/>
  <c r="Q340" i="26"/>
  <c r="Q341" i="26"/>
  <c r="Q342" i="26"/>
  <c r="Q343" i="26"/>
  <c r="Q344" i="26"/>
  <c r="Q345" i="26"/>
  <c r="Q346" i="26"/>
  <c r="Q347" i="26"/>
  <c r="Q348" i="26"/>
  <c r="Q349" i="26"/>
  <c r="Q350" i="26"/>
  <c r="Q351" i="26"/>
  <c r="Q352" i="26"/>
  <c r="Q353" i="26"/>
  <c r="Q354" i="26"/>
  <c r="Q355" i="26"/>
  <c r="Q356" i="26"/>
  <c r="Q357" i="26"/>
  <c r="Q358" i="26"/>
  <c r="Q359" i="26"/>
  <c r="Q360" i="26"/>
  <c r="Q361" i="26"/>
  <c r="Q362" i="26"/>
  <c r="Q363" i="26"/>
  <c r="Q364" i="26"/>
  <c r="Q365" i="26"/>
  <c r="Q366" i="26"/>
  <c r="Q367" i="26"/>
  <c r="Q368" i="26"/>
  <c r="Q369" i="26"/>
  <c r="Q370" i="26"/>
  <c r="Q371" i="26"/>
  <c r="Q372" i="26"/>
  <c r="Q373" i="26"/>
  <c r="Q374" i="26"/>
  <c r="Q375" i="26"/>
  <c r="Q376" i="26"/>
  <c r="Q377" i="26"/>
  <c r="Q378" i="26"/>
  <c r="Q379" i="26"/>
  <c r="Q380" i="26"/>
  <c r="Q381" i="26"/>
  <c r="Q382" i="26"/>
  <c r="Q383" i="26"/>
  <c r="Q384" i="26"/>
  <c r="Q385" i="26"/>
  <c r="Q386" i="26"/>
  <c r="Q387" i="26"/>
  <c r="Q388" i="26"/>
  <c r="Q389" i="26"/>
  <c r="Q390" i="26"/>
  <c r="Q391" i="26"/>
  <c r="Q392" i="26"/>
  <c r="Q393" i="26"/>
  <c r="Q394" i="26"/>
  <c r="Q395" i="26"/>
  <c r="Q396" i="26"/>
  <c r="Q397" i="26"/>
  <c r="Q398" i="26"/>
  <c r="Q399" i="26"/>
  <c r="Q400" i="26"/>
  <c r="Q401" i="26"/>
  <c r="Q402" i="26"/>
  <c r="Q403" i="26"/>
  <c r="Q404" i="26"/>
  <c r="Q405" i="26"/>
  <c r="Q406" i="26"/>
  <c r="Q407" i="26"/>
  <c r="Q408" i="26"/>
  <c r="Q409" i="26"/>
  <c r="Q410" i="26"/>
  <c r="Q411" i="26"/>
  <c r="Q412" i="26"/>
  <c r="Q413" i="26"/>
  <c r="Q414" i="26"/>
  <c r="Q415" i="26"/>
  <c r="Q416" i="26"/>
  <c r="Q417" i="26"/>
  <c r="Q418" i="26"/>
  <c r="Q419" i="26"/>
  <c r="Q420" i="26"/>
  <c r="Q421" i="26"/>
  <c r="Q422" i="26"/>
  <c r="Q423" i="26"/>
  <c r="Q424" i="26"/>
  <c r="Q425" i="26"/>
  <c r="Q426" i="26"/>
  <c r="Q427" i="26"/>
  <c r="Q428" i="26"/>
  <c r="Q429" i="26"/>
  <c r="Q430" i="26"/>
  <c r="Q431" i="26"/>
  <c r="Q432" i="26"/>
  <c r="Q433" i="26"/>
  <c r="Q434" i="26"/>
  <c r="Q435" i="26"/>
  <c r="Q436" i="26"/>
  <c r="Q437" i="26"/>
  <c r="Q438" i="26"/>
  <c r="Q439" i="26"/>
  <c r="Q440" i="26"/>
  <c r="Q441" i="26"/>
  <c r="Q442" i="26"/>
  <c r="Q443" i="26"/>
  <c r="Q444" i="26"/>
  <c r="Q445" i="26"/>
  <c r="Q446" i="26"/>
  <c r="Q447" i="26"/>
  <c r="Q448" i="26"/>
  <c r="Q449" i="26"/>
  <c r="Q450" i="26"/>
  <c r="Q451" i="26"/>
  <c r="Q452" i="26"/>
  <c r="Q453" i="26"/>
  <c r="Q454" i="26"/>
  <c r="Q455" i="26"/>
  <c r="Q456" i="26"/>
  <c r="Q457" i="26"/>
  <c r="Q458" i="26"/>
  <c r="Q459" i="26"/>
  <c r="Q460" i="26"/>
  <c r="Q461" i="26"/>
  <c r="Q462" i="26"/>
  <c r="Q463" i="26"/>
  <c r="Q464" i="26"/>
  <c r="Q465" i="26"/>
  <c r="Q466" i="26"/>
  <c r="Q467" i="26"/>
  <c r="Q468" i="26"/>
  <c r="Q469" i="26"/>
  <c r="Q470" i="26"/>
  <c r="Q471" i="26"/>
  <c r="Q472" i="26"/>
  <c r="Q473" i="26"/>
  <c r="Q474" i="26"/>
  <c r="Q475" i="26"/>
  <c r="Q476" i="26"/>
  <c r="Q477" i="26"/>
  <c r="Q478" i="26"/>
  <c r="Q479" i="26"/>
  <c r="Q480" i="26"/>
  <c r="Q481" i="26"/>
  <c r="Q482" i="26"/>
  <c r="Q483" i="26"/>
  <c r="Q484" i="26"/>
  <c r="Q485" i="26"/>
  <c r="Q486" i="26"/>
  <c r="Q487" i="26"/>
  <c r="Q488" i="26"/>
  <c r="Q489" i="26"/>
  <c r="Q490" i="26"/>
  <c r="Q491" i="26"/>
  <c r="Q492" i="26"/>
  <c r="Q493" i="26"/>
  <c r="Q494" i="26"/>
  <c r="Q495" i="26"/>
  <c r="Q496" i="26"/>
  <c r="Q497" i="26"/>
  <c r="Q498" i="26"/>
  <c r="Q499" i="26"/>
  <c r="Q500" i="26"/>
  <c r="Q501" i="26"/>
  <c r="Q502" i="26"/>
  <c r="Q503" i="26"/>
  <c r="Q504" i="26"/>
  <c r="Q505" i="26"/>
  <c r="Q506" i="26"/>
  <c r="Q507" i="26"/>
  <c r="Q508" i="26"/>
  <c r="Q509" i="26"/>
  <c r="Q510" i="26"/>
  <c r="Q511" i="26"/>
  <c r="Q512" i="26"/>
  <c r="Q513" i="26"/>
  <c r="Q514" i="26"/>
  <c r="Q515" i="26"/>
  <c r="Q516" i="26"/>
  <c r="Q517" i="26"/>
  <c r="Q518" i="26"/>
  <c r="Q519" i="26"/>
  <c r="Q520" i="26"/>
  <c r="Q521" i="26"/>
  <c r="Q522" i="26"/>
  <c r="Q523" i="26"/>
  <c r="Q524" i="26"/>
  <c r="Q525" i="26"/>
  <c r="Q526" i="26"/>
  <c r="Q527" i="26"/>
  <c r="Q528" i="26"/>
  <c r="Q529" i="26"/>
  <c r="Q530" i="26"/>
  <c r="Q531" i="26"/>
  <c r="Q532" i="26"/>
  <c r="Q533" i="26"/>
  <c r="Q534" i="26"/>
  <c r="Q535" i="26"/>
  <c r="Q536" i="26"/>
  <c r="Q537" i="26"/>
  <c r="Q538" i="26"/>
  <c r="Q539" i="26"/>
  <c r="Q540" i="26"/>
  <c r="Q541" i="26"/>
  <c r="Q542" i="26"/>
  <c r="Q543" i="26"/>
  <c r="Q544" i="26"/>
  <c r="Q545" i="26"/>
  <c r="Q546" i="26"/>
  <c r="Q547" i="26"/>
  <c r="Q548" i="26"/>
  <c r="Q549" i="26"/>
  <c r="Q550" i="26"/>
  <c r="Q551" i="26"/>
  <c r="Q552" i="26"/>
  <c r="Q553" i="26"/>
  <c r="Q554" i="26"/>
  <c r="Q555" i="26"/>
  <c r="Q556" i="26"/>
  <c r="Q557" i="26"/>
  <c r="Q558" i="26"/>
  <c r="Q559" i="26"/>
  <c r="Q560" i="26"/>
  <c r="Q561" i="26"/>
  <c r="Q562" i="26"/>
  <c r="Q563" i="26"/>
  <c r="Q564" i="26"/>
  <c r="Q565" i="26"/>
  <c r="Q566" i="26"/>
  <c r="Q567" i="26"/>
  <c r="Q568" i="26"/>
  <c r="Q569" i="26"/>
  <c r="Q570" i="26"/>
  <c r="Q571" i="26"/>
  <c r="Q572" i="26"/>
  <c r="Q573" i="26"/>
  <c r="Q574" i="26"/>
  <c r="Q575" i="26"/>
  <c r="Q576" i="26"/>
  <c r="Q577" i="26"/>
  <c r="Q578" i="26"/>
  <c r="Q579" i="26"/>
  <c r="Q580" i="26"/>
  <c r="Q581" i="26"/>
  <c r="Q582" i="26"/>
  <c r="Q583" i="26"/>
  <c r="Q584" i="26"/>
  <c r="Q585" i="26"/>
  <c r="Q586" i="26"/>
  <c r="Q587" i="26"/>
  <c r="Q588" i="26"/>
  <c r="Q589" i="26"/>
  <c r="Q590" i="26"/>
  <c r="Q591" i="26"/>
  <c r="Q592" i="26"/>
  <c r="Q593" i="26"/>
  <c r="Q594" i="26"/>
  <c r="Q595" i="26"/>
  <c r="Q596" i="26"/>
  <c r="Q597" i="26"/>
  <c r="Q598" i="26"/>
  <c r="Q599" i="26"/>
  <c r="Q600" i="26"/>
  <c r="Q601" i="26"/>
  <c r="Q602" i="26"/>
  <c r="Q603" i="26"/>
  <c r="Q604" i="26"/>
  <c r="Q605" i="26"/>
  <c r="Q606" i="26"/>
  <c r="Q607" i="26"/>
  <c r="Q608" i="26"/>
  <c r="Q609" i="26"/>
  <c r="Q610" i="26"/>
  <c r="Q611" i="26"/>
  <c r="Q612" i="26"/>
  <c r="Q613" i="26"/>
  <c r="Q614" i="26"/>
  <c r="Q615" i="26"/>
  <c r="Q616" i="26"/>
  <c r="Q617" i="26"/>
  <c r="Q618" i="26"/>
  <c r="Q619" i="26"/>
  <c r="Q620" i="26"/>
  <c r="Q621" i="26"/>
  <c r="Q622" i="26"/>
  <c r="Q623" i="26"/>
  <c r="Q624" i="26"/>
  <c r="Q625" i="26"/>
  <c r="Q626" i="26"/>
  <c r="Q627" i="26"/>
  <c r="Q628" i="26"/>
  <c r="Q629" i="26"/>
  <c r="Q630" i="26"/>
  <c r="Q631" i="26"/>
  <c r="Q632" i="26"/>
  <c r="Q633" i="26"/>
  <c r="Q634" i="26"/>
  <c r="Q635" i="26"/>
  <c r="Q636" i="26"/>
  <c r="Q637" i="26"/>
  <c r="Q638" i="26"/>
  <c r="Q639" i="26"/>
  <c r="Q640" i="26"/>
  <c r="Q641" i="26"/>
  <c r="Q642" i="26"/>
  <c r="Q643" i="26"/>
  <c r="Q644" i="26"/>
  <c r="Q645" i="26"/>
  <c r="Q646" i="26"/>
  <c r="Q647" i="26"/>
  <c r="Q648" i="26"/>
  <c r="Q649" i="26"/>
  <c r="Q650" i="26"/>
  <c r="Q651" i="26"/>
  <c r="Q652" i="26"/>
  <c r="Q653" i="26"/>
  <c r="Q654" i="26"/>
  <c r="Q655" i="26"/>
  <c r="Q656" i="26"/>
  <c r="Q657" i="26"/>
  <c r="Q658" i="26"/>
  <c r="Q659" i="26"/>
  <c r="Q660" i="26"/>
  <c r="Q661" i="26"/>
  <c r="Q662" i="26"/>
  <c r="Q663" i="26"/>
  <c r="Q664" i="26"/>
  <c r="Q665" i="26"/>
  <c r="Q666" i="26"/>
  <c r="Q667" i="26"/>
  <c r="Q668" i="26"/>
  <c r="Q669" i="26"/>
  <c r="Q670" i="26"/>
  <c r="Q671" i="26"/>
  <c r="Q672" i="26"/>
  <c r="Q673" i="26"/>
  <c r="Q674" i="26"/>
  <c r="Q675" i="26"/>
  <c r="Q676" i="26"/>
  <c r="Q677" i="26"/>
  <c r="Q678" i="26"/>
  <c r="Q679" i="26"/>
  <c r="Q680" i="26"/>
  <c r="Q681" i="26"/>
  <c r="Q682" i="26"/>
  <c r="Q683" i="26"/>
  <c r="Q684" i="26"/>
  <c r="Q685" i="26"/>
  <c r="Q686" i="26"/>
  <c r="Q687" i="26"/>
  <c r="Q688" i="26"/>
  <c r="Q689" i="26"/>
  <c r="Q690" i="26"/>
  <c r="Q691" i="26"/>
  <c r="Q692" i="26"/>
  <c r="Q693" i="26"/>
  <c r="Q694" i="26"/>
  <c r="Q695" i="26"/>
  <c r="Q696" i="26"/>
  <c r="Q697" i="26"/>
  <c r="Q698" i="26"/>
  <c r="Q699" i="26"/>
  <c r="Q700" i="26"/>
  <c r="Q701" i="26"/>
  <c r="Q702" i="26"/>
  <c r="Q703" i="26"/>
  <c r="Q704" i="26"/>
  <c r="Q705" i="26"/>
  <c r="Q706" i="26"/>
  <c r="Q707" i="26"/>
  <c r="Q708" i="26"/>
  <c r="Q709" i="26"/>
  <c r="Q710" i="26"/>
  <c r="Q711" i="26"/>
  <c r="Q712" i="26"/>
  <c r="Q713" i="26"/>
  <c r="Q714" i="26"/>
  <c r="Q715" i="26"/>
  <c r="Q716" i="26"/>
  <c r="Q717" i="26"/>
  <c r="Q718" i="26"/>
  <c r="Q719" i="26"/>
  <c r="Q720" i="26"/>
  <c r="Q721" i="26"/>
  <c r="Q722" i="26"/>
  <c r="Q723" i="26"/>
  <c r="Q724" i="26"/>
  <c r="Q725" i="26"/>
  <c r="Q726" i="26"/>
  <c r="Q727" i="26"/>
  <c r="Q728" i="26"/>
  <c r="Q729" i="26"/>
  <c r="Q730" i="26"/>
  <c r="Q731" i="26"/>
  <c r="Q732" i="26"/>
  <c r="Q733" i="26"/>
  <c r="Q734" i="26"/>
  <c r="Q735" i="26"/>
  <c r="Q736" i="26"/>
  <c r="Q737" i="26"/>
  <c r="Q738" i="26"/>
  <c r="Q739" i="26"/>
  <c r="Q740" i="26"/>
  <c r="Q741" i="26"/>
  <c r="Q742" i="26"/>
  <c r="Q743" i="26"/>
  <c r="Q744" i="26"/>
  <c r="Q745" i="26"/>
  <c r="Q746" i="26"/>
  <c r="Q747" i="26"/>
  <c r="Q748" i="26"/>
  <c r="Q749" i="26"/>
  <c r="Q750" i="26"/>
  <c r="Q751" i="26"/>
  <c r="Q752" i="26"/>
  <c r="Q753" i="26"/>
  <c r="Q754" i="26"/>
  <c r="Q755" i="26"/>
  <c r="Q756" i="26"/>
  <c r="Q757" i="26"/>
  <c r="Q758" i="26"/>
  <c r="Q759" i="26"/>
  <c r="Q760" i="26"/>
  <c r="Q761" i="26"/>
  <c r="Q762" i="26"/>
  <c r="Q763" i="26"/>
  <c r="Q764" i="26"/>
  <c r="Q765" i="26"/>
  <c r="Q766" i="26"/>
  <c r="Q767" i="26"/>
  <c r="Q768" i="26"/>
  <c r="Q769" i="26"/>
  <c r="Q770" i="26"/>
  <c r="Q771" i="26"/>
  <c r="Q772" i="26"/>
  <c r="Q773" i="26"/>
  <c r="Q774" i="26"/>
  <c r="Q775" i="26"/>
  <c r="Q776" i="26"/>
  <c r="Q777" i="26"/>
  <c r="Q778" i="26"/>
  <c r="Q779" i="26"/>
  <c r="Q780" i="26"/>
  <c r="Q781" i="26"/>
  <c r="Q782" i="26"/>
  <c r="Q783" i="26"/>
  <c r="Q784" i="26"/>
  <c r="Q785" i="26"/>
  <c r="Q786" i="26"/>
  <c r="Q787" i="26"/>
  <c r="Q788" i="26"/>
  <c r="Q789" i="26"/>
  <c r="Q790" i="26"/>
  <c r="Q791" i="26"/>
  <c r="Q792" i="26"/>
  <c r="Q793" i="26"/>
  <c r="Q794" i="26"/>
  <c r="Q795" i="26"/>
  <c r="Q796" i="26"/>
  <c r="Q797" i="26"/>
  <c r="Q798" i="26"/>
  <c r="Q799" i="26"/>
  <c r="Q800" i="26"/>
  <c r="Q801" i="26"/>
  <c r="Q802" i="26"/>
  <c r="Q803" i="26"/>
  <c r="Q804" i="26"/>
  <c r="Q805" i="26"/>
  <c r="Q806" i="26"/>
  <c r="Q807" i="26"/>
  <c r="Q808" i="26"/>
  <c r="Q809" i="26"/>
  <c r="Q810" i="26"/>
  <c r="Q811" i="26"/>
  <c r="Q812" i="26"/>
  <c r="Q813" i="26"/>
  <c r="Q814" i="26"/>
  <c r="Q815" i="26"/>
  <c r="Q816" i="26"/>
  <c r="Q817" i="26"/>
  <c r="Q818" i="26"/>
  <c r="Q819" i="26"/>
  <c r="Q820" i="26"/>
  <c r="Q821" i="26"/>
  <c r="Q822" i="26"/>
  <c r="Q823" i="26"/>
  <c r="Q824" i="26"/>
  <c r="Q825" i="26"/>
  <c r="Q826" i="26"/>
  <c r="Q827" i="26"/>
  <c r="Q828" i="26"/>
  <c r="Q829" i="26"/>
  <c r="Q830" i="26"/>
  <c r="Q831" i="26"/>
  <c r="Q832" i="26"/>
  <c r="Q833" i="26"/>
  <c r="Q834" i="26"/>
  <c r="Q835" i="26"/>
  <c r="Q836" i="26"/>
  <c r="Q837" i="26"/>
  <c r="Q838" i="26"/>
  <c r="Q839" i="26"/>
  <c r="Q840" i="26"/>
  <c r="Q841" i="26"/>
  <c r="Q842" i="26"/>
  <c r="Q843" i="26"/>
  <c r="Q844" i="26"/>
  <c r="Q845" i="26"/>
  <c r="Q846" i="26"/>
  <c r="Q847" i="26"/>
  <c r="Q848" i="26"/>
  <c r="Q849" i="26"/>
  <c r="Q850" i="26"/>
  <c r="Q851" i="26"/>
  <c r="Q852" i="26"/>
  <c r="Q853" i="26"/>
  <c r="Q854" i="26"/>
  <c r="Q855" i="26"/>
  <c r="Q856" i="26"/>
  <c r="Q857" i="26"/>
  <c r="Q858" i="26"/>
  <c r="Q859" i="26"/>
  <c r="Q860" i="26"/>
  <c r="Q861" i="26"/>
  <c r="Q862" i="26"/>
  <c r="Q863" i="26"/>
  <c r="Q864" i="26"/>
  <c r="Q865" i="26"/>
  <c r="Q866" i="26"/>
  <c r="Q867" i="26"/>
  <c r="Q868" i="26"/>
  <c r="Q869" i="26"/>
  <c r="Q870" i="26"/>
  <c r="Q871" i="26"/>
  <c r="Q872" i="26"/>
  <c r="Q873" i="26"/>
  <c r="Q874" i="26"/>
  <c r="Q875" i="26"/>
  <c r="Q876" i="26"/>
  <c r="Q877" i="26"/>
  <c r="Q878" i="26"/>
  <c r="Q879" i="26"/>
  <c r="Q880" i="26"/>
  <c r="Q881" i="26"/>
  <c r="Q882" i="26"/>
  <c r="Q883" i="26"/>
  <c r="Q884" i="26"/>
  <c r="Q885" i="26"/>
  <c r="Q886" i="26"/>
  <c r="Q887" i="26"/>
  <c r="Q888" i="26"/>
  <c r="Q889" i="26"/>
  <c r="Q890" i="26"/>
  <c r="Q891" i="26"/>
  <c r="Q892" i="26"/>
  <c r="Q893" i="26"/>
  <c r="Q894" i="26"/>
  <c r="Q895" i="26"/>
  <c r="Q896" i="26"/>
  <c r="Q897" i="26"/>
  <c r="Q898" i="26"/>
  <c r="Q899" i="26"/>
  <c r="Q900" i="26"/>
  <c r="Q901" i="26"/>
  <c r="Q902" i="26"/>
  <c r="Q903" i="26"/>
  <c r="Q904" i="26"/>
  <c r="Q905" i="26"/>
  <c r="Q906" i="26"/>
  <c r="Q907" i="26"/>
  <c r="Q908" i="26"/>
  <c r="Q909" i="26"/>
  <c r="Q910" i="26"/>
  <c r="Q911" i="26"/>
  <c r="Q912" i="26"/>
  <c r="Q913" i="26"/>
  <c r="Q914" i="26"/>
  <c r="Q915" i="26"/>
  <c r="Q916" i="26"/>
  <c r="Q917" i="26"/>
  <c r="Q918" i="26"/>
  <c r="Q919" i="26"/>
  <c r="Q920" i="26"/>
  <c r="Q921" i="26"/>
  <c r="Q922" i="26"/>
  <c r="Q923" i="26"/>
  <c r="Q924" i="26"/>
  <c r="Q925" i="26"/>
  <c r="Q926" i="26"/>
  <c r="Q927" i="26"/>
  <c r="Q928" i="26"/>
  <c r="Q929" i="26"/>
  <c r="Q930" i="26"/>
  <c r="Q931" i="26"/>
  <c r="Q932" i="26"/>
  <c r="Q933" i="26"/>
  <c r="Q934" i="26"/>
  <c r="Q935" i="26"/>
  <c r="Q936" i="26"/>
  <c r="Q937" i="26"/>
  <c r="Q938" i="26"/>
  <c r="Q939" i="26"/>
  <c r="Q940" i="26"/>
  <c r="Q941" i="26"/>
  <c r="Q942" i="26"/>
  <c r="Q943" i="26"/>
  <c r="Q944" i="26"/>
  <c r="Q945" i="26"/>
  <c r="Q946" i="26"/>
  <c r="Q947" i="26"/>
  <c r="Q948" i="26"/>
  <c r="Q949" i="26"/>
  <c r="Q950" i="26"/>
  <c r="Q951" i="26"/>
  <c r="Q952" i="26"/>
  <c r="Q953" i="26"/>
  <c r="Q954" i="26"/>
  <c r="Q955" i="26"/>
  <c r="Q956" i="26"/>
  <c r="Q957" i="26"/>
  <c r="Q958" i="26"/>
  <c r="Q959" i="26"/>
  <c r="Q960" i="26"/>
  <c r="Q961" i="26"/>
  <c r="Q962" i="26"/>
  <c r="Q963" i="26"/>
  <c r="Q964" i="26"/>
  <c r="Q965" i="26"/>
  <c r="Q966" i="26"/>
  <c r="Q967" i="26"/>
  <c r="Q968" i="26"/>
  <c r="Q969" i="26"/>
  <c r="Q970" i="26"/>
  <c r="Q971" i="26"/>
  <c r="Q972" i="26"/>
  <c r="Q973" i="26"/>
  <c r="Q974" i="26"/>
  <c r="Q975" i="26"/>
  <c r="Q976" i="26"/>
  <c r="Q977" i="26"/>
  <c r="Q978" i="26"/>
  <c r="Q979" i="26"/>
  <c r="Q980" i="26"/>
  <c r="Q981" i="26"/>
  <c r="Q982" i="26"/>
  <c r="Q983" i="26"/>
  <c r="Q984" i="26"/>
  <c r="Q985" i="26"/>
  <c r="Q986" i="26"/>
  <c r="Q987" i="26"/>
  <c r="Q988" i="26"/>
  <c r="Q989" i="26"/>
  <c r="Q990" i="26"/>
  <c r="Q991" i="26"/>
  <c r="Q992" i="26"/>
  <c r="Q993" i="26"/>
  <c r="Q994" i="26"/>
  <c r="Q995" i="26"/>
  <c r="Q996" i="26"/>
  <c r="Q997" i="26"/>
  <c r="Q998" i="26"/>
  <c r="Q999" i="26"/>
  <c r="Q1000" i="26"/>
  <c r="Q1001" i="26"/>
  <c r="Q1002" i="26"/>
  <c r="Q1003" i="26"/>
  <c r="Q1004" i="26"/>
  <c r="Q1005" i="26"/>
  <c r="Q1006" i="26"/>
  <c r="Q1007" i="26"/>
  <c r="Q1008" i="26"/>
  <c r="Q1009" i="26"/>
  <c r="Q1010" i="26"/>
  <c r="Q1011" i="26"/>
  <c r="Q1012" i="26"/>
  <c r="Q1013" i="26"/>
  <c r="Q1014" i="26"/>
  <c r="Q1015" i="26"/>
  <c r="Q1016" i="26"/>
  <c r="Q1017" i="26"/>
  <c r="Q1018" i="26"/>
  <c r="Q1019" i="26"/>
  <c r="Q1020" i="26"/>
  <c r="Q1021" i="26"/>
  <c r="Q1022" i="26"/>
  <c r="Q1023" i="26"/>
  <c r="Q1024" i="26"/>
  <c r="Q1025" i="26"/>
  <c r="Q1026" i="26"/>
  <c r="Q1027" i="26"/>
  <c r="Q1028" i="26"/>
  <c r="Q1029" i="26"/>
  <c r="Q1030" i="26"/>
  <c r="Q1031" i="26"/>
  <c r="Q1032" i="26"/>
  <c r="Q1033" i="26"/>
  <c r="Q1034" i="26"/>
  <c r="Q1035" i="26"/>
  <c r="Q1036" i="26"/>
  <c r="Q1037" i="26"/>
  <c r="Q1038" i="26"/>
  <c r="Q1039" i="26"/>
  <c r="Q1040" i="26"/>
  <c r="Q1041" i="26"/>
  <c r="Q1042" i="26"/>
  <c r="Q1043" i="26"/>
  <c r="Q1044" i="26"/>
  <c r="Q1045" i="26"/>
  <c r="Q1046" i="26"/>
  <c r="Q1047" i="26"/>
  <c r="Q1048" i="26"/>
  <c r="Q1049" i="26"/>
  <c r="Q1050" i="26"/>
  <c r="Q1051" i="26"/>
  <c r="Q1052" i="26"/>
  <c r="Q1053" i="26"/>
  <c r="Q1054" i="26"/>
  <c r="Q1055" i="26"/>
  <c r="Q1056" i="26"/>
  <c r="Q1057" i="26"/>
  <c r="Q1058" i="26"/>
  <c r="Q1059" i="26"/>
  <c r="Q1060" i="26"/>
  <c r="Q1061" i="26"/>
  <c r="Q1062" i="26"/>
  <c r="Q1063" i="26"/>
  <c r="Q1064" i="26"/>
  <c r="Q1065" i="26"/>
  <c r="Q1066" i="26"/>
  <c r="Q1067" i="26"/>
  <c r="Q1068" i="26"/>
  <c r="Q1069" i="26"/>
  <c r="Q1070" i="26"/>
  <c r="Q1071" i="26"/>
  <c r="Q1072" i="26"/>
  <c r="Q1073" i="26"/>
  <c r="Q1074" i="26"/>
  <c r="Q1075" i="26"/>
  <c r="Q1076" i="26"/>
  <c r="Q1077" i="26"/>
  <c r="Q1078" i="26"/>
  <c r="Q1079" i="26"/>
  <c r="Q1080" i="26"/>
  <c r="Q1081" i="26"/>
  <c r="Q1082" i="26"/>
  <c r="Q1083" i="26"/>
  <c r="Q1084" i="26"/>
  <c r="Q1085" i="26"/>
  <c r="Q1086" i="26"/>
  <c r="Q1087" i="26"/>
  <c r="Q1088" i="26"/>
  <c r="Q1089" i="26"/>
  <c r="Q1090" i="26"/>
  <c r="Q1091" i="26"/>
  <c r="Q1092" i="26"/>
  <c r="Q1093" i="26"/>
  <c r="Q1094" i="26"/>
  <c r="Q1095" i="26"/>
  <c r="Q1096" i="26"/>
  <c r="Q1097" i="26"/>
  <c r="Q1098" i="26"/>
  <c r="Q1099" i="26"/>
  <c r="Q1100" i="26"/>
  <c r="Q1101" i="26"/>
  <c r="Q1102" i="26"/>
  <c r="Q1103" i="26"/>
  <c r="Q1104" i="26"/>
  <c r="Q1105" i="26"/>
  <c r="Q1106" i="26"/>
  <c r="Q1107" i="26"/>
  <c r="Q1108" i="26"/>
  <c r="Q1109" i="26"/>
  <c r="Q1110" i="26"/>
  <c r="Q1111" i="26"/>
  <c r="Q1112" i="26"/>
  <c r="Q1113" i="26"/>
  <c r="Q1114" i="26"/>
  <c r="Q1115" i="26"/>
  <c r="Q1116" i="26"/>
  <c r="Q1117" i="26"/>
  <c r="Q1118" i="26"/>
  <c r="Q1119" i="26"/>
  <c r="Q1120" i="26"/>
  <c r="Q1121" i="26"/>
  <c r="Q1122" i="26"/>
  <c r="Q1123" i="26"/>
  <c r="Q1124" i="26"/>
  <c r="Q1125" i="26"/>
  <c r="Q1126" i="26"/>
  <c r="Q1127" i="26"/>
  <c r="Q1128" i="26"/>
  <c r="Q1129" i="26"/>
  <c r="Q1130" i="26"/>
  <c r="Q1131" i="26"/>
  <c r="Q1132" i="26"/>
  <c r="Q1133" i="26"/>
  <c r="Q1134" i="26"/>
  <c r="Q1135" i="26"/>
  <c r="Q1136" i="26"/>
  <c r="Q1137" i="26"/>
  <c r="Q1138" i="26"/>
  <c r="Q1139" i="26"/>
  <c r="Q1140" i="26"/>
  <c r="Q1141" i="26"/>
  <c r="Q1142" i="26"/>
  <c r="Q1143" i="26"/>
  <c r="Q1144" i="26"/>
  <c r="Q1145" i="26"/>
  <c r="Q1146" i="26"/>
  <c r="Q1147" i="26"/>
  <c r="Q1148" i="26"/>
  <c r="Q1149" i="26"/>
  <c r="Q1150" i="26"/>
  <c r="Q1151" i="26"/>
  <c r="Q1152" i="26"/>
  <c r="Q1153" i="26"/>
  <c r="Q1154" i="26"/>
  <c r="Q1155" i="26"/>
  <c r="Q1156" i="26"/>
  <c r="Q1157" i="26"/>
  <c r="Q1158" i="26"/>
  <c r="Q1159" i="26"/>
  <c r="Q1160" i="26"/>
  <c r="Q1161" i="26"/>
  <c r="Q1162" i="26"/>
  <c r="Q1163" i="26"/>
  <c r="Q1164" i="26"/>
  <c r="Q1165" i="26"/>
  <c r="Q1166" i="26"/>
  <c r="Q1167" i="26"/>
  <c r="Q1168" i="26"/>
  <c r="Q1169" i="26"/>
  <c r="Q1170" i="26"/>
  <c r="Q1171" i="26"/>
  <c r="Q1172" i="26"/>
  <c r="Q1173" i="26"/>
  <c r="Q1174" i="26"/>
  <c r="Q1175" i="26"/>
  <c r="Q1176" i="26"/>
  <c r="Q1177" i="26"/>
  <c r="Q1178" i="26"/>
  <c r="Q1179" i="26"/>
  <c r="Q1180" i="26"/>
  <c r="Q1181" i="26"/>
  <c r="Q1182" i="26"/>
  <c r="Q1183" i="26"/>
  <c r="Q1184" i="26"/>
  <c r="Q1185" i="26"/>
  <c r="Q1186" i="26"/>
  <c r="Q1187" i="26"/>
  <c r="Q1188" i="26"/>
  <c r="Q1189" i="26"/>
  <c r="Q1190" i="26"/>
  <c r="Q1191" i="26"/>
  <c r="Q1192" i="26"/>
  <c r="Q1193" i="26"/>
  <c r="Q1194" i="26"/>
  <c r="Q1195" i="26"/>
  <c r="Q1196" i="26"/>
  <c r="Q1197" i="26"/>
  <c r="Q1198" i="26"/>
  <c r="Q1199" i="26"/>
  <c r="Q1200" i="26"/>
  <c r="Q1201" i="26"/>
  <c r="Q1202" i="26"/>
  <c r="Q1203" i="26"/>
  <c r="Q1204" i="26"/>
  <c r="Q1205" i="26"/>
  <c r="Q1206" i="26"/>
  <c r="Q1207" i="26"/>
  <c r="Q1208" i="26"/>
  <c r="Q1209" i="26"/>
  <c r="Q1210" i="26"/>
  <c r="Q1211" i="26"/>
  <c r="Q1212" i="26"/>
  <c r="Q1213" i="26"/>
  <c r="Q1214" i="26"/>
  <c r="Q1215" i="26"/>
  <c r="Q1216" i="26"/>
  <c r="Q1217" i="26"/>
  <c r="Q1218" i="26"/>
  <c r="Q1219" i="26"/>
  <c r="Q1220" i="26"/>
  <c r="Q1221" i="26"/>
  <c r="Q1222" i="26"/>
  <c r="Q1223" i="26"/>
  <c r="Q1224" i="26"/>
  <c r="Q1225" i="26"/>
  <c r="Q1226" i="26"/>
  <c r="Q1227" i="26"/>
  <c r="Q1228" i="26"/>
  <c r="Q1229" i="26"/>
  <c r="Q1230" i="26"/>
  <c r="Q1231" i="26"/>
  <c r="Q1232" i="26"/>
  <c r="Q1233" i="26"/>
  <c r="Q1234" i="26"/>
  <c r="Q1235" i="26"/>
  <c r="Q1236" i="26"/>
  <c r="Q1237" i="26"/>
  <c r="Q1238" i="26"/>
  <c r="Q1239" i="26"/>
  <c r="Q1240" i="26"/>
  <c r="Q1241" i="26"/>
  <c r="Q1242" i="26"/>
  <c r="Q1243" i="26"/>
  <c r="Q1244" i="26"/>
  <c r="Q1245" i="26"/>
  <c r="Q1246" i="26"/>
  <c r="Q1247" i="26"/>
  <c r="Q1248" i="26"/>
  <c r="Q1249" i="26"/>
  <c r="Q1250" i="26"/>
  <c r="Q1251" i="26"/>
  <c r="Q1252" i="26"/>
  <c r="Q1253" i="26"/>
  <c r="Q1254" i="26"/>
  <c r="Q1255" i="26"/>
  <c r="Q1256" i="26"/>
  <c r="Q1257" i="26"/>
  <c r="Q1258" i="26"/>
  <c r="Q1259" i="26"/>
  <c r="Q1260" i="26"/>
  <c r="Q1261" i="26"/>
  <c r="Q1262" i="26"/>
  <c r="Q1263" i="26"/>
  <c r="Q1264" i="26"/>
  <c r="Q1265" i="26"/>
  <c r="Q1266" i="26"/>
  <c r="Q1267" i="26"/>
  <c r="Q1268" i="26"/>
  <c r="Q1269" i="26"/>
  <c r="Q1270" i="26"/>
  <c r="Q1271" i="26"/>
  <c r="Q1272" i="26"/>
  <c r="Q1273" i="26"/>
  <c r="Q1274" i="26"/>
  <c r="Q1275" i="26"/>
  <c r="Q1276" i="26"/>
  <c r="Q1277" i="26"/>
  <c r="Q1278" i="26"/>
  <c r="Q1279" i="26"/>
  <c r="Q1280" i="26"/>
  <c r="Q1281" i="26"/>
  <c r="Q1282" i="26"/>
  <c r="Q1283" i="26"/>
  <c r="Q1284" i="26"/>
  <c r="Q1285" i="26"/>
  <c r="Q1286" i="26"/>
  <c r="Q1287" i="26"/>
  <c r="Q1288" i="26"/>
  <c r="Q1289" i="26"/>
  <c r="Q1290" i="26"/>
  <c r="Q1291" i="26"/>
  <c r="Q1292" i="26"/>
  <c r="Q1293" i="26"/>
  <c r="Q1294" i="26"/>
  <c r="Q1295" i="26"/>
  <c r="Q1296" i="26"/>
  <c r="Q1297" i="26"/>
  <c r="Q1298" i="26"/>
  <c r="Q1299" i="26"/>
  <c r="Q1300" i="26"/>
  <c r="Q1301" i="26"/>
  <c r="Q1302" i="26"/>
  <c r="Q1303" i="26"/>
  <c r="Q1304" i="26"/>
  <c r="Q1305" i="26"/>
  <c r="Q1306" i="26"/>
  <c r="Q1307" i="26"/>
  <c r="Q1308" i="26"/>
  <c r="Q1309" i="26"/>
  <c r="Q1310" i="26"/>
  <c r="Q1311" i="26"/>
  <c r="Q1312" i="26"/>
  <c r="Q1313" i="26"/>
  <c r="Q1314" i="26"/>
  <c r="Q1315" i="26"/>
  <c r="Q1316" i="26"/>
  <c r="Q1317" i="26"/>
  <c r="Q1318" i="26"/>
  <c r="Q1319" i="26"/>
  <c r="Q1320" i="26"/>
  <c r="Q1321" i="26"/>
  <c r="Q1322" i="26"/>
  <c r="Q1323" i="26"/>
  <c r="Q1324" i="26"/>
  <c r="Q1325" i="26"/>
  <c r="Q1326" i="26"/>
  <c r="Q1327" i="26"/>
  <c r="Q1328" i="26"/>
  <c r="Q1329" i="26"/>
  <c r="Q1330" i="26"/>
  <c r="Q1331" i="26"/>
  <c r="Q1332" i="26"/>
  <c r="Q1333" i="26"/>
  <c r="Q1334" i="26"/>
  <c r="Q1335" i="26"/>
  <c r="Q1336" i="26"/>
  <c r="Q1337" i="26"/>
  <c r="Q1338" i="26"/>
  <c r="Q1339" i="26"/>
  <c r="Q1340" i="26"/>
  <c r="Q1341" i="26"/>
  <c r="Q1342" i="26"/>
  <c r="Q1343" i="26"/>
  <c r="Q1344" i="26"/>
  <c r="Q1345" i="26"/>
  <c r="Q1346" i="26"/>
  <c r="Q1347" i="26"/>
  <c r="Q1348" i="26"/>
  <c r="Q1349" i="26"/>
  <c r="Q1350" i="26"/>
  <c r="Q1351" i="26"/>
  <c r="Q1352" i="26"/>
  <c r="Q1353" i="26"/>
  <c r="Q1354" i="26"/>
  <c r="Q1355" i="26"/>
  <c r="Q1356" i="26"/>
  <c r="Q1357" i="26"/>
  <c r="Q1358" i="26"/>
  <c r="Q1359" i="26"/>
  <c r="Q1360" i="26"/>
  <c r="Q1361" i="26"/>
  <c r="Q1362" i="26"/>
  <c r="Q1363" i="26"/>
  <c r="Q1364" i="26"/>
  <c r="Q1365" i="26"/>
  <c r="Q1366" i="26"/>
  <c r="Q1367" i="26"/>
  <c r="Q1368" i="26"/>
  <c r="Q1369" i="26"/>
  <c r="Q1370" i="26"/>
  <c r="Q1371" i="26"/>
  <c r="Q1372" i="26"/>
  <c r="Q1373" i="26"/>
  <c r="Q1374" i="26"/>
  <c r="Q1375" i="26"/>
  <c r="Q1376" i="26"/>
  <c r="Q1377" i="26"/>
  <c r="Q1378" i="26"/>
  <c r="Q1379" i="26"/>
  <c r="Q1380" i="26"/>
  <c r="Q1381" i="26"/>
  <c r="Q1382" i="26"/>
  <c r="Q1383" i="26"/>
  <c r="Q1384" i="26"/>
  <c r="Q1385" i="26"/>
  <c r="Q1386" i="26"/>
  <c r="Q1387" i="26"/>
  <c r="Q1388" i="26"/>
  <c r="Q1389" i="26"/>
  <c r="Q1390" i="26"/>
  <c r="Q1391" i="26"/>
  <c r="Q1392" i="26"/>
  <c r="Q1393" i="26"/>
  <c r="Q1394" i="26"/>
  <c r="Q1395" i="26"/>
  <c r="Q1396" i="26"/>
  <c r="Q1397" i="26"/>
  <c r="Q1398" i="26"/>
  <c r="Q1399" i="26"/>
  <c r="Q1400" i="26"/>
  <c r="Q1401" i="26"/>
  <c r="Q1402" i="26"/>
  <c r="Q1403" i="26"/>
  <c r="Q1404" i="26"/>
  <c r="Q1405" i="26"/>
  <c r="Q1406" i="26"/>
  <c r="Q1407" i="26"/>
  <c r="Q1408" i="26"/>
  <c r="Q1409" i="26"/>
  <c r="Q1410" i="26"/>
  <c r="Q1411" i="26"/>
  <c r="Q1412" i="26"/>
  <c r="Q1413" i="26"/>
  <c r="Q1414" i="26"/>
  <c r="Q1415" i="26"/>
  <c r="Q1416" i="26"/>
  <c r="Q1417" i="26"/>
  <c r="Q1418" i="26"/>
  <c r="Q1419" i="26"/>
  <c r="Q1420" i="26"/>
  <c r="Q1421" i="26"/>
  <c r="Q1422" i="26"/>
  <c r="Q1423" i="26"/>
  <c r="Q1424" i="26"/>
  <c r="Q1425" i="26"/>
  <c r="Q1426" i="26"/>
  <c r="Q1427" i="26"/>
  <c r="Q1428" i="26"/>
  <c r="Q1429" i="26"/>
  <c r="Q1430" i="26"/>
  <c r="Q1431" i="26"/>
  <c r="Q1432" i="26"/>
  <c r="Q1433" i="26"/>
  <c r="Q1434" i="26"/>
  <c r="Q1435" i="26"/>
  <c r="Q1436" i="26"/>
  <c r="Q1437" i="26"/>
  <c r="Q1438" i="26"/>
  <c r="Q1439" i="26"/>
  <c r="Q1440" i="26"/>
  <c r="Q1441" i="26"/>
  <c r="Q1442" i="26"/>
  <c r="Q1443" i="26"/>
  <c r="Q1444" i="26"/>
  <c r="Q1445" i="26"/>
  <c r="Q1446" i="26"/>
  <c r="Q1447" i="26"/>
  <c r="Q1448" i="26"/>
  <c r="Q1449" i="26"/>
  <c r="Q1450" i="26"/>
  <c r="Q1451" i="26"/>
  <c r="Q1452" i="26"/>
  <c r="Q1453" i="26"/>
  <c r="Q1454" i="26"/>
  <c r="Q1455" i="26"/>
  <c r="Q1456" i="26"/>
  <c r="Q1457" i="26"/>
  <c r="Q1458" i="26"/>
  <c r="Q1459" i="26"/>
  <c r="Q1460" i="26"/>
  <c r="Q1461" i="26"/>
  <c r="Q1462" i="26"/>
  <c r="Q1463" i="26"/>
  <c r="Q1464" i="26"/>
  <c r="Q1465" i="26"/>
  <c r="Q1466" i="26"/>
  <c r="Q1467" i="26"/>
  <c r="Q1468" i="26"/>
  <c r="Q1469" i="26"/>
  <c r="Q1470" i="26"/>
  <c r="Q1471" i="26"/>
  <c r="Q1472" i="26"/>
  <c r="Q1473" i="26"/>
  <c r="Q1474" i="26"/>
  <c r="Q1475" i="26"/>
  <c r="Q1476" i="26"/>
  <c r="Q1477" i="26"/>
  <c r="Q1478" i="26"/>
  <c r="Q1479" i="26"/>
  <c r="Q1480" i="26"/>
  <c r="Q1481" i="26"/>
  <c r="Q1482" i="26"/>
  <c r="Q1483" i="26"/>
  <c r="Q1484" i="26"/>
  <c r="Q1485" i="26"/>
  <c r="Q1486" i="26"/>
  <c r="Q1487" i="26"/>
  <c r="Q1488" i="26"/>
  <c r="Q1489" i="26"/>
  <c r="Q1490" i="26"/>
  <c r="Q1491" i="26"/>
  <c r="Q1492" i="26"/>
  <c r="Q1493" i="26"/>
  <c r="Q1494" i="26"/>
  <c r="Q1495" i="26"/>
  <c r="Q1496" i="26"/>
  <c r="Q1497" i="26"/>
  <c r="Q1498" i="26"/>
  <c r="Q1499" i="26"/>
  <c r="Q1500" i="26"/>
  <c r="Q1501" i="26"/>
  <c r="Q1502" i="26"/>
  <c r="Q1503" i="26"/>
  <c r="Q1504" i="26"/>
  <c r="Q1505" i="26"/>
  <c r="Q1506" i="26"/>
  <c r="Q1507" i="26"/>
  <c r="Q1508" i="26"/>
  <c r="Q1509" i="26"/>
  <c r="Q1510" i="26"/>
  <c r="Q1511" i="26"/>
  <c r="Q1512" i="26"/>
  <c r="Q1513" i="26"/>
  <c r="Q1514" i="26"/>
  <c r="Q1515" i="26"/>
  <c r="Q1516" i="26"/>
  <c r="Q1517" i="26"/>
  <c r="Q1518" i="26"/>
  <c r="Q1519" i="26"/>
  <c r="Q1520" i="26"/>
  <c r="Q1521" i="26"/>
  <c r="Q1522" i="26"/>
  <c r="Q1523" i="26"/>
  <c r="Q1524" i="26"/>
  <c r="Q1525" i="26"/>
  <c r="Q1526" i="26"/>
  <c r="Q1527" i="26"/>
  <c r="Q1528" i="26"/>
  <c r="Q1529" i="26"/>
  <c r="Q1530" i="26"/>
  <c r="Q1531" i="26"/>
  <c r="Q1532" i="26"/>
  <c r="Q1533" i="26"/>
  <c r="Q1534" i="26"/>
  <c r="Q1535" i="26"/>
  <c r="Q1536" i="26"/>
  <c r="Q1537" i="26"/>
  <c r="Q1538" i="26"/>
  <c r="Q1539" i="26"/>
  <c r="Q1540" i="26"/>
  <c r="Q1541" i="26"/>
  <c r="Q1542" i="26"/>
  <c r="Q1543" i="26"/>
  <c r="Q1544" i="26"/>
  <c r="Q1545" i="26"/>
  <c r="Q1546" i="26"/>
  <c r="Q1547" i="26"/>
  <c r="Q1548" i="26"/>
  <c r="Q1549" i="26"/>
  <c r="Q1550" i="26"/>
  <c r="Q1551" i="26"/>
  <c r="Q1552" i="26"/>
  <c r="Q1553" i="26"/>
  <c r="Q1554" i="26"/>
  <c r="Q1555" i="26"/>
  <c r="Q1556" i="26"/>
  <c r="Q1557" i="26"/>
  <c r="Q1558" i="26"/>
  <c r="Q1559" i="26"/>
  <c r="Q1560" i="26"/>
  <c r="Q1561" i="26"/>
  <c r="Q1562" i="26"/>
  <c r="Q1563" i="26"/>
  <c r="Q1564" i="26"/>
  <c r="Q1565" i="26"/>
  <c r="Q1566" i="26"/>
  <c r="Q1567" i="26"/>
  <c r="Q1568" i="26"/>
  <c r="Q1569" i="26"/>
  <c r="Q1570" i="26"/>
  <c r="Q1571" i="26"/>
  <c r="Q1572" i="26"/>
  <c r="Q1573" i="26"/>
  <c r="Q1574" i="26"/>
  <c r="Q1575" i="26"/>
  <c r="Q1576" i="26"/>
  <c r="Q1577" i="26"/>
  <c r="Q1578" i="26"/>
  <c r="Q1579" i="26"/>
  <c r="Q1580" i="26"/>
  <c r="Q1581" i="26"/>
  <c r="Q1582" i="26"/>
  <c r="Q1583" i="26"/>
  <c r="Q1584" i="26"/>
  <c r="Q1585" i="26"/>
  <c r="Q1586" i="26"/>
  <c r="Q1587" i="26"/>
  <c r="Q1588" i="26"/>
  <c r="Q1589" i="26"/>
  <c r="Q1590" i="26"/>
  <c r="Q1591" i="26"/>
  <c r="Q1592" i="26"/>
  <c r="Q1593" i="26"/>
  <c r="Q1594" i="26"/>
  <c r="Q1595" i="26"/>
  <c r="Q1596" i="26"/>
  <c r="Q1597" i="26"/>
  <c r="Q1598" i="26"/>
  <c r="Q1599" i="26"/>
  <c r="Q1600" i="26"/>
  <c r="Q1601" i="26"/>
  <c r="Q1602" i="26"/>
  <c r="Q1603" i="26"/>
  <c r="Q1604" i="26"/>
  <c r="Q1605" i="26"/>
  <c r="Q1606" i="26"/>
  <c r="Q1607" i="26"/>
  <c r="Q1608" i="26"/>
  <c r="Q1609" i="26"/>
  <c r="Q1610" i="26"/>
  <c r="Q1611" i="26"/>
  <c r="Q1612" i="26"/>
  <c r="Q1613" i="26"/>
  <c r="Q1614" i="26"/>
  <c r="Q1615" i="26"/>
  <c r="Q1616" i="26"/>
  <c r="Q1617" i="26"/>
  <c r="Q1618" i="26"/>
  <c r="Q1619" i="26"/>
  <c r="Q1620" i="26"/>
  <c r="Q1621" i="26"/>
  <c r="Q1622" i="26"/>
  <c r="Q1623" i="26"/>
  <c r="Q1624" i="26"/>
  <c r="Q1625" i="26"/>
  <c r="Q1626" i="26"/>
  <c r="Q1627" i="26"/>
  <c r="Q1628" i="26"/>
  <c r="Q1629" i="26"/>
  <c r="Q1630" i="26"/>
  <c r="Q1631" i="26"/>
  <c r="Q1632" i="26"/>
  <c r="Q1633" i="26"/>
  <c r="Q1634" i="26"/>
  <c r="Q1635" i="26"/>
  <c r="Q1636" i="26"/>
  <c r="Q1637" i="26"/>
  <c r="Q1638" i="26"/>
  <c r="Q1639" i="26"/>
  <c r="Q1640" i="26"/>
  <c r="Q1641" i="26"/>
  <c r="Q1642" i="26"/>
  <c r="Q1643" i="26"/>
  <c r="Q1644" i="26"/>
  <c r="Q1645" i="26"/>
  <c r="Q1646" i="26"/>
  <c r="Q1647" i="26"/>
  <c r="Q1648" i="26"/>
  <c r="Q1649" i="26"/>
  <c r="Q1650" i="26"/>
  <c r="Q1651" i="26"/>
  <c r="Q1652" i="26"/>
  <c r="Q1653" i="26"/>
  <c r="Q1654" i="26"/>
  <c r="Q1655" i="26"/>
  <c r="Q1656" i="26"/>
  <c r="Q1657" i="26"/>
  <c r="Q1658" i="26"/>
  <c r="Q1659" i="26"/>
  <c r="Q1660" i="26"/>
  <c r="Q1661" i="26"/>
  <c r="Q1662" i="26"/>
  <c r="Q1663" i="26"/>
  <c r="Q1664" i="26"/>
  <c r="Q1665" i="26"/>
  <c r="Q1666" i="26"/>
  <c r="Q1667" i="26"/>
  <c r="Q1668" i="26"/>
  <c r="Q1669" i="26"/>
  <c r="Q1670" i="26"/>
  <c r="Q1671" i="26"/>
  <c r="Q1672" i="26"/>
  <c r="Q1673" i="26"/>
  <c r="Q1674" i="26"/>
  <c r="Q1675" i="26"/>
  <c r="Q1676" i="26"/>
  <c r="Q1677" i="26"/>
  <c r="Q1678" i="26"/>
  <c r="Q1679" i="26"/>
  <c r="Q1680" i="26"/>
  <c r="Q1681" i="26"/>
  <c r="Q1682" i="26"/>
  <c r="Q1683" i="26"/>
  <c r="Q1684" i="26"/>
  <c r="Q1685" i="26"/>
  <c r="Q1686" i="26"/>
  <c r="Q1687" i="26"/>
  <c r="Q1688" i="26"/>
  <c r="Q1689" i="26"/>
  <c r="Q1690" i="26"/>
  <c r="Q1691" i="26"/>
  <c r="Q1692" i="26"/>
  <c r="Q1693" i="26"/>
  <c r="Q1694" i="26"/>
  <c r="Q1695" i="26"/>
  <c r="Q1696" i="26"/>
  <c r="Q1697" i="26"/>
  <c r="Q1698" i="26"/>
  <c r="Q1699" i="26"/>
  <c r="Q1700" i="26"/>
  <c r="Q1701" i="26"/>
  <c r="Q1702" i="26"/>
  <c r="Q1703" i="26"/>
  <c r="Q1704" i="26"/>
  <c r="Q1705" i="26"/>
  <c r="Q1706" i="26"/>
  <c r="Q1707" i="26"/>
  <c r="Q1708" i="26"/>
  <c r="Q1709" i="26"/>
  <c r="Q1710" i="26"/>
  <c r="Q1711" i="26"/>
  <c r="Q1712" i="26"/>
  <c r="Q1713" i="26"/>
  <c r="Q1714" i="26"/>
  <c r="Q1715" i="26"/>
  <c r="Q1716" i="26"/>
  <c r="Q1717" i="26"/>
  <c r="Q1718" i="26"/>
  <c r="Q1719" i="26"/>
  <c r="Q1720" i="26"/>
  <c r="Q1721" i="26"/>
  <c r="Q1722" i="26"/>
  <c r="Q1723" i="26"/>
  <c r="Q1724" i="26"/>
  <c r="Q1725" i="26"/>
  <c r="Q1726" i="26"/>
  <c r="Q1727" i="26"/>
  <c r="Q1728" i="26"/>
  <c r="Q1729" i="26"/>
  <c r="Q1730" i="26"/>
  <c r="Q1731" i="26"/>
  <c r="Q1732" i="26"/>
  <c r="Q1733" i="26"/>
  <c r="Q1734" i="26"/>
  <c r="Q1735" i="26"/>
  <c r="Q1736" i="26"/>
  <c r="Q1737" i="26"/>
  <c r="Q1738" i="26"/>
  <c r="Q1739" i="26"/>
  <c r="Q1740" i="26"/>
  <c r="Q1741" i="26"/>
  <c r="Q1742" i="26"/>
  <c r="Q1743" i="26"/>
  <c r="Q1744" i="26"/>
  <c r="Q1745" i="26"/>
  <c r="Q1746" i="26"/>
  <c r="Q1747" i="26"/>
  <c r="Q1748" i="26"/>
  <c r="Q1749" i="26"/>
  <c r="Q1750" i="26"/>
  <c r="Q1751" i="26"/>
  <c r="Q1752" i="26"/>
  <c r="Q1753" i="26"/>
  <c r="Q1754" i="26"/>
  <c r="Q1755" i="26"/>
  <c r="Q1756" i="26"/>
  <c r="Q1757" i="26"/>
  <c r="Q1758" i="26"/>
  <c r="Q1759" i="26"/>
  <c r="Q1760" i="26"/>
  <c r="Q1761" i="26"/>
  <c r="Q1762" i="26"/>
  <c r="Q1763" i="26"/>
  <c r="Q1764" i="26"/>
  <c r="Q1765" i="26"/>
  <c r="Q1766" i="26"/>
  <c r="Q1767" i="26"/>
  <c r="Q1768" i="26"/>
  <c r="Q1769" i="26"/>
  <c r="Q1770" i="26"/>
  <c r="Q1771" i="26"/>
  <c r="Q1772" i="26"/>
  <c r="Q1773" i="26"/>
  <c r="Q1774" i="26"/>
  <c r="Q1775" i="26"/>
  <c r="Q1776" i="26"/>
  <c r="Q1777" i="26"/>
  <c r="Q1778" i="26"/>
  <c r="Q1779" i="26"/>
  <c r="Q1780" i="26"/>
  <c r="Q1781" i="26"/>
  <c r="Q1782" i="26"/>
  <c r="Q1783" i="26"/>
  <c r="Q1784" i="26"/>
  <c r="Q1785" i="26"/>
  <c r="Q1786" i="26"/>
  <c r="Q1787" i="26"/>
  <c r="Q1788" i="26"/>
  <c r="Q1789" i="26"/>
  <c r="Q1790" i="26"/>
  <c r="Q1791" i="26"/>
  <c r="Q1792" i="26"/>
  <c r="Q1793" i="26"/>
  <c r="Q1794" i="26"/>
  <c r="Q1795" i="26"/>
  <c r="Q1796" i="26"/>
  <c r="Q1797" i="26"/>
  <c r="Q1798" i="26"/>
  <c r="Q1799" i="26"/>
  <c r="Q1800" i="26"/>
  <c r="Q1801" i="26"/>
  <c r="Q1802" i="26"/>
  <c r="Q1803" i="26"/>
  <c r="Q1804" i="26"/>
  <c r="Q1805" i="26"/>
  <c r="Q1806" i="26"/>
  <c r="Q1807" i="26"/>
  <c r="Q1808" i="26"/>
  <c r="Q1809" i="26"/>
  <c r="Q1810" i="26"/>
  <c r="Q1811" i="26"/>
  <c r="Q1812" i="26"/>
  <c r="Q1813" i="26"/>
  <c r="Q1814" i="26"/>
  <c r="Q1815" i="26"/>
  <c r="Q1816" i="26"/>
  <c r="Q1817" i="26"/>
  <c r="Q1818" i="26"/>
  <c r="Q1819" i="26"/>
  <c r="Q1820" i="26"/>
  <c r="Q1821" i="26"/>
  <c r="Q1822" i="26"/>
  <c r="Q1823" i="26"/>
  <c r="Q1824" i="26"/>
  <c r="Q1825" i="26"/>
  <c r="Q1826" i="26"/>
  <c r="Q1827" i="26"/>
  <c r="Q1828" i="26"/>
  <c r="Q1829" i="26"/>
  <c r="Q1830" i="26"/>
  <c r="Q1831" i="26"/>
  <c r="Q1832" i="26"/>
  <c r="Q1833" i="26"/>
  <c r="Q1834" i="26"/>
  <c r="Q1835" i="26"/>
  <c r="Q1836" i="26"/>
  <c r="Q1837" i="26"/>
  <c r="Q1838" i="26"/>
  <c r="Q1839" i="26"/>
  <c r="Q1840" i="26"/>
  <c r="Q1841" i="26"/>
  <c r="Q1842" i="26"/>
  <c r="Q1843" i="26"/>
  <c r="Q1844" i="26"/>
  <c r="Q1845" i="26"/>
  <c r="Q1846" i="26"/>
  <c r="Q1847" i="26"/>
  <c r="Q1848" i="26"/>
  <c r="Q1849" i="26"/>
  <c r="Q1850" i="26"/>
  <c r="Q1851" i="26"/>
  <c r="Q1852" i="26"/>
  <c r="Q1853" i="26"/>
  <c r="Q1854" i="26"/>
  <c r="Q1855" i="26"/>
  <c r="Q1856" i="26"/>
  <c r="Q1857" i="26"/>
  <c r="Q1858" i="26"/>
  <c r="Q1859" i="26"/>
  <c r="Q1860" i="26"/>
  <c r="Q1861" i="26"/>
  <c r="Q1862" i="26"/>
  <c r="Q1863" i="26"/>
  <c r="Q1864" i="26"/>
  <c r="Q1865" i="26"/>
  <c r="Q1866" i="26"/>
  <c r="Q1867" i="26"/>
  <c r="Q1868" i="26"/>
  <c r="Q1869" i="26"/>
  <c r="Q1870" i="26"/>
  <c r="Q1871" i="26"/>
  <c r="Q1872" i="26"/>
  <c r="Q1873" i="26"/>
  <c r="Q1874" i="26"/>
  <c r="Q1875" i="26"/>
  <c r="Q1876" i="26"/>
  <c r="Q1877" i="26"/>
  <c r="Q1878" i="26"/>
  <c r="Q1879" i="26"/>
  <c r="Q1880" i="26"/>
  <c r="Q1881" i="26"/>
  <c r="Q1882" i="26"/>
  <c r="Q1883" i="26"/>
  <c r="Q1884" i="26"/>
  <c r="Q1885" i="26"/>
  <c r="Q1886" i="26"/>
  <c r="Q1887" i="26"/>
  <c r="Q1888" i="26"/>
  <c r="Q1889" i="26"/>
  <c r="Q1890" i="26"/>
  <c r="Q1891" i="26"/>
  <c r="Q1892" i="26"/>
  <c r="Q1893" i="26"/>
  <c r="Q1894" i="26"/>
  <c r="Q1895" i="26"/>
  <c r="Q1896" i="26"/>
  <c r="Q1897" i="26"/>
  <c r="Q1898" i="26"/>
  <c r="Q1899" i="26"/>
  <c r="Q1900" i="26"/>
  <c r="Q1901" i="26"/>
  <c r="Q1902" i="26"/>
  <c r="Q1903" i="26"/>
  <c r="Q1904" i="26"/>
  <c r="Q1905" i="26"/>
  <c r="Q1906" i="26"/>
  <c r="Q1907" i="26"/>
  <c r="Q1908" i="26"/>
  <c r="Q1909" i="26"/>
  <c r="Q1910" i="26"/>
  <c r="Q1911" i="26"/>
  <c r="Q1912" i="26"/>
  <c r="Q1913" i="26"/>
  <c r="Q1914" i="26"/>
  <c r="Q1915" i="26"/>
  <c r="Q1916" i="26"/>
  <c r="Q1917" i="26"/>
  <c r="Q1918" i="26"/>
  <c r="Q1919" i="26"/>
  <c r="Q1920" i="26"/>
  <c r="Q1921" i="26"/>
  <c r="Q1922" i="26"/>
  <c r="Q1923" i="26"/>
  <c r="Q1924" i="26"/>
  <c r="Q1925" i="26"/>
  <c r="Q1926" i="26"/>
  <c r="Q1927" i="26"/>
  <c r="Q1928" i="26"/>
  <c r="Q1929" i="26"/>
  <c r="Q1930" i="26"/>
  <c r="Q1931" i="26"/>
  <c r="Q1932" i="26"/>
  <c r="Q1933" i="26"/>
  <c r="Q1934" i="26"/>
  <c r="Q1935" i="26"/>
  <c r="Q1936" i="26"/>
  <c r="Q1937" i="26"/>
  <c r="Q1938" i="26"/>
  <c r="Q1939" i="26"/>
  <c r="Q1940" i="26"/>
  <c r="Q1941" i="26"/>
  <c r="Q1942" i="26"/>
  <c r="Q1943" i="26"/>
  <c r="Q1944" i="26"/>
  <c r="Q1945" i="26"/>
  <c r="Q1946" i="26"/>
  <c r="Q1947" i="26"/>
  <c r="Q1948" i="26"/>
  <c r="Q1949" i="26"/>
  <c r="Q1950" i="26"/>
  <c r="Q1951" i="26"/>
  <c r="Q1952" i="26"/>
  <c r="Q1953" i="26"/>
  <c r="Q1954" i="26"/>
  <c r="Q1955" i="26"/>
  <c r="Q1956" i="26"/>
  <c r="Q1957" i="26"/>
  <c r="Q1958" i="26"/>
  <c r="Q1959" i="26"/>
  <c r="Q1960" i="26"/>
  <c r="Q1961" i="26"/>
  <c r="Q1962" i="26"/>
  <c r="Q1963" i="26"/>
  <c r="Q1964" i="26"/>
  <c r="Q1965" i="26"/>
  <c r="Q1966" i="26"/>
  <c r="Q1967" i="26"/>
  <c r="Q1968" i="26"/>
  <c r="Q1969" i="26"/>
  <c r="Q1970" i="26"/>
  <c r="Q1971" i="26"/>
  <c r="Q1972" i="26"/>
  <c r="Q1973" i="26"/>
  <c r="Q1974" i="26"/>
  <c r="Q1975" i="26"/>
  <c r="Q1976" i="26"/>
  <c r="Q1977" i="26"/>
  <c r="Q1978" i="26"/>
  <c r="Q1979" i="26"/>
  <c r="Q1980" i="26"/>
  <c r="Q1981" i="26"/>
  <c r="Q1982" i="26"/>
  <c r="Q1983" i="26"/>
  <c r="Q1984" i="26"/>
  <c r="Q1985" i="26"/>
  <c r="Q1986" i="26"/>
  <c r="Q1987" i="26"/>
  <c r="Q1988" i="26"/>
  <c r="Q1989" i="26"/>
  <c r="Q1990" i="26"/>
  <c r="Q1991" i="26"/>
  <c r="Q1992" i="26"/>
  <c r="Q1993" i="26"/>
  <c r="Q1994" i="26"/>
  <c r="Q1995" i="26"/>
  <c r="Q1996" i="26"/>
  <c r="Q1997" i="26"/>
  <c r="Q2" i="26"/>
  <c r="P6" i="26"/>
  <c r="P7" i="26"/>
  <c r="P8" i="26"/>
  <c r="P9" i="26"/>
  <c r="P10" i="26"/>
  <c r="P11" i="26"/>
  <c r="P12" i="26"/>
  <c r="P13" i="26"/>
  <c r="P14" i="26"/>
  <c r="P15" i="26"/>
  <c r="P16" i="26"/>
  <c r="P17" i="26"/>
  <c r="P18" i="26"/>
  <c r="P19" i="26"/>
  <c r="P20" i="26"/>
  <c r="P21" i="26"/>
  <c r="P22" i="26"/>
  <c r="P23" i="26"/>
  <c r="P24" i="26"/>
  <c r="P25" i="26"/>
  <c r="P26" i="26"/>
  <c r="P27" i="26"/>
  <c r="P28" i="26"/>
  <c r="P29" i="26"/>
  <c r="P30" i="26"/>
  <c r="P31" i="26"/>
  <c r="P32" i="26"/>
  <c r="P33" i="26"/>
  <c r="P34" i="26"/>
  <c r="P35" i="26"/>
  <c r="P36" i="26"/>
  <c r="P37" i="26"/>
  <c r="P38" i="26"/>
  <c r="P39" i="26"/>
  <c r="P40" i="26"/>
  <c r="P41" i="26"/>
  <c r="P42" i="26"/>
  <c r="P43" i="26"/>
  <c r="P44" i="26"/>
  <c r="P45" i="26"/>
  <c r="P46" i="26"/>
  <c r="P47" i="26"/>
  <c r="P48" i="26"/>
  <c r="P49" i="26"/>
  <c r="P50" i="26"/>
  <c r="P51" i="26"/>
  <c r="P52" i="26"/>
  <c r="P53" i="26"/>
  <c r="P54" i="26"/>
  <c r="P55" i="26"/>
  <c r="P56" i="26"/>
  <c r="P57" i="26"/>
  <c r="P58" i="26"/>
  <c r="P59" i="26"/>
  <c r="P60" i="26"/>
  <c r="P61" i="26"/>
  <c r="P62" i="26"/>
  <c r="P63" i="26"/>
  <c r="P64" i="26"/>
  <c r="P65" i="26"/>
  <c r="P66" i="26"/>
  <c r="P67" i="26"/>
  <c r="P68" i="26"/>
  <c r="P69" i="26"/>
  <c r="P70" i="26"/>
  <c r="P71" i="26"/>
  <c r="P72" i="26"/>
  <c r="P73" i="26"/>
  <c r="P74" i="26"/>
  <c r="P75" i="26"/>
  <c r="P76" i="26"/>
  <c r="P77" i="26"/>
  <c r="P78" i="26"/>
  <c r="P79" i="26"/>
  <c r="P80" i="26"/>
  <c r="P81" i="26"/>
  <c r="P82" i="26"/>
  <c r="P83" i="26"/>
  <c r="P84" i="26"/>
  <c r="P85" i="26"/>
  <c r="P86" i="26"/>
  <c r="P87" i="26"/>
  <c r="P88" i="26"/>
  <c r="P89" i="26"/>
  <c r="P90" i="26"/>
  <c r="P91" i="26"/>
  <c r="P92" i="26"/>
  <c r="P93" i="26"/>
  <c r="P94" i="26"/>
  <c r="P95" i="26"/>
  <c r="P96" i="26"/>
  <c r="P97" i="26"/>
  <c r="P98" i="26"/>
  <c r="P99" i="26"/>
  <c r="P100" i="26"/>
  <c r="P101" i="26"/>
  <c r="P102" i="26"/>
  <c r="P103" i="26"/>
  <c r="P104" i="26"/>
  <c r="P105" i="26"/>
  <c r="P106" i="26"/>
  <c r="P107" i="26"/>
  <c r="P108" i="26"/>
  <c r="P109" i="26"/>
  <c r="P110" i="26"/>
  <c r="P111" i="26"/>
  <c r="P112" i="26"/>
  <c r="P113" i="26"/>
  <c r="P114" i="26"/>
  <c r="P115" i="26"/>
  <c r="P116" i="26"/>
  <c r="P117" i="26"/>
  <c r="P118" i="26"/>
  <c r="P119" i="26"/>
  <c r="P120" i="26"/>
  <c r="P121" i="26"/>
  <c r="P122" i="26"/>
  <c r="P123" i="26"/>
  <c r="P124" i="26"/>
  <c r="P125" i="26"/>
  <c r="P126" i="26"/>
  <c r="P127" i="26"/>
  <c r="P128" i="26"/>
  <c r="P129" i="26"/>
  <c r="P130" i="26"/>
  <c r="P131" i="26"/>
  <c r="P132" i="26"/>
  <c r="P133" i="26"/>
  <c r="P134" i="26"/>
  <c r="P135" i="26"/>
  <c r="P136" i="26"/>
  <c r="P137" i="26"/>
  <c r="P138" i="26"/>
  <c r="P139" i="26"/>
  <c r="P140" i="26"/>
  <c r="P141" i="26"/>
  <c r="P142" i="26"/>
  <c r="P143" i="26"/>
  <c r="P144" i="26"/>
  <c r="P145" i="26"/>
  <c r="P146" i="26"/>
  <c r="P147" i="26"/>
  <c r="P148" i="26"/>
  <c r="P149" i="26"/>
  <c r="P150" i="26"/>
  <c r="P151" i="26"/>
  <c r="P152" i="26"/>
  <c r="P153" i="26"/>
  <c r="P154" i="26"/>
  <c r="P155" i="26"/>
  <c r="P156" i="26"/>
  <c r="P157" i="26"/>
  <c r="P158" i="26"/>
  <c r="P159" i="26"/>
  <c r="P160" i="26"/>
  <c r="P161" i="26"/>
  <c r="P162" i="26"/>
  <c r="P163" i="26"/>
  <c r="P164" i="26"/>
  <c r="P165" i="26"/>
  <c r="P166" i="26"/>
  <c r="P167" i="26"/>
  <c r="P168" i="26"/>
  <c r="P169" i="26"/>
  <c r="P170" i="26"/>
  <c r="P171" i="26"/>
  <c r="P172" i="26"/>
  <c r="P173" i="26"/>
  <c r="P174" i="26"/>
  <c r="P175" i="26"/>
  <c r="P176" i="26"/>
  <c r="P177" i="26"/>
  <c r="P178" i="26"/>
  <c r="P179" i="26"/>
  <c r="P180" i="26"/>
  <c r="P181" i="26"/>
  <c r="P182" i="26"/>
  <c r="P183" i="26"/>
  <c r="P184" i="26"/>
  <c r="P185" i="26"/>
  <c r="P186" i="26"/>
  <c r="P187" i="26"/>
  <c r="P188" i="26"/>
  <c r="P189" i="26"/>
  <c r="P190" i="26"/>
  <c r="P191" i="26"/>
  <c r="P192" i="26"/>
  <c r="P193" i="26"/>
  <c r="P194" i="26"/>
  <c r="P195" i="26"/>
  <c r="P196" i="26"/>
  <c r="P197" i="26"/>
  <c r="P198" i="26"/>
  <c r="P199" i="26"/>
  <c r="P200" i="26"/>
  <c r="P201" i="26"/>
  <c r="P202" i="26"/>
  <c r="P203" i="26"/>
  <c r="P204" i="26"/>
  <c r="P205" i="26"/>
  <c r="P206" i="26"/>
  <c r="P207" i="26"/>
  <c r="P208" i="26"/>
  <c r="P209" i="26"/>
  <c r="P210" i="26"/>
  <c r="P211" i="26"/>
  <c r="P212" i="26"/>
  <c r="P213" i="26"/>
  <c r="P214" i="26"/>
  <c r="P215" i="26"/>
  <c r="P216" i="26"/>
  <c r="P217" i="26"/>
  <c r="P218" i="26"/>
  <c r="P219" i="26"/>
  <c r="P220" i="26"/>
  <c r="P221" i="26"/>
  <c r="P222" i="26"/>
  <c r="P223" i="26"/>
  <c r="P224" i="26"/>
  <c r="P225" i="26"/>
  <c r="P226" i="26"/>
  <c r="P227" i="26"/>
  <c r="P228" i="26"/>
  <c r="P229" i="26"/>
  <c r="P230" i="26"/>
  <c r="P231" i="26"/>
  <c r="P232" i="26"/>
  <c r="P233" i="26"/>
  <c r="P234" i="26"/>
  <c r="P235" i="26"/>
  <c r="P236" i="26"/>
  <c r="P237" i="26"/>
  <c r="P238" i="26"/>
  <c r="P239" i="26"/>
  <c r="P240" i="26"/>
  <c r="P241" i="26"/>
  <c r="P242" i="26"/>
  <c r="P243" i="26"/>
  <c r="P244" i="26"/>
  <c r="P245" i="26"/>
  <c r="P246" i="26"/>
  <c r="P247" i="26"/>
  <c r="P248" i="26"/>
  <c r="P249" i="26"/>
  <c r="P250" i="26"/>
  <c r="P251" i="26"/>
  <c r="P252" i="26"/>
  <c r="P253" i="26"/>
  <c r="P254" i="26"/>
  <c r="P255" i="26"/>
  <c r="P256" i="26"/>
  <c r="P257" i="26"/>
  <c r="P258" i="26"/>
  <c r="P259" i="26"/>
  <c r="P260" i="26"/>
  <c r="P261" i="26"/>
  <c r="P262" i="26"/>
  <c r="P263" i="26"/>
  <c r="P264" i="26"/>
  <c r="P265" i="26"/>
  <c r="P266" i="26"/>
  <c r="P267" i="26"/>
  <c r="P268" i="26"/>
  <c r="P269" i="26"/>
  <c r="P270" i="26"/>
  <c r="P271" i="26"/>
  <c r="P272" i="26"/>
  <c r="P273" i="26"/>
  <c r="P274" i="26"/>
  <c r="P275" i="26"/>
  <c r="P276" i="26"/>
  <c r="P277" i="26"/>
  <c r="P278" i="26"/>
  <c r="P279" i="26"/>
  <c r="P280" i="26"/>
  <c r="P281" i="26"/>
  <c r="P282" i="26"/>
  <c r="P283" i="26"/>
  <c r="P284" i="26"/>
  <c r="P285" i="26"/>
  <c r="P286" i="26"/>
  <c r="P287" i="26"/>
  <c r="P288" i="26"/>
  <c r="P289" i="26"/>
  <c r="P290" i="26"/>
  <c r="P291" i="26"/>
  <c r="P292" i="26"/>
  <c r="P293" i="26"/>
  <c r="P294" i="26"/>
  <c r="P295" i="26"/>
  <c r="P296" i="26"/>
  <c r="P297" i="26"/>
  <c r="P298" i="26"/>
  <c r="P299" i="26"/>
  <c r="P300" i="26"/>
  <c r="P301" i="26"/>
  <c r="P302" i="26"/>
  <c r="P303" i="26"/>
  <c r="P304" i="26"/>
  <c r="P305" i="26"/>
  <c r="P306" i="26"/>
  <c r="P307" i="26"/>
  <c r="P308" i="26"/>
  <c r="P309" i="26"/>
  <c r="P310" i="26"/>
  <c r="P311" i="26"/>
  <c r="P312" i="26"/>
  <c r="P313" i="26"/>
  <c r="P314" i="26"/>
  <c r="P315" i="26"/>
  <c r="P316" i="26"/>
  <c r="P317" i="26"/>
  <c r="P318" i="26"/>
  <c r="P319" i="26"/>
  <c r="P320" i="26"/>
  <c r="P321" i="26"/>
  <c r="P322" i="26"/>
  <c r="P323" i="26"/>
  <c r="P324" i="26"/>
  <c r="P325" i="26"/>
  <c r="P326" i="26"/>
  <c r="P327" i="26"/>
  <c r="P328" i="26"/>
  <c r="P329" i="26"/>
  <c r="P330" i="26"/>
  <c r="P331" i="26"/>
  <c r="P332" i="26"/>
  <c r="P333" i="26"/>
  <c r="P334" i="26"/>
  <c r="P335" i="26"/>
  <c r="P336" i="26"/>
  <c r="P337" i="26"/>
  <c r="P338" i="26"/>
  <c r="P339" i="26"/>
  <c r="P340" i="26"/>
  <c r="P341" i="26"/>
  <c r="P342" i="26"/>
  <c r="P343" i="26"/>
  <c r="P344" i="26"/>
  <c r="P345" i="26"/>
  <c r="P346" i="26"/>
  <c r="P347" i="26"/>
  <c r="P348" i="26"/>
  <c r="P349" i="26"/>
  <c r="P350" i="26"/>
  <c r="P351" i="26"/>
  <c r="P352" i="26"/>
  <c r="P353" i="26"/>
  <c r="P354" i="26"/>
  <c r="P355" i="26"/>
  <c r="P356" i="26"/>
  <c r="P357" i="26"/>
  <c r="P358" i="26"/>
  <c r="P359" i="26"/>
  <c r="P360" i="26"/>
  <c r="P361" i="26"/>
  <c r="P362" i="26"/>
  <c r="P363" i="26"/>
  <c r="P364" i="26"/>
  <c r="P365" i="26"/>
  <c r="P366" i="26"/>
  <c r="P367" i="26"/>
  <c r="P368" i="26"/>
  <c r="P369" i="26"/>
  <c r="P370" i="26"/>
  <c r="P371" i="26"/>
  <c r="P372" i="26"/>
  <c r="P373" i="26"/>
  <c r="P374" i="26"/>
  <c r="P375" i="26"/>
  <c r="P376" i="26"/>
  <c r="P377" i="26"/>
  <c r="P378" i="26"/>
  <c r="P379" i="26"/>
  <c r="P380" i="26"/>
  <c r="P381" i="26"/>
  <c r="P382" i="26"/>
  <c r="P383" i="26"/>
  <c r="P384" i="26"/>
  <c r="P385" i="26"/>
  <c r="P386" i="26"/>
  <c r="P387" i="26"/>
  <c r="P388" i="26"/>
  <c r="P389" i="26"/>
  <c r="P390" i="26"/>
  <c r="P391" i="26"/>
  <c r="P392" i="26"/>
  <c r="P393" i="26"/>
  <c r="P394" i="26"/>
  <c r="P395" i="26"/>
  <c r="P396" i="26"/>
  <c r="P397" i="26"/>
  <c r="P398" i="26"/>
  <c r="P399" i="26"/>
  <c r="P400" i="26"/>
  <c r="P401" i="26"/>
  <c r="P402" i="26"/>
  <c r="P403" i="26"/>
  <c r="P404" i="26"/>
  <c r="P405" i="26"/>
  <c r="P406" i="26"/>
  <c r="P407" i="26"/>
  <c r="P408" i="26"/>
  <c r="P409" i="26"/>
  <c r="P410" i="26"/>
  <c r="P411" i="26"/>
  <c r="P412" i="26"/>
  <c r="P413" i="26"/>
  <c r="P414" i="26"/>
  <c r="P415" i="26"/>
  <c r="P416" i="26"/>
  <c r="P417" i="26"/>
  <c r="P418" i="26"/>
  <c r="P419" i="26"/>
  <c r="P420" i="26"/>
  <c r="P421" i="26"/>
  <c r="P422" i="26"/>
  <c r="P423" i="26"/>
  <c r="P424" i="26"/>
  <c r="P425" i="26"/>
  <c r="P426" i="26"/>
  <c r="P427" i="26"/>
  <c r="P428" i="26"/>
  <c r="P429" i="26"/>
  <c r="P430" i="26"/>
  <c r="P431" i="26"/>
  <c r="P432" i="26"/>
  <c r="P433" i="26"/>
  <c r="P434" i="26"/>
  <c r="P435" i="26"/>
  <c r="P436" i="26"/>
  <c r="P437" i="26"/>
  <c r="P438" i="26"/>
  <c r="P439" i="26"/>
  <c r="P440" i="26"/>
  <c r="P441" i="26"/>
  <c r="P442" i="26"/>
  <c r="P443" i="26"/>
  <c r="P444" i="26"/>
  <c r="P445" i="26"/>
  <c r="P446" i="26"/>
  <c r="P447" i="26"/>
  <c r="P448" i="26"/>
  <c r="P449" i="26"/>
  <c r="P450" i="26"/>
  <c r="P451" i="26"/>
  <c r="P452" i="26"/>
  <c r="P453" i="26"/>
  <c r="P454" i="26"/>
  <c r="P455" i="26"/>
  <c r="P456" i="26"/>
  <c r="P457" i="26"/>
  <c r="P458" i="26"/>
  <c r="P459" i="26"/>
  <c r="P460" i="26"/>
  <c r="P461" i="26"/>
  <c r="P462" i="26"/>
  <c r="P463" i="26"/>
  <c r="P464" i="26"/>
  <c r="P465" i="26"/>
  <c r="P466" i="26"/>
  <c r="P467" i="26"/>
  <c r="P468" i="26"/>
  <c r="P469" i="26"/>
  <c r="P470" i="26"/>
  <c r="P471" i="26"/>
  <c r="P472" i="26"/>
  <c r="P473" i="26"/>
  <c r="P474" i="26"/>
  <c r="P475" i="26"/>
  <c r="P476" i="26"/>
  <c r="P477" i="26"/>
  <c r="P478" i="26"/>
  <c r="P479" i="26"/>
  <c r="P480" i="26"/>
  <c r="P481" i="26"/>
  <c r="P482" i="26"/>
  <c r="P483" i="26"/>
  <c r="P484" i="26"/>
  <c r="P485" i="26"/>
  <c r="P486" i="26"/>
  <c r="P487" i="26"/>
  <c r="P488" i="26"/>
  <c r="P489" i="26"/>
  <c r="P490" i="26"/>
  <c r="P491" i="26"/>
  <c r="P492" i="26"/>
  <c r="P493" i="26"/>
  <c r="P494" i="26"/>
  <c r="P495" i="26"/>
  <c r="P496" i="26"/>
  <c r="P497" i="26"/>
  <c r="P498" i="26"/>
  <c r="P499" i="26"/>
  <c r="P500" i="26"/>
  <c r="P501" i="26"/>
  <c r="P502" i="26"/>
  <c r="P503" i="26"/>
  <c r="P504" i="26"/>
  <c r="P505" i="26"/>
  <c r="P506" i="26"/>
  <c r="P507" i="26"/>
  <c r="P508" i="26"/>
  <c r="P509" i="26"/>
  <c r="P510" i="26"/>
  <c r="P511" i="26"/>
  <c r="P512" i="26"/>
  <c r="P513" i="26"/>
  <c r="P514" i="26"/>
  <c r="P515" i="26"/>
  <c r="P516" i="26"/>
  <c r="P517" i="26"/>
  <c r="P518" i="26"/>
  <c r="P519" i="26"/>
  <c r="P520" i="26"/>
  <c r="P521" i="26"/>
  <c r="P522" i="26"/>
  <c r="P523" i="26"/>
  <c r="P524" i="26"/>
  <c r="P525" i="26"/>
  <c r="P526" i="26"/>
  <c r="P527" i="26"/>
  <c r="P528" i="26"/>
  <c r="P529" i="26"/>
  <c r="P530" i="26"/>
  <c r="P531" i="26"/>
  <c r="P532" i="26"/>
  <c r="P533" i="26"/>
  <c r="P534" i="26"/>
  <c r="P535" i="26"/>
  <c r="P536" i="26"/>
  <c r="P537" i="26"/>
  <c r="P538" i="26"/>
  <c r="P539" i="26"/>
  <c r="P540" i="26"/>
  <c r="P541" i="26"/>
  <c r="P542" i="26"/>
  <c r="P543" i="26"/>
  <c r="P544" i="26"/>
  <c r="P545" i="26"/>
  <c r="P546" i="26"/>
  <c r="P547" i="26"/>
  <c r="P548" i="26"/>
  <c r="P549" i="26"/>
  <c r="P550" i="26"/>
  <c r="P551" i="26"/>
  <c r="P552" i="26"/>
  <c r="P553" i="26"/>
  <c r="P554" i="26"/>
  <c r="P555" i="26"/>
  <c r="P556" i="26"/>
  <c r="P557" i="26"/>
  <c r="P558" i="26"/>
  <c r="P559" i="26"/>
  <c r="P560" i="26"/>
  <c r="P561" i="26"/>
  <c r="P562" i="26"/>
  <c r="P563" i="26"/>
  <c r="P564" i="26"/>
  <c r="P565" i="26"/>
  <c r="P566" i="26"/>
  <c r="P567" i="26"/>
  <c r="P568" i="26"/>
  <c r="P569" i="26"/>
  <c r="P570" i="26"/>
  <c r="P571" i="26"/>
  <c r="P572" i="26"/>
  <c r="P573" i="26"/>
  <c r="P574" i="26"/>
  <c r="P575" i="26"/>
  <c r="P576" i="26"/>
  <c r="P577" i="26"/>
  <c r="P578" i="26"/>
  <c r="P579" i="26"/>
  <c r="P580" i="26"/>
  <c r="P581" i="26"/>
  <c r="P582" i="26"/>
  <c r="P583" i="26"/>
  <c r="P584" i="26"/>
  <c r="P585" i="26"/>
  <c r="P586" i="26"/>
  <c r="P587" i="26"/>
  <c r="P588" i="26"/>
  <c r="P589" i="26"/>
  <c r="P590" i="26"/>
  <c r="P591" i="26"/>
  <c r="P592" i="26"/>
  <c r="P593" i="26"/>
  <c r="P594" i="26"/>
  <c r="P595" i="26"/>
  <c r="P596" i="26"/>
  <c r="P597" i="26"/>
  <c r="P598" i="26"/>
  <c r="P599" i="26"/>
  <c r="P600" i="26"/>
  <c r="P601" i="26"/>
  <c r="P602" i="26"/>
  <c r="P603" i="26"/>
  <c r="P604" i="26"/>
  <c r="P605" i="26"/>
  <c r="P606" i="26"/>
  <c r="P607" i="26"/>
  <c r="P608" i="26"/>
  <c r="P609" i="26"/>
  <c r="P610" i="26"/>
  <c r="P611" i="26"/>
  <c r="P612" i="26"/>
  <c r="P613" i="26"/>
  <c r="P614" i="26"/>
  <c r="P615" i="26"/>
  <c r="P616" i="26"/>
  <c r="P617" i="26"/>
  <c r="P618" i="26"/>
  <c r="P619" i="26"/>
  <c r="P620" i="26"/>
  <c r="P621" i="26"/>
  <c r="P622" i="26"/>
  <c r="P623" i="26"/>
  <c r="P624" i="26"/>
  <c r="P625" i="26"/>
  <c r="P626" i="26"/>
  <c r="P627" i="26"/>
  <c r="P628" i="26"/>
  <c r="P629" i="26"/>
  <c r="P630" i="26"/>
  <c r="P631" i="26"/>
  <c r="P632" i="26"/>
  <c r="P633" i="26"/>
  <c r="P634" i="26"/>
  <c r="P635" i="26"/>
  <c r="P636" i="26"/>
  <c r="P637" i="26"/>
  <c r="P638" i="26"/>
  <c r="P639" i="26"/>
  <c r="P640" i="26"/>
  <c r="P641" i="26"/>
  <c r="P642" i="26"/>
  <c r="P643" i="26"/>
  <c r="P644" i="26"/>
  <c r="P645" i="26"/>
  <c r="P646" i="26"/>
  <c r="P647" i="26"/>
  <c r="P648" i="26"/>
  <c r="P649" i="26"/>
  <c r="P650" i="26"/>
  <c r="P651" i="26"/>
  <c r="P652" i="26"/>
  <c r="P653" i="26"/>
  <c r="P654" i="26"/>
  <c r="P655" i="26"/>
  <c r="P656" i="26"/>
  <c r="P657" i="26"/>
  <c r="P658" i="26"/>
  <c r="P659" i="26"/>
  <c r="P660" i="26"/>
  <c r="P661" i="26"/>
  <c r="P662" i="26"/>
  <c r="P663" i="26"/>
  <c r="P664" i="26"/>
  <c r="P665" i="26"/>
  <c r="P666" i="26"/>
  <c r="P667" i="26"/>
  <c r="P668" i="26"/>
  <c r="P669" i="26"/>
  <c r="P670" i="26"/>
  <c r="P671" i="26"/>
  <c r="P672" i="26"/>
  <c r="P673" i="26"/>
  <c r="P674" i="26"/>
  <c r="P675" i="26"/>
  <c r="P676" i="26"/>
  <c r="P677" i="26"/>
  <c r="P678" i="26"/>
  <c r="P679" i="26"/>
  <c r="P680" i="26"/>
  <c r="P681" i="26"/>
  <c r="P682" i="26"/>
  <c r="P683" i="26"/>
  <c r="P684" i="26"/>
  <c r="P685" i="26"/>
  <c r="P686" i="26"/>
  <c r="P687" i="26"/>
  <c r="P688" i="26"/>
  <c r="P689" i="26"/>
  <c r="P690" i="26"/>
  <c r="P691" i="26"/>
  <c r="P692" i="26"/>
  <c r="P693" i="26"/>
  <c r="P694" i="26"/>
  <c r="P695" i="26"/>
  <c r="P696" i="26"/>
  <c r="P697" i="26"/>
  <c r="P698" i="26"/>
  <c r="P699" i="26"/>
  <c r="P700" i="26"/>
  <c r="P701" i="26"/>
  <c r="P702" i="26"/>
  <c r="P703" i="26"/>
  <c r="P704" i="26"/>
  <c r="P705" i="26"/>
  <c r="P706" i="26"/>
  <c r="P707" i="26"/>
  <c r="P708" i="26"/>
  <c r="P709" i="26"/>
  <c r="P710" i="26"/>
  <c r="P711" i="26"/>
  <c r="P712" i="26"/>
  <c r="P713" i="26"/>
  <c r="P714" i="26"/>
  <c r="P715" i="26"/>
  <c r="P716" i="26"/>
  <c r="P717" i="26"/>
  <c r="P718" i="26"/>
  <c r="P719" i="26"/>
  <c r="P720" i="26"/>
  <c r="P721" i="26"/>
  <c r="P722" i="26"/>
  <c r="P723" i="26"/>
  <c r="P724" i="26"/>
  <c r="P725" i="26"/>
  <c r="P726" i="26"/>
  <c r="P727" i="26"/>
  <c r="P728" i="26"/>
  <c r="P729" i="26"/>
  <c r="P730" i="26"/>
  <c r="P731" i="26"/>
  <c r="P732" i="26"/>
  <c r="P733" i="26"/>
  <c r="P734" i="26"/>
  <c r="P735" i="26"/>
  <c r="P736" i="26"/>
  <c r="P737" i="26"/>
  <c r="P738" i="26"/>
  <c r="P739" i="26"/>
  <c r="P740" i="26"/>
  <c r="P741" i="26"/>
  <c r="P742" i="26"/>
  <c r="P743" i="26"/>
  <c r="P744" i="26"/>
  <c r="P745" i="26"/>
  <c r="P746" i="26"/>
  <c r="P747" i="26"/>
  <c r="P748" i="26"/>
  <c r="P749" i="26"/>
  <c r="P750" i="26"/>
  <c r="P751" i="26"/>
  <c r="P752" i="26"/>
  <c r="P753" i="26"/>
  <c r="P754" i="26"/>
  <c r="P755" i="26"/>
  <c r="P756" i="26"/>
  <c r="P757" i="26"/>
  <c r="P758" i="26"/>
  <c r="P759" i="26"/>
  <c r="P760" i="26"/>
  <c r="P761" i="26"/>
  <c r="P762" i="26"/>
  <c r="P763" i="26"/>
  <c r="P764" i="26"/>
  <c r="P765" i="26"/>
  <c r="P766" i="26"/>
  <c r="P767" i="26"/>
  <c r="P768" i="26"/>
  <c r="P769" i="26"/>
  <c r="P770" i="26"/>
  <c r="P771" i="26"/>
  <c r="P772" i="26"/>
  <c r="P773" i="26"/>
  <c r="P774" i="26"/>
  <c r="P775" i="26"/>
  <c r="P776" i="26"/>
  <c r="P777" i="26"/>
  <c r="P778" i="26"/>
  <c r="P779" i="26"/>
  <c r="P780" i="26"/>
  <c r="P781" i="26"/>
  <c r="P782" i="26"/>
  <c r="P783" i="26"/>
  <c r="P784" i="26"/>
  <c r="P785" i="26"/>
  <c r="P786" i="26"/>
  <c r="P787" i="26"/>
  <c r="P788" i="26"/>
  <c r="P789" i="26"/>
  <c r="P790" i="26"/>
  <c r="P791" i="26"/>
  <c r="P792" i="26"/>
  <c r="P793" i="26"/>
  <c r="P794" i="26"/>
  <c r="P795" i="26"/>
  <c r="P796" i="26"/>
  <c r="P797" i="26"/>
  <c r="P798" i="26"/>
  <c r="P799" i="26"/>
  <c r="P800" i="26"/>
  <c r="P801" i="26"/>
  <c r="P802" i="26"/>
  <c r="P803" i="26"/>
  <c r="P804" i="26"/>
  <c r="P805" i="26"/>
  <c r="P806" i="26"/>
  <c r="P807" i="26"/>
  <c r="P808" i="26"/>
  <c r="P809" i="26"/>
  <c r="P810" i="26"/>
  <c r="P811" i="26"/>
  <c r="P812" i="26"/>
  <c r="P813" i="26"/>
  <c r="P814" i="26"/>
  <c r="P815" i="26"/>
  <c r="P816" i="26"/>
  <c r="P817" i="26"/>
  <c r="P818" i="26"/>
  <c r="P819" i="26"/>
  <c r="P820" i="26"/>
  <c r="P821" i="26"/>
  <c r="P822" i="26"/>
  <c r="P823" i="26"/>
  <c r="P824" i="26"/>
  <c r="P825" i="26"/>
  <c r="P826" i="26"/>
  <c r="P827" i="26"/>
  <c r="P828" i="26"/>
  <c r="P829" i="26"/>
  <c r="P830" i="26"/>
  <c r="P831" i="26"/>
  <c r="P832" i="26"/>
  <c r="P833" i="26"/>
  <c r="P834" i="26"/>
  <c r="P835" i="26"/>
  <c r="P836" i="26"/>
  <c r="P837" i="26"/>
  <c r="P838" i="26"/>
  <c r="P839" i="26"/>
  <c r="P840" i="26"/>
  <c r="P841" i="26"/>
  <c r="P842" i="26"/>
  <c r="P843" i="26"/>
  <c r="P844" i="26"/>
  <c r="P845" i="26"/>
  <c r="P846" i="26"/>
  <c r="P847" i="26"/>
  <c r="P848" i="26"/>
  <c r="P849" i="26"/>
  <c r="P850" i="26"/>
  <c r="P851" i="26"/>
  <c r="P852" i="26"/>
  <c r="P853" i="26"/>
  <c r="P854" i="26"/>
  <c r="P855" i="26"/>
  <c r="P856" i="26"/>
  <c r="P857" i="26"/>
  <c r="P858" i="26"/>
  <c r="P859" i="26"/>
  <c r="P860" i="26"/>
  <c r="P861" i="26"/>
  <c r="P862" i="26"/>
  <c r="P863" i="26"/>
  <c r="P864" i="26"/>
  <c r="P865" i="26"/>
  <c r="P866" i="26"/>
  <c r="P867" i="26"/>
  <c r="P868" i="26"/>
  <c r="P869" i="26"/>
  <c r="P870" i="26"/>
  <c r="P871" i="26"/>
  <c r="P872" i="26"/>
  <c r="P873" i="26"/>
  <c r="P874" i="26"/>
  <c r="P875" i="26"/>
  <c r="P876" i="26"/>
  <c r="P877" i="26"/>
  <c r="P878" i="26"/>
  <c r="P879" i="26"/>
  <c r="P880" i="26"/>
  <c r="P881" i="26"/>
  <c r="P882" i="26"/>
  <c r="P883" i="26"/>
  <c r="P884" i="26"/>
  <c r="P885" i="26"/>
  <c r="P886" i="26"/>
  <c r="P887" i="26"/>
  <c r="P888" i="26"/>
  <c r="P889" i="26"/>
  <c r="P890" i="26"/>
  <c r="P891" i="26"/>
  <c r="P892" i="26"/>
  <c r="P893" i="26"/>
  <c r="P894" i="26"/>
  <c r="P895" i="26"/>
  <c r="P896" i="26"/>
  <c r="P897" i="26"/>
  <c r="P898" i="26"/>
  <c r="P899" i="26"/>
  <c r="P900" i="26"/>
  <c r="P901" i="26"/>
  <c r="P902" i="26"/>
  <c r="P903" i="26"/>
  <c r="P904" i="26"/>
  <c r="P905" i="26"/>
  <c r="P906" i="26"/>
  <c r="P907" i="26"/>
  <c r="P908" i="26"/>
  <c r="P909" i="26"/>
  <c r="P910" i="26"/>
  <c r="P911" i="26"/>
  <c r="P912" i="26"/>
  <c r="P913" i="26"/>
  <c r="P914" i="26"/>
  <c r="P915" i="26"/>
  <c r="P916" i="26"/>
  <c r="P917" i="26"/>
  <c r="P918" i="26"/>
  <c r="P919" i="26"/>
  <c r="P920" i="26"/>
  <c r="P921" i="26"/>
  <c r="P922" i="26"/>
  <c r="P923" i="26"/>
  <c r="P924" i="26"/>
  <c r="P925" i="26"/>
  <c r="P926" i="26"/>
  <c r="P927" i="26"/>
  <c r="P928" i="26"/>
  <c r="P929" i="26"/>
  <c r="P930" i="26"/>
  <c r="P931" i="26"/>
  <c r="P932" i="26"/>
  <c r="P933" i="26"/>
  <c r="P934" i="26"/>
  <c r="P935" i="26"/>
  <c r="P936" i="26"/>
  <c r="P937" i="26"/>
  <c r="P938" i="26"/>
  <c r="P939" i="26"/>
  <c r="P940" i="26"/>
  <c r="P941" i="26"/>
  <c r="P942" i="26"/>
  <c r="P943" i="26"/>
  <c r="P944" i="26"/>
  <c r="P945" i="26"/>
  <c r="P946" i="26"/>
  <c r="P947" i="26"/>
  <c r="P948" i="26"/>
  <c r="P949" i="26"/>
  <c r="P950" i="26"/>
  <c r="P951" i="26"/>
  <c r="P952" i="26"/>
  <c r="P953" i="26"/>
  <c r="P954" i="26"/>
  <c r="P955" i="26"/>
  <c r="P956" i="26"/>
  <c r="P957" i="26"/>
  <c r="P958" i="26"/>
  <c r="P959" i="26"/>
  <c r="P960" i="26"/>
  <c r="P961" i="26"/>
  <c r="P962" i="26"/>
  <c r="P963" i="26"/>
  <c r="P964" i="26"/>
  <c r="P965" i="26"/>
  <c r="P966" i="26"/>
  <c r="P967" i="26"/>
  <c r="P968" i="26"/>
  <c r="P969" i="26"/>
  <c r="P970" i="26"/>
  <c r="P971" i="26"/>
  <c r="P972" i="26"/>
  <c r="P973" i="26"/>
  <c r="P974" i="26"/>
  <c r="P975" i="26"/>
  <c r="P976" i="26"/>
  <c r="P977" i="26"/>
  <c r="P978" i="26"/>
  <c r="P979" i="26"/>
  <c r="P980" i="26"/>
  <c r="P981" i="26"/>
  <c r="P982" i="26"/>
  <c r="P983" i="26"/>
  <c r="P984" i="26"/>
  <c r="P985" i="26"/>
  <c r="P986" i="26"/>
  <c r="P987" i="26"/>
  <c r="P988" i="26"/>
  <c r="P989" i="26"/>
  <c r="P990" i="26"/>
  <c r="P991" i="26"/>
  <c r="P992" i="26"/>
  <c r="P993" i="26"/>
  <c r="P994" i="26"/>
  <c r="P995" i="26"/>
  <c r="P996" i="26"/>
  <c r="P997" i="26"/>
  <c r="P998" i="26"/>
  <c r="P999" i="26"/>
  <c r="P1000" i="26"/>
  <c r="P1001" i="26"/>
  <c r="P1002" i="26"/>
  <c r="P1003" i="26"/>
  <c r="P1004" i="26"/>
  <c r="P1005" i="26"/>
  <c r="P1006" i="26"/>
  <c r="P1007" i="26"/>
  <c r="P1008" i="26"/>
  <c r="P1009" i="26"/>
  <c r="P1010" i="26"/>
  <c r="P1011" i="26"/>
  <c r="P1012" i="26"/>
  <c r="P1013" i="26"/>
  <c r="P1014" i="26"/>
  <c r="P1015" i="26"/>
  <c r="P1016" i="26"/>
  <c r="P1017" i="26"/>
  <c r="P1018" i="26"/>
  <c r="P1019" i="26"/>
  <c r="P1020" i="26"/>
  <c r="P1021" i="26"/>
  <c r="P1022" i="26"/>
  <c r="P1023" i="26"/>
  <c r="P1024" i="26"/>
  <c r="P1025" i="26"/>
  <c r="P1026" i="26"/>
  <c r="P1027" i="26"/>
  <c r="P1028" i="26"/>
  <c r="P1029" i="26"/>
  <c r="P1030" i="26"/>
  <c r="P1031" i="26"/>
  <c r="P1032" i="26"/>
  <c r="P1033" i="26"/>
  <c r="P1034" i="26"/>
  <c r="P1035" i="26"/>
  <c r="P1036" i="26"/>
  <c r="P1037" i="26"/>
  <c r="P1038" i="26"/>
  <c r="P1039" i="26"/>
  <c r="P1040" i="26"/>
  <c r="P1041" i="26"/>
  <c r="P1042" i="26"/>
  <c r="P1043" i="26"/>
  <c r="P1044" i="26"/>
  <c r="P1045" i="26"/>
  <c r="P1046" i="26"/>
  <c r="P1047" i="26"/>
  <c r="P1048" i="26"/>
  <c r="P1049" i="26"/>
  <c r="P1050" i="26"/>
  <c r="P1051" i="26"/>
  <c r="P1052" i="26"/>
  <c r="P1053" i="26"/>
  <c r="P1054" i="26"/>
  <c r="P1055" i="26"/>
  <c r="P1056" i="26"/>
  <c r="P1057" i="26"/>
  <c r="P1058" i="26"/>
  <c r="P1059" i="26"/>
  <c r="P1060" i="26"/>
  <c r="P1061" i="26"/>
  <c r="P1062" i="26"/>
  <c r="P1063" i="26"/>
  <c r="P1064" i="26"/>
  <c r="P1065" i="26"/>
  <c r="P1066" i="26"/>
  <c r="P1067" i="26"/>
  <c r="P1068" i="26"/>
  <c r="P1069" i="26"/>
  <c r="P1070" i="26"/>
  <c r="P1071" i="26"/>
  <c r="P1072" i="26"/>
  <c r="P1073" i="26"/>
  <c r="P1074" i="26"/>
  <c r="P1075" i="26"/>
  <c r="P1076" i="26"/>
  <c r="P1077" i="26"/>
  <c r="P1078" i="26"/>
  <c r="P1079" i="26"/>
  <c r="P1080" i="26"/>
  <c r="P1081" i="26"/>
  <c r="P1082" i="26"/>
  <c r="P1083" i="26"/>
  <c r="P1084" i="26"/>
  <c r="P1085" i="26"/>
  <c r="P1086" i="26"/>
  <c r="P1087" i="26"/>
  <c r="P1088" i="26"/>
  <c r="P1089" i="26"/>
  <c r="P1090" i="26"/>
  <c r="P1091" i="26"/>
  <c r="P1092" i="26"/>
  <c r="P1093" i="26"/>
  <c r="P1094" i="26"/>
  <c r="P1095" i="26"/>
  <c r="P1096" i="26"/>
  <c r="P1097" i="26"/>
  <c r="P1098" i="26"/>
  <c r="P1099" i="26"/>
  <c r="P1100" i="26"/>
  <c r="P1101" i="26"/>
  <c r="P1102" i="26"/>
  <c r="P1103" i="26"/>
  <c r="P1104" i="26"/>
  <c r="P1105" i="26"/>
  <c r="P1106" i="26"/>
  <c r="P1107" i="26"/>
  <c r="P1108" i="26"/>
  <c r="P1109" i="26"/>
  <c r="P1110" i="26"/>
  <c r="P1111" i="26"/>
  <c r="P1112" i="26"/>
  <c r="P1113" i="26"/>
  <c r="P1114" i="26"/>
  <c r="P1115" i="26"/>
  <c r="P1116" i="26"/>
  <c r="P1117" i="26"/>
  <c r="P1118" i="26"/>
  <c r="P1119" i="26"/>
  <c r="P1120" i="26"/>
  <c r="P1121" i="26"/>
  <c r="P1122" i="26"/>
  <c r="P1123" i="26"/>
  <c r="P1124" i="26"/>
  <c r="P1125" i="26"/>
  <c r="P1126" i="26"/>
  <c r="P1127" i="26"/>
  <c r="P1128" i="26"/>
  <c r="P1129" i="26"/>
  <c r="P1130" i="26"/>
  <c r="P1131" i="26"/>
  <c r="P1132" i="26"/>
  <c r="P1133" i="26"/>
  <c r="P1134" i="26"/>
  <c r="P1135" i="26"/>
  <c r="P1136" i="26"/>
  <c r="P1137" i="26"/>
  <c r="P1138" i="26"/>
  <c r="P1139" i="26"/>
  <c r="P1140" i="26"/>
  <c r="P1141" i="26"/>
  <c r="P1142" i="26"/>
  <c r="P1143" i="26"/>
  <c r="P1144" i="26"/>
  <c r="P1145" i="26"/>
  <c r="P1146" i="26"/>
  <c r="P1147" i="26"/>
  <c r="P1148" i="26"/>
  <c r="P1149" i="26"/>
  <c r="P1150" i="26"/>
  <c r="P1151" i="26"/>
  <c r="P1152" i="26"/>
  <c r="P1153" i="26"/>
  <c r="P1154" i="26"/>
  <c r="P1155" i="26"/>
  <c r="P1156" i="26"/>
  <c r="P1157" i="26"/>
  <c r="P1158" i="26"/>
  <c r="P1159" i="26"/>
  <c r="P1160" i="26"/>
  <c r="P1161" i="26"/>
  <c r="P1162" i="26"/>
  <c r="P1163" i="26"/>
  <c r="P1164" i="26"/>
  <c r="P1165" i="26"/>
  <c r="P1166" i="26"/>
  <c r="P1167" i="26"/>
  <c r="P1168" i="26"/>
  <c r="P1169" i="26"/>
  <c r="P1170" i="26"/>
  <c r="P1171" i="26"/>
  <c r="P1172" i="26"/>
  <c r="P1173" i="26"/>
  <c r="P1174" i="26"/>
  <c r="P1175" i="26"/>
  <c r="P1176" i="26"/>
  <c r="P1177" i="26"/>
  <c r="P1178" i="26"/>
  <c r="P1179" i="26"/>
  <c r="P1180" i="26"/>
  <c r="P1181" i="26"/>
  <c r="P1182" i="26"/>
  <c r="P1183" i="26"/>
  <c r="P1184" i="26"/>
  <c r="P1185" i="26"/>
  <c r="P1186" i="26"/>
  <c r="P1187" i="26"/>
  <c r="P1188" i="26"/>
  <c r="P1189" i="26"/>
  <c r="P1190" i="26"/>
  <c r="P1191" i="26"/>
  <c r="P1192" i="26"/>
  <c r="P1193" i="26"/>
  <c r="P1194" i="26"/>
  <c r="P1195" i="26"/>
  <c r="P1196" i="26"/>
  <c r="P1197" i="26"/>
  <c r="P1198" i="26"/>
  <c r="P1199" i="26"/>
  <c r="P1200" i="26"/>
  <c r="P1201" i="26"/>
  <c r="P1202" i="26"/>
  <c r="P1203" i="26"/>
  <c r="P1204" i="26"/>
  <c r="P1205" i="26"/>
  <c r="P1206" i="26"/>
  <c r="P1207" i="26"/>
  <c r="P1208" i="26"/>
  <c r="P1209" i="26"/>
  <c r="P1210" i="26"/>
  <c r="P1211" i="26"/>
  <c r="P1212" i="26"/>
  <c r="P1213" i="26"/>
  <c r="P1214" i="26"/>
  <c r="P1215" i="26"/>
  <c r="P1216" i="26"/>
  <c r="P1217" i="26"/>
  <c r="P1218" i="26"/>
  <c r="P1219" i="26"/>
  <c r="P1220" i="26"/>
  <c r="P1221" i="26"/>
  <c r="P1222" i="26"/>
  <c r="P1223" i="26"/>
  <c r="P1224" i="26"/>
  <c r="P1225" i="26"/>
  <c r="P1226" i="26"/>
  <c r="P1227" i="26"/>
  <c r="P1228" i="26"/>
  <c r="P1229" i="26"/>
  <c r="P1230" i="26"/>
  <c r="P1231" i="26"/>
  <c r="P1232" i="26"/>
  <c r="P1233" i="26"/>
  <c r="P1234" i="26"/>
  <c r="P1235" i="26"/>
  <c r="P1236" i="26"/>
  <c r="P1237" i="26"/>
  <c r="P1238" i="26"/>
  <c r="P1239" i="26"/>
  <c r="P1240" i="26"/>
  <c r="P1241" i="26"/>
  <c r="P1242" i="26"/>
  <c r="P1243" i="26"/>
  <c r="P1244" i="26"/>
  <c r="P1245" i="26"/>
  <c r="P1246" i="26"/>
  <c r="P1247" i="26"/>
  <c r="P1248" i="26"/>
  <c r="P1249" i="26"/>
  <c r="P1250" i="26"/>
  <c r="P1251" i="26"/>
  <c r="P1252" i="26"/>
  <c r="P1253" i="26"/>
  <c r="P1254" i="26"/>
  <c r="P1255" i="26"/>
  <c r="P1256" i="26"/>
  <c r="P1257" i="26"/>
  <c r="P1258" i="26"/>
  <c r="P1259" i="26"/>
  <c r="P1260" i="26"/>
  <c r="P1261" i="26"/>
  <c r="P1262" i="26"/>
  <c r="P1263" i="26"/>
  <c r="P1264" i="26"/>
  <c r="P1265" i="26"/>
  <c r="P1266" i="26"/>
  <c r="P1267" i="26"/>
  <c r="P1268" i="26"/>
  <c r="P1269" i="26"/>
  <c r="P1270" i="26"/>
  <c r="P1271" i="26"/>
  <c r="P1272" i="26"/>
  <c r="P1273" i="26"/>
  <c r="P1274" i="26"/>
  <c r="P1275" i="26"/>
  <c r="P1276" i="26"/>
  <c r="P1277" i="26"/>
  <c r="P1278" i="26"/>
  <c r="P1279" i="26"/>
  <c r="P1280" i="26"/>
  <c r="P1281" i="26"/>
  <c r="P1282" i="26"/>
  <c r="P1283" i="26"/>
  <c r="P1284" i="26"/>
  <c r="P1285" i="26"/>
  <c r="P1286" i="26"/>
  <c r="P1287" i="26"/>
  <c r="P1288" i="26"/>
  <c r="P1289" i="26"/>
  <c r="P1290" i="26"/>
  <c r="P1291" i="26"/>
  <c r="P1292" i="26"/>
  <c r="P1293" i="26"/>
  <c r="P1294" i="26"/>
  <c r="P1295" i="26"/>
  <c r="P1296" i="26"/>
  <c r="P1297" i="26"/>
  <c r="P1298" i="26"/>
  <c r="P1299" i="26"/>
  <c r="P1300" i="26"/>
  <c r="P1301" i="26"/>
  <c r="P1302" i="26"/>
  <c r="P1303" i="26"/>
  <c r="P1304" i="26"/>
  <c r="P1305" i="26"/>
  <c r="P1306" i="26"/>
  <c r="P1307" i="26"/>
  <c r="P1308" i="26"/>
  <c r="P1309" i="26"/>
  <c r="P1310" i="26"/>
  <c r="P1311" i="26"/>
  <c r="P1312" i="26"/>
  <c r="P1313" i="26"/>
  <c r="P1314" i="26"/>
  <c r="P1315" i="26"/>
  <c r="P1316" i="26"/>
  <c r="P1317" i="26"/>
  <c r="P1318" i="26"/>
  <c r="P1319" i="26"/>
  <c r="P1320" i="26"/>
  <c r="P1321" i="26"/>
  <c r="P1322" i="26"/>
  <c r="P1323" i="26"/>
  <c r="P1324" i="26"/>
  <c r="P1325" i="26"/>
  <c r="P1326" i="26"/>
  <c r="P1327" i="26"/>
  <c r="P1328" i="26"/>
  <c r="P1329" i="26"/>
  <c r="P1330" i="26"/>
  <c r="P1331" i="26"/>
  <c r="P1332" i="26"/>
  <c r="P1333" i="26"/>
  <c r="P1334" i="26"/>
  <c r="P1335" i="26"/>
  <c r="P1336" i="26"/>
  <c r="P1337" i="26"/>
  <c r="P1338" i="26"/>
  <c r="P1339" i="26"/>
  <c r="P1340" i="26"/>
  <c r="P1341" i="26"/>
  <c r="P1342" i="26"/>
  <c r="P1343" i="26"/>
  <c r="P1344" i="26"/>
  <c r="P1345" i="26"/>
  <c r="P1346" i="26"/>
  <c r="P1347" i="26"/>
  <c r="P1348" i="26"/>
  <c r="P1349" i="26"/>
  <c r="P1350" i="26"/>
  <c r="P1351" i="26"/>
  <c r="P1352" i="26"/>
  <c r="P1353" i="26"/>
  <c r="P1354" i="26"/>
  <c r="P1355" i="26"/>
  <c r="P1356" i="26"/>
  <c r="P1357" i="26"/>
  <c r="P1358" i="26"/>
  <c r="P1359" i="26"/>
  <c r="P1360" i="26"/>
  <c r="P1361" i="26"/>
  <c r="P1362" i="26"/>
  <c r="P1363" i="26"/>
  <c r="P1364" i="26"/>
  <c r="P1365" i="26"/>
  <c r="P1366" i="26"/>
  <c r="P1367" i="26"/>
  <c r="P1368" i="26"/>
  <c r="P1369" i="26"/>
  <c r="P1370" i="26"/>
  <c r="P1371" i="26"/>
  <c r="P1372" i="26"/>
  <c r="P1373" i="26"/>
  <c r="P1374" i="26"/>
  <c r="P1375" i="26"/>
  <c r="P1376" i="26"/>
  <c r="P1377" i="26"/>
  <c r="P1378" i="26"/>
  <c r="P1379" i="26"/>
  <c r="P1380" i="26"/>
  <c r="P1381" i="26"/>
  <c r="P1382" i="26"/>
  <c r="P1383" i="26"/>
  <c r="P1384" i="26"/>
  <c r="P1385" i="26"/>
  <c r="P1386" i="26"/>
  <c r="P1387" i="26"/>
  <c r="P1388" i="26"/>
  <c r="P1389" i="26"/>
  <c r="P1390" i="26"/>
  <c r="P1391" i="26"/>
  <c r="P1392" i="26"/>
  <c r="P1393" i="26"/>
  <c r="P1394" i="26"/>
  <c r="P1395" i="26"/>
  <c r="P1396" i="26"/>
  <c r="P1397" i="26"/>
  <c r="P1398" i="26"/>
  <c r="P1399" i="26"/>
  <c r="P1400" i="26"/>
  <c r="P1401" i="26"/>
  <c r="P1402" i="26"/>
  <c r="P1403" i="26"/>
  <c r="P1404" i="26"/>
  <c r="P1405" i="26"/>
  <c r="P1406" i="26"/>
  <c r="P1407" i="26"/>
  <c r="P1408" i="26"/>
  <c r="P1409" i="26"/>
  <c r="P1410" i="26"/>
  <c r="P1411" i="26"/>
  <c r="P1412" i="26"/>
  <c r="P1413" i="26"/>
  <c r="P1414" i="26"/>
  <c r="P1415" i="26"/>
  <c r="P1416" i="26"/>
  <c r="P1417" i="26"/>
  <c r="P1418" i="26"/>
  <c r="P1419" i="26"/>
  <c r="P1420" i="26"/>
  <c r="P1421" i="26"/>
  <c r="P1422" i="26"/>
  <c r="P1423" i="26"/>
  <c r="P1424" i="26"/>
  <c r="P1425" i="26"/>
  <c r="P1426" i="26"/>
  <c r="P1427" i="26"/>
  <c r="P1428" i="26"/>
  <c r="P1429" i="26"/>
  <c r="P1430" i="26"/>
  <c r="P1431" i="26"/>
  <c r="P1432" i="26"/>
  <c r="P1433" i="26"/>
  <c r="P1434" i="26"/>
  <c r="P1435" i="26"/>
  <c r="P1436" i="26"/>
  <c r="P1437" i="26"/>
  <c r="P1438" i="26"/>
  <c r="P1439" i="26"/>
  <c r="P1440" i="26"/>
  <c r="P1441" i="26"/>
  <c r="P1442" i="26"/>
  <c r="P1443" i="26"/>
  <c r="P1444" i="26"/>
  <c r="P1445" i="26"/>
  <c r="P1446" i="26"/>
  <c r="P1447" i="26"/>
  <c r="P1448" i="26"/>
  <c r="P1449" i="26"/>
  <c r="P1450" i="26"/>
  <c r="P1451" i="26"/>
  <c r="P1452" i="26"/>
  <c r="P1453" i="26"/>
  <c r="P1454" i="26"/>
  <c r="P1455" i="26"/>
  <c r="P1456" i="26"/>
  <c r="P1457" i="26"/>
  <c r="P1458" i="26"/>
  <c r="P1459" i="26"/>
  <c r="P1460" i="26"/>
  <c r="P1461" i="26"/>
  <c r="P1462" i="26"/>
  <c r="P1463" i="26"/>
  <c r="P1464" i="26"/>
  <c r="P1465" i="26"/>
  <c r="P1466" i="26"/>
  <c r="P1467" i="26"/>
  <c r="P1468" i="26"/>
  <c r="P1469" i="26"/>
  <c r="P1470" i="26"/>
  <c r="P1471" i="26"/>
  <c r="P1472" i="26"/>
  <c r="P1473" i="26"/>
  <c r="P1474" i="26"/>
  <c r="P1475" i="26"/>
  <c r="P1476" i="26"/>
  <c r="P1477" i="26"/>
  <c r="P1478" i="26"/>
  <c r="P1479" i="26"/>
  <c r="P1480" i="26"/>
  <c r="P1481" i="26"/>
  <c r="P1482" i="26"/>
  <c r="P1483" i="26"/>
  <c r="P1484" i="26"/>
  <c r="P1485" i="26"/>
  <c r="P1486" i="26"/>
  <c r="P1487" i="26"/>
  <c r="P1488" i="26"/>
  <c r="P1489" i="26"/>
  <c r="P1490" i="26"/>
  <c r="P1491" i="26"/>
  <c r="P1492" i="26"/>
  <c r="P1493" i="26"/>
  <c r="P1494" i="26"/>
  <c r="P1495" i="26"/>
  <c r="P1496" i="26"/>
  <c r="P1497" i="26"/>
  <c r="P1498" i="26"/>
  <c r="P1499" i="26"/>
  <c r="P1500" i="26"/>
  <c r="P1501" i="26"/>
  <c r="P1502" i="26"/>
  <c r="P1503" i="26"/>
  <c r="P1504" i="26"/>
  <c r="P1505" i="26"/>
  <c r="P1506" i="26"/>
  <c r="P1507" i="26"/>
  <c r="P1508" i="26"/>
  <c r="P1509" i="26"/>
  <c r="P1510" i="26"/>
  <c r="P1511" i="26"/>
  <c r="P1512" i="26"/>
  <c r="P1513" i="26"/>
  <c r="P1514" i="26"/>
  <c r="P1515" i="26"/>
  <c r="P1516" i="26"/>
  <c r="P1517" i="26"/>
  <c r="P1518" i="26"/>
  <c r="P1519" i="26"/>
  <c r="P1520" i="26"/>
  <c r="P1521" i="26"/>
  <c r="P1522" i="26"/>
  <c r="P1523" i="26"/>
  <c r="P1524" i="26"/>
  <c r="P1525" i="26"/>
  <c r="P1526" i="26"/>
  <c r="P1527" i="26"/>
  <c r="P1528" i="26"/>
  <c r="P1529" i="26"/>
  <c r="P1530" i="26"/>
  <c r="P1531" i="26"/>
  <c r="P1532" i="26"/>
  <c r="P1533" i="26"/>
  <c r="P1534" i="26"/>
  <c r="P1535" i="26"/>
  <c r="P1536" i="26"/>
  <c r="P1537" i="26"/>
  <c r="P1538" i="26"/>
  <c r="P1539" i="26"/>
  <c r="P1540" i="26"/>
  <c r="P1541" i="26"/>
  <c r="P1542" i="26"/>
  <c r="P1543" i="26"/>
  <c r="P1544" i="26"/>
  <c r="P1545" i="26"/>
  <c r="P1546" i="26"/>
  <c r="P1547" i="26"/>
  <c r="P1548" i="26"/>
  <c r="P1549" i="26"/>
  <c r="P1550" i="26"/>
  <c r="P1551" i="26"/>
  <c r="P1552" i="26"/>
  <c r="P1553" i="26"/>
  <c r="P1554" i="26"/>
  <c r="P1555" i="26"/>
  <c r="P1556" i="26"/>
  <c r="P1557" i="26"/>
  <c r="P1558" i="26"/>
  <c r="P1559" i="26"/>
  <c r="P1560" i="26"/>
  <c r="P1561" i="26"/>
  <c r="P1562" i="26"/>
  <c r="P1563" i="26"/>
  <c r="P1564" i="26"/>
  <c r="P1565" i="26"/>
  <c r="P1566" i="26"/>
  <c r="P1567" i="26"/>
  <c r="P1568" i="26"/>
  <c r="P1569" i="26"/>
  <c r="P1570" i="26"/>
  <c r="P1571" i="26"/>
  <c r="P1572" i="26"/>
  <c r="P1573" i="26"/>
  <c r="P1574" i="26"/>
  <c r="P1575" i="26"/>
  <c r="P1576" i="26"/>
  <c r="P1577" i="26"/>
  <c r="P1578" i="26"/>
  <c r="P1579" i="26"/>
  <c r="P1580" i="26"/>
  <c r="P1581" i="26"/>
  <c r="P1582" i="26"/>
  <c r="P1583" i="26"/>
  <c r="P1584" i="26"/>
  <c r="P1585" i="26"/>
  <c r="P1586" i="26"/>
  <c r="P1587" i="26"/>
  <c r="P1588" i="26"/>
  <c r="P1589" i="26"/>
  <c r="P1590" i="26"/>
  <c r="P1591" i="26"/>
  <c r="P1592" i="26"/>
  <c r="P1593" i="26"/>
  <c r="P1594" i="26"/>
  <c r="P1595" i="26"/>
  <c r="P1596" i="26"/>
  <c r="P1597" i="26"/>
  <c r="P1598" i="26"/>
  <c r="P1599" i="26"/>
  <c r="P1600" i="26"/>
  <c r="P1601" i="26"/>
  <c r="P1602" i="26"/>
  <c r="P1603" i="26"/>
  <c r="P1604" i="26"/>
  <c r="P1605" i="26"/>
  <c r="P1606" i="26"/>
  <c r="P1607" i="26"/>
  <c r="P1608" i="26"/>
  <c r="P1609" i="26"/>
  <c r="P1610" i="26"/>
  <c r="P1611" i="26"/>
  <c r="P1612" i="26"/>
  <c r="P1613" i="26"/>
  <c r="P1614" i="26"/>
  <c r="P1615" i="26"/>
  <c r="P1616" i="26"/>
  <c r="P1617" i="26"/>
  <c r="P1618" i="26"/>
  <c r="P1619" i="26"/>
  <c r="P1620" i="26"/>
  <c r="P1621" i="26"/>
  <c r="P1622" i="26"/>
  <c r="P1623" i="26"/>
  <c r="P1624" i="26"/>
  <c r="P1625" i="26"/>
  <c r="P1626" i="26"/>
  <c r="P1627" i="26"/>
  <c r="P1628" i="26"/>
  <c r="P1629" i="26"/>
  <c r="P1630" i="26"/>
  <c r="P1631" i="26"/>
  <c r="P1632" i="26"/>
  <c r="P1633" i="26"/>
  <c r="P1634" i="26"/>
  <c r="P1635" i="26"/>
  <c r="P1636" i="26"/>
  <c r="P1637" i="26"/>
  <c r="P1638" i="26"/>
  <c r="P1639" i="26"/>
  <c r="P1640" i="26"/>
  <c r="P1641" i="26"/>
  <c r="P1642" i="26"/>
  <c r="P1643" i="26"/>
  <c r="P1644" i="26"/>
  <c r="P1645" i="26"/>
  <c r="P1646" i="26"/>
  <c r="P1647" i="26"/>
  <c r="P1648" i="26"/>
  <c r="P1649" i="26"/>
  <c r="P1650" i="26"/>
  <c r="P1651" i="26"/>
  <c r="P1652" i="26"/>
  <c r="P1653" i="26"/>
  <c r="P1654" i="26"/>
  <c r="P1655" i="26"/>
  <c r="P1656" i="26"/>
  <c r="P1657" i="26"/>
  <c r="P1658" i="26"/>
  <c r="P1659" i="26"/>
  <c r="P1660" i="26"/>
  <c r="P1661" i="26"/>
  <c r="P1662" i="26"/>
  <c r="P1663" i="26"/>
  <c r="P1664" i="26"/>
  <c r="P1665" i="26"/>
  <c r="P1666" i="26"/>
  <c r="P1667" i="26"/>
  <c r="P1668" i="26"/>
  <c r="P1669" i="26"/>
  <c r="P1670" i="26"/>
  <c r="P1671" i="26"/>
  <c r="P1672" i="26"/>
  <c r="P1673" i="26"/>
  <c r="P1674" i="26"/>
  <c r="P1675" i="26"/>
  <c r="P1676" i="26"/>
  <c r="P1677" i="26"/>
  <c r="P1678" i="26"/>
  <c r="P1679" i="26"/>
  <c r="P1680" i="26"/>
  <c r="P1681" i="26"/>
  <c r="P1682" i="26"/>
  <c r="P1683" i="26"/>
  <c r="P1684" i="26"/>
  <c r="P1685" i="26"/>
  <c r="P1686" i="26"/>
  <c r="P1687" i="26"/>
  <c r="P1688" i="26"/>
  <c r="P1689" i="26"/>
  <c r="P1690" i="26"/>
  <c r="P1691" i="26"/>
  <c r="P1692" i="26"/>
  <c r="P1693" i="26"/>
  <c r="P1694" i="26"/>
  <c r="P1695" i="26"/>
  <c r="P1696" i="26"/>
  <c r="P1697" i="26"/>
  <c r="P1698" i="26"/>
  <c r="P1699" i="26"/>
  <c r="P1700" i="26"/>
  <c r="P1701" i="26"/>
  <c r="P1702" i="26"/>
  <c r="P1703" i="26"/>
  <c r="P1704" i="26"/>
  <c r="P1705" i="26"/>
  <c r="P1706" i="26"/>
  <c r="P1707" i="26"/>
  <c r="P1708" i="26"/>
  <c r="P1709" i="26"/>
  <c r="P1710" i="26"/>
  <c r="P1711" i="26"/>
  <c r="P1712" i="26"/>
  <c r="P1713" i="26"/>
  <c r="P1714" i="26"/>
  <c r="P1715" i="26"/>
  <c r="P1716" i="26"/>
  <c r="P1717" i="26"/>
  <c r="P1718" i="26"/>
  <c r="P1719" i="26"/>
  <c r="P1720" i="26"/>
  <c r="P1721" i="26"/>
  <c r="P1722" i="26"/>
  <c r="P1723" i="26"/>
  <c r="P1724" i="26"/>
  <c r="P1725" i="26"/>
  <c r="P1726" i="26"/>
  <c r="P1727" i="26"/>
  <c r="P1728" i="26"/>
  <c r="P1729" i="26"/>
  <c r="P1730" i="26"/>
  <c r="P1731" i="26"/>
  <c r="P1732" i="26"/>
  <c r="P1733" i="26"/>
  <c r="P1734" i="26"/>
  <c r="P1735" i="26"/>
  <c r="P1736" i="26"/>
  <c r="P1737" i="26"/>
  <c r="P1738" i="26"/>
  <c r="P1739" i="26"/>
  <c r="P1740" i="26"/>
  <c r="P1741" i="26"/>
  <c r="P1742" i="26"/>
  <c r="P1743" i="26"/>
  <c r="P1744" i="26"/>
  <c r="P1745" i="26"/>
  <c r="P1746" i="26"/>
  <c r="P1747" i="26"/>
  <c r="P1748" i="26"/>
  <c r="P1749" i="26"/>
  <c r="P1750" i="26"/>
  <c r="P1751" i="26"/>
  <c r="P1752" i="26"/>
  <c r="P1753" i="26"/>
  <c r="P1754" i="26"/>
  <c r="P1755" i="26"/>
  <c r="P1756" i="26"/>
  <c r="P1757" i="26"/>
  <c r="P1758" i="26"/>
  <c r="P1759" i="26"/>
  <c r="P1760" i="26"/>
  <c r="P1761" i="26"/>
  <c r="P1762" i="26"/>
  <c r="P1763" i="26"/>
  <c r="P1764" i="26"/>
  <c r="P1765" i="26"/>
  <c r="P1766" i="26"/>
  <c r="P1767" i="26"/>
  <c r="P1768" i="26"/>
  <c r="P1769" i="26"/>
  <c r="P1770" i="26"/>
  <c r="P1771" i="26"/>
  <c r="P1772" i="26"/>
  <c r="P1773" i="26"/>
  <c r="P1774" i="26"/>
  <c r="P1775" i="26"/>
  <c r="P1776" i="26"/>
  <c r="P1777" i="26"/>
  <c r="P1778" i="26"/>
  <c r="P1779" i="26"/>
  <c r="P1780" i="26"/>
  <c r="P1781" i="26"/>
  <c r="P1782" i="26"/>
  <c r="P1783" i="26"/>
  <c r="P1784" i="26"/>
  <c r="P1785" i="26"/>
  <c r="P1786" i="26"/>
  <c r="P1787" i="26"/>
  <c r="P1788" i="26"/>
  <c r="P1789" i="26"/>
  <c r="P1790" i="26"/>
  <c r="P1791" i="26"/>
  <c r="P1792" i="26"/>
  <c r="P1793" i="26"/>
  <c r="P1794" i="26"/>
  <c r="P1795" i="26"/>
  <c r="P1796" i="26"/>
  <c r="P1797" i="26"/>
  <c r="P1798" i="26"/>
  <c r="P1799" i="26"/>
  <c r="P1800" i="26"/>
  <c r="P1801" i="26"/>
  <c r="P1802" i="26"/>
  <c r="P1803" i="26"/>
  <c r="P1804" i="26"/>
  <c r="P1805" i="26"/>
  <c r="P1806" i="26"/>
  <c r="P1807" i="26"/>
  <c r="P1808" i="26"/>
  <c r="P1809" i="26"/>
  <c r="P1810" i="26"/>
  <c r="P1811" i="26"/>
  <c r="P1812" i="26"/>
  <c r="P1813" i="26"/>
  <c r="P1814" i="26"/>
  <c r="P1815" i="26"/>
  <c r="P1816" i="26"/>
  <c r="P1817" i="26"/>
  <c r="P1818" i="26"/>
  <c r="P1819" i="26"/>
  <c r="P1820" i="26"/>
  <c r="P1821" i="26"/>
  <c r="P1822" i="26"/>
  <c r="P1823" i="26"/>
  <c r="P1824" i="26"/>
  <c r="P1825" i="26"/>
  <c r="P1826" i="26"/>
  <c r="P1827" i="26"/>
  <c r="P1828" i="26"/>
  <c r="P1829" i="26"/>
  <c r="P1830" i="26"/>
  <c r="P1831" i="26"/>
  <c r="P1832" i="26"/>
  <c r="P1833" i="26"/>
  <c r="P1834" i="26"/>
  <c r="P1835" i="26"/>
  <c r="P1836" i="26"/>
  <c r="P1837" i="26"/>
  <c r="P1838" i="26"/>
  <c r="P1839" i="26"/>
  <c r="P1840" i="26"/>
  <c r="P1841" i="26"/>
  <c r="P1842" i="26"/>
  <c r="P1843" i="26"/>
  <c r="P1844" i="26"/>
  <c r="P1845" i="26"/>
  <c r="P1846" i="26"/>
  <c r="P1847" i="26"/>
  <c r="P1848" i="26"/>
  <c r="P1849" i="26"/>
  <c r="P1850" i="26"/>
  <c r="P1851" i="26"/>
  <c r="P1852" i="26"/>
  <c r="P1853" i="26"/>
  <c r="P1854" i="26"/>
  <c r="P1855" i="26"/>
  <c r="P1856" i="26"/>
  <c r="P1857" i="26"/>
  <c r="P1858" i="26"/>
  <c r="P1859" i="26"/>
  <c r="P1860" i="26"/>
  <c r="P1861" i="26"/>
  <c r="P1862" i="26"/>
  <c r="P1863" i="26"/>
  <c r="P1864" i="26"/>
  <c r="P1865" i="26"/>
  <c r="P1866" i="26"/>
  <c r="P1867" i="26"/>
  <c r="P1868" i="26"/>
  <c r="P1869" i="26"/>
  <c r="P1870" i="26"/>
  <c r="P1871" i="26"/>
  <c r="P1872" i="26"/>
  <c r="P1873" i="26"/>
  <c r="P1874" i="26"/>
  <c r="P1875" i="26"/>
  <c r="P1876" i="26"/>
  <c r="P1877" i="26"/>
  <c r="P1878" i="26"/>
  <c r="P1879" i="26"/>
  <c r="P1880" i="26"/>
  <c r="P1881" i="26"/>
  <c r="P1882" i="26"/>
  <c r="P1883" i="26"/>
  <c r="P1884" i="26"/>
  <c r="P1885" i="26"/>
  <c r="P1886" i="26"/>
  <c r="P1887" i="26"/>
  <c r="P1888" i="26"/>
  <c r="P1889" i="26"/>
  <c r="P1890" i="26"/>
  <c r="P1891" i="26"/>
  <c r="P1892" i="26"/>
  <c r="P1893" i="26"/>
  <c r="P1894" i="26"/>
  <c r="P1895" i="26"/>
  <c r="P1896" i="26"/>
  <c r="P1897" i="26"/>
  <c r="P1898" i="26"/>
  <c r="P1899" i="26"/>
  <c r="P1900" i="26"/>
  <c r="P1901" i="26"/>
  <c r="P1902" i="26"/>
  <c r="P1903" i="26"/>
  <c r="P1904" i="26"/>
  <c r="P1905" i="26"/>
  <c r="P1906" i="26"/>
  <c r="P1907" i="26"/>
  <c r="P1908" i="26"/>
  <c r="P1909" i="26"/>
  <c r="P1910" i="26"/>
  <c r="P1911" i="26"/>
  <c r="P1912" i="26"/>
  <c r="P1913" i="26"/>
  <c r="P1914" i="26"/>
  <c r="P1915" i="26"/>
  <c r="P1916" i="26"/>
  <c r="P1917" i="26"/>
  <c r="P1918" i="26"/>
  <c r="P1919" i="26"/>
  <c r="P1920" i="26"/>
  <c r="P1921" i="26"/>
  <c r="P1922" i="26"/>
  <c r="P1923" i="26"/>
  <c r="P1924" i="26"/>
  <c r="P1925" i="26"/>
  <c r="P1926" i="26"/>
  <c r="P1927" i="26"/>
  <c r="P1928" i="26"/>
  <c r="P1929" i="26"/>
  <c r="P1930" i="26"/>
  <c r="P1931" i="26"/>
  <c r="P1932" i="26"/>
  <c r="P1933" i="26"/>
  <c r="P1934" i="26"/>
  <c r="P1935" i="26"/>
  <c r="P1936" i="26"/>
  <c r="P1937" i="26"/>
  <c r="P1938" i="26"/>
  <c r="P1939" i="26"/>
  <c r="P1940" i="26"/>
  <c r="P1941" i="26"/>
  <c r="P1942" i="26"/>
  <c r="P1943" i="26"/>
  <c r="P1944" i="26"/>
  <c r="P1945" i="26"/>
  <c r="P1946" i="26"/>
  <c r="P1947" i="26"/>
  <c r="P1948" i="26"/>
  <c r="P1949" i="26"/>
  <c r="P1950" i="26"/>
  <c r="P1951" i="26"/>
  <c r="P1952" i="26"/>
  <c r="P1953" i="26"/>
  <c r="P1954" i="26"/>
  <c r="P1955" i="26"/>
  <c r="P1956" i="26"/>
  <c r="P1957" i="26"/>
  <c r="P1958" i="26"/>
  <c r="P1959" i="26"/>
  <c r="P1960" i="26"/>
  <c r="P1961" i="26"/>
  <c r="P1962" i="26"/>
  <c r="P1963" i="26"/>
  <c r="P1964" i="26"/>
  <c r="P1965" i="26"/>
  <c r="P1966" i="26"/>
  <c r="P1967" i="26"/>
  <c r="P1968" i="26"/>
  <c r="P1969" i="26"/>
  <c r="P1970" i="26"/>
  <c r="P1971" i="26"/>
  <c r="P1972" i="26"/>
  <c r="P1973" i="26"/>
  <c r="P1974" i="26"/>
  <c r="P1975" i="26"/>
  <c r="P1976" i="26"/>
  <c r="P1977" i="26"/>
  <c r="P1978" i="26"/>
  <c r="P1979" i="26"/>
  <c r="P1980" i="26"/>
  <c r="P1981" i="26"/>
  <c r="P1982" i="26"/>
  <c r="P1983" i="26"/>
  <c r="P1984" i="26"/>
  <c r="P1985" i="26"/>
  <c r="P1986" i="26"/>
  <c r="P1987" i="26"/>
  <c r="P1988" i="26"/>
  <c r="P1989" i="26"/>
  <c r="P1990" i="26"/>
  <c r="P1991" i="26"/>
  <c r="P1992" i="26"/>
  <c r="P1993" i="26"/>
  <c r="P1994" i="26"/>
  <c r="P1995" i="26"/>
  <c r="P1996" i="26"/>
  <c r="P1997" i="26"/>
  <c r="P1998" i="26"/>
  <c r="P1999" i="26"/>
  <c r="P2000" i="26"/>
  <c r="P2001" i="26"/>
  <c r="P3" i="26"/>
  <c r="P4" i="26"/>
  <c r="P5" i="26"/>
  <c r="P2" i="26"/>
  <c r="N3" i="26"/>
  <c r="N4" i="26"/>
  <c r="N5" i="26"/>
  <c r="N6" i="26"/>
  <c r="N7" i="26"/>
  <c r="N8" i="26"/>
  <c r="N9" i="26"/>
  <c r="N10" i="26"/>
  <c r="N11" i="26"/>
  <c r="N12" i="26"/>
  <c r="N13" i="26"/>
  <c r="N14" i="26"/>
  <c r="N15" i="26"/>
  <c r="N16" i="26"/>
  <c r="N17" i="26"/>
  <c r="N18" i="26"/>
  <c r="N19" i="26"/>
  <c r="N20" i="26"/>
  <c r="N21" i="26"/>
  <c r="N22" i="26"/>
  <c r="N23" i="26"/>
  <c r="N24" i="26"/>
  <c r="N25" i="26"/>
  <c r="N26" i="26"/>
  <c r="N27" i="26"/>
  <c r="N28" i="26"/>
  <c r="N29" i="26"/>
  <c r="N30" i="26"/>
  <c r="N31" i="26"/>
  <c r="N32" i="26"/>
  <c r="N33" i="26"/>
  <c r="N34" i="26"/>
  <c r="N35" i="26"/>
  <c r="N36" i="26"/>
  <c r="N37" i="26"/>
  <c r="N38" i="26"/>
  <c r="N39" i="26"/>
  <c r="N40" i="26"/>
  <c r="N41" i="26"/>
  <c r="N42" i="26"/>
  <c r="N43" i="26"/>
  <c r="N44" i="26"/>
  <c r="N45" i="26"/>
  <c r="N46" i="26"/>
  <c r="N47" i="26"/>
  <c r="N48" i="26"/>
  <c r="N49" i="26"/>
  <c r="N50" i="26"/>
  <c r="N51" i="26"/>
  <c r="N52" i="26"/>
  <c r="N53" i="26"/>
  <c r="N54" i="26"/>
  <c r="N55" i="26"/>
  <c r="N56" i="26"/>
  <c r="N57" i="26"/>
  <c r="N58" i="26"/>
  <c r="N59" i="26"/>
  <c r="N60" i="26"/>
  <c r="N61" i="26"/>
  <c r="N62" i="26"/>
  <c r="N63" i="26"/>
  <c r="N64" i="26"/>
  <c r="N65" i="26"/>
  <c r="N66" i="26"/>
  <c r="N67" i="26"/>
  <c r="N68" i="26"/>
  <c r="N69" i="26"/>
  <c r="N70" i="26"/>
  <c r="N71" i="26"/>
  <c r="N72" i="26"/>
  <c r="N73" i="26"/>
  <c r="N74" i="26"/>
  <c r="N75" i="26"/>
  <c r="N76" i="26"/>
  <c r="N77" i="26"/>
  <c r="N78" i="26"/>
  <c r="N79" i="26"/>
  <c r="N80" i="26"/>
  <c r="N81" i="26"/>
  <c r="N82" i="26"/>
  <c r="N83" i="26"/>
  <c r="N84" i="26"/>
  <c r="N85" i="26"/>
  <c r="N86" i="26"/>
  <c r="N87" i="26"/>
  <c r="N88" i="26"/>
  <c r="N89" i="26"/>
  <c r="N90" i="26"/>
  <c r="N91" i="26"/>
  <c r="N92" i="26"/>
  <c r="N93" i="26"/>
  <c r="N94" i="26"/>
  <c r="N95" i="26"/>
  <c r="N96" i="26"/>
  <c r="N97" i="26"/>
  <c r="N98" i="26"/>
  <c r="N99" i="26"/>
  <c r="N100" i="26"/>
  <c r="N101" i="26"/>
  <c r="N102" i="26"/>
  <c r="N103" i="26"/>
  <c r="N104" i="26"/>
  <c r="N105" i="26"/>
  <c r="N106" i="26"/>
  <c r="N107" i="26"/>
  <c r="N108" i="26"/>
  <c r="N109" i="26"/>
  <c r="N110" i="26"/>
  <c r="N111" i="26"/>
  <c r="N112" i="26"/>
  <c r="N113" i="26"/>
  <c r="N114" i="26"/>
  <c r="N115" i="26"/>
  <c r="N116" i="26"/>
  <c r="N117" i="26"/>
  <c r="N118" i="26"/>
  <c r="N119" i="26"/>
  <c r="N120" i="26"/>
  <c r="N121" i="26"/>
  <c r="N122" i="26"/>
  <c r="N123" i="26"/>
  <c r="N124" i="26"/>
  <c r="N125" i="26"/>
  <c r="N126" i="26"/>
  <c r="N127" i="26"/>
  <c r="N128" i="26"/>
  <c r="N129" i="26"/>
  <c r="N130" i="26"/>
  <c r="N131" i="26"/>
  <c r="N132" i="26"/>
  <c r="N133" i="26"/>
  <c r="N134" i="26"/>
  <c r="N135" i="26"/>
  <c r="N136" i="26"/>
  <c r="N137" i="26"/>
  <c r="N138" i="26"/>
  <c r="N139" i="26"/>
  <c r="N140" i="26"/>
  <c r="N141" i="26"/>
  <c r="N142" i="26"/>
  <c r="N143" i="26"/>
  <c r="N144" i="26"/>
  <c r="N145" i="26"/>
  <c r="N146" i="26"/>
  <c r="N147" i="26"/>
  <c r="N148" i="26"/>
  <c r="N149" i="26"/>
  <c r="N150" i="26"/>
  <c r="N151" i="26"/>
  <c r="N152" i="26"/>
  <c r="N153" i="26"/>
  <c r="N154" i="26"/>
  <c r="N155" i="26"/>
  <c r="N156" i="26"/>
  <c r="N157" i="26"/>
  <c r="N158" i="26"/>
  <c r="N159" i="26"/>
  <c r="N160" i="26"/>
  <c r="N161" i="26"/>
  <c r="N162" i="26"/>
  <c r="N163" i="26"/>
  <c r="N164" i="26"/>
  <c r="N165" i="26"/>
  <c r="N166" i="26"/>
  <c r="N167" i="26"/>
  <c r="N168" i="26"/>
  <c r="N169" i="26"/>
  <c r="N170" i="26"/>
  <c r="N171" i="26"/>
  <c r="N172" i="26"/>
  <c r="N173" i="26"/>
  <c r="N174" i="26"/>
  <c r="N175" i="26"/>
  <c r="N176" i="26"/>
  <c r="N177" i="26"/>
  <c r="N178" i="26"/>
  <c r="N179" i="26"/>
  <c r="N180" i="26"/>
  <c r="N181" i="26"/>
  <c r="N182" i="26"/>
  <c r="N183" i="26"/>
  <c r="N184" i="26"/>
  <c r="N185" i="26"/>
  <c r="N186" i="26"/>
  <c r="N187" i="26"/>
  <c r="N188" i="26"/>
  <c r="N189" i="26"/>
  <c r="N190" i="26"/>
  <c r="N191" i="26"/>
  <c r="N192" i="26"/>
  <c r="N193" i="26"/>
  <c r="N194" i="26"/>
  <c r="N195" i="26"/>
  <c r="N196" i="26"/>
  <c r="N197" i="26"/>
  <c r="N198" i="26"/>
  <c r="N199" i="26"/>
  <c r="N200" i="26"/>
  <c r="N201" i="26"/>
  <c r="N202" i="26"/>
  <c r="N203" i="26"/>
  <c r="N204" i="26"/>
  <c r="N205" i="26"/>
  <c r="N206" i="26"/>
  <c r="N207" i="26"/>
  <c r="N208" i="26"/>
  <c r="N209" i="26"/>
  <c r="N210" i="26"/>
  <c r="N211" i="26"/>
  <c r="N212" i="26"/>
  <c r="N213" i="26"/>
  <c r="N214" i="26"/>
  <c r="N215" i="26"/>
  <c r="N216" i="26"/>
  <c r="N217" i="26"/>
  <c r="N218" i="26"/>
  <c r="N219" i="26"/>
  <c r="N220" i="26"/>
  <c r="N221" i="26"/>
  <c r="N222" i="26"/>
  <c r="N223" i="26"/>
  <c r="N224" i="26"/>
  <c r="N225" i="26"/>
  <c r="N226" i="26"/>
  <c r="N227" i="26"/>
  <c r="N228" i="26"/>
  <c r="N229" i="26"/>
  <c r="N230" i="26"/>
  <c r="N231" i="26"/>
  <c r="N232" i="26"/>
  <c r="N233" i="26"/>
  <c r="N234" i="26"/>
  <c r="N235" i="26"/>
  <c r="N236" i="26"/>
  <c r="N237" i="26"/>
  <c r="N238" i="26"/>
  <c r="N239" i="26"/>
  <c r="N240" i="26"/>
  <c r="N241" i="26"/>
  <c r="N242" i="26"/>
  <c r="N243" i="26"/>
  <c r="N244" i="26"/>
  <c r="N245" i="26"/>
  <c r="N246" i="26"/>
  <c r="N247" i="26"/>
  <c r="N248" i="26"/>
  <c r="N249" i="26"/>
  <c r="N250" i="26"/>
  <c r="N251" i="26"/>
  <c r="N252" i="26"/>
  <c r="N253" i="26"/>
  <c r="N254" i="26"/>
  <c r="N255" i="26"/>
  <c r="N256" i="26"/>
  <c r="N257" i="26"/>
  <c r="N258" i="26"/>
  <c r="N259" i="26"/>
  <c r="N260" i="26"/>
  <c r="N261" i="26"/>
  <c r="N262" i="26"/>
  <c r="N263" i="26"/>
  <c r="N264" i="26"/>
  <c r="N265" i="26"/>
  <c r="N266" i="26"/>
  <c r="N267" i="26"/>
  <c r="N268" i="26"/>
  <c r="N269" i="26"/>
  <c r="N270" i="26"/>
  <c r="N271" i="26"/>
  <c r="N272" i="26"/>
  <c r="N273" i="26"/>
  <c r="N274" i="26"/>
  <c r="N275" i="26"/>
  <c r="N276" i="26"/>
  <c r="N277" i="26"/>
  <c r="N278" i="26"/>
  <c r="N279" i="26"/>
  <c r="N280" i="26"/>
  <c r="N281" i="26"/>
  <c r="N282" i="26"/>
  <c r="N283" i="26"/>
  <c r="N284" i="26"/>
  <c r="N285" i="26"/>
  <c r="N286" i="26"/>
  <c r="N287" i="26"/>
  <c r="N288" i="26"/>
  <c r="N289" i="26"/>
  <c r="N290" i="26"/>
  <c r="N291" i="26"/>
  <c r="N292" i="26"/>
  <c r="N293" i="26"/>
  <c r="N294" i="26"/>
  <c r="N295" i="26"/>
  <c r="N296" i="26"/>
  <c r="N297" i="26"/>
  <c r="N298" i="26"/>
  <c r="N299" i="26"/>
  <c r="N300" i="26"/>
  <c r="N301" i="26"/>
  <c r="N302" i="26"/>
  <c r="N303" i="26"/>
  <c r="N304" i="26"/>
  <c r="N305" i="26"/>
  <c r="N306" i="26"/>
  <c r="N307" i="26"/>
  <c r="N308" i="26"/>
  <c r="N309" i="26"/>
  <c r="N310" i="26"/>
  <c r="N311" i="26"/>
  <c r="N312" i="26"/>
  <c r="N313" i="26"/>
  <c r="N314" i="26"/>
  <c r="N315" i="26"/>
  <c r="N316" i="26"/>
  <c r="N317" i="26"/>
  <c r="N318" i="26"/>
  <c r="N319" i="26"/>
  <c r="N320" i="26"/>
  <c r="N321" i="26"/>
  <c r="N322" i="26"/>
  <c r="N323" i="26"/>
  <c r="N324" i="26"/>
  <c r="N325" i="26"/>
  <c r="N326" i="26"/>
  <c r="N327" i="26"/>
  <c r="N328" i="26"/>
  <c r="N329" i="26"/>
  <c r="N330" i="26"/>
  <c r="N331" i="26"/>
  <c r="N332" i="26"/>
  <c r="N333" i="26"/>
  <c r="N334" i="26"/>
  <c r="N335" i="26"/>
  <c r="N336" i="26"/>
  <c r="N337" i="26"/>
  <c r="N338" i="26"/>
  <c r="N339" i="26"/>
  <c r="N340" i="26"/>
  <c r="N341" i="26"/>
  <c r="N342" i="26"/>
  <c r="N343" i="26"/>
  <c r="N344" i="26"/>
  <c r="N345" i="26"/>
  <c r="N346" i="26"/>
  <c r="N347" i="26"/>
  <c r="N348" i="26"/>
  <c r="N349" i="26"/>
  <c r="N350" i="26"/>
  <c r="N351" i="26"/>
  <c r="N352" i="26"/>
  <c r="N353" i="26"/>
  <c r="N354" i="26"/>
  <c r="N355" i="26"/>
  <c r="N356" i="26"/>
  <c r="N357" i="26"/>
  <c r="N358" i="26"/>
  <c r="N359" i="26"/>
  <c r="N360" i="26"/>
  <c r="N361" i="26"/>
  <c r="N362" i="26"/>
  <c r="N363" i="26"/>
  <c r="N364" i="26"/>
  <c r="N365" i="26"/>
  <c r="N366" i="26"/>
  <c r="N367" i="26"/>
  <c r="N368" i="26"/>
  <c r="N369" i="26"/>
  <c r="N370" i="26"/>
  <c r="N371" i="26"/>
  <c r="N372" i="26"/>
  <c r="N373" i="26"/>
  <c r="N374" i="26"/>
  <c r="N375" i="26"/>
  <c r="N376" i="26"/>
  <c r="N377" i="26"/>
  <c r="N378" i="26"/>
  <c r="N379" i="26"/>
  <c r="N380" i="26"/>
  <c r="N381" i="26"/>
  <c r="N382" i="26"/>
  <c r="N383" i="26"/>
  <c r="N384" i="26"/>
  <c r="N385" i="26"/>
  <c r="N386" i="26"/>
  <c r="N387" i="26"/>
  <c r="N388" i="26"/>
  <c r="N389" i="26"/>
  <c r="N390" i="26"/>
  <c r="N391" i="26"/>
  <c r="N392" i="26"/>
  <c r="N393" i="26"/>
  <c r="N394" i="26"/>
  <c r="N395" i="26"/>
  <c r="N396" i="26"/>
  <c r="N397" i="26"/>
  <c r="N398" i="26"/>
  <c r="N399" i="26"/>
  <c r="N400" i="26"/>
  <c r="N401" i="26"/>
  <c r="N402" i="26"/>
  <c r="N403" i="26"/>
  <c r="N404" i="26"/>
  <c r="N405" i="26"/>
  <c r="N406" i="26"/>
  <c r="N407" i="26"/>
  <c r="N408" i="26"/>
  <c r="N409" i="26"/>
  <c r="N410" i="26"/>
  <c r="N411" i="26"/>
  <c r="N412" i="26"/>
  <c r="N413" i="26"/>
  <c r="N414" i="26"/>
  <c r="N415" i="26"/>
  <c r="N416" i="26"/>
  <c r="N417" i="26"/>
  <c r="N418" i="26"/>
  <c r="N419" i="26"/>
  <c r="N420" i="26"/>
  <c r="N421" i="26"/>
  <c r="N422" i="26"/>
  <c r="N423" i="26"/>
  <c r="N424" i="26"/>
  <c r="N425" i="26"/>
  <c r="N426" i="26"/>
  <c r="N427" i="26"/>
  <c r="N428" i="26"/>
  <c r="N429" i="26"/>
  <c r="N430" i="26"/>
  <c r="N431" i="26"/>
  <c r="N432" i="26"/>
  <c r="N433" i="26"/>
  <c r="N434" i="26"/>
  <c r="N435" i="26"/>
  <c r="N436" i="26"/>
  <c r="N437" i="26"/>
  <c r="N438" i="26"/>
  <c r="N439" i="26"/>
  <c r="N440" i="26"/>
  <c r="N441" i="26"/>
  <c r="N442" i="26"/>
  <c r="N443" i="26"/>
  <c r="N444" i="26"/>
  <c r="N445" i="26"/>
  <c r="N446" i="26"/>
  <c r="N447" i="26"/>
  <c r="N448" i="26"/>
  <c r="N449" i="26"/>
  <c r="N450" i="26"/>
  <c r="N451" i="26"/>
  <c r="N452" i="26"/>
  <c r="N453" i="26"/>
  <c r="N454" i="26"/>
  <c r="N455" i="26"/>
  <c r="N456" i="26"/>
  <c r="N457" i="26"/>
  <c r="N458" i="26"/>
  <c r="N459" i="26"/>
  <c r="N460" i="26"/>
  <c r="N461" i="26"/>
  <c r="N462" i="26"/>
  <c r="N463" i="26"/>
  <c r="N464" i="26"/>
  <c r="N465" i="26"/>
  <c r="N466" i="26"/>
  <c r="N467" i="26"/>
  <c r="N468" i="26"/>
  <c r="N469" i="26"/>
  <c r="N470" i="26"/>
  <c r="N471" i="26"/>
  <c r="N472" i="26"/>
  <c r="N473" i="26"/>
  <c r="N474" i="26"/>
  <c r="N475" i="26"/>
  <c r="N476" i="26"/>
  <c r="N477" i="26"/>
  <c r="N478" i="26"/>
  <c r="N479" i="26"/>
  <c r="N480" i="26"/>
  <c r="N481" i="26"/>
  <c r="N482" i="26"/>
  <c r="N483" i="26"/>
  <c r="N484" i="26"/>
  <c r="N485" i="26"/>
  <c r="N486" i="26"/>
  <c r="N487" i="26"/>
  <c r="N488" i="26"/>
  <c r="N489" i="26"/>
  <c r="N490" i="26"/>
  <c r="N491" i="26"/>
  <c r="N492" i="26"/>
  <c r="N493" i="26"/>
  <c r="N494" i="26"/>
  <c r="N495" i="26"/>
  <c r="N496" i="26"/>
  <c r="N497" i="26"/>
  <c r="N498" i="26"/>
  <c r="N499" i="26"/>
  <c r="N500" i="26"/>
  <c r="N501" i="26"/>
  <c r="N502" i="26"/>
  <c r="N503" i="26"/>
  <c r="N504" i="26"/>
  <c r="N505" i="26"/>
  <c r="N506" i="26"/>
  <c r="N507" i="26"/>
  <c r="N508" i="26"/>
  <c r="N509" i="26"/>
  <c r="N510" i="26"/>
  <c r="N511" i="26"/>
  <c r="N512" i="26"/>
  <c r="N513" i="26"/>
  <c r="N514" i="26"/>
  <c r="N515" i="26"/>
  <c r="N516" i="26"/>
  <c r="N517" i="26"/>
  <c r="N518" i="26"/>
  <c r="N519" i="26"/>
  <c r="N520" i="26"/>
  <c r="N521" i="26"/>
  <c r="N522" i="26"/>
  <c r="N523" i="26"/>
  <c r="N524" i="26"/>
  <c r="N525" i="26"/>
  <c r="N526" i="26"/>
  <c r="N527" i="26"/>
  <c r="N528" i="26"/>
  <c r="N529" i="26"/>
  <c r="N530" i="26"/>
  <c r="N531" i="26"/>
  <c r="N532" i="26"/>
  <c r="N533" i="26"/>
  <c r="N534" i="26"/>
  <c r="N535" i="26"/>
  <c r="N536" i="26"/>
  <c r="N537" i="26"/>
  <c r="N538" i="26"/>
  <c r="N539" i="26"/>
  <c r="N540" i="26"/>
  <c r="N541" i="26"/>
  <c r="N542" i="26"/>
  <c r="N543" i="26"/>
  <c r="N544" i="26"/>
  <c r="N545" i="26"/>
  <c r="N546" i="26"/>
  <c r="N547" i="26"/>
  <c r="N548" i="26"/>
  <c r="N549" i="26"/>
  <c r="N550" i="26"/>
  <c r="N551" i="26"/>
  <c r="N552" i="26"/>
  <c r="N553" i="26"/>
  <c r="N554" i="26"/>
  <c r="N555" i="26"/>
  <c r="N556" i="26"/>
  <c r="N557" i="26"/>
  <c r="N558" i="26"/>
  <c r="N559" i="26"/>
  <c r="N560" i="26"/>
  <c r="N561" i="26"/>
  <c r="N562" i="26"/>
  <c r="N563" i="26"/>
  <c r="N564" i="26"/>
  <c r="N565" i="26"/>
  <c r="N566" i="26"/>
  <c r="N567" i="26"/>
  <c r="N568" i="26"/>
  <c r="N569" i="26"/>
  <c r="N570" i="26"/>
  <c r="N571" i="26"/>
  <c r="N572" i="26"/>
  <c r="N573" i="26"/>
  <c r="N574" i="26"/>
  <c r="N575" i="26"/>
  <c r="N576" i="26"/>
  <c r="N577" i="26"/>
  <c r="N578" i="26"/>
  <c r="N579" i="26"/>
  <c r="N580" i="26"/>
  <c r="N581" i="26"/>
  <c r="N582" i="26"/>
  <c r="N583" i="26"/>
  <c r="N584" i="26"/>
  <c r="N585" i="26"/>
  <c r="N586" i="26"/>
  <c r="N587" i="26"/>
  <c r="N588" i="26"/>
  <c r="N589" i="26"/>
  <c r="N590" i="26"/>
  <c r="N591" i="26"/>
  <c r="N592" i="26"/>
  <c r="N593" i="26"/>
  <c r="N594" i="26"/>
  <c r="N595" i="26"/>
  <c r="N596" i="26"/>
  <c r="N597" i="26"/>
  <c r="N598" i="26"/>
  <c r="N599" i="26"/>
  <c r="N600" i="26"/>
  <c r="N601" i="26"/>
  <c r="N602" i="26"/>
  <c r="N603" i="26"/>
  <c r="N604" i="26"/>
  <c r="N605" i="26"/>
  <c r="N606" i="26"/>
  <c r="N607" i="26"/>
  <c r="N608" i="26"/>
  <c r="N609" i="26"/>
  <c r="N610" i="26"/>
  <c r="N611" i="26"/>
  <c r="N612" i="26"/>
  <c r="N613" i="26"/>
  <c r="N614" i="26"/>
  <c r="N615" i="26"/>
  <c r="N616" i="26"/>
  <c r="N617" i="26"/>
  <c r="N618" i="26"/>
  <c r="N619" i="26"/>
  <c r="N620" i="26"/>
  <c r="N621" i="26"/>
  <c r="N622" i="26"/>
  <c r="N623" i="26"/>
  <c r="N624" i="26"/>
  <c r="N625" i="26"/>
  <c r="N626" i="26"/>
  <c r="N627" i="26"/>
  <c r="N628" i="26"/>
  <c r="N629" i="26"/>
  <c r="N630" i="26"/>
  <c r="N631" i="26"/>
  <c r="N632" i="26"/>
  <c r="N633" i="26"/>
  <c r="N634" i="26"/>
  <c r="N635" i="26"/>
  <c r="N636" i="26"/>
  <c r="N637" i="26"/>
  <c r="N638" i="26"/>
  <c r="N639" i="26"/>
  <c r="N640" i="26"/>
  <c r="N641" i="26"/>
  <c r="N642" i="26"/>
  <c r="N643" i="26"/>
  <c r="N644" i="26"/>
  <c r="N645" i="26"/>
  <c r="N646" i="26"/>
  <c r="N647" i="26"/>
  <c r="N648" i="26"/>
  <c r="N649" i="26"/>
  <c r="N650" i="26"/>
  <c r="N651" i="26"/>
  <c r="N652" i="26"/>
  <c r="N653" i="26"/>
  <c r="N654" i="26"/>
  <c r="N655" i="26"/>
  <c r="N656" i="26"/>
  <c r="N657" i="26"/>
  <c r="N658" i="26"/>
  <c r="N659" i="26"/>
  <c r="N660" i="26"/>
  <c r="N661" i="26"/>
  <c r="N662" i="26"/>
  <c r="N663" i="26"/>
  <c r="N664" i="26"/>
  <c r="N665" i="26"/>
  <c r="N666" i="26"/>
  <c r="N667" i="26"/>
  <c r="N668" i="26"/>
  <c r="N669" i="26"/>
  <c r="N670" i="26"/>
  <c r="N671" i="26"/>
  <c r="N672" i="26"/>
  <c r="N673" i="26"/>
  <c r="N674" i="26"/>
  <c r="N675" i="26"/>
  <c r="N676" i="26"/>
  <c r="N677" i="26"/>
  <c r="N678" i="26"/>
  <c r="N679" i="26"/>
  <c r="N680" i="26"/>
  <c r="N681" i="26"/>
  <c r="N682" i="26"/>
  <c r="N683" i="26"/>
  <c r="N684" i="26"/>
  <c r="N685" i="26"/>
  <c r="N686" i="26"/>
  <c r="N687" i="26"/>
  <c r="N688" i="26"/>
  <c r="N689" i="26"/>
  <c r="N690" i="26"/>
  <c r="N691" i="26"/>
  <c r="N692" i="26"/>
  <c r="N693" i="26"/>
  <c r="N694" i="26"/>
  <c r="N695" i="26"/>
  <c r="N696" i="26"/>
  <c r="N697" i="26"/>
  <c r="N698" i="26"/>
  <c r="N699" i="26"/>
  <c r="N700" i="26"/>
  <c r="N701" i="26"/>
  <c r="N702" i="26"/>
  <c r="N703" i="26"/>
  <c r="N704" i="26"/>
  <c r="N705" i="26"/>
  <c r="N706" i="26"/>
  <c r="N707" i="26"/>
  <c r="N708" i="26"/>
  <c r="N709" i="26"/>
  <c r="N710" i="26"/>
  <c r="N711" i="26"/>
  <c r="N712" i="26"/>
  <c r="N713" i="26"/>
  <c r="N714" i="26"/>
  <c r="N715" i="26"/>
  <c r="N716" i="26"/>
  <c r="N717" i="26"/>
  <c r="N718" i="26"/>
  <c r="N719" i="26"/>
  <c r="N720" i="26"/>
  <c r="N721" i="26"/>
  <c r="N722" i="26"/>
  <c r="N723" i="26"/>
  <c r="N724" i="26"/>
  <c r="N725" i="26"/>
  <c r="N726" i="26"/>
  <c r="N727" i="26"/>
  <c r="N728" i="26"/>
  <c r="N729" i="26"/>
  <c r="N730" i="26"/>
  <c r="N731" i="26"/>
  <c r="N732" i="26"/>
  <c r="N733" i="26"/>
  <c r="N734" i="26"/>
  <c r="N735" i="26"/>
  <c r="N736" i="26"/>
  <c r="N737" i="26"/>
  <c r="N738" i="26"/>
  <c r="N739" i="26"/>
  <c r="N740" i="26"/>
  <c r="N741" i="26"/>
  <c r="N742" i="26"/>
  <c r="N743" i="26"/>
  <c r="N744" i="26"/>
  <c r="N745" i="26"/>
  <c r="N746" i="26"/>
  <c r="N747" i="26"/>
  <c r="N748" i="26"/>
  <c r="N749" i="26"/>
  <c r="N750" i="26"/>
  <c r="N751" i="26"/>
  <c r="N752" i="26"/>
  <c r="N753" i="26"/>
  <c r="N754" i="26"/>
  <c r="N755" i="26"/>
  <c r="N756" i="26"/>
  <c r="N757" i="26"/>
  <c r="N758" i="26"/>
  <c r="N759" i="26"/>
  <c r="N760" i="26"/>
  <c r="N761" i="26"/>
  <c r="N762" i="26"/>
  <c r="N763" i="26"/>
  <c r="N764" i="26"/>
  <c r="N765" i="26"/>
  <c r="N766" i="26"/>
  <c r="N767" i="26"/>
  <c r="N768" i="26"/>
  <c r="N769" i="26"/>
  <c r="N770" i="26"/>
  <c r="N771" i="26"/>
  <c r="N772" i="26"/>
  <c r="N773" i="26"/>
  <c r="N774" i="26"/>
  <c r="N775" i="26"/>
  <c r="N776" i="26"/>
  <c r="N777" i="26"/>
  <c r="N778" i="26"/>
  <c r="N779" i="26"/>
  <c r="N780" i="26"/>
  <c r="N781" i="26"/>
  <c r="N782" i="26"/>
  <c r="N783" i="26"/>
  <c r="N784" i="26"/>
  <c r="N785" i="26"/>
  <c r="N786" i="26"/>
  <c r="N787" i="26"/>
  <c r="N788" i="26"/>
  <c r="N789" i="26"/>
  <c r="N790" i="26"/>
  <c r="N791" i="26"/>
  <c r="N792" i="26"/>
  <c r="N793" i="26"/>
  <c r="N794" i="26"/>
  <c r="N795" i="26"/>
  <c r="N796" i="26"/>
  <c r="N797" i="26"/>
  <c r="N798" i="26"/>
  <c r="N799" i="26"/>
  <c r="N800" i="26"/>
  <c r="N801" i="26"/>
  <c r="N802" i="26"/>
  <c r="N803" i="26"/>
  <c r="N804" i="26"/>
  <c r="N805" i="26"/>
  <c r="N806" i="26"/>
  <c r="N807" i="26"/>
  <c r="N808" i="26"/>
  <c r="N809" i="26"/>
  <c r="N810" i="26"/>
  <c r="N811" i="26"/>
  <c r="N812" i="26"/>
  <c r="N813" i="26"/>
  <c r="N814" i="26"/>
  <c r="N815" i="26"/>
  <c r="N816" i="26"/>
  <c r="N817" i="26"/>
  <c r="N818" i="26"/>
  <c r="N819" i="26"/>
  <c r="N820" i="26"/>
  <c r="N821" i="26"/>
  <c r="N822" i="26"/>
  <c r="N823" i="26"/>
  <c r="N824" i="26"/>
  <c r="N825" i="26"/>
  <c r="N826" i="26"/>
  <c r="N827" i="26"/>
  <c r="N828" i="26"/>
  <c r="N829" i="26"/>
  <c r="N830" i="26"/>
  <c r="N831" i="26"/>
  <c r="N832" i="26"/>
  <c r="N833" i="26"/>
  <c r="N834" i="26"/>
  <c r="N835" i="26"/>
  <c r="N836" i="26"/>
  <c r="N837" i="26"/>
  <c r="N838" i="26"/>
  <c r="N839" i="26"/>
  <c r="N840" i="26"/>
  <c r="N841" i="26"/>
  <c r="N842" i="26"/>
  <c r="N843" i="26"/>
  <c r="N844" i="26"/>
  <c r="N845" i="26"/>
  <c r="N846" i="26"/>
  <c r="N847" i="26"/>
  <c r="N848" i="26"/>
  <c r="N849" i="26"/>
  <c r="N850" i="26"/>
  <c r="N851" i="26"/>
  <c r="N852" i="26"/>
  <c r="N853" i="26"/>
  <c r="N854" i="26"/>
  <c r="N855" i="26"/>
  <c r="N856" i="26"/>
  <c r="N857" i="26"/>
  <c r="N858" i="26"/>
  <c r="N859" i="26"/>
  <c r="N860" i="26"/>
  <c r="N861" i="26"/>
  <c r="N862" i="26"/>
  <c r="N863" i="26"/>
  <c r="N864" i="26"/>
  <c r="N865" i="26"/>
  <c r="N866" i="26"/>
  <c r="N867" i="26"/>
  <c r="N868" i="26"/>
  <c r="N869" i="26"/>
  <c r="N870" i="26"/>
  <c r="N871" i="26"/>
  <c r="N872" i="26"/>
  <c r="N873" i="26"/>
  <c r="N874" i="26"/>
  <c r="N875" i="26"/>
  <c r="N876" i="26"/>
  <c r="N877" i="26"/>
  <c r="N878" i="26"/>
  <c r="N879" i="26"/>
  <c r="N880" i="26"/>
  <c r="N881" i="26"/>
  <c r="N882" i="26"/>
  <c r="N883" i="26"/>
  <c r="N884" i="26"/>
  <c r="N885" i="26"/>
  <c r="N886" i="26"/>
  <c r="N887" i="26"/>
  <c r="N888" i="26"/>
  <c r="N889" i="26"/>
  <c r="N890" i="26"/>
  <c r="N891" i="26"/>
  <c r="N892" i="26"/>
  <c r="N893" i="26"/>
  <c r="N894" i="26"/>
  <c r="N895" i="26"/>
  <c r="N896" i="26"/>
  <c r="N897" i="26"/>
  <c r="N898" i="26"/>
  <c r="N899" i="26"/>
  <c r="N900" i="26"/>
  <c r="N901" i="26"/>
  <c r="N902" i="26"/>
  <c r="N903" i="26"/>
  <c r="N904" i="26"/>
  <c r="N905" i="26"/>
  <c r="N906" i="26"/>
  <c r="N907" i="26"/>
  <c r="N908" i="26"/>
  <c r="N909" i="26"/>
  <c r="N910" i="26"/>
  <c r="N911" i="26"/>
  <c r="N912" i="26"/>
  <c r="N913" i="26"/>
  <c r="N914" i="26"/>
  <c r="N915" i="26"/>
  <c r="N916" i="26"/>
  <c r="N917" i="26"/>
  <c r="N918" i="26"/>
  <c r="N919" i="26"/>
  <c r="N920" i="26"/>
  <c r="N921" i="26"/>
  <c r="N922" i="26"/>
  <c r="N923" i="26"/>
  <c r="N924" i="26"/>
  <c r="N925" i="26"/>
  <c r="N926" i="26"/>
  <c r="N927" i="26"/>
  <c r="N928" i="26"/>
  <c r="N929" i="26"/>
  <c r="N930" i="26"/>
  <c r="N931" i="26"/>
  <c r="N932" i="26"/>
  <c r="N933" i="26"/>
  <c r="N934" i="26"/>
  <c r="N935" i="26"/>
  <c r="N936" i="26"/>
  <c r="N937" i="26"/>
  <c r="N938" i="26"/>
  <c r="N939" i="26"/>
  <c r="N940" i="26"/>
  <c r="N941" i="26"/>
  <c r="N942" i="26"/>
  <c r="N943" i="26"/>
  <c r="N944" i="26"/>
  <c r="N945" i="26"/>
  <c r="N946" i="26"/>
  <c r="N947" i="26"/>
  <c r="N948" i="26"/>
  <c r="N949" i="26"/>
  <c r="N950" i="26"/>
  <c r="N951" i="26"/>
  <c r="N952" i="26"/>
  <c r="N953" i="26"/>
  <c r="N954" i="26"/>
  <c r="N955" i="26"/>
  <c r="N956" i="26"/>
  <c r="N957" i="26"/>
  <c r="N958" i="26"/>
  <c r="N959" i="26"/>
  <c r="N960" i="26"/>
  <c r="N961" i="26"/>
  <c r="N962" i="26"/>
  <c r="N963" i="26"/>
  <c r="N964" i="26"/>
  <c r="N965" i="26"/>
  <c r="N966" i="26"/>
  <c r="N967" i="26"/>
  <c r="N968" i="26"/>
  <c r="N969" i="26"/>
  <c r="N970" i="26"/>
  <c r="N971" i="26"/>
  <c r="N972" i="26"/>
  <c r="N973" i="26"/>
  <c r="N974" i="26"/>
  <c r="N975" i="26"/>
  <c r="N976" i="26"/>
  <c r="N977" i="26"/>
  <c r="N978" i="26"/>
  <c r="N979" i="26"/>
  <c r="N980" i="26"/>
  <c r="N981" i="26"/>
  <c r="N982" i="26"/>
  <c r="N983" i="26"/>
  <c r="N984" i="26"/>
  <c r="N985" i="26"/>
  <c r="N986" i="26"/>
  <c r="N987" i="26"/>
  <c r="N988" i="26"/>
  <c r="N989" i="26"/>
  <c r="N990" i="26"/>
  <c r="N991" i="26"/>
  <c r="N992" i="26"/>
  <c r="N993" i="26"/>
  <c r="N994" i="26"/>
  <c r="N995" i="26"/>
  <c r="N996" i="26"/>
  <c r="N997" i="26"/>
  <c r="N998" i="26"/>
  <c r="N999" i="26"/>
  <c r="N1000" i="26"/>
  <c r="N1001" i="26"/>
  <c r="N1002" i="26"/>
  <c r="N1003" i="26"/>
  <c r="N1004" i="26"/>
  <c r="N1005" i="26"/>
  <c r="N1006" i="26"/>
  <c r="N1007" i="26"/>
  <c r="N1008" i="26"/>
  <c r="N1009" i="26"/>
  <c r="N1010" i="26"/>
  <c r="N1011" i="26"/>
  <c r="N1012" i="26"/>
  <c r="N1013" i="26"/>
  <c r="N1014" i="26"/>
  <c r="N1015" i="26"/>
  <c r="N1016" i="26"/>
  <c r="N1017" i="26"/>
  <c r="N1018" i="26"/>
  <c r="N1019" i="26"/>
  <c r="N1020" i="26"/>
  <c r="N1021" i="26"/>
  <c r="N1022" i="26"/>
  <c r="N1023" i="26"/>
  <c r="N1024" i="26"/>
  <c r="N1025" i="26"/>
  <c r="N1026" i="26"/>
  <c r="N1027" i="26"/>
  <c r="N1028" i="26"/>
  <c r="N1029" i="26"/>
  <c r="N1030" i="26"/>
  <c r="N1031" i="26"/>
  <c r="N1032" i="26"/>
  <c r="N1033" i="26"/>
  <c r="N1034" i="26"/>
  <c r="N1035" i="26"/>
  <c r="N1036" i="26"/>
  <c r="N1037" i="26"/>
  <c r="N1038" i="26"/>
  <c r="N1039" i="26"/>
  <c r="N1040" i="26"/>
  <c r="N1041" i="26"/>
  <c r="N1042" i="26"/>
  <c r="N1043" i="26"/>
  <c r="N1044" i="26"/>
  <c r="N1045" i="26"/>
  <c r="N1046" i="26"/>
  <c r="N1047" i="26"/>
  <c r="N1048" i="26"/>
  <c r="N1049" i="26"/>
  <c r="N1050" i="26"/>
  <c r="N1051" i="26"/>
  <c r="N1052" i="26"/>
  <c r="N1053" i="26"/>
  <c r="N1054" i="26"/>
  <c r="N1055" i="26"/>
  <c r="N1056" i="26"/>
  <c r="N1057" i="26"/>
  <c r="N1058" i="26"/>
  <c r="N1059" i="26"/>
  <c r="N1060" i="26"/>
  <c r="N1061" i="26"/>
  <c r="N1062" i="26"/>
  <c r="N1063" i="26"/>
  <c r="N1064" i="26"/>
  <c r="N1065" i="26"/>
  <c r="N1066" i="26"/>
  <c r="N1067" i="26"/>
  <c r="N1068" i="26"/>
  <c r="N1069" i="26"/>
  <c r="N1070" i="26"/>
  <c r="N1071" i="26"/>
  <c r="N1072" i="26"/>
  <c r="N1073" i="26"/>
  <c r="N1074" i="26"/>
  <c r="N1075" i="26"/>
  <c r="N1076" i="26"/>
  <c r="N1077" i="26"/>
  <c r="N1078" i="26"/>
  <c r="N1079" i="26"/>
  <c r="N1080" i="26"/>
  <c r="N1081" i="26"/>
  <c r="N1082" i="26"/>
  <c r="N1083" i="26"/>
  <c r="N1084" i="26"/>
  <c r="N1085" i="26"/>
  <c r="N1086" i="26"/>
  <c r="N1087" i="26"/>
  <c r="N1088" i="26"/>
  <c r="N1089" i="26"/>
  <c r="N1090" i="26"/>
  <c r="N1091" i="26"/>
  <c r="N1092" i="26"/>
  <c r="N1093" i="26"/>
  <c r="N1094" i="26"/>
  <c r="N1095" i="26"/>
  <c r="N1096" i="26"/>
  <c r="N1097" i="26"/>
  <c r="N1098" i="26"/>
  <c r="N1099" i="26"/>
  <c r="N1100" i="26"/>
  <c r="N1101" i="26"/>
  <c r="N1102" i="26"/>
  <c r="N1103" i="26"/>
  <c r="N1104" i="26"/>
  <c r="N1105" i="26"/>
  <c r="N1106" i="26"/>
  <c r="N1107" i="26"/>
  <c r="N1108" i="26"/>
  <c r="N1109" i="26"/>
  <c r="N1110" i="26"/>
  <c r="N1111" i="26"/>
  <c r="N1112" i="26"/>
  <c r="N1113" i="26"/>
  <c r="N1114" i="26"/>
  <c r="N1115" i="26"/>
  <c r="N1116" i="26"/>
  <c r="N1117" i="26"/>
  <c r="N1118" i="26"/>
  <c r="N1119" i="26"/>
  <c r="N1120" i="26"/>
  <c r="N1121" i="26"/>
  <c r="N1122" i="26"/>
  <c r="N1123" i="26"/>
  <c r="N1124" i="26"/>
  <c r="N1125" i="26"/>
  <c r="N1126" i="26"/>
  <c r="N1127" i="26"/>
  <c r="N1128" i="26"/>
  <c r="N1129" i="26"/>
  <c r="N1130" i="26"/>
  <c r="N1131" i="26"/>
  <c r="N1132" i="26"/>
  <c r="N1133" i="26"/>
  <c r="N1134" i="26"/>
  <c r="N1135" i="26"/>
  <c r="N1136" i="26"/>
  <c r="N1137" i="26"/>
  <c r="N1138" i="26"/>
  <c r="N1139" i="26"/>
  <c r="N1140" i="26"/>
  <c r="N1141" i="26"/>
  <c r="N1142" i="26"/>
  <c r="N1143" i="26"/>
  <c r="N1144" i="26"/>
  <c r="N1145" i="26"/>
  <c r="N1146" i="26"/>
  <c r="N1147" i="26"/>
  <c r="N1148" i="26"/>
  <c r="N1149" i="26"/>
  <c r="N1150" i="26"/>
  <c r="N1151" i="26"/>
  <c r="N1152" i="26"/>
  <c r="N1153" i="26"/>
  <c r="N1154" i="26"/>
  <c r="N1155" i="26"/>
  <c r="N1156" i="26"/>
  <c r="N1157" i="26"/>
  <c r="N1158" i="26"/>
  <c r="N1159" i="26"/>
  <c r="N1160" i="26"/>
  <c r="N1161" i="26"/>
  <c r="N1162" i="26"/>
  <c r="N1163" i="26"/>
  <c r="N1164" i="26"/>
  <c r="N1165" i="26"/>
  <c r="N1166" i="26"/>
  <c r="N1167" i="26"/>
  <c r="N1168" i="26"/>
  <c r="N1169" i="26"/>
  <c r="N1170" i="26"/>
  <c r="N1171" i="26"/>
  <c r="N1172" i="26"/>
  <c r="N1173" i="26"/>
  <c r="N1174" i="26"/>
  <c r="N1175" i="26"/>
  <c r="N1176" i="26"/>
  <c r="N1177" i="26"/>
  <c r="N1178" i="26"/>
  <c r="N1179" i="26"/>
  <c r="N1180" i="26"/>
  <c r="N1181" i="26"/>
  <c r="N1182" i="26"/>
  <c r="N1183" i="26"/>
  <c r="N1184" i="26"/>
  <c r="N1185" i="26"/>
  <c r="N1186" i="26"/>
  <c r="N1187" i="26"/>
  <c r="N1188" i="26"/>
  <c r="N1189" i="26"/>
  <c r="N1190" i="26"/>
  <c r="N1191" i="26"/>
  <c r="N1192" i="26"/>
  <c r="N1193" i="26"/>
  <c r="N1194" i="26"/>
  <c r="N1195" i="26"/>
  <c r="N1196" i="26"/>
  <c r="N1197" i="26"/>
  <c r="N1198" i="26"/>
  <c r="N1199" i="26"/>
  <c r="N1200" i="26"/>
  <c r="N1201" i="26"/>
  <c r="N1202" i="26"/>
  <c r="N1203" i="26"/>
  <c r="N1204" i="26"/>
  <c r="N1205" i="26"/>
  <c r="N1206" i="26"/>
  <c r="N1207" i="26"/>
  <c r="N1208" i="26"/>
  <c r="N1209" i="26"/>
  <c r="N1210" i="26"/>
  <c r="N1211" i="26"/>
  <c r="N1212" i="26"/>
  <c r="N1213" i="26"/>
  <c r="N1214" i="26"/>
  <c r="N1215" i="26"/>
  <c r="N1216" i="26"/>
  <c r="N1217" i="26"/>
  <c r="N1218" i="26"/>
  <c r="N1219" i="26"/>
  <c r="N1220" i="26"/>
  <c r="N1221" i="26"/>
  <c r="N1222" i="26"/>
  <c r="N1223" i="26"/>
  <c r="N1224" i="26"/>
  <c r="N1225" i="26"/>
  <c r="N1226" i="26"/>
  <c r="N1227" i="26"/>
  <c r="N1228" i="26"/>
  <c r="N1229" i="26"/>
  <c r="N1230" i="26"/>
  <c r="N1231" i="26"/>
  <c r="N1232" i="26"/>
  <c r="N1233" i="26"/>
  <c r="N1234" i="26"/>
  <c r="N1235" i="26"/>
  <c r="N1236" i="26"/>
  <c r="N1237" i="26"/>
  <c r="N1238" i="26"/>
  <c r="N1239" i="26"/>
  <c r="N1240" i="26"/>
  <c r="N1241" i="26"/>
  <c r="N1242" i="26"/>
  <c r="N1243" i="26"/>
  <c r="N1244" i="26"/>
  <c r="N1245" i="26"/>
  <c r="N1246" i="26"/>
  <c r="N1247" i="26"/>
  <c r="N1248" i="26"/>
  <c r="N1249" i="26"/>
  <c r="N1250" i="26"/>
  <c r="N1251" i="26"/>
  <c r="N1252" i="26"/>
  <c r="N1253" i="26"/>
  <c r="N1254" i="26"/>
  <c r="N1255" i="26"/>
  <c r="N1256" i="26"/>
  <c r="N1257" i="26"/>
  <c r="N1258" i="26"/>
  <c r="N1259" i="26"/>
  <c r="N1260" i="26"/>
  <c r="N1261" i="26"/>
  <c r="N1262" i="26"/>
  <c r="N1263" i="26"/>
  <c r="N1264" i="26"/>
  <c r="N1265" i="26"/>
  <c r="N1266" i="26"/>
  <c r="N1267" i="26"/>
  <c r="N1268" i="26"/>
  <c r="N1269" i="26"/>
  <c r="N1270" i="26"/>
  <c r="N1271" i="26"/>
  <c r="N1272" i="26"/>
  <c r="N1273" i="26"/>
  <c r="N1274" i="26"/>
  <c r="N1275" i="26"/>
  <c r="N1276" i="26"/>
  <c r="N1277" i="26"/>
  <c r="N1278" i="26"/>
  <c r="N1279" i="26"/>
  <c r="N1280" i="26"/>
  <c r="N1281" i="26"/>
  <c r="N1282" i="26"/>
  <c r="N1283" i="26"/>
  <c r="N1284" i="26"/>
  <c r="N1285" i="26"/>
  <c r="N1286" i="26"/>
  <c r="N1287" i="26"/>
  <c r="N1288" i="26"/>
  <c r="N1289" i="26"/>
  <c r="N1290" i="26"/>
  <c r="N1291" i="26"/>
  <c r="N1292" i="26"/>
  <c r="N1293" i="26"/>
  <c r="N1294" i="26"/>
  <c r="N1295" i="26"/>
  <c r="N1296" i="26"/>
  <c r="N1297" i="26"/>
  <c r="N1298" i="26"/>
  <c r="N1299" i="26"/>
  <c r="N1300" i="26"/>
  <c r="N1301" i="26"/>
  <c r="N1302" i="26"/>
  <c r="N1303" i="26"/>
  <c r="N1304" i="26"/>
  <c r="N1305" i="26"/>
  <c r="N1306" i="26"/>
  <c r="N1307" i="26"/>
  <c r="N1308" i="26"/>
  <c r="N1309" i="26"/>
  <c r="N1310" i="26"/>
  <c r="N1311" i="26"/>
  <c r="N1312" i="26"/>
  <c r="N1313" i="26"/>
  <c r="N1314" i="26"/>
  <c r="N1315" i="26"/>
  <c r="N1316" i="26"/>
  <c r="N1317" i="26"/>
  <c r="N1318" i="26"/>
  <c r="N1319" i="26"/>
  <c r="N1320" i="26"/>
  <c r="N1321" i="26"/>
  <c r="N1322" i="26"/>
  <c r="N1323" i="26"/>
  <c r="N1324" i="26"/>
  <c r="N1325" i="26"/>
  <c r="N1326" i="26"/>
  <c r="N1327" i="26"/>
  <c r="N1328" i="26"/>
  <c r="N1329" i="26"/>
  <c r="N1330" i="26"/>
  <c r="N1331" i="26"/>
  <c r="N1332" i="26"/>
  <c r="N1333" i="26"/>
  <c r="N1334" i="26"/>
  <c r="N1335" i="26"/>
  <c r="N1336" i="26"/>
  <c r="N1337" i="26"/>
  <c r="N1338" i="26"/>
  <c r="N1339" i="26"/>
  <c r="N1340" i="26"/>
  <c r="N1341" i="26"/>
  <c r="N1342" i="26"/>
  <c r="N1343" i="26"/>
  <c r="N1344" i="26"/>
  <c r="N1345" i="26"/>
  <c r="N1346" i="26"/>
  <c r="N1347" i="26"/>
  <c r="N1348" i="26"/>
  <c r="N1349" i="26"/>
  <c r="N1350" i="26"/>
  <c r="N1351" i="26"/>
  <c r="N1352" i="26"/>
  <c r="N1353" i="26"/>
  <c r="N1354" i="26"/>
  <c r="N1355" i="26"/>
  <c r="N1356" i="26"/>
  <c r="N1357" i="26"/>
  <c r="N1358" i="26"/>
  <c r="N1359" i="26"/>
  <c r="N1360" i="26"/>
  <c r="N1361" i="26"/>
  <c r="N1362" i="26"/>
  <c r="N1363" i="26"/>
  <c r="N1364" i="26"/>
  <c r="N1365" i="26"/>
  <c r="N1366" i="26"/>
  <c r="N1367" i="26"/>
  <c r="N1368" i="26"/>
  <c r="N1369" i="26"/>
  <c r="N1370" i="26"/>
  <c r="N1371" i="26"/>
  <c r="N1372" i="26"/>
  <c r="N1373" i="26"/>
  <c r="N1374" i="26"/>
  <c r="N1375" i="26"/>
  <c r="N1376" i="26"/>
  <c r="N1377" i="26"/>
  <c r="N1378" i="26"/>
  <c r="N1379" i="26"/>
  <c r="N1380" i="26"/>
  <c r="N1381" i="26"/>
  <c r="N1382" i="26"/>
  <c r="N1383" i="26"/>
  <c r="N1384" i="26"/>
  <c r="N1385" i="26"/>
  <c r="N1386" i="26"/>
  <c r="N1387" i="26"/>
  <c r="N1388" i="26"/>
  <c r="N1389" i="26"/>
  <c r="N1390" i="26"/>
  <c r="N1391" i="26"/>
  <c r="N1392" i="26"/>
  <c r="N1393" i="26"/>
  <c r="N1394" i="26"/>
  <c r="N1395" i="26"/>
  <c r="N1396" i="26"/>
  <c r="N1397" i="26"/>
  <c r="N1398" i="26"/>
  <c r="N1399" i="26"/>
  <c r="N1400" i="26"/>
  <c r="N1401" i="26"/>
  <c r="N1402" i="26"/>
  <c r="N1403" i="26"/>
  <c r="N1404" i="26"/>
  <c r="N1405" i="26"/>
  <c r="N1406" i="26"/>
  <c r="N1407" i="26"/>
  <c r="N1408" i="26"/>
  <c r="N1409" i="26"/>
  <c r="N1410" i="26"/>
  <c r="N1411" i="26"/>
  <c r="N1412" i="26"/>
  <c r="N1413" i="26"/>
  <c r="N1414" i="26"/>
  <c r="N1415" i="26"/>
  <c r="N1416" i="26"/>
  <c r="N1417" i="26"/>
  <c r="N1418" i="26"/>
  <c r="N1419" i="26"/>
  <c r="N1420" i="26"/>
  <c r="N1421" i="26"/>
  <c r="N1422" i="26"/>
  <c r="N1423" i="26"/>
  <c r="N1424" i="26"/>
  <c r="N1425" i="26"/>
  <c r="N1426" i="26"/>
  <c r="N1427" i="26"/>
  <c r="N1428" i="26"/>
  <c r="N1429" i="26"/>
  <c r="N1430" i="26"/>
  <c r="N1431" i="26"/>
  <c r="N1432" i="26"/>
  <c r="N1433" i="26"/>
  <c r="N1434" i="26"/>
  <c r="N1435" i="26"/>
  <c r="N1436" i="26"/>
  <c r="N1437" i="26"/>
  <c r="N1438" i="26"/>
  <c r="N1439" i="26"/>
  <c r="N1440" i="26"/>
  <c r="N1441" i="26"/>
  <c r="N1442" i="26"/>
  <c r="N1443" i="26"/>
  <c r="N1444" i="26"/>
  <c r="N1445" i="26"/>
  <c r="N1446" i="26"/>
  <c r="N1447" i="26"/>
  <c r="N1448" i="26"/>
  <c r="N1449" i="26"/>
  <c r="N1450" i="26"/>
  <c r="N1451" i="26"/>
  <c r="N1452" i="26"/>
  <c r="N1453" i="26"/>
  <c r="N1454" i="26"/>
  <c r="N1455" i="26"/>
  <c r="N1456" i="26"/>
  <c r="N1457" i="26"/>
  <c r="N1458" i="26"/>
  <c r="N1459" i="26"/>
  <c r="N1460" i="26"/>
  <c r="N1461" i="26"/>
  <c r="N1462" i="26"/>
  <c r="N1463" i="26"/>
  <c r="N1464" i="26"/>
  <c r="N1465" i="26"/>
  <c r="N1466" i="26"/>
  <c r="N1467" i="26"/>
  <c r="N1468" i="26"/>
  <c r="N1469" i="26"/>
  <c r="N1470" i="26"/>
  <c r="N1471" i="26"/>
  <c r="N1472" i="26"/>
  <c r="N1473" i="26"/>
  <c r="N1474" i="26"/>
  <c r="N1475" i="26"/>
  <c r="N1476" i="26"/>
  <c r="N1477" i="26"/>
  <c r="N1478" i="26"/>
  <c r="N1479" i="26"/>
  <c r="N1480" i="26"/>
  <c r="N1481" i="26"/>
  <c r="N1482" i="26"/>
  <c r="N1483" i="26"/>
  <c r="N1484" i="26"/>
  <c r="N1485" i="26"/>
  <c r="N1486" i="26"/>
  <c r="N1487" i="26"/>
  <c r="N1488" i="26"/>
  <c r="N1489" i="26"/>
  <c r="N1490" i="26"/>
  <c r="N1491" i="26"/>
  <c r="N1492" i="26"/>
  <c r="N1493" i="26"/>
  <c r="N1494" i="26"/>
  <c r="N1495" i="26"/>
  <c r="N1496" i="26"/>
  <c r="N1497" i="26"/>
  <c r="N1498" i="26"/>
  <c r="N1499" i="26"/>
  <c r="N1500" i="26"/>
  <c r="N1501" i="26"/>
  <c r="N1502" i="26"/>
  <c r="N1503" i="26"/>
  <c r="N1504" i="26"/>
  <c r="N1505" i="26"/>
  <c r="N1506" i="26"/>
  <c r="N1507" i="26"/>
  <c r="N1508" i="26"/>
  <c r="N1509" i="26"/>
  <c r="N1510" i="26"/>
  <c r="N1511" i="26"/>
  <c r="N1512" i="26"/>
  <c r="N1513" i="26"/>
  <c r="N1514" i="26"/>
  <c r="N1515" i="26"/>
  <c r="N1516" i="26"/>
  <c r="N1517" i="26"/>
  <c r="N1518" i="26"/>
  <c r="N1519" i="26"/>
  <c r="N1520" i="26"/>
  <c r="N1521" i="26"/>
  <c r="N1522" i="26"/>
  <c r="N1523" i="26"/>
  <c r="N1524" i="26"/>
  <c r="N1525" i="26"/>
  <c r="N1526" i="26"/>
  <c r="N1527" i="26"/>
  <c r="N1528" i="26"/>
  <c r="N1529" i="26"/>
  <c r="N1530" i="26"/>
  <c r="N1531" i="26"/>
  <c r="N1532" i="26"/>
  <c r="N1533" i="26"/>
  <c r="N1534" i="26"/>
  <c r="N1535" i="26"/>
  <c r="N1536" i="26"/>
  <c r="N1537" i="26"/>
  <c r="N1538" i="26"/>
  <c r="N1539" i="26"/>
  <c r="N1540" i="26"/>
  <c r="N1541" i="26"/>
  <c r="N1542" i="26"/>
  <c r="N1543" i="26"/>
  <c r="N1544" i="26"/>
  <c r="N1545" i="26"/>
  <c r="N1546" i="26"/>
  <c r="N1547" i="26"/>
  <c r="N1548" i="26"/>
  <c r="N1549" i="26"/>
  <c r="N1550" i="26"/>
  <c r="N1551" i="26"/>
  <c r="N1552" i="26"/>
  <c r="N1553" i="26"/>
  <c r="N1554" i="26"/>
  <c r="N1555" i="26"/>
  <c r="N1556" i="26"/>
  <c r="N1557" i="26"/>
  <c r="N1558" i="26"/>
  <c r="N1559" i="26"/>
  <c r="N1560" i="26"/>
  <c r="N1561" i="26"/>
  <c r="N1562" i="26"/>
  <c r="N1563" i="26"/>
  <c r="N1564" i="26"/>
  <c r="N1565" i="26"/>
  <c r="N1566" i="26"/>
  <c r="N1567" i="26"/>
  <c r="N1568" i="26"/>
  <c r="N1569" i="26"/>
  <c r="N1570" i="26"/>
  <c r="N1571" i="26"/>
  <c r="N1572" i="26"/>
  <c r="N1573" i="26"/>
  <c r="N1574" i="26"/>
  <c r="N1575" i="26"/>
  <c r="N1576" i="26"/>
  <c r="N1577" i="26"/>
  <c r="N1578" i="26"/>
  <c r="N1579" i="26"/>
  <c r="N1580" i="26"/>
  <c r="N1581" i="26"/>
  <c r="N1582" i="26"/>
  <c r="N1583" i="26"/>
  <c r="N1584" i="26"/>
  <c r="N1585" i="26"/>
  <c r="N1586" i="26"/>
  <c r="N1587" i="26"/>
  <c r="N1588" i="26"/>
  <c r="N1589" i="26"/>
  <c r="N1590" i="26"/>
  <c r="N1591" i="26"/>
  <c r="N1592" i="26"/>
  <c r="N1593" i="26"/>
  <c r="N1594" i="26"/>
  <c r="N1595" i="26"/>
  <c r="N1596" i="26"/>
  <c r="N1597" i="26"/>
  <c r="N1598" i="26"/>
  <c r="N1599" i="26"/>
  <c r="N1600" i="26"/>
  <c r="N1601" i="26"/>
  <c r="N1602" i="26"/>
  <c r="N1603" i="26"/>
  <c r="N1604" i="26"/>
  <c r="N1605" i="26"/>
  <c r="N1606" i="26"/>
  <c r="N1607" i="26"/>
  <c r="N1608" i="26"/>
  <c r="N1609" i="26"/>
  <c r="N1610" i="26"/>
  <c r="N1611" i="26"/>
  <c r="N1612" i="26"/>
  <c r="N1613" i="26"/>
  <c r="N1614" i="26"/>
  <c r="N1615" i="26"/>
  <c r="N1616" i="26"/>
  <c r="N1617" i="26"/>
  <c r="N1618" i="26"/>
  <c r="N1619" i="26"/>
  <c r="N1620" i="26"/>
  <c r="N1621" i="26"/>
  <c r="N1622" i="26"/>
  <c r="N1623" i="26"/>
  <c r="N1624" i="26"/>
  <c r="N1625" i="26"/>
  <c r="N1626" i="26"/>
  <c r="N1627" i="26"/>
  <c r="N1628" i="26"/>
  <c r="N1629" i="26"/>
  <c r="N1630" i="26"/>
  <c r="N1631" i="26"/>
  <c r="N1632" i="26"/>
  <c r="N1633" i="26"/>
  <c r="N1634" i="26"/>
  <c r="N1635" i="26"/>
  <c r="N1636" i="26"/>
  <c r="N1637" i="26"/>
  <c r="N1638" i="26"/>
  <c r="N1639" i="26"/>
  <c r="N1640" i="26"/>
  <c r="N1641" i="26"/>
  <c r="N1642" i="26"/>
  <c r="N1643" i="26"/>
  <c r="N1644" i="26"/>
  <c r="N1645" i="26"/>
  <c r="N1646" i="26"/>
  <c r="N1647" i="26"/>
  <c r="N1648" i="26"/>
  <c r="N1649" i="26"/>
  <c r="N1650" i="26"/>
  <c r="N1651" i="26"/>
  <c r="N1652" i="26"/>
  <c r="N1653" i="26"/>
  <c r="N1654" i="26"/>
  <c r="N1655" i="26"/>
  <c r="N1656" i="26"/>
  <c r="N1657" i="26"/>
  <c r="N1658" i="26"/>
  <c r="N1659" i="26"/>
  <c r="N1660" i="26"/>
  <c r="N1661" i="26"/>
  <c r="N1662" i="26"/>
  <c r="N1663" i="26"/>
  <c r="N1664" i="26"/>
  <c r="N1665" i="26"/>
  <c r="N1666" i="26"/>
  <c r="N1667" i="26"/>
  <c r="N1668" i="26"/>
  <c r="N1669" i="26"/>
  <c r="N1670" i="26"/>
  <c r="N1671" i="26"/>
  <c r="N1672" i="26"/>
  <c r="N1673" i="26"/>
  <c r="N1674" i="26"/>
  <c r="N1675" i="26"/>
  <c r="N1676" i="26"/>
  <c r="N1677" i="26"/>
  <c r="N1678" i="26"/>
  <c r="N1679" i="26"/>
  <c r="N1680" i="26"/>
  <c r="N1681" i="26"/>
  <c r="N1682" i="26"/>
  <c r="N1683" i="26"/>
  <c r="N1684" i="26"/>
  <c r="N1685" i="26"/>
  <c r="N1686" i="26"/>
  <c r="N1687" i="26"/>
  <c r="N1688" i="26"/>
  <c r="N1689" i="26"/>
  <c r="N1690" i="26"/>
  <c r="N1691" i="26"/>
  <c r="N1692" i="26"/>
  <c r="N1693" i="26"/>
  <c r="N1694" i="26"/>
  <c r="N1695" i="26"/>
  <c r="N1696" i="26"/>
  <c r="N1697" i="26"/>
  <c r="N1698" i="26"/>
  <c r="N1699" i="26"/>
  <c r="N1700" i="26"/>
  <c r="N1701" i="26"/>
  <c r="N1702" i="26"/>
  <c r="N1703" i="26"/>
  <c r="N1704" i="26"/>
  <c r="N1705" i="26"/>
  <c r="N1706" i="26"/>
  <c r="N1707" i="26"/>
  <c r="N1708" i="26"/>
  <c r="N1709" i="26"/>
  <c r="N1710" i="26"/>
  <c r="N1711" i="26"/>
  <c r="N1712" i="26"/>
  <c r="N1713" i="26"/>
  <c r="N1714" i="26"/>
  <c r="N1715" i="26"/>
  <c r="N1716" i="26"/>
  <c r="N1717" i="26"/>
  <c r="N1718" i="26"/>
  <c r="N1719" i="26"/>
  <c r="N1720" i="26"/>
  <c r="N1721" i="26"/>
  <c r="N1722" i="26"/>
  <c r="N1723" i="26"/>
  <c r="N1724" i="26"/>
  <c r="N1725" i="26"/>
  <c r="N1726" i="26"/>
  <c r="N1727" i="26"/>
  <c r="N1728" i="26"/>
  <c r="N1729" i="26"/>
  <c r="N1730" i="26"/>
  <c r="N1731" i="26"/>
  <c r="N1732" i="26"/>
  <c r="N1733" i="26"/>
  <c r="N1734" i="26"/>
  <c r="N1735" i="26"/>
  <c r="N1736" i="26"/>
  <c r="N1737" i="26"/>
  <c r="N1738" i="26"/>
  <c r="N1739" i="26"/>
  <c r="N1740" i="26"/>
  <c r="N1741" i="26"/>
  <c r="N1742" i="26"/>
  <c r="N1743" i="26"/>
  <c r="N1744" i="26"/>
  <c r="N1745" i="26"/>
  <c r="N1746" i="26"/>
  <c r="N1747" i="26"/>
  <c r="N1748" i="26"/>
  <c r="N1749" i="26"/>
  <c r="N1750" i="26"/>
  <c r="N1751" i="26"/>
  <c r="N1752" i="26"/>
  <c r="N1753" i="26"/>
  <c r="N1754" i="26"/>
  <c r="N1755" i="26"/>
  <c r="N1756" i="26"/>
  <c r="N1757" i="26"/>
  <c r="N1758" i="26"/>
  <c r="N1759" i="26"/>
  <c r="N1760" i="26"/>
  <c r="N1761" i="26"/>
  <c r="N1762" i="26"/>
  <c r="N1763" i="26"/>
  <c r="N1764" i="26"/>
  <c r="N1765" i="26"/>
  <c r="N1766" i="26"/>
  <c r="N1767" i="26"/>
  <c r="N1768" i="26"/>
  <c r="N1769" i="26"/>
  <c r="N1770" i="26"/>
  <c r="N1771" i="26"/>
  <c r="N1772" i="26"/>
  <c r="N1773" i="26"/>
  <c r="N1774" i="26"/>
  <c r="N1775" i="26"/>
  <c r="N1776" i="26"/>
  <c r="N1777" i="26"/>
  <c r="N1778" i="26"/>
  <c r="N1779" i="26"/>
  <c r="N1780" i="26"/>
  <c r="N1781" i="26"/>
  <c r="N1782" i="26"/>
  <c r="N1783" i="26"/>
  <c r="N1784" i="26"/>
  <c r="N1785" i="26"/>
  <c r="N1786" i="26"/>
  <c r="N1787" i="26"/>
  <c r="N1788" i="26"/>
  <c r="N1789" i="26"/>
  <c r="N1790" i="26"/>
  <c r="N1791" i="26"/>
  <c r="N1792" i="26"/>
  <c r="N1793" i="26"/>
  <c r="N1794" i="26"/>
  <c r="N1795" i="26"/>
  <c r="N1796" i="26"/>
  <c r="N1797" i="26"/>
  <c r="N1798" i="26"/>
  <c r="N1799" i="26"/>
  <c r="N1800" i="26"/>
  <c r="N1801" i="26"/>
  <c r="N1802" i="26"/>
  <c r="N1803" i="26"/>
  <c r="N1804" i="26"/>
  <c r="N1805" i="26"/>
  <c r="N1806" i="26"/>
  <c r="N1807" i="26"/>
  <c r="N1808" i="26"/>
  <c r="N1809" i="26"/>
  <c r="N1810" i="26"/>
  <c r="N1811" i="26"/>
  <c r="N1812" i="26"/>
  <c r="N1813" i="26"/>
  <c r="N1814" i="26"/>
  <c r="N1815" i="26"/>
  <c r="N1816" i="26"/>
  <c r="N1817" i="26"/>
  <c r="N1818" i="26"/>
  <c r="N1819" i="26"/>
  <c r="N1820" i="26"/>
  <c r="N1821" i="26"/>
  <c r="N1822" i="26"/>
  <c r="N1823" i="26"/>
  <c r="N1824" i="26"/>
  <c r="N1825" i="26"/>
  <c r="N1826" i="26"/>
  <c r="N1827" i="26"/>
  <c r="N1828" i="26"/>
  <c r="N1829" i="26"/>
  <c r="N1830" i="26"/>
  <c r="N1831" i="26"/>
  <c r="N1832" i="26"/>
  <c r="N1833" i="26"/>
  <c r="N1834" i="26"/>
  <c r="N1835" i="26"/>
  <c r="N1836" i="26"/>
  <c r="N1837" i="26"/>
  <c r="N1838" i="26"/>
  <c r="N1839" i="26"/>
  <c r="N1840" i="26"/>
  <c r="N1841" i="26"/>
  <c r="N1842" i="26"/>
  <c r="N1843" i="26"/>
  <c r="N1844" i="26"/>
  <c r="N1845" i="26"/>
  <c r="N1846" i="26"/>
  <c r="N1847" i="26"/>
  <c r="N1848" i="26"/>
  <c r="N1849" i="26"/>
  <c r="N1850" i="26"/>
  <c r="N1851" i="26"/>
  <c r="N1852" i="26"/>
  <c r="N1853" i="26"/>
  <c r="N1854" i="26"/>
  <c r="N1855" i="26"/>
  <c r="N1856" i="26"/>
  <c r="N1857" i="26"/>
  <c r="N1858" i="26"/>
  <c r="N1859" i="26"/>
  <c r="N1860" i="26"/>
  <c r="N1861" i="26"/>
  <c r="N1862" i="26"/>
  <c r="N1863" i="26"/>
  <c r="N1864" i="26"/>
  <c r="N1865" i="26"/>
  <c r="N1866" i="26"/>
  <c r="N1867" i="26"/>
  <c r="N1868" i="26"/>
  <c r="N1869" i="26"/>
  <c r="N1870" i="26"/>
  <c r="N1871" i="26"/>
  <c r="N1872" i="26"/>
  <c r="N1873" i="26"/>
  <c r="N1874" i="26"/>
  <c r="N1875" i="26"/>
  <c r="N1876" i="26"/>
  <c r="N1877" i="26"/>
  <c r="N1878" i="26"/>
  <c r="N1879" i="26"/>
  <c r="N1880" i="26"/>
  <c r="N1881" i="26"/>
  <c r="N1882" i="26"/>
  <c r="N1883" i="26"/>
  <c r="N1884" i="26"/>
  <c r="N1885" i="26"/>
  <c r="N1886" i="26"/>
  <c r="N1887" i="26"/>
  <c r="N1888" i="26"/>
  <c r="N1889" i="26"/>
  <c r="N1890" i="26"/>
  <c r="N1891" i="26"/>
  <c r="N1892" i="26"/>
  <c r="N1893" i="26"/>
  <c r="N1894" i="26"/>
  <c r="N1895" i="26"/>
  <c r="N1896" i="26"/>
  <c r="N1897" i="26"/>
  <c r="N1898" i="26"/>
  <c r="N1899" i="26"/>
  <c r="N1900" i="26"/>
  <c r="N1901" i="26"/>
  <c r="N1902" i="26"/>
  <c r="N1903" i="26"/>
  <c r="N1904" i="26"/>
  <c r="N1905" i="26"/>
  <c r="N1906" i="26"/>
  <c r="N1907" i="26"/>
  <c r="N1908" i="26"/>
  <c r="N1909" i="26"/>
  <c r="N1910" i="26"/>
  <c r="N1911" i="26"/>
  <c r="N1912" i="26"/>
  <c r="N1913" i="26"/>
  <c r="N1914" i="26"/>
  <c r="N1915" i="26"/>
  <c r="N1916" i="26"/>
  <c r="N1917" i="26"/>
  <c r="N1918" i="26"/>
  <c r="N1919" i="26"/>
  <c r="N1920" i="26"/>
  <c r="N1921" i="26"/>
  <c r="N1922" i="26"/>
  <c r="N1923" i="26"/>
  <c r="N1924" i="26"/>
  <c r="N1925" i="26"/>
  <c r="N1926" i="26"/>
  <c r="N1927" i="26"/>
  <c r="N1928" i="26"/>
  <c r="N1929" i="26"/>
  <c r="N1930" i="26"/>
  <c r="N1931" i="26"/>
  <c r="N1932" i="26"/>
  <c r="N1933" i="26"/>
  <c r="N1934" i="26"/>
  <c r="N1935" i="26"/>
  <c r="N1936" i="26"/>
  <c r="N1937" i="26"/>
  <c r="N1938" i="26"/>
  <c r="N1939" i="26"/>
  <c r="N1940" i="26"/>
  <c r="N1941" i="26"/>
  <c r="N1942" i="26"/>
  <c r="N1943" i="26"/>
  <c r="N1944" i="26"/>
  <c r="N1945" i="26"/>
  <c r="N1946" i="26"/>
  <c r="N1947" i="26"/>
  <c r="N1948" i="26"/>
  <c r="N1949" i="26"/>
  <c r="N1950" i="26"/>
  <c r="N1951" i="26"/>
  <c r="N1952" i="26"/>
  <c r="N1953" i="26"/>
  <c r="N1954" i="26"/>
  <c r="N1955" i="26"/>
  <c r="N1956" i="26"/>
  <c r="N1957" i="26"/>
  <c r="N1958" i="26"/>
  <c r="N1959" i="26"/>
  <c r="N1960" i="26"/>
  <c r="N1961" i="26"/>
  <c r="N1962" i="26"/>
  <c r="N1963" i="26"/>
  <c r="N1964" i="26"/>
  <c r="N1965" i="26"/>
  <c r="N1966" i="26"/>
  <c r="N1967" i="26"/>
  <c r="N1968" i="26"/>
  <c r="N1969" i="26"/>
  <c r="N1970" i="26"/>
  <c r="N1971" i="26"/>
  <c r="N1972" i="26"/>
  <c r="N1973" i="26"/>
  <c r="N1974" i="26"/>
  <c r="N1975" i="26"/>
  <c r="N1976" i="26"/>
  <c r="N1977" i="26"/>
  <c r="N1978" i="26"/>
  <c r="N1979" i="26"/>
  <c r="N1980" i="26"/>
  <c r="N1981" i="26"/>
  <c r="N1982" i="26"/>
  <c r="N1983" i="26"/>
  <c r="N1984" i="26"/>
  <c r="N1985" i="26"/>
  <c r="N1986" i="26"/>
  <c r="N1987" i="26"/>
  <c r="N1988" i="26"/>
  <c r="N1989" i="26"/>
  <c r="N1990" i="26"/>
  <c r="N1991" i="26"/>
  <c r="N1992" i="26"/>
  <c r="N1993" i="26"/>
  <c r="N1994" i="26"/>
  <c r="N1995" i="26"/>
  <c r="N1996" i="26"/>
  <c r="N1997" i="26"/>
  <c r="N1998" i="26"/>
  <c r="N1999" i="26"/>
  <c r="N2000" i="26"/>
  <c r="N2" i="26"/>
  <c r="G6" i="23"/>
  <c r="D15" i="23"/>
  <c r="D12" i="23"/>
  <c r="E6" i="23"/>
  <c r="E3" i="1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88B12D1-BACD-42CC-B07F-0B20BF113B3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DA2E752-9C4B-4279-9333-9B903A34333E}" name="WorksheetConnection_clean file.xlsx!Table1" type="102" refreshedVersion="8" minRefreshableVersion="5">
    <extLst>
      <ext xmlns:x15="http://schemas.microsoft.com/office/spreadsheetml/2010/11/main" uri="{DE250136-89BD-433C-8126-D09CA5730AF9}">
        <x15:connection id="Table1" autoDelete="1">
          <x15:rangePr sourceName="_xlcn.WorksheetConnection_cleanfile.xlsxTable11"/>
        </x15:connection>
      </ext>
    </extLst>
  </connection>
</connections>
</file>

<file path=xl/sharedStrings.xml><?xml version="1.0" encoding="utf-8"?>
<sst xmlns="http://schemas.openxmlformats.org/spreadsheetml/2006/main" count="30280" uniqueCount="4129">
  <si>
    <t>GLID</t>
  </si>
  <si>
    <t>TxnDate</t>
  </si>
  <si>
    <t>AccountNumber</t>
  </si>
  <si>
    <t>AccountName</t>
  </si>
  <si>
    <t>Debit</t>
  </si>
  <si>
    <t>Credit</t>
  </si>
  <si>
    <t>Dept</t>
  </si>
  <si>
    <t>CostCenter</t>
  </si>
  <si>
    <t>Description</t>
  </si>
  <si>
    <t>Currency</t>
  </si>
  <si>
    <t>YearMonth</t>
  </si>
  <si>
    <t>ActualAmount</t>
  </si>
  <si>
    <t>GL000000</t>
  </si>
  <si>
    <t>GL000001</t>
  </si>
  <si>
    <t>GL000002</t>
  </si>
  <si>
    <t>GL000003</t>
  </si>
  <si>
    <t>GL000004</t>
  </si>
  <si>
    <t>GL000005</t>
  </si>
  <si>
    <t>GL000006</t>
  </si>
  <si>
    <t>GL000007</t>
  </si>
  <si>
    <t>GL000008</t>
  </si>
  <si>
    <t>GL000009</t>
  </si>
  <si>
    <t>GL000010</t>
  </si>
  <si>
    <t>GL000011</t>
  </si>
  <si>
    <t>GL000012</t>
  </si>
  <si>
    <t>GL000013</t>
  </si>
  <si>
    <t>GL000014</t>
  </si>
  <si>
    <t>GL000015</t>
  </si>
  <si>
    <t>GL000016</t>
  </si>
  <si>
    <t>GL000017</t>
  </si>
  <si>
    <t>GL000018</t>
  </si>
  <si>
    <t>GL000019</t>
  </si>
  <si>
    <t>GL000020</t>
  </si>
  <si>
    <t>GL000021</t>
  </si>
  <si>
    <t>GL000022</t>
  </si>
  <si>
    <t>GL000023</t>
  </si>
  <si>
    <t>GL000024</t>
  </si>
  <si>
    <t>GL000025</t>
  </si>
  <si>
    <t>GL000026</t>
  </si>
  <si>
    <t>GL000027</t>
  </si>
  <si>
    <t>GL000028</t>
  </si>
  <si>
    <t>GL000029</t>
  </si>
  <si>
    <t>GL000030</t>
  </si>
  <si>
    <t>GL000031</t>
  </si>
  <si>
    <t>GL000032</t>
  </si>
  <si>
    <t>GL000033</t>
  </si>
  <si>
    <t>GL000034</t>
  </si>
  <si>
    <t>GL000035</t>
  </si>
  <si>
    <t>GL000036</t>
  </si>
  <si>
    <t>GL000037</t>
  </si>
  <si>
    <t>GL000038</t>
  </si>
  <si>
    <t>GL000039</t>
  </si>
  <si>
    <t>GL000040</t>
  </si>
  <si>
    <t>GL000041</t>
  </si>
  <si>
    <t>GL000042</t>
  </si>
  <si>
    <t>GL000043</t>
  </si>
  <si>
    <t>GL000044</t>
  </si>
  <si>
    <t>GL000045</t>
  </si>
  <si>
    <t>GL000046</t>
  </si>
  <si>
    <t>GL000047</t>
  </si>
  <si>
    <t>GL000048</t>
  </si>
  <si>
    <t>GL000049</t>
  </si>
  <si>
    <t>GL000050</t>
  </si>
  <si>
    <t>GL000051</t>
  </si>
  <si>
    <t>GL000052</t>
  </si>
  <si>
    <t>GL000053</t>
  </si>
  <si>
    <t>GL000054</t>
  </si>
  <si>
    <t>GL000055</t>
  </si>
  <si>
    <t>GL000056</t>
  </si>
  <si>
    <t>GL000057</t>
  </si>
  <si>
    <t>GL000058</t>
  </si>
  <si>
    <t>GL000059</t>
  </si>
  <si>
    <t>GL000060</t>
  </si>
  <si>
    <t>GL000061</t>
  </si>
  <si>
    <t>GL000062</t>
  </si>
  <si>
    <t>GL000063</t>
  </si>
  <si>
    <t>GL000064</t>
  </si>
  <si>
    <t>GL000065</t>
  </si>
  <si>
    <t>GL000066</t>
  </si>
  <si>
    <t>GL000067</t>
  </si>
  <si>
    <t>GL000068</t>
  </si>
  <si>
    <t>GL000069</t>
  </si>
  <si>
    <t>GL000070</t>
  </si>
  <si>
    <t>GL000071</t>
  </si>
  <si>
    <t>GL000072</t>
  </si>
  <si>
    <t>GL000073</t>
  </si>
  <si>
    <t>GL000074</t>
  </si>
  <si>
    <t>GL000075</t>
  </si>
  <si>
    <t>GL000076</t>
  </si>
  <si>
    <t>GL000077</t>
  </si>
  <si>
    <t>GL000078</t>
  </si>
  <si>
    <t>GL000079</t>
  </si>
  <si>
    <t>GL000080</t>
  </si>
  <si>
    <t>GL000081</t>
  </si>
  <si>
    <t>GL000082</t>
  </si>
  <si>
    <t>GL000083</t>
  </si>
  <si>
    <t>GL000084</t>
  </si>
  <si>
    <t>GL000085</t>
  </si>
  <si>
    <t>GL000086</t>
  </si>
  <si>
    <t>GL000087</t>
  </si>
  <si>
    <t>GL000088</t>
  </si>
  <si>
    <t>GL000089</t>
  </si>
  <si>
    <t>GL000090</t>
  </si>
  <si>
    <t>GL000091</t>
  </si>
  <si>
    <t>GL000092</t>
  </si>
  <si>
    <t>GL000093</t>
  </si>
  <si>
    <t>GL000094</t>
  </si>
  <si>
    <t>GL000095</t>
  </si>
  <si>
    <t>GL000096</t>
  </si>
  <si>
    <t>GL000097</t>
  </si>
  <si>
    <t>GL000098</t>
  </si>
  <si>
    <t>GL000099</t>
  </si>
  <si>
    <t>GL000100</t>
  </si>
  <si>
    <t>GL000101</t>
  </si>
  <si>
    <t>GL000102</t>
  </si>
  <si>
    <t>GL000103</t>
  </si>
  <si>
    <t>GL000104</t>
  </si>
  <si>
    <t>GL000105</t>
  </si>
  <si>
    <t>GL000106</t>
  </si>
  <si>
    <t>GL000107</t>
  </si>
  <si>
    <t>GL000108</t>
  </si>
  <si>
    <t>GL000109</t>
  </si>
  <si>
    <t>GL000110</t>
  </si>
  <si>
    <t>GL000111</t>
  </si>
  <si>
    <t>GL000112</t>
  </si>
  <si>
    <t>GL000113</t>
  </si>
  <si>
    <t>GL000114</t>
  </si>
  <si>
    <t>GL000115</t>
  </si>
  <si>
    <t>GL000116</t>
  </si>
  <si>
    <t>GL000117</t>
  </si>
  <si>
    <t>GL000118</t>
  </si>
  <si>
    <t>GL000119</t>
  </si>
  <si>
    <t>GL000120</t>
  </si>
  <si>
    <t>GL000121</t>
  </si>
  <si>
    <t>GL000122</t>
  </si>
  <si>
    <t>GL000123</t>
  </si>
  <si>
    <t>GL000124</t>
  </si>
  <si>
    <t>GL000125</t>
  </si>
  <si>
    <t>GL000126</t>
  </si>
  <si>
    <t>GL000127</t>
  </si>
  <si>
    <t>GL000128</t>
  </si>
  <si>
    <t>GL000129</t>
  </si>
  <si>
    <t>GL000130</t>
  </si>
  <si>
    <t>GL000131</t>
  </si>
  <si>
    <t>GL000132</t>
  </si>
  <si>
    <t>GL000133</t>
  </si>
  <si>
    <t>GL000134</t>
  </si>
  <si>
    <t>GL000135</t>
  </si>
  <si>
    <t>GL000136</t>
  </si>
  <si>
    <t>GL000137</t>
  </si>
  <si>
    <t>GL000138</t>
  </si>
  <si>
    <t>GL000139</t>
  </si>
  <si>
    <t>GL000140</t>
  </si>
  <si>
    <t>GL000141</t>
  </si>
  <si>
    <t>GL000142</t>
  </si>
  <si>
    <t>GL000143</t>
  </si>
  <si>
    <t>GL000144</t>
  </si>
  <si>
    <t>GL000145</t>
  </si>
  <si>
    <t>GL000146</t>
  </si>
  <si>
    <t>GL000147</t>
  </si>
  <si>
    <t>GL000148</t>
  </si>
  <si>
    <t>GL000149</t>
  </si>
  <si>
    <t>GL000150</t>
  </si>
  <si>
    <t>GL000151</t>
  </si>
  <si>
    <t>GL000152</t>
  </si>
  <si>
    <t>GL000153</t>
  </si>
  <si>
    <t>GL000154</t>
  </si>
  <si>
    <t>GL000155</t>
  </si>
  <si>
    <t>GL000156</t>
  </si>
  <si>
    <t>GL000157</t>
  </si>
  <si>
    <t>GL000158</t>
  </si>
  <si>
    <t>GL000159</t>
  </si>
  <si>
    <t>GL000160</t>
  </si>
  <si>
    <t>GL000161</t>
  </si>
  <si>
    <t>GL000162</t>
  </si>
  <si>
    <t>GL000163</t>
  </si>
  <si>
    <t>GL000164</t>
  </si>
  <si>
    <t>GL000165</t>
  </si>
  <si>
    <t>GL000166</t>
  </si>
  <si>
    <t>GL000167</t>
  </si>
  <si>
    <t>GL000168</t>
  </si>
  <si>
    <t>GL000169</t>
  </si>
  <si>
    <t>GL000170</t>
  </si>
  <si>
    <t>GL000171</t>
  </si>
  <si>
    <t>GL000172</t>
  </si>
  <si>
    <t>GL000173</t>
  </si>
  <si>
    <t>GL000174</t>
  </si>
  <si>
    <t>GL000175</t>
  </si>
  <si>
    <t>GL000176</t>
  </si>
  <si>
    <t>GL000177</t>
  </si>
  <si>
    <t>GL000178</t>
  </si>
  <si>
    <t>GL000179</t>
  </si>
  <si>
    <t>GL000180</t>
  </si>
  <si>
    <t>GL000181</t>
  </si>
  <si>
    <t>GL000182</t>
  </si>
  <si>
    <t>GL000183</t>
  </si>
  <si>
    <t>GL000184</t>
  </si>
  <si>
    <t>GL000185</t>
  </si>
  <si>
    <t>GL000186</t>
  </si>
  <si>
    <t>GL000187</t>
  </si>
  <si>
    <t>GL000188</t>
  </si>
  <si>
    <t>GL000189</t>
  </si>
  <si>
    <t>GL000190</t>
  </si>
  <si>
    <t>GL000191</t>
  </si>
  <si>
    <t>GL000192</t>
  </si>
  <si>
    <t>GL000193</t>
  </si>
  <si>
    <t>GL000194</t>
  </si>
  <si>
    <t>GL000195</t>
  </si>
  <si>
    <t>GL000196</t>
  </si>
  <si>
    <t>GL000197</t>
  </si>
  <si>
    <t>GL000198</t>
  </si>
  <si>
    <t>GL000199</t>
  </si>
  <si>
    <t>GL000200</t>
  </si>
  <si>
    <t>GL000201</t>
  </si>
  <si>
    <t>GL000202</t>
  </si>
  <si>
    <t>GL000203</t>
  </si>
  <si>
    <t>GL000204</t>
  </si>
  <si>
    <t>GL000205</t>
  </si>
  <si>
    <t>GL000206</t>
  </si>
  <si>
    <t>GL000207</t>
  </si>
  <si>
    <t>GL000208</t>
  </si>
  <si>
    <t>GL000209</t>
  </si>
  <si>
    <t>GL000210</t>
  </si>
  <si>
    <t>GL000211</t>
  </si>
  <si>
    <t>GL000212</t>
  </si>
  <si>
    <t>GL000213</t>
  </si>
  <si>
    <t>GL000214</t>
  </si>
  <si>
    <t>GL000215</t>
  </si>
  <si>
    <t>GL000216</t>
  </si>
  <si>
    <t>GL000217</t>
  </si>
  <si>
    <t>GL000218</t>
  </si>
  <si>
    <t>GL000219</t>
  </si>
  <si>
    <t>GL000220</t>
  </si>
  <si>
    <t>GL000221</t>
  </si>
  <si>
    <t>GL000222</t>
  </si>
  <si>
    <t>GL000223</t>
  </si>
  <si>
    <t>GL000224</t>
  </si>
  <si>
    <t>GL000225</t>
  </si>
  <si>
    <t>GL000226</t>
  </si>
  <si>
    <t>GL000227</t>
  </si>
  <si>
    <t>GL000228</t>
  </si>
  <si>
    <t>GL000229</t>
  </si>
  <si>
    <t>GL000230</t>
  </si>
  <si>
    <t>GL000231</t>
  </si>
  <si>
    <t>GL000232</t>
  </si>
  <si>
    <t>GL000233</t>
  </si>
  <si>
    <t>GL000234</t>
  </si>
  <si>
    <t>GL000235</t>
  </si>
  <si>
    <t>GL000236</t>
  </si>
  <si>
    <t>GL000237</t>
  </si>
  <si>
    <t>GL000238</t>
  </si>
  <si>
    <t>GL000239</t>
  </si>
  <si>
    <t>GL000240</t>
  </si>
  <si>
    <t>GL000241</t>
  </si>
  <si>
    <t>GL000242</t>
  </si>
  <si>
    <t>GL000243</t>
  </si>
  <si>
    <t>GL000244</t>
  </si>
  <si>
    <t>GL000245</t>
  </si>
  <si>
    <t>GL000246</t>
  </si>
  <si>
    <t>GL000247</t>
  </si>
  <si>
    <t>GL000248</t>
  </si>
  <si>
    <t>GL000249</t>
  </si>
  <si>
    <t>GL000250</t>
  </si>
  <si>
    <t>GL000251</t>
  </si>
  <si>
    <t>GL000252</t>
  </si>
  <si>
    <t>GL000253</t>
  </si>
  <si>
    <t>GL000254</t>
  </si>
  <si>
    <t>GL000255</t>
  </si>
  <si>
    <t>GL000256</t>
  </si>
  <si>
    <t>GL000257</t>
  </si>
  <si>
    <t>GL000258</t>
  </si>
  <si>
    <t>GL000259</t>
  </si>
  <si>
    <t>GL000260</t>
  </si>
  <si>
    <t>GL000261</t>
  </si>
  <si>
    <t>GL000262</t>
  </si>
  <si>
    <t>GL000263</t>
  </si>
  <si>
    <t>GL000264</t>
  </si>
  <si>
    <t>GL000265</t>
  </si>
  <si>
    <t>GL000266</t>
  </si>
  <si>
    <t>GL000267</t>
  </si>
  <si>
    <t>GL000268</t>
  </si>
  <si>
    <t>GL000269</t>
  </si>
  <si>
    <t>GL000270</t>
  </si>
  <si>
    <t>GL000271</t>
  </si>
  <si>
    <t>GL000272</t>
  </si>
  <si>
    <t>GL000273</t>
  </si>
  <si>
    <t>GL000274</t>
  </si>
  <si>
    <t>GL000275</t>
  </si>
  <si>
    <t>GL000276</t>
  </si>
  <si>
    <t>GL000277</t>
  </si>
  <si>
    <t>GL000278</t>
  </si>
  <si>
    <t>GL000279</t>
  </si>
  <si>
    <t>GL000280</t>
  </si>
  <si>
    <t>GL000281</t>
  </si>
  <si>
    <t>GL000282</t>
  </si>
  <si>
    <t>GL000283</t>
  </si>
  <si>
    <t>GL000284</t>
  </si>
  <si>
    <t>GL000285</t>
  </si>
  <si>
    <t>GL000286</t>
  </si>
  <si>
    <t>GL000287</t>
  </si>
  <si>
    <t>GL000288</t>
  </si>
  <si>
    <t>GL000289</t>
  </si>
  <si>
    <t>GL000290</t>
  </si>
  <si>
    <t>GL000291</t>
  </si>
  <si>
    <t>GL000292</t>
  </si>
  <si>
    <t>GL000293</t>
  </si>
  <si>
    <t>GL000294</t>
  </si>
  <si>
    <t>GL000295</t>
  </si>
  <si>
    <t>GL000296</t>
  </si>
  <si>
    <t>GL000297</t>
  </si>
  <si>
    <t>GL000298</t>
  </si>
  <si>
    <t>GL000299</t>
  </si>
  <si>
    <t>GL000300</t>
  </si>
  <si>
    <t>GL000301</t>
  </si>
  <si>
    <t>GL000302</t>
  </si>
  <si>
    <t>GL000303</t>
  </si>
  <si>
    <t>GL000304</t>
  </si>
  <si>
    <t>GL000305</t>
  </si>
  <si>
    <t>GL000306</t>
  </si>
  <si>
    <t>GL000307</t>
  </si>
  <si>
    <t>GL000308</t>
  </si>
  <si>
    <t>GL000309</t>
  </si>
  <si>
    <t>GL000310</t>
  </si>
  <si>
    <t>GL000311</t>
  </si>
  <si>
    <t>GL000312</t>
  </si>
  <si>
    <t>GL000313</t>
  </si>
  <si>
    <t>GL000314</t>
  </si>
  <si>
    <t>GL000315</t>
  </si>
  <si>
    <t>GL000316</t>
  </si>
  <si>
    <t>GL000317</t>
  </si>
  <si>
    <t>GL000318</t>
  </si>
  <si>
    <t>GL000319</t>
  </si>
  <si>
    <t>GL000320</t>
  </si>
  <si>
    <t>GL000321</t>
  </si>
  <si>
    <t>GL000322</t>
  </si>
  <si>
    <t>GL000323</t>
  </si>
  <si>
    <t>GL000324</t>
  </si>
  <si>
    <t>GL000325</t>
  </si>
  <si>
    <t>GL000326</t>
  </si>
  <si>
    <t>GL000327</t>
  </si>
  <si>
    <t>GL000328</t>
  </si>
  <si>
    <t>GL000329</t>
  </si>
  <si>
    <t>GL000330</t>
  </si>
  <si>
    <t>GL000331</t>
  </si>
  <si>
    <t>GL000332</t>
  </si>
  <si>
    <t>GL000333</t>
  </si>
  <si>
    <t>GL000334</t>
  </si>
  <si>
    <t>GL000335</t>
  </si>
  <si>
    <t>GL000336</t>
  </si>
  <si>
    <t>GL000337</t>
  </si>
  <si>
    <t>GL000338</t>
  </si>
  <si>
    <t>GL000339</t>
  </si>
  <si>
    <t>GL000340</t>
  </si>
  <si>
    <t>GL000341</t>
  </si>
  <si>
    <t>GL000342</t>
  </si>
  <si>
    <t>GL000343</t>
  </si>
  <si>
    <t>GL000344</t>
  </si>
  <si>
    <t>GL000345</t>
  </si>
  <si>
    <t>GL000346</t>
  </si>
  <si>
    <t>GL000347</t>
  </si>
  <si>
    <t>GL000348</t>
  </si>
  <si>
    <t>GL000349</t>
  </si>
  <si>
    <t>GL000350</t>
  </si>
  <si>
    <t>GL000351</t>
  </si>
  <si>
    <t>GL000352</t>
  </si>
  <si>
    <t>GL000353</t>
  </si>
  <si>
    <t>GL000354</t>
  </si>
  <si>
    <t>GL000355</t>
  </si>
  <si>
    <t>GL000356</t>
  </si>
  <si>
    <t>GL000357</t>
  </si>
  <si>
    <t>GL000358</t>
  </si>
  <si>
    <t>GL000359</t>
  </si>
  <si>
    <t>GL000360</t>
  </si>
  <si>
    <t>GL000361</t>
  </si>
  <si>
    <t>GL000362</t>
  </si>
  <si>
    <t>GL000363</t>
  </si>
  <si>
    <t>GL000364</t>
  </si>
  <si>
    <t>GL000365</t>
  </si>
  <si>
    <t>GL000366</t>
  </si>
  <si>
    <t>GL000367</t>
  </si>
  <si>
    <t>GL000368</t>
  </si>
  <si>
    <t>GL000369</t>
  </si>
  <si>
    <t>GL000370</t>
  </si>
  <si>
    <t>GL000371</t>
  </si>
  <si>
    <t>GL000372</t>
  </si>
  <si>
    <t>GL000373</t>
  </si>
  <si>
    <t>GL000374</t>
  </si>
  <si>
    <t>GL000375</t>
  </si>
  <si>
    <t>GL000376</t>
  </si>
  <si>
    <t>GL000377</t>
  </si>
  <si>
    <t>GL000378</t>
  </si>
  <si>
    <t>GL000379</t>
  </si>
  <si>
    <t>GL000380</t>
  </si>
  <si>
    <t>GL000381</t>
  </si>
  <si>
    <t>GL000382</t>
  </si>
  <si>
    <t>GL000383</t>
  </si>
  <si>
    <t>GL000384</t>
  </si>
  <si>
    <t>GL000385</t>
  </si>
  <si>
    <t>GL000386</t>
  </si>
  <si>
    <t>GL000387</t>
  </si>
  <si>
    <t>GL000388</t>
  </si>
  <si>
    <t>GL000389</t>
  </si>
  <si>
    <t>GL000390</t>
  </si>
  <si>
    <t>GL000391</t>
  </si>
  <si>
    <t>GL000392</t>
  </si>
  <si>
    <t>GL000393</t>
  </si>
  <si>
    <t>GL000394</t>
  </si>
  <si>
    <t>GL000395</t>
  </si>
  <si>
    <t>GL000396</t>
  </si>
  <si>
    <t>GL000397</t>
  </si>
  <si>
    <t>GL000398</t>
  </si>
  <si>
    <t>GL000399</t>
  </si>
  <si>
    <t>GL000400</t>
  </si>
  <si>
    <t>GL000401</t>
  </si>
  <si>
    <t>GL000402</t>
  </si>
  <si>
    <t>GL000403</t>
  </si>
  <si>
    <t>GL000404</t>
  </si>
  <si>
    <t>GL000405</t>
  </si>
  <si>
    <t>GL000406</t>
  </si>
  <si>
    <t>GL000407</t>
  </si>
  <si>
    <t>GL000408</t>
  </si>
  <si>
    <t>GL000409</t>
  </si>
  <si>
    <t>GL000410</t>
  </si>
  <si>
    <t>GL000411</t>
  </si>
  <si>
    <t>GL000412</t>
  </si>
  <si>
    <t>GL000413</t>
  </si>
  <si>
    <t>GL000414</t>
  </si>
  <si>
    <t>GL000415</t>
  </si>
  <si>
    <t>GL000416</t>
  </si>
  <si>
    <t>GL000417</t>
  </si>
  <si>
    <t>GL000418</t>
  </si>
  <si>
    <t>GL000419</t>
  </si>
  <si>
    <t>GL000420</t>
  </si>
  <si>
    <t>GL000421</t>
  </si>
  <si>
    <t>GL000422</t>
  </si>
  <si>
    <t>GL000423</t>
  </si>
  <si>
    <t>GL000424</t>
  </si>
  <si>
    <t>GL000425</t>
  </si>
  <si>
    <t>GL000426</t>
  </si>
  <si>
    <t>GL000427</t>
  </si>
  <si>
    <t>GL000428</t>
  </si>
  <si>
    <t>GL000429</t>
  </si>
  <si>
    <t>GL000430</t>
  </si>
  <si>
    <t>GL000431</t>
  </si>
  <si>
    <t>GL000432</t>
  </si>
  <si>
    <t>GL000433</t>
  </si>
  <si>
    <t>GL000434</t>
  </si>
  <si>
    <t>GL000435</t>
  </si>
  <si>
    <t>GL000436</t>
  </si>
  <si>
    <t>GL000437</t>
  </si>
  <si>
    <t>GL000438</t>
  </si>
  <si>
    <t>GL000439</t>
  </si>
  <si>
    <t>GL000440</t>
  </si>
  <si>
    <t>GL000441</t>
  </si>
  <si>
    <t>GL000442</t>
  </si>
  <si>
    <t>GL000443</t>
  </si>
  <si>
    <t>GL000444</t>
  </si>
  <si>
    <t>GL000445</t>
  </si>
  <si>
    <t>GL000446</t>
  </si>
  <si>
    <t>GL000447</t>
  </si>
  <si>
    <t>GL000448</t>
  </si>
  <si>
    <t>GL000449</t>
  </si>
  <si>
    <t>GL000450</t>
  </si>
  <si>
    <t>GL000451</t>
  </si>
  <si>
    <t>GL000452</t>
  </si>
  <si>
    <t>GL000453</t>
  </si>
  <si>
    <t>GL000454</t>
  </si>
  <si>
    <t>GL000455</t>
  </si>
  <si>
    <t>GL000456</t>
  </si>
  <si>
    <t>GL000457</t>
  </si>
  <si>
    <t>GL000458</t>
  </si>
  <si>
    <t>GL000459</t>
  </si>
  <si>
    <t>GL000460</t>
  </si>
  <si>
    <t>GL000461</t>
  </si>
  <si>
    <t>GL000462</t>
  </si>
  <si>
    <t>GL000463</t>
  </si>
  <si>
    <t>GL000464</t>
  </si>
  <si>
    <t>GL000465</t>
  </si>
  <si>
    <t>GL000466</t>
  </si>
  <si>
    <t>GL000467</t>
  </si>
  <si>
    <t>GL000468</t>
  </si>
  <si>
    <t>GL000469</t>
  </si>
  <si>
    <t>GL000470</t>
  </si>
  <si>
    <t>GL000471</t>
  </si>
  <si>
    <t>GL000472</t>
  </si>
  <si>
    <t>GL000473</t>
  </si>
  <si>
    <t>GL000474</t>
  </si>
  <si>
    <t>GL000475</t>
  </si>
  <si>
    <t>GL000476</t>
  </si>
  <si>
    <t>GL000477</t>
  </si>
  <si>
    <t>GL000478</t>
  </si>
  <si>
    <t>GL000479</t>
  </si>
  <si>
    <t>GL000480</t>
  </si>
  <si>
    <t>GL000481</t>
  </si>
  <si>
    <t>GL000482</t>
  </si>
  <si>
    <t>GL000483</t>
  </si>
  <si>
    <t>GL000484</t>
  </si>
  <si>
    <t>GL000485</t>
  </si>
  <si>
    <t>GL000486</t>
  </si>
  <si>
    <t>GL000487</t>
  </si>
  <si>
    <t>GL000488</t>
  </si>
  <si>
    <t>GL000489</t>
  </si>
  <si>
    <t>GL000490</t>
  </si>
  <si>
    <t>GL000491</t>
  </si>
  <si>
    <t>GL000492</t>
  </si>
  <si>
    <t>GL000493</t>
  </si>
  <si>
    <t>GL000494</t>
  </si>
  <si>
    <t>GL000495</t>
  </si>
  <si>
    <t>GL000496</t>
  </si>
  <si>
    <t>GL000497</t>
  </si>
  <si>
    <t>GL000498</t>
  </si>
  <si>
    <t>GL000499</t>
  </si>
  <si>
    <t>GL000500</t>
  </si>
  <si>
    <t>GL000501</t>
  </si>
  <si>
    <t>GL000502</t>
  </si>
  <si>
    <t>GL000503</t>
  </si>
  <si>
    <t>GL000504</t>
  </si>
  <si>
    <t>GL000505</t>
  </si>
  <si>
    <t>GL000506</t>
  </si>
  <si>
    <t>GL000507</t>
  </si>
  <si>
    <t>GL000508</t>
  </si>
  <si>
    <t>GL000509</t>
  </si>
  <si>
    <t>GL000510</t>
  </si>
  <si>
    <t>GL000511</t>
  </si>
  <si>
    <t>GL000512</t>
  </si>
  <si>
    <t>GL000513</t>
  </si>
  <si>
    <t>GL000514</t>
  </si>
  <si>
    <t>GL000515</t>
  </si>
  <si>
    <t>GL000516</t>
  </si>
  <si>
    <t>GL000517</t>
  </si>
  <si>
    <t>GL000518</t>
  </si>
  <si>
    <t>GL000519</t>
  </si>
  <si>
    <t>GL000520</t>
  </si>
  <si>
    <t>GL000521</t>
  </si>
  <si>
    <t>GL000522</t>
  </si>
  <si>
    <t>GL000523</t>
  </si>
  <si>
    <t>GL000524</t>
  </si>
  <si>
    <t>GL000525</t>
  </si>
  <si>
    <t>GL000526</t>
  </si>
  <si>
    <t>GL000527</t>
  </si>
  <si>
    <t>GL000528</t>
  </si>
  <si>
    <t>GL000529</t>
  </si>
  <si>
    <t>GL000530</t>
  </si>
  <si>
    <t>GL000531</t>
  </si>
  <si>
    <t>GL000532</t>
  </si>
  <si>
    <t>GL000533</t>
  </si>
  <si>
    <t>GL000534</t>
  </si>
  <si>
    <t>GL000535</t>
  </si>
  <si>
    <t>GL000536</t>
  </si>
  <si>
    <t>GL000537</t>
  </si>
  <si>
    <t>GL000538</t>
  </si>
  <si>
    <t>GL000539</t>
  </si>
  <si>
    <t>GL000540</t>
  </si>
  <si>
    <t>GL000541</t>
  </si>
  <si>
    <t>GL000542</t>
  </si>
  <si>
    <t>GL000543</t>
  </si>
  <si>
    <t>GL000544</t>
  </si>
  <si>
    <t>GL000545</t>
  </si>
  <si>
    <t>GL000546</t>
  </si>
  <si>
    <t>GL000547</t>
  </si>
  <si>
    <t>GL000548</t>
  </si>
  <si>
    <t>GL000549</t>
  </si>
  <si>
    <t>GL000550</t>
  </si>
  <si>
    <t>GL000551</t>
  </si>
  <si>
    <t>GL000552</t>
  </si>
  <si>
    <t>GL000553</t>
  </si>
  <si>
    <t>GL000554</t>
  </si>
  <si>
    <t>GL000555</t>
  </si>
  <si>
    <t>GL000556</t>
  </si>
  <si>
    <t>GL000557</t>
  </si>
  <si>
    <t>GL000558</t>
  </si>
  <si>
    <t>GL000559</t>
  </si>
  <si>
    <t>GL000560</t>
  </si>
  <si>
    <t>GL000561</t>
  </si>
  <si>
    <t>GL000562</t>
  </si>
  <si>
    <t>GL000563</t>
  </si>
  <si>
    <t>GL000564</t>
  </si>
  <si>
    <t>GL000565</t>
  </si>
  <si>
    <t>GL000566</t>
  </si>
  <si>
    <t>GL000567</t>
  </si>
  <si>
    <t>GL000568</t>
  </si>
  <si>
    <t>GL000569</t>
  </si>
  <si>
    <t>GL000570</t>
  </si>
  <si>
    <t>GL000571</t>
  </si>
  <si>
    <t>GL000572</t>
  </si>
  <si>
    <t>GL000573</t>
  </si>
  <si>
    <t>GL000574</t>
  </si>
  <si>
    <t>GL000575</t>
  </si>
  <si>
    <t>GL000576</t>
  </si>
  <si>
    <t>GL000577</t>
  </si>
  <si>
    <t>GL000578</t>
  </si>
  <si>
    <t>GL000579</t>
  </si>
  <si>
    <t>GL000580</t>
  </si>
  <si>
    <t>GL000581</t>
  </si>
  <si>
    <t>GL000582</t>
  </si>
  <si>
    <t>GL000583</t>
  </si>
  <si>
    <t>GL000584</t>
  </si>
  <si>
    <t>GL000585</t>
  </si>
  <si>
    <t>GL000586</t>
  </si>
  <si>
    <t>GL000587</t>
  </si>
  <si>
    <t>GL000588</t>
  </si>
  <si>
    <t>GL000589</t>
  </si>
  <si>
    <t>GL000590</t>
  </si>
  <si>
    <t>GL000591</t>
  </si>
  <si>
    <t>GL000592</t>
  </si>
  <si>
    <t>GL000593</t>
  </si>
  <si>
    <t>GL000594</t>
  </si>
  <si>
    <t>GL000595</t>
  </si>
  <si>
    <t>GL000596</t>
  </si>
  <si>
    <t>GL000597</t>
  </si>
  <si>
    <t>GL000598</t>
  </si>
  <si>
    <t>GL000599</t>
  </si>
  <si>
    <t>GL000600</t>
  </si>
  <si>
    <t>GL000601</t>
  </si>
  <si>
    <t>GL000602</t>
  </si>
  <si>
    <t>GL000603</t>
  </si>
  <si>
    <t>GL000604</t>
  </si>
  <si>
    <t>GL000605</t>
  </si>
  <si>
    <t>GL000606</t>
  </si>
  <si>
    <t>GL000607</t>
  </si>
  <si>
    <t>GL000608</t>
  </si>
  <si>
    <t>GL000609</t>
  </si>
  <si>
    <t>GL000610</t>
  </si>
  <si>
    <t>GL000611</t>
  </si>
  <si>
    <t>GL000612</t>
  </si>
  <si>
    <t>GL000613</t>
  </si>
  <si>
    <t>GL000614</t>
  </si>
  <si>
    <t>GL000615</t>
  </si>
  <si>
    <t>GL000616</t>
  </si>
  <si>
    <t>GL000617</t>
  </si>
  <si>
    <t>GL000618</t>
  </si>
  <si>
    <t>GL000619</t>
  </si>
  <si>
    <t>GL000620</t>
  </si>
  <si>
    <t>GL000621</t>
  </si>
  <si>
    <t>GL000622</t>
  </si>
  <si>
    <t>GL000623</t>
  </si>
  <si>
    <t>GL000624</t>
  </si>
  <si>
    <t>GL000625</t>
  </si>
  <si>
    <t>GL000626</t>
  </si>
  <si>
    <t>GL000627</t>
  </si>
  <si>
    <t>GL000628</t>
  </si>
  <si>
    <t>GL000629</t>
  </si>
  <si>
    <t>GL000630</t>
  </si>
  <si>
    <t>GL000631</t>
  </si>
  <si>
    <t>GL000632</t>
  </si>
  <si>
    <t>GL000633</t>
  </si>
  <si>
    <t>GL000634</t>
  </si>
  <si>
    <t>GL000635</t>
  </si>
  <si>
    <t>GL000636</t>
  </si>
  <si>
    <t>GL000637</t>
  </si>
  <si>
    <t>GL000638</t>
  </si>
  <si>
    <t>GL000639</t>
  </si>
  <si>
    <t>GL000640</t>
  </si>
  <si>
    <t>GL000641</t>
  </si>
  <si>
    <t>GL000642</t>
  </si>
  <si>
    <t>GL000643</t>
  </si>
  <si>
    <t>GL000644</t>
  </si>
  <si>
    <t>GL000645</t>
  </si>
  <si>
    <t>GL000646</t>
  </si>
  <si>
    <t>GL000647</t>
  </si>
  <si>
    <t>GL000648</t>
  </si>
  <si>
    <t>GL000649</t>
  </si>
  <si>
    <t>GL000650</t>
  </si>
  <si>
    <t>GL000651</t>
  </si>
  <si>
    <t>GL000652</t>
  </si>
  <si>
    <t>GL000653</t>
  </si>
  <si>
    <t>GL000654</t>
  </si>
  <si>
    <t>GL000655</t>
  </si>
  <si>
    <t>GL000656</t>
  </si>
  <si>
    <t>GL000657</t>
  </si>
  <si>
    <t>GL000658</t>
  </si>
  <si>
    <t>GL000659</t>
  </si>
  <si>
    <t>GL000660</t>
  </si>
  <si>
    <t>GL000661</t>
  </si>
  <si>
    <t>GL000662</t>
  </si>
  <si>
    <t>GL000663</t>
  </si>
  <si>
    <t>GL000664</t>
  </si>
  <si>
    <t>GL000665</t>
  </si>
  <si>
    <t>GL000666</t>
  </si>
  <si>
    <t>GL000667</t>
  </si>
  <si>
    <t>GL000668</t>
  </si>
  <si>
    <t>GL000669</t>
  </si>
  <si>
    <t>GL000670</t>
  </si>
  <si>
    <t>GL000671</t>
  </si>
  <si>
    <t>GL000672</t>
  </si>
  <si>
    <t>GL000673</t>
  </si>
  <si>
    <t>GL000674</t>
  </si>
  <si>
    <t>GL000675</t>
  </si>
  <si>
    <t>GL000676</t>
  </si>
  <si>
    <t>GL000677</t>
  </si>
  <si>
    <t>GL000678</t>
  </si>
  <si>
    <t>GL000679</t>
  </si>
  <si>
    <t>GL000680</t>
  </si>
  <si>
    <t>GL000681</t>
  </si>
  <si>
    <t>GL000682</t>
  </si>
  <si>
    <t>GL000683</t>
  </si>
  <si>
    <t>GL000684</t>
  </si>
  <si>
    <t>GL000685</t>
  </si>
  <si>
    <t>GL000686</t>
  </si>
  <si>
    <t>GL000687</t>
  </si>
  <si>
    <t>GL000688</t>
  </si>
  <si>
    <t>GL000689</t>
  </si>
  <si>
    <t>GL000690</t>
  </si>
  <si>
    <t>GL000691</t>
  </si>
  <si>
    <t>GL000692</t>
  </si>
  <si>
    <t>GL000693</t>
  </si>
  <si>
    <t>GL000694</t>
  </si>
  <si>
    <t>GL000695</t>
  </si>
  <si>
    <t>GL000696</t>
  </si>
  <si>
    <t>GL000697</t>
  </si>
  <si>
    <t>GL000698</t>
  </si>
  <si>
    <t>GL000699</t>
  </si>
  <si>
    <t>GL000700</t>
  </si>
  <si>
    <t>GL000701</t>
  </si>
  <si>
    <t>GL000702</t>
  </si>
  <si>
    <t>GL000703</t>
  </si>
  <si>
    <t>GL000704</t>
  </si>
  <si>
    <t>GL000705</t>
  </si>
  <si>
    <t>GL000706</t>
  </si>
  <si>
    <t>GL000707</t>
  </si>
  <si>
    <t>GL000708</t>
  </si>
  <si>
    <t>GL000709</t>
  </si>
  <si>
    <t>GL000710</t>
  </si>
  <si>
    <t>GL000711</t>
  </si>
  <si>
    <t>GL000712</t>
  </si>
  <si>
    <t>GL000713</t>
  </si>
  <si>
    <t>GL000714</t>
  </si>
  <si>
    <t>GL000715</t>
  </si>
  <si>
    <t>GL000716</t>
  </si>
  <si>
    <t>GL000717</t>
  </si>
  <si>
    <t>GL000718</t>
  </si>
  <si>
    <t>GL000719</t>
  </si>
  <si>
    <t>GL000720</t>
  </si>
  <si>
    <t>GL000721</t>
  </si>
  <si>
    <t>GL000722</t>
  </si>
  <si>
    <t>GL000723</t>
  </si>
  <si>
    <t>GL000724</t>
  </si>
  <si>
    <t>GL000725</t>
  </si>
  <si>
    <t>GL000726</t>
  </si>
  <si>
    <t>GL000727</t>
  </si>
  <si>
    <t>GL000728</t>
  </si>
  <si>
    <t>GL000729</t>
  </si>
  <si>
    <t>GL000730</t>
  </si>
  <si>
    <t>GL000731</t>
  </si>
  <si>
    <t>GL000732</t>
  </si>
  <si>
    <t>GL000733</t>
  </si>
  <si>
    <t>GL000734</t>
  </si>
  <si>
    <t>GL000735</t>
  </si>
  <si>
    <t>GL000736</t>
  </si>
  <si>
    <t>GL000737</t>
  </si>
  <si>
    <t>GL000738</t>
  </si>
  <si>
    <t>GL000739</t>
  </si>
  <si>
    <t>GL000740</t>
  </si>
  <si>
    <t>GL000741</t>
  </si>
  <si>
    <t>GL000742</t>
  </si>
  <si>
    <t>GL000743</t>
  </si>
  <si>
    <t>GL000744</t>
  </si>
  <si>
    <t>GL000745</t>
  </si>
  <si>
    <t>GL000746</t>
  </si>
  <si>
    <t>GL000747</t>
  </si>
  <si>
    <t>GL000748</t>
  </si>
  <si>
    <t>GL000749</t>
  </si>
  <si>
    <t>GL000750</t>
  </si>
  <si>
    <t>GL000751</t>
  </si>
  <si>
    <t>GL000752</t>
  </si>
  <si>
    <t>GL000753</t>
  </si>
  <si>
    <t>GL000754</t>
  </si>
  <si>
    <t>GL000755</t>
  </si>
  <si>
    <t>GL000756</t>
  </si>
  <si>
    <t>GL000757</t>
  </si>
  <si>
    <t>GL000758</t>
  </si>
  <si>
    <t>GL000759</t>
  </si>
  <si>
    <t>GL000760</t>
  </si>
  <si>
    <t>GL000761</t>
  </si>
  <si>
    <t>GL000762</t>
  </si>
  <si>
    <t>GL000763</t>
  </si>
  <si>
    <t>GL000764</t>
  </si>
  <si>
    <t>GL000765</t>
  </si>
  <si>
    <t>GL000766</t>
  </si>
  <si>
    <t>GL000767</t>
  </si>
  <si>
    <t>GL000768</t>
  </si>
  <si>
    <t>GL000769</t>
  </si>
  <si>
    <t>GL000770</t>
  </si>
  <si>
    <t>GL000771</t>
  </si>
  <si>
    <t>GL000772</t>
  </si>
  <si>
    <t>GL000773</t>
  </si>
  <si>
    <t>GL000774</t>
  </si>
  <si>
    <t>GL000775</t>
  </si>
  <si>
    <t>GL000776</t>
  </si>
  <si>
    <t>GL000777</t>
  </si>
  <si>
    <t>GL000778</t>
  </si>
  <si>
    <t>GL000779</t>
  </si>
  <si>
    <t>GL000780</t>
  </si>
  <si>
    <t>GL000781</t>
  </si>
  <si>
    <t>GL000782</t>
  </si>
  <si>
    <t>GL000783</t>
  </si>
  <si>
    <t>GL000784</t>
  </si>
  <si>
    <t>GL000785</t>
  </si>
  <si>
    <t>GL000786</t>
  </si>
  <si>
    <t>GL000787</t>
  </si>
  <si>
    <t>GL000788</t>
  </si>
  <si>
    <t>GL000789</t>
  </si>
  <si>
    <t>GL000790</t>
  </si>
  <si>
    <t>GL000791</t>
  </si>
  <si>
    <t>GL000792</t>
  </si>
  <si>
    <t>GL000793</t>
  </si>
  <si>
    <t>GL000794</t>
  </si>
  <si>
    <t>GL000795</t>
  </si>
  <si>
    <t>GL000796</t>
  </si>
  <si>
    <t>GL000797</t>
  </si>
  <si>
    <t>GL000798</t>
  </si>
  <si>
    <t>GL000799</t>
  </si>
  <si>
    <t>GL000800</t>
  </si>
  <si>
    <t>GL000801</t>
  </si>
  <si>
    <t>GL000802</t>
  </si>
  <si>
    <t>GL000803</t>
  </si>
  <si>
    <t>GL000804</t>
  </si>
  <si>
    <t>GL000805</t>
  </si>
  <si>
    <t>GL000806</t>
  </si>
  <si>
    <t>GL000807</t>
  </si>
  <si>
    <t>GL000808</t>
  </si>
  <si>
    <t>GL000809</t>
  </si>
  <si>
    <t>GL000810</t>
  </si>
  <si>
    <t>GL000811</t>
  </si>
  <si>
    <t>GL000812</t>
  </si>
  <si>
    <t>GL000813</t>
  </si>
  <si>
    <t>GL000814</t>
  </si>
  <si>
    <t>GL000815</t>
  </si>
  <si>
    <t>GL000816</t>
  </si>
  <si>
    <t>GL000817</t>
  </si>
  <si>
    <t>GL000818</t>
  </si>
  <si>
    <t>GL000819</t>
  </si>
  <si>
    <t>GL000820</t>
  </si>
  <si>
    <t>GL000821</t>
  </si>
  <si>
    <t>GL000822</t>
  </si>
  <si>
    <t>GL000823</t>
  </si>
  <si>
    <t>GL000824</t>
  </si>
  <si>
    <t>GL000825</t>
  </si>
  <si>
    <t>GL000826</t>
  </si>
  <si>
    <t>GL000827</t>
  </si>
  <si>
    <t>GL000828</t>
  </si>
  <si>
    <t>GL000829</t>
  </si>
  <si>
    <t>GL000830</t>
  </si>
  <si>
    <t>GL000831</t>
  </si>
  <si>
    <t>GL000832</t>
  </si>
  <si>
    <t>GL000833</t>
  </si>
  <si>
    <t>GL000834</t>
  </si>
  <si>
    <t>GL000835</t>
  </si>
  <si>
    <t>GL000836</t>
  </si>
  <si>
    <t>GL000837</t>
  </si>
  <si>
    <t>GL000838</t>
  </si>
  <si>
    <t>GL000839</t>
  </si>
  <si>
    <t>GL000840</t>
  </si>
  <si>
    <t>GL000841</t>
  </si>
  <si>
    <t>GL000842</t>
  </si>
  <si>
    <t>GL000843</t>
  </si>
  <si>
    <t>GL000844</t>
  </si>
  <si>
    <t>GL000845</t>
  </si>
  <si>
    <t>GL000846</t>
  </si>
  <si>
    <t>GL000847</t>
  </si>
  <si>
    <t>GL000848</t>
  </si>
  <si>
    <t>GL000849</t>
  </si>
  <si>
    <t>GL000850</t>
  </si>
  <si>
    <t>GL000851</t>
  </si>
  <si>
    <t>GL000852</t>
  </si>
  <si>
    <t>GL000853</t>
  </si>
  <si>
    <t>GL000854</t>
  </si>
  <si>
    <t>GL000855</t>
  </si>
  <si>
    <t>GL000856</t>
  </si>
  <si>
    <t>GL000857</t>
  </si>
  <si>
    <t>GL000858</t>
  </si>
  <si>
    <t>GL000859</t>
  </si>
  <si>
    <t>GL000860</t>
  </si>
  <si>
    <t>GL000861</t>
  </si>
  <si>
    <t>GL000862</t>
  </si>
  <si>
    <t>GL000863</t>
  </si>
  <si>
    <t>GL000864</t>
  </si>
  <si>
    <t>GL000865</t>
  </si>
  <si>
    <t>GL000866</t>
  </si>
  <si>
    <t>GL000867</t>
  </si>
  <si>
    <t>GL000868</t>
  </si>
  <si>
    <t>GL000869</t>
  </si>
  <si>
    <t>GL000870</t>
  </si>
  <si>
    <t>GL000871</t>
  </si>
  <si>
    <t>GL000872</t>
  </si>
  <si>
    <t>GL000873</t>
  </si>
  <si>
    <t>GL000874</t>
  </si>
  <si>
    <t>GL000875</t>
  </si>
  <si>
    <t>GL000876</t>
  </si>
  <si>
    <t>GL000877</t>
  </si>
  <si>
    <t>GL000878</t>
  </si>
  <si>
    <t>GL000879</t>
  </si>
  <si>
    <t>GL000880</t>
  </si>
  <si>
    <t>GL000881</t>
  </si>
  <si>
    <t>GL000882</t>
  </si>
  <si>
    <t>GL000883</t>
  </si>
  <si>
    <t>GL000884</t>
  </si>
  <si>
    <t>GL000885</t>
  </si>
  <si>
    <t>GL000886</t>
  </si>
  <si>
    <t>GL000887</t>
  </si>
  <si>
    <t>GL000888</t>
  </si>
  <si>
    <t>GL000889</t>
  </si>
  <si>
    <t>GL000890</t>
  </si>
  <si>
    <t>GL000891</t>
  </si>
  <si>
    <t>GL000892</t>
  </si>
  <si>
    <t>GL000893</t>
  </si>
  <si>
    <t>GL000894</t>
  </si>
  <si>
    <t>GL000895</t>
  </si>
  <si>
    <t>GL000896</t>
  </si>
  <si>
    <t>GL000897</t>
  </si>
  <si>
    <t>GL000898</t>
  </si>
  <si>
    <t>GL000899</t>
  </si>
  <si>
    <t>GL000900</t>
  </si>
  <si>
    <t>GL000901</t>
  </si>
  <si>
    <t>GL000902</t>
  </si>
  <si>
    <t>GL000903</t>
  </si>
  <si>
    <t>GL000904</t>
  </si>
  <si>
    <t>GL000905</t>
  </si>
  <si>
    <t>GL000906</t>
  </si>
  <si>
    <t>GL000907</t>
  </si>
  <si>
    <t>GL000908</t>
  </si>
  <si>
    <t>GL000909</t>
  </si>
  <si>
    <t>GL000910</t>
  </si>
  <si>
    <t>GL000911</t>
  </si>
  <si>
    <t>GL000912</t>
  </si>
  <si>
    <t>GL000913</t>
  </si>
  <si>
    <t>GL000914</t>
  </si>
  <si>
    <t>GL000915</t>
  </si>
  <si>
    <t>GL000916</t>
  </si>
  <si>
    <t>GL000917</t>
  </si>
  <si>
    <t>GL000918</t>
  </si>
  <si>
    <t>GL000919</t>
  </si>
  <si>
    <t>GL000920</t>
  </si>
  <si>
    <t>GL000921</t>
  </si>
  <si>
    <t>GL000922</t>
  </si>
  <si>
    <t>GL000923</t>
  </si>
  <si>
    <t>GL000924</t>
  </si>
  <si>
    <t>GL000925</t>
  </si>
  <si>
    <t>GL000926</t>
  </si>
  <si>
    <t>GL000927</t>
  </si>
  <si>
    <t>GL000928</t>
  </si>
  <si>
    <t>GL000929</t>
  </si>
  <si>
    <t>GL000930</t>
  </si>
  <si>
    <t>GL000931</t>
  </si>
  <si>
    <t>GL000932</t>
  </si>
  <si>
    <t>GL000933</t>
  </si>
  <si>
    <t>GL000934</t>
  </si>
  <si>
    <t>GL000935</t>
  </si>
  <si>
    <t>GL000936</t>
  </si>
  <si>
    <t>GL000937</t>
  </si>
  <si>
    <t>GL000938</t>
  </si>
  <si>
    <t>GL000939</t>
  </si>
  <si>
    <t>GL000940</t>
  </si>
  <si>
    <t>GL000941</t>
  </si>
  <si>
    <t>GL000942</t>
  </si>
  <si>
    <t>GL000943</t>
  </si>
  <si>
    <t>GL000944</t>
  </si>
  <si>
    <t>GL000945</t>
  </si>
  <si>
    <t>GL000946</t>
  </si>
  <si>
    <t>GL000947</t>
  </si>
  <si>
    <t>GL000948</t>
  </si>
  <si>
    <t>GL000949</t>
  </si>
  <si>
    <t>GL000950</t>
  </si>
  <si>
    <t>GL000951</t>
  </si>
  <si>
    <t>GL000952</t>
  </si>
  <si>
    <t>GL000953</t>
  </si>
  <si>
    <t>GL000954</t>
  </si>
  <si>
    <t>GL000955</t>
  </si>
  <si>
    <t>GL000956</t>
  </si>
  <si>
    <t>GL000957</t>
  </si>
  <si>
    <t>GL000958</t>
  </si>
  <si>
    <t>GL000959</t>
  </si>
  <si>
    <t>GL000960</t>
  </si>
  <si>
    <t>GL000961</t>
  </si>
  <si>
    <t>GL000962</t>
  </si>
  <si>
    <t>GL000963</t>
  </si>
  <si>
    <t>GL000964</t>
  </si>
  <si>
    <t>GL000965</t>
  </si>
  <si>
    <t>GL000966</t>
  </si>
  <si>
    <t>GL000967</t>
  </si>
  <si>
    <t>GL000968</t>
  </si>
  <si>
    <t>GL000969</t>
  </si>
  <si>
    <t>GL000970</t>
  </si>
  <si>
    <t>GL000971</t>
  </si>
  <si>
    <t>GL000972</t>
  </si>
  <si>
    <t>GL000973</t>
  </si>
  <si>
    <t>GL000974</t>
  </si>
  <si>
    <t>GL000975</t>
  </si>
  <si>
    <t>GL000976</t>
  </si>
  <si>
    <t>GL000977</t>
  </si>
  <si>
    <t>GL000978</t>
  </si>
  <si>
    <t>GL000979</t>
  </si>
  <si>
    <t>GL000980</t>
  </si>
  <si>
    <t>GL000981</t>
  </si>
  <si>
    <t>GL000982</t>
  </si>
  <si>
    <t>GL000983</t>
  </si>
  <si>
    <t>GL000984</t>
  </si>
  <si>
    <t>GL000985</t>
  </si>
  <si>
    <t>GL000986</t>
  </si>
  <si>
    <t>GL000987</t>
  </si>
  <si>
    <t>GL000988</t>
  </si>
  <si>
    <t>GL000989</t>
  </si>
  <si>
    <t>GL000990</t>
  </si>
  <si>
    <t>GL000991</t>
  </si>
  <si>
    <t>GL000992</t>
  </si>
  <si>
    <t>GL000993</t>
  </si>
  <si>
    <t>GL000994</t>
  </si>
  <si>
    <t>GL000995</t>
  </si>
  <si>
    <t>GL000996</t>
  </si>
  <si>
    <t>GL000997</t>
  </si>
  <si>
    <t>GL000998</t>
  </si>
  <si>
    <t>GL000999</t>
  </si>
  <si>
    <t>GL001000</t>
  </si>
  <si>
    <t>GL001001</t>
  </si>
  <si>
    <t>GL001002</t>
  </si>
  <si>
    <t>GL001003</t>
  </si>
  <si>
    <t>GL001004</t>
  </si>
  <si>
    <t>GL001005</t>
  </si>
  <si>
    <t>GL001006</t>
  </si>
  <si>
    <t>GL001007</t>
  </si>
  <si>
    <t>GL001008</t>
  </si>
  <si>
    <t>GL001009</t>
  </si>
  <si>
    <t>GL001010</t>
  </si>
  <si>
    <t>GL001011</t>
  </si>
  <si>
    <t>GL001012</t>
  </si>
  <si>
    <t>GL001013</t>
  </si>
  <si>
    <t>GL001014</t>
  </si>
  <si>
    <t>GL001015</t>
  </si>
  <si>
    <t>GL001016</t>
  </si>
  <si>
    <t>GL001017</t>
  </si>
  <si>
    <t>GL001018</t>
  </si>
  <si>
    <t>GL001019</t>
  </si>
  <si>
    <t>GL001020</t>
  </si>
  <si>
    <t>GL001021</t>
  </si>
  <si>
    <t>GL001022</t>
  </si>
  <si>
    <t>GL001023</t>
  </si>
  <si>
    <t>GL001024</t>
  </si>
  <si>
    <t>GL001025</t>
  </si>
  <si>
    <t>GL001026</t>
  </si>
  <si>
    <t>GL001027</t>
  </si>
  <si>
    <t>GL001028</t>
  </si>
  <si>
    <t>GL001029</t>
  </si>
  <si>
    <t>GL001030</t>
  </si>
  <si>
    <t>GL001031</t>
  </si>
  <si>
    <t>GL001032</t>
  </si>
  <si>
    <t>GL001033</t>
  </si>
  <si>
    <t>GL001034</t>
  </si>
  <si>
    <t>GL001035</t>
  </si>
  <si>
    <t>GL001036</t>
  </si>
  <si>
    <t>GL001037</t>
  </si>
  <si>
    <t>GL001038</t>
  </si>
  <si>
    <t>GL001039</t>
  </si>
  <si>
    <t>GL001040</t>
  </si>
  <si>
    <t>GL001041</t>
  </si>
  <si>
    <t>GL001042</t>
  </si>
  <si>
    <t>GL001043</t>
  </si>
  <si>
    <t>GL001044</t>
  </si>
  <si>
    <t>GL001045</t>
  </si>
  <si>
    <t>GL001046</t>
  </si>
  <si>
    <t>GL001047</t>
  </si>
  <si>
    <t>GL001048</t>
  </si>
  <si>
    <t>GL001049</t>
  </si>
  <si>
    <t>GL001050</t>
  </si>
  <si>
    <t>GL001051</t>
  </si>
  <si>
    <t>GL001052</t>
  </si>
  <si>
    <t>GL001053</t>
  </si>
  <si>
    <t>GL001054</t>
  </si>
  <si>
    <t>GL001055</t>
  </si>
  <si>
    <t>GL001056</t>
  </si>
  <si>
    <t>GL001057</t>
  </si>
  <si>
    <t>GL001058</t>
  </si>
  <si>
    <t>GL001059</t>
  </si>
  <si>
    <t>GL001060</t>
  </si>
  <si>
    <t>GL001061</t>
  </si>
  <si>
    <t>GL001062</t>
  </si>
  <si>
    <t>GL001063</t>
  </si>
  <si>
    <t>GL001064</t>
  </si>
  <si>
    <t>GL001065</t>
  </si>
  <si>
    <t>GL001066</t>
  </si>
  <si>
    <t>GL001067</t>
  </si>
  <si>
    <t>GL001068</t>
  </si>
  <si>
    <t>GL001069</t>
  </si>
  <si>
    <t>GL001070</t>
  </si>
  <si>
    <t>GL001071</t>
  </si>
  <si>
    <t>GL001072</t>
  </si>
  <si>
    <t>GL001073</t>
  </si>
  <si>
    <t>GL001074</t>
  </si>
  <si>
    <t>GL001075</t>
  </si>
  <si>
    <t>GL001076</t>
  </si>
  <si>
    <t>GL001077</t>
  </si>
  <si>
    <t>GL001078</t>
  </si>
  <si>
    <t>GL001079</t>
  </si>
  <si>
    <t>GL001080</t>
  </si>
  <si>
    <t>GL001081</t>
  </si>
  <si>
    <t>GL001082</t>
  </si>
  <si>
    <t>GL001083</t>
  </si>
  <si>
    <t>GL001084</t>
  </si>
  <si>
    <t>GL001085</t>
  </si>
  <si>
    <t>GL001086</t>
  </si>
  <si>
    <t>GL001087</t>
  </si>
  <si>
    <t>GL001088</t>
  </si>
  <si>
    <t>GL001089</t>
  </si>
  <si>
    <t>GL001090</t>
  </si>
  <si>
    <t>GL001091</t>
  </si>
  <si>
    <t>GL001092</t>
  </si>
  <si>
    <t>GL001093</t>
  </si>
  <si>
    <t>GL001094</t>
  </si>
  <si>
    <t>GL001095</t>
  </si>
  <si>
    <t>GL001096</t>
  </si>
  <si>
    <t>GL001097</t>
  </si>
  <si>
    <t>GL001098</t>
  </si>
  <si>
    <t>GL001099</t>
  </si>
  <si>
    <t>GL001100</t>
  </si>
  <si>
    <t>GL001101</t>
  </si>
  <si>
    <t>GL001102</t>
  </si>
  <si>
    <t>GL001103</t>
  </si>
  <si>
    <t>GL001104</t>
  </si>
  <si>
    <t>GL001105</t>
  </si>
  <si>
    <t>GL001106</t>
  </si>
  <si>
    <t>GL001107</t>
  </si>
  <si>
    <t>GL001108</t>
  </si>
  <si>
    <t>GL001109</t>
  </si>
  <si>
    <t>GL001110</t>
  </si>
  <si>
    <t>GL001111</t>
  </si>
  <si>
    <t>GL001112</t>
  </si>
  <si>
    <t>GL001113</t>
  </si>
  <si>
    <t>GL001114</t>
  </si>
  <si>
    <t>GL001115</t>
  </si>
  <si>
    <t>GL001116</t>
  </si>
  <si>
    <t>GL001117</t>
  </si>
  <si>
    <t>GL001118</t>
  </si>
  <si>
    <t>GL001119</t>
  </si>
  <si>
    <t>GL001120</t>
  </si>
  <si>
    <t>GL001121</t>
  </si>
  <si>
    <t>GL001122</t>
  </si>
  <si>
    <t>GL001123</t>
  </si>
  <si>
    <t>GL001124</t>
  </si>
  <si>
    <t>GL001125</t>
  </si>
  <si>
    <t>GL001126</t>
  </si>
  <si>
    <t>GL001127</t>
  </si>
  <si>
    <t>GL001128</t>
  </si>
  <si>
    <t>GL001129</t>
  </si>
  <si>
    <t>GL001130</t>
  </si>
  <si>
    <t>GL001131</t>
  </si>
  <si>
    <t>GL001132</t>
  </si>
  <si>
    <t>GL001133</t>
  </si>
  <si>
    <t>GL001134</t>
  </si>
  <si>
    <t>GL001135</t>
  </si>
  <si>
    <t>GL001136</t>
  </si>
  <si>
    <t>GL001137</t>
  </si>
  <si>
    <t>GL001138</t>
  </si>
  <si>
    <t>GL001139</t>
  </si>
  <si>
    <t>GL001140</t>
  </si>
  <si>
    <t>GL001141</t>
  </si>
  <si>
    <t>GL001142</t>
  </si>
  <si>
    <t>GL001143</t>
  </si>
  <si>
    <t>GL001144</t>
  </si>
  <si>
    <t>GL001145</t>
  </si>
  <si>
    <t>GL001146</t>
  </si>
  <si>
    <t>GL001147</t>
  </si>
  <si>
    <t>GL001148</t>
  </si>
  <si>
    <t>GL001149</t>
  </si>
  <si>
    <t>GL001150</t>
  </si>
  <si>
    <t>GL001151</t>
  </si>
  <si>
    <t>GL001152</t>
  </si>
  <si>
    <t>GL001153</t>
  </si>
  <si>
    <t>GL001154</t>
  </si>
  <si>
    <t>GL001155</t>
  </si>
  <si>
    <t>GL001156</t>
  </si>
  <si>
    <t>GL001157</t>
  </si>
  <si>
    <t>GL001158</t>
  </si>
  <si>
    <t>GL001159</t>
  </si>
  <si>
    <t>GL001160</t>
  </si>
  <si>
    <t>GL001161</t>
  </si>
  <si>
    <t>GL001162</t>
  </si>
  <si>
    <t>GL001163</t>
  </si>
  <si>
    <t>GL001164</t>
  </si>
  <si>
    <t>GL001165</t>
  </si>
  <si>
    <t>GL001166</t>
  </si>
  <si>
    <t>GL001167</t>
  </si>
  <si>
    <t>GL001168</t>
  </si>
  <si>
    <t>GL001169</t>
  </si>
  <si>
    <t>GL001170</t>
  </si>
  <si>
    <t>GL001171</t>
  </si>
  <si>
    <t>GL001172</t>
  </si>
  <si>
    <t>GL001173</t>
  </si>
  <si>
    <t>GL001174</t>
  </si>
  <si>
    <t>GL001175</t>
  </si>
  <si>
    <t>GL001176</t>
  </si>
  <si>
    <t>GL001177</t>
  </si>
  <si>
    <t>GL001178</t>
  </si>
  <si>
    <t>GL001179</t>
  </si>
  <si>
    <t>GL001180</t>
  </si>
  <si>
    <t>GL001181</t>
  </si>
  <si>
    <t>GL001182</t>
  </si>
  <si>
    <t>GL001183</t>
  </si>
  <si>
    <t>GL001184</t>
  </si>
  <si>
    <t>GL001185</t>
  </si>
  <si>
    <t>GL001186</t>
  </si>
  <si>
    <t>GL001187</t>
  </si>
  <si>
    <t>GL001188</t>
  </si>
  <si>
    <t>GL001189</t>
  </si>
  <si>
    <t>GL001190</t>
  </si>
  <si>
    <t>GL001191</t>
  </si>
  <si>
    <t>GL001192</t>
  </si>
  <si>
    <t>GL001193</t>
  </si>
  <si>
    <t>GL001194</t>
  </si>
  <si>
    <t>GL001195</t>
  </si>
  <si>
    <t>GL001196</t>
  </si>
  <si>
    <t>GL001197</t>
  </si>
  <si>
    <t>GL001198</t>
  </si>
  <si>
    <t>GL001199</t>
  </si>
  <si>
    <t>GL001200</t>
  </si>
  <si>
    <t>GL001201</t>
  </si>
  <si>
    <t>GL001202</t>
  </si>
  <si>
    <t>GL001203</t>
  </si>
  <si>
    <t>GL001204</t>
  </si>
  <si>
    <t>GL001205</t>
  </si>
  <si>
    <t>GL001206</t>
  </si>
  <si>
    <t>GL001207</t>
  </si>
  <si>
    <t>GL001208</t>
  </si>
  <si>
    <t>GL001209</t>
  </si>
  <si>
    <t>GL001210</t>
  </si>
  <si>
    <t>GL001211</t>
  </si>
  <si>
    <t>GL001212</t>
  </si>
  <si>
    <t>GL001213</t>
  </si>
  <si>
    <t>GL001214</t>
  </si>
  <si>
    <t>GL001215</t>
  </si>
  <si>
    <t>GL001216</t>
  </si>
  <si>
    <t>GL001217</t>
  </si>
  <si>
    <t>GL001218</t>
  </si>
  <si>
    <t>GL001219</t>
  </si>
  <si>
    <t>GL001220</t>
  </si>
  <si>
    <t>GL001221</t>
  </si>
  <si>
    <t>GL001222</t>
  </si>
  <si>
    <t>GL001223</t>
  </si>
  <si>
    <t>GL001224</t>
  </si>
  <si>
    <t>GL001225</t>
  </si>
  <si>
    <t>GL001226</t>
  </si>
  <si>
    <t>GL001227</t>
  </si>
  <si>
    <t>GL001228</t>
  </si>
  <si>
    <t>GL001229</t>
  </si>
  <si>
    <t>GL001230</t>
  </si>
  <si>
    <t>GL001231</t>
  </si>
  <si>
    <t>GL001232</t>
  </si>
  <si>
    <t>GL001233</t>
  </si>
  <si>
    <t>GL001234</t>
  </si>
  <si>
    <t>GL001235</t>
  </si>
  <si>
    <t>GL001236</t>
  </si>
  <si>
    <t>GL001237</t>
  </si>
  <si>
    <t>GL001238</t>
  </si>
  <si>
    <t>GL001239</t>
  </si>
  <si>
    <t>GL001240</t>
  </si>
  <si>
    <t>GL001241</t>
  </si>
  <si>
    <t>GL001242</t>
  </si>
  <si>
    <t>GL001243</t>
  </si>
  <si>
    <t>GL001244</t>
  </si>
  <si>
    <t>GL001245</t>
  </si>
  <si>
    <t>GL001246</t>
  </si>
  <si>
    <t>GL001247</t>
  </si>
  <si>
    <t>GL001248</t>
  </si>
  <si>
    <t>GL001249</t>
  </si>
  <si>
    <t>GL001250</t>
  </si>
  <si>
    <t>GL001251</t>
  </si>
  <si>
    <t>GL001252</t>
  </si>
  <si>
    <t>GL001253</t>
  </si>
  <si>
    <t>GL001254</t>
  </si>
  <si>
    <t>GL001255</t>
  </si>
  <si>
    <t>GL001256</t>
  </si>
  <si>
    <t>GL001257</t>
  </si>
  <si>
    <t>GL001258</t>
  </si>
  <si>
    <t>GL001259</t>
  </si>
  <si>
    <t>GL001260</t>
  </si>
  <si>
    <t>GL001261</t>
  </si>
  <si>
    <t>GL001262</t>
  </si>
  <si>
    <t>GL001263</t>
  </si>
  <si>
    <t>GL001264</t>
  </si>
  <si>
    <t>GL001265</t>
  </si>
  <si>
    <t>GL001266</t>
  </si>
  <si>
    <t>GL001267</t>
  </si>
  <si>
    <t>GL001268</t>
  </si>
  <si>
    <t>GL001269</t>
  </si>
  <si>
    <t>GL001270</t>
  </si>
  <si>
    <t>GL001271</t>
  </si>
  <si>
    <t>GL001272</t>
  </si>
  <si>
    <t>GL001273</t>
  </si>
  <si>
    <t>GL001274</t>
  </si>
  <si>
    <t>GL001275</t>
  </si>
  <si>
    <t>GL001276</t>
  </si>
  <si>
    <t>GL001277</t>
  </si>
  <si>
    <t>GL001278</t>
  </si>
  <si>
    <t>GL001279</t>
  </si>
  <si>
    <t>GL001280</t>
  </si>
  <si>
    <t>GL001281</t>
  </si>
  <si>
    <t>GL001282</t>
  </si>
  <si>
    <t>GL001283</t>
  </si>
  <si>
    <t>GL001284</t>
  </si>
  <si>
    <t>GL001285</t>
  </si>
  <si>
    <t>GL001286</t>
  </si>
  <si>
    <t>GL001287</t>
  </si>
  <si>
    <t>GL001288</t>
  </si>
  <si>
    <t>GL001289</t>
  </si>
  <si>
    <t>GL001290</t>
  </si>
  <si>
    <t>GL001291</t>
  </si>
  <si>
    <t>GL001292</t>
  </si>
  <si>
    <t>GL001293</t>
  </si>
  <si>
    <t>GL001294</t>
  </si>
  <si>
    <t>GL001295</t>
  </si>
  <si>
    <t>GL001296</t>
  </si>
  <si>
    <t>GL001297</t>
  </si>
  <si>
    <t>GL001298</t>
  </si>
  <si>
    <t>GL001299</t>
  </si>
  <si>
    <t>GL001300</t>
  </si>
  <si>
    <t>GL001301</t>
  </si>
  <si>
    <t>GL001302</t>
  </si>
  <si>
    <t>GL001303</t>
  </si>
  <si>
    <t>GL001304</t>
  </si>
  <si>
    <t>GL001305</t>
  </si>
  <si>
    <t>GL001306</t>
  </si>
  <si>
    <t>GL001307</t>
  </si>
  <si>
    <t>GL001308</t>
  </si>
  <si>
    <t>GL001309</t>
  </si>
  <si>
    <t>GL001310</t>
  </si>
  <si>
    <t>GL001311</t>
  </si>
  <si>
    <t>GL001312</t>
  </si>
  <si>
    <t>GL001313</t>
  </si>
  <si>
    <t>GL001314</t>
  </si>
  <si>
    <t>GL001315</t>
  </si>
  <si>
    <t>GL001316</t>
  </si>
  <si>
    <t>GL001317</t>
  </si>
  <si>
    <t>GL001318</t>
  </si>
  <si>
    <t>GL001319</t>
  </si>
  <si>
    <t>GL001320</t>
  </si>
  <si>
    <t>GL001321</t>
  </si>
  <si>
    <t>GL001322</t>
  </si>
  <si>
    <t>GL001323</t>
  </si>
  <si>
    <t>GL001324</t>
  </si>
  <si>
    <t>GL001325</t>
  </si>
  <si>
    <t>GL001326</t>
  </si>
  <si>
    <t>GL001327</t>
  </si>
  <si>
    <t>GL001328</t>
  </si>
  <si>
    <t>GL001329</t>
  </si>
  <si>
    <t>GL001330</t>
  </si>
  <si>
    <t>GL001331</t>
  </si>
  <si>
    <t>GL001332</t>
  </si>
  <si>
    <t>GL001333</t>
  </si>
  <si>
    <t>GL001334</t>
  </si>
  <si>
    <t>GL001335</t>
  </si>
  <si>
    <t>GL001336</t>
  </si>
  <si>
    <t>GL001337</t>
  </si>
  <si>
    <t>GL001338</t>
  </si>
  <si>
    <t>GL001339</t>
  </si>
  <si>
    <t>GL001340</t>
  </si>
  <si>
    <t>GL001341</t>
  </si>
  <si>
    <t>GL001342</t>
  </si>
  <si>
    <t>GL001343</t>
  </si>
  <si>
    <t>GL001344</t>
  </si>
  <si>
    <t>GL001345</t>
  </si>
  <si>
    <t>GL001346</t>
  </si>
  <si>
    <t>GL001347</t>
  </si>
  <si>
    <t>GL001348</t>
  </si>
  <si>
    <t>GL001349</t>
  </si>
  <si>
    <t>GL001350</t>
  </si>
  <si>
    <t>GL001351</t>
  </si>
  <si>
    <t>GL001352</t>
  </si>
  <si>
    <t>GL001353</t>
  </si>
  <si>
    <t>GL001354</t>
  </si>
  <si>
    <t>GL001355</t>
  </si>
  <si>
    <t>GL001356</t>
  </si>
  <si>
    <t>GL001357</t>
  </si>
  <si>
    <t>GL001358</t>
  </si>
  <si>
    <t>GL001359</t>
  </si>
  <si>
    <t>GL001360</t>
  </si>
  <si>
    <t>GL001361</t>
  </si>
  <si>
    <t>GL001362</t>
  </si>
  <si>
    <t>GL001363</t>
  </si>
  <si>
    <t>GL001364</t>
  </si>
  <si>
    <t>GL001365</t>
  </si>
  <si>
    <t>GL001366</t>
  </si>
  <si>
    <t>GL001367</t>
  </si>
  <si>
    <t>GL001368</t>
  </si>
  <si>
    <t>GL001369</t>
  </si>
  <si>
    <t>GL001370</t>
  </si>
  <si>
    <t>GL001371</t>
  </si>
  <si>
    <t>GL001372</t>
  </si>
  <si>
    <t>GL001373</t>
  </si>
  <si>
    <t>GL001374</t>
  </si>
  <si>
    <t>GL001375</t>
  </si>
  <si>
    <t>GL001376</t>
  </si>
  <si>
    <t>GL001377</t>
  </si>
  <si>
    <t>GL001378</t>
  </si>
  <si>
    <t>GL001379</t>
  </si>
  <si>
    <t>GL001380</t>
  </si>
  <si>
    <t>GL001381</t>
  </si>
  <si>
    <t>GL001382</t>
  </si>
  <si>
    <t>GL001383</t>
  </si>
  <si>
    <t>GL001384</t>
  </si>
  <si>
    <t>GL001385</t>
  </si>
  <si>
    <t>GL001386</t>
  </si>
  <si>
    <t>GL001387</t>
  </si>
  <si>
    <t>GL001388</t>
  </si>
  <si>
    <t>GL001389</t>
  </si>
  <si>
    <t>GL001390</t>
  </si>
  <si>
    <t>GL001391</t>
  </si>
  <si>
    <t>GL001392</t>
  </si>
  <si>
    <t>GL001393</t>
  </si>
  <si>
    <t>GL001394</t>
  </si>
  <si>
    <t>GL001395</t>
  </si>
  <si>
    <t>GL001396</t>
  </si>
  <si>
    <t>GL001397</t>
  </si>
  <si>
    <t>GL001398</t>
  </si>
  <si>
    <t>GL001399</t>
  </si>
  <si>
    <t>GL001400</t>
  </si>
  <si>
    <t>GL001401</t>
  </si>
  <si>
    <t>GL001402</t>
  </si>
  <si>
    <t>GL001403</t>
  </si>
  <si>
    <t>GL001404</t>
  </si>
  <si>
    <t>GL001405</t>
  </si>
  <si>
    <t>GL001406</t>
  </si>
  <si>
    <t>GL001407</t>
  </si>
  <si>
    <t>GL001408</t>
  </si>
  <si>
    <t>GL001409</t>
  </si>
  <si>
    <t>GL001410</t>
  </si>
  <si>
    <t>GL001411</t>
  </si>
  <si>
    <t>GL001412</t>
  </si>
  <si>
    <t>GL001413</t>
  </si>
  <si>
    <t>GL001414</t>
  </si>
  <si>
    <t>GL001415</t>
  </si>
  <si>
    <t>GL001416</t>
  </si>
  <si>
    <t>GL001417</t>
  </si>
  <si>
    <t>GL001418</t>
  </si>
  <si>
    <t>GL001419</t>
  </si>
  <si>
    <t>GL001420</t>
  </si>
  <si>
    <t>GL001421</t>
  </si>
  <si>
    <t>GL001422</t>
  </si>
  <si>
    <t>GL001423</t>
  </si>
  <si>
    <t>GL001424</t>
  </si>
  <si>
    <t>GL001425</t>
  </si>
  <si>
    <t>GL001426</t>
  </si>
  <si>
    <t>GL001427</t>
  </si>
  <si>
    <t>GL001428</t>
  </si>
  <si>
    <t>GL001429</t>
  </si>
  <si>
    <t>GL001430</t>
  </si>
  <si>
    <t>GL001431</t>
  </si>
  <si>
    <t>GL001432</t>
  </si>
  <si>
    <t>GL001433</t>
  </si>
  <si>
    <t>GL001434</t>
  </si>
  <si>
    <t>GL001435</t>
  </si>
  <si>
    <t>GL001436</t>
  </si>
  <si>
    <t>GL001437</t>
  </si>
  <si>
    <t>GL001438</t>
  </si>
  <si>
    <t>GL001439</t>
  </si>
  <si>
    <t>GL001440</t>
  </si>
  <si>
    <t>GL001441</t>
  </si>
  <si>
    <t>GL001442</t>
  </si>
  <si>
    <t>GL001443</t>
  </si>
  <si>
    <t>GL001444</t>
  </si>
  <si>
    <t>GL001445</t>
  </si>
  <si>
    <t>GL001446</t>
  </si>
  <si>
    <t>GL001447</t>
  </si>
  <si>
    <t>GL001448</t>
  </si>
  <si>
    <t>GL001449</t>
  </si>
  <si>
    <t>GL001450</t>
  </si>
  <si>
    <t>GL001451</t>
  </si>
  <si>
    <t>GL001452</t>
  </si>
  <si>
    <t>GL001453</t>
  </si>
  <si>
    <t>GL001454</t>
  </si>
  <si>
    <t>GL001455</t>
  </si>
  <si>
    <t>GL001456</t>
  </si>
  <si>
    <t>GL001457</t>
  </si>
  <si>
    <t>GL001458</t>
  </si>
  <si>
    <t>GL001459</t>
  </si>
  <si>
    <t>GL001460</t>
  </si>
  <si>
    <t>GL001461</t>
  </si>
  <si>
    <t>GL001462</t>
  </si>
  <si>
    <t>GL001463</t>
  </si>
  <si>
    <t>GL001464</t>
  </si>
  <si>
    <t>GL001465</t>
  </si>
  <si>
    <t>GL001466</t>
  </si>
  <si>
    <t>GL001467</t>
  </si>
  <si>
    <t>GL001468</t>
  </si>
  <si>
    <t>GL001469</t>
  </si>
  <si>
    <t>GL001470</t>
  </si>
  <si>
    <t>GL001471</t>
  </si>
  <si>
    <t>GL001472</t>
  </si>
  <si>
    <t>GL001473</t>
  </si>
  <si>
    <t>GL001474</t>
  </si>
  <si>
    <t>GL001475</t>
  </si>
  <si>
    <t>GL001476</t>
  </si>
  <si>
    <t>GL001477</t>
  </si>
  <si>
    <t>GL001478</t>
  </si>
  <si>
    <t>GL001479</t>
  </si>
  <si>
    <t>GL001480</t>
  </si>
  <si>
    <t>GL001481</t>
  </si>
  <si>
    <t>GL001482</t>
  </si>
  <si>
    <t>GL001483</t>
  </si>
  <si>
    <t>GL001484</t>
  </si>
  <si>
    <t>GL001485</t>
  </si>
  <si>
    <t>GL001486</t>
  </si>
  <si>
    <t>GL001487</t>
  </si>
  <si>
    <t>GL001488</t>
  </si>
  <si>
    <t>GL001489</t>
  </si>
  <si>
    <t>GL001490</t>
  </si>
  <si>
    <t>GL001491</t>
  </si>
  <si>
    <t>GL001492</t>
  </si>
  <si>
    <t>GL001493</t>
  </si>
  <si>
    <t>GL001494</t>
  </si>
  <si>
    <t>GL001495</t>
  </si>
  <si>
    <t>GL001496</t>
  </si>
  <si>
    <t>GL001497</t>
  </si>
  <si>
    <t>GL001498</t>
  </si>
  <si>
    <t>GL001499</t>
  </si>
  <si>
    <t>GL001500</t>
  </si>
  <si>
    <t>GL001501</t>
  </si>
  <si>
    <t>GL001502</t>
  </si>
  <si>
    <t>GL001503</t>
  </si>
  <si>
    <t>GL001504</t>
  </si>
  <si>
    <t>GL001505</t>
  </si>
  <si>
    <t>GL001506</t>
  </si>
  <si>
    <t>GL001507</t>
  </si>
  <si>
    <t>GL001508</t>
  </si>
  <si>
    <t>GL001509</t>
  </si>
  <si>
    <t>GL001510</t>
  </si>
  <si>
    <t>GL001511</t>
  </si>
  <si>
    <t>GL001512</t>
  </si>
  <si>
    <t>GL001513</t>
  </si>
  <si>
    <t>GL001514</t>
  </si>
  <si>
    <t>GL001515</t>
  </si>
  <si>
    <t>GL001516</t>
  </si>
  <si>
    <t>GL001517</t>
  </si>
  <si>
    <t>GL001518</t>
  </si>
  <si>
    <t>GL001519</t>
  </si>
  <si>
    <t>GL001520</t>
  </si>
  <si>
    <t>GL001521</t>
  </si>
  <si>
    <t>GL001522</t>
  </si>
  <si>
    <t>GL001523</t>
  </si>
  <si>
    <t>GL001524</t>
  </si>
  <si>
    <t>GL001525</t>
  </si>
  <si>
    <t>GL001526</t>
  </si>
  <si>
    <t>GL001527</t>
  </si>
  <si>
    <t>GL001528</t>
  </si>
  <si>
    <t>GL001529</t>
  </si>
  <si>
    <t>GL001530</t>
  </si>
  <si>
    <t>GL001531</t>
  </si>
  <si>
    <t>GL001532</t>
  </si>
  <si>
    <t>GL001533</t>
  </si>
  <si>
    <t>GL001534</t>
  </si>
  <si>
    <t>GL001535</t>
  </si>
  <si>
    <t>GL001536</t>
  </si>
  <si>
    <t>GL001537</t>
  </si>
  <si>
    <t>GL001538</t>
  </si>
  <si>
    <t>GL001539</t>
  </si>
  <si>
    <t>GL001540</t>
  </si>
  <si>
    <t>GL001541</t>
  </si>
  <si>
    <t>GL001542</t>
  </si>
  <si>
    <t>GL001543</t>
  </si>
  <si>
    <t>GL001544</t>
  </si>
  <si>
    <t>GL001545</t>
  </si>
  <si>
    <t>GL001546</t>
  </si>
  <si>
    <t>GL001547</t>
  </si>
  <si>
    <t>GL001548</t>
  </si>
  <si>
    <t>GL001549</t>
  </si>
  <si>
    <t>GL001550</t>
  </si>
  <si>
    <t>GL001551</t>
  </si>
  <si>
    <t>GL001552</t>
  </si>
  <si>
    <t>GL001553</t>
  </si>
  <si>
    <t>GL001554</t>
  </si>
  <si>
    <t>GL001555</t>
  </si>
  <si>
    <t>GL001556</t>
  </si>
  <si>
    <t>GL001557</t>
  </si>
  <si>
    <t>GL001558</t>
  </si>
  <si>
    <t>GL001559</t>
  </si>
  <si>
    <t>GL001560</t>
  </si>
  <si>
    <t>GL001561</t>
  </si>
  <si>
    <t>GL001562</t>
  </si>
  <si>
    <t>GL001563</t>
  </si>
  <si>
    <t>GL001564</t>
  </si>
  <si>
    <t>GL001565</t>
  </si>
  <si>
    <t>GL001566</t>
  </si>
  <si>
    <t>GL001567</t>
  </si>
  <si>
    <t>GL001568</t>
  </si>
  <si>
    <t>GL001569</t>
  </si>
  <si>
    <t>GL001570</t>
  </si>
  <si>
    <t>GL001571</t>
  </si>
  <si>
    <t>GL001572</t>
  </si>
  <si>
    <t>GL001573</t>
  </si>
  <si>
    <t>GL001574</t>
  </si>
  <si>
    <t>GL001575</t>
  </si>
  <si>
    <t>GL001576</t>
  </si>
  <si>
    <t>GL001577</t>
  </si>
  <si>
    <t>GL001578</t>
  </si>
  <si>
    <t>GL001579</t>
  </si>
  <si>
    <t>GL001580</t>
  </si>
  <si>
    <t>GL001581</t>
  </si>
  <si>
    <t>GL001582</t>
  </si>
  <si>
    <t>GL001583</t>
  </si>
  <si>
    <t>GL001584</t>
  </si>
  <si>
    <t>GL001585</t>
  </si>
  <si>
    <t>GL001586</t>
  </si>
  <si>
    <t>GL001587</t>
  </si>
  <si>
    <t>GL001588</t>
  </si>
  <si>
    <t>GL001589</t>
  </si>
  <si>
    <t>GL001590</t>
  </si>
  <si>
    <t>GL001591</t>
  </si>
  <si>
    <t>GL001592</t>
  </si>
  <si>
    <t>GL001593</t>
  </si>
  <si>
    <t>GL001594</t>
  </si>
  <si>
    <t>GL001595</t>
  </si>
  <si>
    <t>GL001596</t>
  </si>
  <si>
    <t>GL001597</t>
  </si>
  <si>
    <t>GL001598</t>
  </si>
  <si>
    <t>GL001599</t>
  </si>
  <si>
    <t>GL001600</t>
  </si>
  <si>
    <t>GL001601</t>
  </si>
  <si>
    <t>GL001602</t>
  </si>
  <si>
    <t>GL001603</t>
  </si>
  <si>
    <t>GL001604</t>
  </si>
  <si>
    <t>GL001605</t>
  </si>
  <si>
    <t>GL001606</t>
  </si>
  <si>
    <t>GL001607</t>
  </si>
  <si>
    <t>GL001608</t>
  </si>
  <si>
    <t>GL001609</t>
  </si>
  <si>
    <t>GL001610</t>
  </si>
  <si>
    <t>GL001611</t>
  </si>
  <si>
    <t>GL001612</t>
  </si>
  <si>
    <t>GL001613</t>
  </si>
  <si>
    <t>GL001614</t>
  </si>
  <si>
    <t>GL001615</t>
  </si>
  <si>
    <t>GL001616</t>
  </si>
  <si>
    <t>GL001617</t>
  </si>
  <si>
    <t>GL001618</t>
  </si>
  <si>
    <t>GL001619</t>
  </si>
  <si>
    <t>GL001620</t>
  </si>
  <si>
    <t>GL001621</t>
  </si>
  <si>
    <t>GL001622</t>
  </si>
  <si>
    <t>GL001623</t>
  </si>
  <si>
    <t>GL001624</t>
  </si>
  <si>
    <t>GL001625</t>
  </si>
  <si>
    <t>GL001626</t>
  </si>
  <si>
    <t>GL001627</t>
  </si>
  <si>
    <t>GL001628</t>
  </si>
  <si>
    <t>GL001629</t>
  </si>
  <si>
    <t>GL001630</t>
  </si>
  <si>
    <t>GL001631</t>
  </si>
  <si>
    <t>GL001632</t>
  </si>
  <si>
    <t>GL001633</t>
  </si>
  <si>
    <t>GL001634</t>
  </si>
  <si>
    <t>GL001635</t>
  </si>
  <si>
    <t>GL001636</t>
  </si>
  <si>
    <t>GL001637</t>
  </si>
  <si>
    <t>GL001638</t>
  </si>
  <si>
    <t>GL001639</t>
  </si>
  <si>
    <t>GL001640</t>
  </si>
  <si>
    <t>GL001641</t>
  </si>
  <si>
    <t>GL001642</t>
  </si>
  <si>
    <t>GL001643</t>
  </si>
  <si>
    <t>GL001644</t>
  </si>
  <si>
    <t>GL001645</t>
  </si>
  <si>
    <t>GL001646</t>
  </si>
  <si>
    <t>GL001647</t>
  </si>
  <si>
    <t>GL001648</t>
  </si>
  <si>
    <t>GL001649</t>
  </si>
  <si>
    <t>GL001650</t>
  </si>
  <si>
    <t>GL001651</t>
  </si>
  <si>
    <t>GL001652</t>
  </si>
  <si>
    <t>GL001653</t>
  </si>
  <si>
    <t>GL001654</t>
  </si>
  <si>
    <t>GL001655</t>
  </si>
  <si>
    <t>GL001656</t>
  </si>
  <si>
    <t>GL001657</t>
  </si>
  <si>
    <t>GL001658</t>
  </si>
  <si>
    <t>GL001659</t>
  </si>
  <si>
    <t>GL001660</t>
  </si>
  <si>
    <t>GL001661</t>
  </si>
  <si>
    <t>GL001662</t>
  </si>
  <si>
    <t>GL001663</t>
  </si>
  <si>
    <t>GL001664</t>
  </si>
  <si>
    <t>GL001665</t>
  </si>
  <si>
    <t>GL001666</t>
  </si>
  <si>
    <t>GL001667</t>
  </si>
  <si>
    <t>GL001668</t>
  </si>
  <si>
    <t>GL001669</t>
  </si>
  <si>
    <t>GL001670</t>
  </si>
  <si>
    <t>GL001671</t>
  </si>
  <si>
    <t>GL001672</t>
  </si>
  <si>
    <t>GL001673</t>
  </si>
  <si>
    <t>GL001674</t>
  </si>
  <si>
    <t>GL001675</t>
  </si>
  <si>
    <t>GL001676</t>
  </si>
  <si>
    <t>GL001677</t>
  </si>
  <si>
    <t>GL001678</t>
  </si>
  <si>
    <t>GL001679</t>
  </si>
  <si>
    <t>GL001680</t>
  </si>
  <si>
    <t>GL001681</t>
  </si>
  <si>
    <t>GL001682</t>
  </si>
  <si>
    <t>GL001683</t>
  </si>
  <si>
    <t>GL001684</t>
  </si>
  <si>
    <t>GL001685</t>
  </si>
  <si>
    <t>GL001686</t>
  </si>
  <si>
    <t>GL001687</t>
  </si>
  <si>
    <t>GL001688</t>
  </si>
  <si>
    <t>GL001689</t>
  </si>
  <si>
    <t>GL001690</t>
  </si>
  <si>
    <t>GL001691</t>
  </si>
  <si>
    <t>GL001692</t>
  </si>
  <si>
    <t>GL001693</t>
  </si>
  <si>
    <t>GL001694</t>
  </si>
  <si>
    <t>GL001695</t>
  </si>
  <si>
    <t>GL001696</t>
  </si>
  <si>
    <t>GL001697</t>
  </si>
  <si>
    <t>GL001698</t>
  </si>
  <si>
    <t>GL001699</t>
  </si>
  <si>
    <t>GL001700</t>
  </si>
  <si>
    <t>GL001701</t>
  </si>
  <si>
    <t>GL001702</t>
  </si>
  <si>
    <t>GL001703</t>
  </si>
  <si>
    <t>GL001704</t>
  </si>
  <si>
    <t>GL001705</t>
  </si>
  <si>
    <t>GL001706</t>
  </si>
  <si>
    <t>GL001707</t>
  </si>
  <si>
    <t>GL001708</t>
  </si>
  <si>
    <t>GL001709</t>
  </si>
  <si>
    <t>GL001710</t>
  </si>
  <si>
    <t>GL001711</t>
  </si>
  <si>
    <t>GL001712</t>
  </si>
  <si>
    <t>GL001713</t>
  </si>
  <si>
    <t>GL001714</t>
  </si>
  <si>
    <t>GL001715</t>
  </si>
  <si>
    <t>GL001716</t>
  </si>
  <si>
    <t>GL001717</t>
  </si>
  <si>
    <t>GL001718</t>
  </si>
  <si>
    <t>GL001719</t>
  </si>
  <si>
    <t>GL001720</t>
  </si>
  <si>
    <t>GL001721</t>
  </si>
  <si>
    <t>GL001722</t>
  </si>
  <si>
    <t>GL001723</t>
  </si>
  <si>
    <t>GL001724</t>
  </si>
  <si>
    <t>GL001725</t>
  </si>
  <si>
    <t>GL001726</t>
  </si>
  <si>
    <t>GL001727</t>
  </si>
  <si>
    <t>GL001728</t>
  </si>
  <si>
    <t>GL001729</t>
  </si>
  <si>
    <t>GL001730</t>
  </si>
  <si>
    <t>GL001731</t>
  </si>
  <si>
    <t>GL001732</t>
  </si>
  <si>
    <t>GL001733</t>
  </si>
  <si>
    <t>GL001734</t>
  </si>
  <si>
    <t>GL001735</t>
  </si>
  <si>
    <t>GL001736</t>
  </si>
  <si>
    <t>GL001737</t>
  </si>
  <si>
    <t>GL001738</t>
  </si>
  <si>
    <t>GL001739</t>
  </si>
  <si>
    <t>GL001740</t>
  </si>
  <si>
    <t>GL001741</t>
  </si>
  <si>
    <t>GL001742</t>
  </si>
  <si>
    <t>GL001743</t>
  </si>
  <si>
    <t>GL001744</t>
  </si>
  <si>
    <t>GL001745</t>
  </si>
  <si>
    <t>GL001746</t>
  </si>
  <si>
    <t>GL001747</t>
  </si>
  <si>
    <t>GL001748</t>
  </si>
  <si>
    <t>GL001749</t>
  </si>
  <si>
    <t>GL001750</t>
  </si>
  <si>
    <t>GL001751</t>
  </si>
  <si>
    <t>GL001752</t>
  </si>
  <si>
    <t>GL001753</t>
  </si>
  <si>
    <t>GL001754</t>
  </si>
  <si>
    <t>GL001755</t>
  </si>
  <si>
    <t>GL001756</t>
  </si>
  <si>
    <t>GL001757</t>
  </si>
  <si>
    <t>GL001758</t>
  </si>
  <si>
    <t>GL001759</t>
  </si>
  <si>
    <t>GL001760</t>
  </si>
  <si>
    <t>GL001761</t>
  </si>
  <si>
    <t>GL001762</t>
  </si>
  <si>
    <t>GL001763</t>
  </si>
  <si>
    <t>GL001764</t>
  </si>
  <si>
    <t>GL001765</t>
  </si>
  <si>
    <t>GL001766</t>
  </si>
  <si>
    <t>GL001767</t>
  </si>
  <si>
    <t>GL001768</t>
  </si>
  <si>
    <t>GL001769</t>
  </si>
  <si>
    <t>GL001770</t>
  </si>
  <si>
    <t>GL001771</t>
  </si>
  <si>
    <t>GL001772</t>
  </si>
  <si>
    <t>GL001773</t>
  </si>
  <si>
    <t>GL001774</t>
  </si>
  <si>
    <t>GL001775</t>
  </si>
  <si>
    <t>GL001776</t>
  </si>
  <si>
    <t>GL001777</t>
  </si>
  <si>
    <t>GL001778</t>
  </si>
  <si>
    <t>GL001779</t>
  </si>
  <si>
    <t>GL001780</t>
  </si>
  <si>
    <t>GL001781</t>
  </si>
  <si>
    <t>GL001782</t>
  </si>
  <si>
    <t>GL001783</t>
  </si>
  <si>
    <t>GL001784</t>
  </si>
  <si>
    <t>GL001785</t>
  </si>
  <si>
    <t>GL001786</t>
  </si>
  <si>
    <t>GL001787</t>
  </si>
  <si>
    <t>GL001788</t>
  </si>
  <si>
    <t>GL001789</t>
  </si>
  <si>
    <t>GL001790</t>
  </si>
  <si>
    <t>GL001791</t>
  </si>
  <si>
    <t>GL001792</t>
  </si>
  <si>
    <t>GL001793</t>
  </si>
  <si>
    <t>GL001794</t>
  </si>
  <si>
    <t>GL001795</t>
  </si>
  <si>
    <t>GL001796</t>
  </si>
  <si>
    <t>GL001797</t>
  </si>
  <si>
    <t>GL001798</t>
  </si>
  <si>
    <t>GL001799</t>
  </si>
  <si>
    <t>GL001800</t>
  </si>
  <si>
    <t>GL001801</t>
  </si>
  <si>
    <t>GL001802</t>
  </si>
  <si>
    <t>GL001803</t>
  </si>
  <si>
    <t>GL001804</t>
  </si>
  <si>
    <t>GL001805</t>
  </si>
  <si>
    <t>GL001806</t>
  </si>
  <si>
    <t>GL001807</t>
  </si>
  <si>
    <t>GL001808</t>
  </si>
  <si>
    <t>GL001809</t>
  </si>
  <si>
    <t>GL001810</t>
  </si>
  <si>
    <t>GL001811</t>
  </si>
  <si>
    <t>GL001812</t>
  </si>
  <si>
    <t>GL001813</t>
  </si>
  <si>
    <t>GL001814</t>
  </si>
  <si>
    <t>GL001815</t>
  </si>
  <si>
    <t>GL001816</t>
  </si>
  <si>
    <t>GL001817</t>
  </si>
  <si>
    <t>GL001818</t>
  </si>
  <si>
    <t>GL001819</t>
  </si>
  <si>
    <t>GL001820</t>
  </si>
  <si>
    <t>GL001821</t>
  </si>
  <si>
    <t>GL001822</t>
  </si>
  <si>
    <t>GL001823</t>
  </si>
  <si>
    <t>GL001824</t>
  </si>
  <si>
    <t>GL001825</t>
  </si>
  <si>
    <t>GL001826</t>
  </si>
  <si>
    <t>GL001827</t>
  </si>
  <si>
    <t>GL001828</t>
  </si>
  <si>
    <t>GL001829</t>
  </si>
  <si>
    <t>GL001830</t>
  </si>
  <si>
    <t>GL001831</t>
  </si>
  <si>
    <t>GL001832</t>
  </si>
  <si>
    <t>GL001833</t>
  </si>
  <si>
    <t>GL001834</t>
  </si>
  <si>
    <t>GL001835</t>
  </si>
  <si>
    <t>GL001836</t>
  </si>
  <si>
    <t>GL001837</t>
  </si>
  <si>
    <t>GL001838</t>
  </si>
  <si>
    <t>GL001839</t>
  </si>
  <si>
    <t>GL001840</t>
  </si>
  <si>
    <t>GL001841</t>
  </si>
  <si>
    <t>GL001842</t>
  </si>
  <si>
    <t>GL001843</t>
  </si>
  <si>
    <t>GL001844</t>
  </si>
  <si>
    <t>GL001845</t>
  </si>
  <si>
    <t>GL001846</t>
  </si>
  <si>
    <t>GL001847</t>
  </si>
  <si>
    <t>GL001848</t>
  </si>
  <si>
    <t>GL001849</t>
  </si>
  <si>
    <t>GL001850</t>
  </si>
  <si>
    <t>GL001851</t>
  </si>
  <si>
    <t>GL001852</t>
  </si>
  <si>
    <t>GL001853</t>
  </si>
  <si>
    <t>GL001854</t>
  </si>
  <si>
    <t>GL001855</t>
  </si>
  <si>
    <t>GL001856</t>
  </si>
  <si>
    <t>GL001857</t>
  </si>
  <si>
    <t>GL001858</t>
  </si>
  <si>
    <t>GL001859</t>
  </si>
  <si>
    <t>GL001860</t>
  </si>
  <si>
    <t>GL001861</t>
  </si>
  <si>
    <t>GL001862</t>
  </si>
  <si>
    <t>GL001863</t>
  </si>
  <si>
    <t>GL001864</t>
  </si>
  <si>
    <t>GL001865</t>
  </si>
  <si>
    <t>GL001866</t>
  </si>
  <si>
    <t>GL001867</t>
  </si>
  <si>
    <t>GL001868</t>
  </si>
  <si>
    <t>GL001869</t>
  </si>
  <si>
    <t>GL001870</t>
  </si>
  <si>
    <t>GL001871</t>
  </si>
  <si>
    <t>GL001872</t>
  </si>
  <si>
    <t>GL001873</t>
  </si>
  <si>
    <t>GL001874</t>
  </si>
  <si>
    <t>GL001875</t>
  </si>
  <si>
    <t>GL001876</t>
  </si>
  <si>
    <t>GL001877</t>
  </si>
  <si>
    <t>GL001878</t>
  </si>
  <si>
    <t>GL001879</t>
  </si>
  <si>
    <t>GL001880</t>
  </si>
  <si>
    <t>GL001881</t>
  </si>
  <si>
    <t>GL001882</t>
  </si>
  <si>
    <t>GL001883</t>
  </si>
  <si>
    <t>GL001884</t>
  </si>
  <si>
    <t>GL001885</t>
  </si>
  <si>
    <t>GL001886</t>
  </si>
  <si>
    <t>GL001887</t>
  </si>
  <si>
    <t>GL001888</t>
  </si>
  <si>
    <t>GL001889</t>
  </si>
  <si>
    <t>GL001890</t>
  </si>
  <si>
    <t>GL001891</t>
  </si>
  <si>
    <t>GL001892</t>
  </si>
  <si>
    <t>GL001893</t>
  </si>
  <si>
    <t>GL001894</t>
  </si>
  <si>
    <t>GL001895</t>
  </si>
  <si>
    <t>GL001896</t>
  </si>
  <si>
    <t>GL001897</t>
  </si>
  <si>
    <t>GL001898</t>
  </si>
  <si>
    <t>GL001899</t>
  </si>
  <si>
    <t>GL001900</t>
  </si>
  <si>
    <t>GL001901</t>
  </si>
  <si>
    <t>GL001902</t>
  </si>
  <si>
    <t>GL001903</t>
  </si>
  <si>
    <t>GL001904</t>
  </si>
  <si>
    <t>GL001905</t>
  </si>
  <si>
    <t>GL001906</t>
  </si>
  <si>
    <t>GL001907</t>
  </si>
  <si>
    <t>GL001908</t>
  </si>
  <si>
    <t>GL001909</t>
  </si>
  <si>
    <t>GL001910</t>
  </si>
  <si>
    <t>GL001911</t>
  </si>
  <si>
    <t>GL001912</t>
  </si>
  <si>
    <t>GL001913</t>
  </si>
  <si>
    <t>GL001914</t>
  </si>
  <si>
    <t>GL001915</t>
  </si>
  <si>
    <t>GL001916</t>
  </si>
  <si>
    <t>GL001917</t>
  </si>
  <si>
    <t>GL001918</t>
  </si>
  <si>
    <t>GL001919</t>
  </si>
  <si>
    <t>GL001920</t>
  </si>
  <si>
    <t>GL001921</t>
  </si>
  <si>
    <t>GL001922</t>
  </si>
  <si>
    <t>GL001923</t>
  </si>
  <si>
    <t>GL001924</t>
  </si>
  <si>
    <t>GL001925</t>
  </si>
  <si>
    <t>GL001926</t>
  </si>
  <si>
    <t>GL001927</t>
  </si>
  <si>
    <t>GL001928</t>
  </si>
  <si>
    <t>GL001929</t>
  </si>
  <si>
    <t>GL001930</t>
  </si>
  <si>
    <t>GL001931</t>
  </si>
  <si>
    <t>GL001932</t>
  </si>
  <si>
    <t>GL001933</t>
  </si>
  <si>
    <t>GL001934</t>
  </si>
  <si>
    <t>GL001935</t>
  </si>
  <si>
    <t>GL001936</t>
  </si>
  <si>
    <t>GL001937</t>
  </si>
  <si>
    <t>GL001938</t>
  </si>
  <si>
    <t>GL001939</t>
  </si>
  <si>
    <t>GL001940</t>
  </si>
  <si>
    <t>GL001941</t>
  </si>
  <si>
    <t>GL001942</t>
  </si>
  <si>
    <t>GL001943</t>
  </si>
  <si>
    <t>GL001944</t>
  </si>
  <si>
    <t>GL001945</t>
  </si>
  <si>
    <t>GL001946</t>
  </si>
  <si>
    <t>GL001947</t>
  </si>
  <si>
    <t>GL001948</t>
  </si>
  <si>
    <t>GL001949</t>
  </si>
  <si>
    <t>GL001950</t>
  </si>
  <si>
    <t>GL001951</t>
  </si>
  <si>
    <t>GL001952</t>
  </si>
  <si>
    <t>GL001953</t>
  </si>
  <si>
    <t>GL001954</t>
  </si>
  <si>
    <t>GL001955</t>
  </si>
  <si>
    <t>GL001956</t>
  </si>
  <si>
    <t>GL001957</t>
  </si>
  <si>
    <t>GL001958</t>
  </si>
  <si>
    <t>GL001959</t>
  </si>
  <si>
    <t>GL001960</t>
  </si>
  <si>
    <t>GL001961</t>
  </si>
  <si>
    <t>GL001962</t>
  </si>
  <si>
    <t>GL001963</t>
  </si>
  <si>
    <t>GL001964</t>
  </si>
  <si>
    <t>GL001965</t>
  </si>
  <si>
    <t>GL001966</t>
  </si>
  <si>
    <t>GL001967</t>
  </si>
  <si>
    <t>GL001968</t>
  </si>
  <si>
    <t>GL001969</t>
  </si>
  <si>
    <t>GL001970</t>
  </si>
  <si>
    <t>GL001971</t>
  </si>
  <si>
    <t>GL001972</t>
  </si>
  <si>
    <t>GL001973</t>
  </si>
  <si>
    <t>GL001974</t>
  </si>
  <si>
    <t>GL001975</t>
  </si>
  <si>
    <t>GL001976</t>
  </si>
  <si>
    <t>GL001977</t>
  </si>
  <si>
    <t>GL001978</t>
  </si>
  <si>
    <t>GL001979</t>
  </si>
  <si>
    <t>GL001980</t>
  </si>
  <si>
    <t>GL001981</t>
  </si>
  <si>
    <t>GL001982</t>
  </si>
  <si>
    <t>GL001983</t>
  </si>
  <si>
    <t>GL001984</t>
  </si>
  <si>
    <t>GL001985</t>
  </si>
  <si>
    <t>GL001986</t>
  </si>
  <si>
    <t>GL001987</t>
  </si>
  <si>
    <t>GL001988</t>
  </si>
  <si>
    <t>GL001989</t>
  </si>
  <si>
    <t>GL001990</t>
  </si>
  <si>
    <t>GL001991</t>
  </si>
  <si>
    <t>GL001992</t>
  </si>
  <si>
    <t>GL001993</t>
  </si>
  <si>
    <t>GL001994</t>
  </si>
  <si>
    <t>GL001995</t>
  </si>
  <si>
    <t>GL001996</t>
  </si>
  <si>
    <t>GL001997</t>
  </si>
  <si>
    <t>GL001998</t>
  </si>
  <si>
    <t>GL001999</t>
  </si>
  <si>
    <t>Sales Revenue</t>
  </si>
  <si>
    <t>COGS</t>
  </si>
  <si>
    <t>Payroll Expense</t>
  </si>
  <si>
    <t>Travel Expense</t>
  </si>
  <si>
    <t>Online Sales</t>
  </si>
  <si>
    <t>Sales</t>
  </si>
  <si>
    <t>HR</t>
  </si>
  <si>
    <t>IT</t>
  </si>
  <si>
    <t>Marketing</t>
  </si>
  <si>
    <t>Finance</t>
  </si>
  <si>
    <t>Operations</t>
  </si>
  <si>
    <t>CC500</t>
  </si>
  <si>
    <t>CC300</t>
  </si>
  <si>
    <t>CC400</t>
  </si>
  <si>
    <t>CC200</t>
  </si>
  <si>
    <t>CC100</t>
  </si>
  <si>
    <t>AutoPost 0</t>
  </si>
  <si>
    <t>AutoPost 1</t>
  </si>
  <si>
    <t>AutoPost 2</t>
  </si>
  <si>
    <t>AutoPost 3</t>
  </si>
  <si>
    <t>AutoPost 4</t>
  </si>
  <si>
    <t>AutoPost 5</t>
  </si>
  <si>
    <t>AutoPost 6</t>
  </si>
  <si>
    <t>AutoPost 7</t>
  </si>
  <si>
    <t>AutoPost 8</t>
  </si>
  <si>
    <t>AutoPost 9</t>
  </si>
  <si>
    <t>AutoPost 10</t>
  </si>
  <si>
    <t>AutoPost 11</t>
  </si>
  <si>
    <t>AutoPost 12</t>
  </si>
  <si>
    <t>AutoPost 13</t>
  </si>
  <si>
    <t>AutoPost 14</t>
  </si>
  <si>
    <t>AutoPost 15</t>
  </si>
  <si>
    <t>AutoPost 16</t>
  </si>
  <si>
    <t>AutoPost 17</t>
  </si>
  <si>
    <t>AutoPost 18</t>
  </si>
  <si>
    <t>AutoPost 19</t>
  </si>
  <si>
    <t>AutoPost 20</t>
  </si>
  <si>
    <t>AutoPost 21</t>
  </si>
  <si>
    <t>AutoPost 22</t>
  </si>
  <si>
    <t>AutoPost 23</t>
  </si>
  <si>
    <t>AutoPost 24</t>
  </si>
  <si>
    <t>AutoPost 25</t>
  </si>
  <si>
    <t>AutoPost 26</t>
  </si>
  <si>
    <t>AutoPost 27</t>
  </si>
  <si>
    <t>AutoPost 28</t>
  </si>
  <si>
    <t>AutoPost 29</t>
  </si>
  <si>
    <t>AutoPost 30</t>
  </si>
  <si>
    <t>AutoPost 31</t>
  </si>
  <si>
    <t>AutoPost 32</t>
  </si>
  <si>
    <t>AutoPost 33</t>
  </si>
  <si>
    <t>AutoPost 34</t>
  </si>
  <si>
    <t>AutoPost 35</t>
  </si>
  <si>
    <t>AutoPost 36</t>
  </si>
  <si>
    <t>AutoPost 37</t>
  </si>
  <si>
    <t>AutoPost 38</t>
  </si>
  <si>
    <t>AutoPost 39</t>
  </si>
  <si>
    <t>AutoPost 40</t>
  </si>
  <si>
    <t>AutoPost 41</t>
  </si>
  <si>
    <t>AutoPost 42</t>
  </si>
  <si>
    <t>AutoPost 43</t>
  </si>
  <si>
    <t>AutoPost 44</t>
  </si>
  <si>
    <t>AutoPost 45</t>
  </si>
  <si>
    <t>AutoPost 46</t>
  </si>
  <si>
    <t>AutoPost 47</t>
  </si>
  <si>
    <t>AutoPost 48</t>
  </si>
  <si>
    <t>AutoPost 49</t>
  </si>
  <si>
    <t>AutoPost 50</t>
  </si>
  <si>
    <t>AutoPost 51</t>
  </si>
  <si>
    <t>AutoPost 52</t>
  </si>
  <si>
    <t>AutoPost 53</t>
  </si>
  <si>
    <t>AutoPost 54</t>
  </si>
  <si>
    <t>AutoPost 55</t>
  </si>
  <si>
    <t>AutoPost 56</t>
  </si>
  <si>
    <t>AutoPost 57</t>
  </si>
  <si>
    <t>AutoPost 58</t>
  </si>
  <si>
    <t>AutoPost 59</t>
  </si>
  <si>
    <t>AutoPost 60</t>
  </si>
  <si>
    <t>AutoPost 61</t>
  </si>
  <si>
    <t>AutoPost 62</t>
  </si>
  <si>
    <t>AutoPost 63</t>
  </si>
  <si>
    <t>AutoPost 64</t>
  </si>
  <si>
    <t>AutoPost 65</t>
  </si>
  <si>
    <t>AutoPost 66</t>
  </si>
  <si>
    <t>AutoPost 67</t>
  </si>
  <si>
    <t>AutoPost 68</t>
  </si>
  <si>
    <t>AutoPost 69</t>
  </si>
  <si>
    <t>AutoPost 70</t>
  </si>
  <si>
    <t>AutoPost 71</t>
  </si>
  <si>
    <t>AutoPost 72</t>
  </si>
  <si>
    <t>AutoPost 73</t>
  </si>
  <si>
    <t>AutoPost 74</t>
  </si>
  <si>
    <t>AutoPost 75</t>
  </si>
  <si>
    <t>AutoPost 76</t>
  </si>
  <si>
    <t>AutoPost 77</t>
  </si>
  <si>
    <t>AutoPost 78</t>
  </si>
  <si>
    <t>AutoPost 79</t>
  </si>
  <si>
    <t>AutoPost 80</t>
  </si>
  <si>
    <t>AutoPost 81</t>
  </si>
  <si>
    <t>AutoPost 82</t>
  </si>
  <si>
    <t>AutoPost 83</t>
  </si>
  <si>
    <t>AutoPost 84</t>
  </si>
  <si>
    <t>AutoPost 85</t>
  </si>
  <si>
    <t>AutoPost 86</t>
  </si>
  <si>
    <t>AutoPost 87</t>
  </si>
  <si>
    <t>AutoPost 88</t>
  </si>
  <si>
    <t>AutoPost 89</t>
  </si>
  <si>
    <t>AutoPost 90</t>
  </si>
  <si>
    <t>AutoPost 91</t>
  </si>
  <si>
    <t>AutoPost 92</t>
  </si>
  <si>
    <t>AutoPost 93</t>
  </si>
  <si>
    <t>AutoPost 94</t>
  </si>
  <si>
    <t>AutoPost 95</t>
  </si>
  <si>
    <t>AutoPost 96</t>
  </si>
  <si>
    <t>AutoPost 97</t>
  </si>
  <si>
    <t>AutoPost 98</t>
  </si>
  <si>
    <t>AutoPost 99</t>
  </si>
  <si>
    <t>AutoPost 100</t>
  </si>
  <si>
    <t>AutoPost 101</t>
  </si>
  <si>
    <t>AutoPost 102</t>
  </si>
  <si>
    <t>AutoPost 103</t>
  </si>
  <si>
    <t>AutoPost 104</t>
  </si>
  <si>
    <t>AutoPost 105</t>
  </si>
  <si>
    <t>AutoPost 106</t>
  </si>
  <si>
    <t>AutoPost 107</t>
  </si>
  <si>
    <t>AutoPost 108</t>
  </si>
  <si>
    <t>AutoPost 109</t>
  </si>
  <si>
    <t>AutoPost 110</t>
  </si>
  <si>
    <t>AutoPost 111</t>
  </si>
  <si>
    <t>AutoPost 112</t>
  </si>
  <si>
    <t>AutoPost 113</t>
  </si>
  <si>
    <t>AutoPost 114</t>
  </si>
  <si>
    <t>AutoPost 115</t>
  </si>
  <si>
    <t>AutoPost 116</t>
  </si>
  <si>
    <t>AutoPost 117</t>
  </si>
  <si>
    <t>AutoPost 118</t>
  </si>
  <si>
    <t>AutoPost 119</t>
  </si>
  <si>
    <t>AutoPost 120</t>
  </si>
  <si>
    <t>AutoPost 121</t>
  </si>
  <si>
    <t>AutoPost 122</t>
  </si>
  <si>
    <t>AutoPost 123</t>
  </si>
  <si>
    <t>AutoPost 124</t>
  </si>
  <si>
    <t>AutoPost 125</t>
  </si>
  <si>
    <t>AutoPost 126</t>
  </si>
  <si>
    <t>AutoPost 127</t>
  </si>
  <si>
    <t>AutoPost 128</t>
  </si>
  <si>
    <t>AutoPost 129</t>
  </si>
  <si>
    <t>AutoPost 130</t>
  </si>
  <si>
    <t>AutoPost 131</t>
  </si>
  <si>
    <t>AutoPost 132</t>
  </si>
  <si>
    <t>AutoPost 133</t>
  </si>
  <si>
    <t>AutoPost 134</t>
  </si>
  <si>
    <t>AutoPost 135</t>
  </si>
  <si>
    <t>AutoPost 136</t>
  </si>
  <si>
    <t>AutoPost 137</t>
  </si>
  <si>
    <t>AutoPost 138</t>
  </si>
  <si>
    <t>AutoPost 139</t>
  </si>
  <si>
    <t>AutoPost 140</t>
  </si>
  <si>
    <t>AutoPost 141</t>
  </si>
  <si>
    <t>AutoPost 142</t>
  </si>
  <si>
    <t>AutoPost 143</t>
  </si>
  <si>
    <t>AutoPost 144</t>
  </si>
  <si>
    <t>AutoPost 145</t>
  </si>
  <si>
    <t>AutoPost 146</t>
  </si>
  <si>
    <t>AutoPost 147</t>
  </si>
  <si>
    <t>AutoPost 148</t>
  </si>
  <si>
    <t>AutoPost 149</t>
  </si>
  <si>
    <t>AutoPost 150</t>
  </si>
  <si>
    <t>AutoPost 151</t>
  </si>
  <si>
    <t>AutoPost 152</t>
  </si>
  <si>
    <t>AutoPost 153</t>
  </si>
  <si>
    <t>AutoPost 154</t>
  </si>
  <si>
    <t>AutoPost 155</t>
  </si>
  <si>
    <t>AutoPost 156</t>
  </si>
  <si>
    <t>AutoPost 157</t>
  </si>
  <si>
    <t>AutoPost 158</t>
  </si>
  <si>
    <t>AutoPost 159</t>
  </si>
  <si>
    <t>AutoPost 160</t>
  </si>
  <si>
    <t>AutoPost 161</t>
  </si>
  <si>
    <t>AutoPost 162</t>
  </si>
  <si>
    <t>AutoPost 163</t>
  </si>
  <si>
    <t>AutoPost 164</t>
  </si>
  <si>
    <t>AutoPost 165</t>
  </si>
  <si>
    <t>AutoPost 166</t>
  </si>
  <si>
    <t>AutoPost 167</t>
  </si>
  <si>
    <t>AutoPost 168</t>
  </si>
  <si>
    <t>AutoPost 169</t>
  </si>
  <si>
    <t>AutoPost 170</t>
  </si>
  <si>
    <t>AutoPost 171</t>
  </si>
  <si>
    <t>AutoPost 172</t>
  </si>
  <si>
    <t>AutoPost 173</t>
  </si>
  <si>
    <t>AutoPost 174</t>
  </si>
  <si>
    <t>AutoPost 175</t>
  </si>
  <si>
    <t>AutoPost 176</t>
  </si>
  <si>
    <t>AutoPost 177</t>
  </si>
  <si>
    <t>AutoPost 178</t>
  </si>
  <si>
    <t>AutoPost 179</t>
  </si>
  <si>
    <t>AutoPost 180</t>
  </si>
  <si>
    <t>AutoPost 181</t>
  </si>
  <si>
    <t>AutoPost 182</t>
  </si>
  <si>
    <t>AutoPost 183</t>
  </si>
  <si>
    <t>AutoPost 184</t>
  </si>
  <si>
    <t>AutoPost 185</t>
  </si>
  <si>
    <t>AutoPost 186</t>
  </si>
  <si>
    <t>AutoPost 187</t>
  </si>
  <si>
    <t>AutoPost 188</t>
  </si>
  <si>
    <t>AutoPost 189</t>
  </si>
  <si>
    <t>AutoPost 190</t>
  </si>
  <si>
    <t>AutoPost 191</t>
  </si>
  <si>
    <t>AutoPost 192</t>
  </si>
  <si>
    <t>AutoPost 193</t>
  </si>
  <si>
    <t>AutoPost 194</t>
  </si>
  <si>
    <t>AutoPost 195</t>
  </si>
  <si>
    <t>AutoPost 196</t>
  </si>
  <si>
    <t>AutoPost 197</t>
  </si>
  <si>
    <t>AutoPost 198</t>
  </si>
  <si>
    <t>AutoPost 199</t>
  </si>
  <si>
    <t>AutoPost 200</t>
  </si>
  <si>
    <t>AutoPost 201</t>
  </si>
  <si>
    <t>AutoPost 202</t>
  </si>
  <si>
    <t>AutoPost 203</t>
  </si>
  <si>
    <t>AutoPost 204</t>
  </si>
  <si>
    <t>AutoPost 205</t>
  </si>
  <si>
    <t>AutoPost 206</t>
  </si>
  <si>
    <t>AutoPost 207</t>
  </si>
  <si>
    <t>AutoPost 208</t>
  </si>
  <si>
    <t>AutoPost 209</t>
  </si>
  <si>
    <t>AutoPost 210</t>
  </si>
  <si>
    <t>AutoPost 211</t>
  </si>
  <si>
    <t>AutoPost 212</t>
  </si>
  <si>
    <t>AutoPost 213</t>
  </si>
  <si>
    <t>AutoPost 214</t>
  </si>
  <si>
    <t>AutoPost 215</t>
  </si>
  <si>
    <t>AutoPost 216</t>
  </si>
  <si>
    <t>AutoPost 217</t>
  </si>
  <si>
    <t>AutoPost 218</t>
  </si>
  <si>
    <t>AutoPost 219</t>
  </si>
  <si>
    <t>AutoPost 220</t>
  </si>
  <si>
    <t>AutoPost 221</t>
  </si>
  <si>
    <t>AutoPost 222</t>
  </si>
  <si>
    <t>AutoPost 223</t>
  </si>
  <si>
    <t>AutoPost 224</t>
  </si>
  <si>
    <t>AutoPost 225</t>
  </si>
  <si>
    <t>AutoPost 226</t>
  </si>
  <si>
    <t>AutoPost 227</t>
  </si>
  <si>
    <t>AutoPost 228</t>
  </si>
  <si>
    <t>AutoPost 229</t>
  </si>
  <si>
    <t>AutoPost 230</t>
  </si>
  <si>
    <t>AutoPost 231</t>
  </si>
  <si>
    <t>AutoPost 232</t>
  </si>
  <si>
    <t>AutoPost 233</t>
  </si>
  <si>
    <t>AutoPost 234</t>
  </si>
  <si>
    <t>AutoPost 235</t>
  </si>
  <si>
    <t>AutoPost 236</t>
  </si>
  <si>
    <t>AutoPost 237</t>
  </si>
  <si>
    <t>AutoPost 238</t>
  </si>
  <si>
    <t>AutoPost 239</t>
  </si>
  <si>
    <t>AutoPost 240</t>
  </si>
  <si>
    <t>AutoPost 241</t>
  </si>
  <si>
    <t>AutoPost 242</t>
  </si>
  <si>
    <t>AutoPost 243</t>
  </si>
  <si>
    <t>AutoPost 244</t>
  </si>
  <si>
    <t>AutoPost 245</t>
  </si>
  <si>
    <t>AutoPost 246</t>
  </si>
  <si>
    <t>AutoPost 247</t>
  </si>
  <si>
    <t>AutoPost 248</t>
  </si>
  <si>
    <t>AutoPost 249</t>
  </si>
  <si>
    <t>AutoPost 250</t>
  </si>
  <si>
    <t>AutoPost 251</t>
  </si>
  <si>
    <t>AutoPost 252</t>
  </si>
  <si>
    <t>AutoPost 253</t>
  </si>
  <si>
    <t>AutoPost 254</t>
  </si>
  <si>
    <t>AutoPost 255</t>
  </si>
  <si>
    <t>AutoPost 256</t>
  </si>
  <si>
    <t>AutoPost 257</t>
  </si>
  <si>
    <t>AutoPost 258</t>
  </si>
  <si>
    <t>AutoPost 259</t>
  </si>
  <si>
    <t>AutoPost 260</t>
  </si>
  <si>
    <t>AutoPost 261</t>
  </si>
  <si>
    <t>AutoPost 262</t>
  </si>
  <si>
    <t>AutoPost 263</t>
  </si>
  <si>
    <t>AutoPost 264</t>
  </si>
  <si>
    <t>AutoPost 265</t>
  </si>
  <si>
    <t>AutoPost 266</t>
  </si>
  <si>
    <t>AutoPost 267</t>
  </si>
  <si>
    <t>AutoPost 268</t>
  </si>
  <si>
    <t>AutoPost 269</t>
  </si>
  <si>
    <t>AutoPost 270</t>
  </si>
  <si>
    <t>AutoPost 271</t>
  </si>
  <si>
    <t>AutoPost 272</t>
  </si>
  <si>
    <t>AutoPost 273</t>
  </si>
  <si>
    <t>AutoPost 274</t>
  </si>
  <si>
    <t>AutoPost 275</t>
  </si>
  <si>
    <t>AutoPost 276</t>
  </si>
  <si>
    <t>AutoPost 277</t>
  </si>
  <si>
    <t>AutoPost 278</t>
  </si>
  <si>
    <t>AutoPost 279</t>
  </si>
  <si>
    <t>AutoPost 280</t>
  </si>
  <si>
    <t>AutoPost 281</t>
  </si>
  <si>
    <t>AutoPost 282</t>
  </si>
  <si>
    <t>AutoPost 283</t>
  </si>
  <si>
    <t>AutoPost 284</t>
  </si>
  <si>
    <t>AutoPost 285</t>
  </si>
  <si>
    <t>AutoPost 286</t>
  </si>
  <si>
    <t>AutoPost 287</t>
  </si>
  <si>
    <t>AutoPost 288</t>
  </si>
  <si>
    <t>AutoPost 289</t>
  </si>
  <si>
    <t>AutoPost 290</t>
  </si>
  <si>
    <t>AutoPost 291</t>
  </si>
  <si>
    <t>AutoPost 292</t>
  </si>
  <si>
    <t>AutoPost 293</t>
  </si>
  <si>
    <t>AutoPost 294</t>
  </si>
  <si>
    <t>AutoPost 295</t>
  </si>
  <si>
    <t>AutoPost 296</t>
  </si>
  <si>
    <t>AutoPost 297</t>
  </si>
  <si>
    <t>AutoPost 298</t>
  </si>
  <si>
    <t>AutoPost 299</t>
  </si>
  <si>
    <t>AutoPost 300</t>
  </si>
  <si>
    <t>AutoPost 301</t>
  </si>
  <si>
    <t>AutoPost 302</t>
  </si>
  <si>
    <t>AutoPost 303</t>
  </si>
  <si>
    <t>AutoPost 304</t>
  </si>
  <si>
    <t>AutoPost 305</t>
  </si>
  <si>
    <t>AutoPost 306</t>
  </si>
  <si>
    <t>AutoPost 307</t>
  </si>
  <si>
    <t>AutoPost 308</t>
  </si>
  <si>
    <t>AutoPost 309</t>
  </si>
  <si>
    <t>AutoPost 310</t>
  </si>
  <si>
    <t>AutoPost 311</t>
  </si>
  <si>
    <t>AutoPost 312</t>
  </si>
  <si>
    <t>AutoPost 313</t>
  </si>
  <si>
    <t>AutoPost 314</t>
  </si>
  <si>
    <t>AutoPost 315</t>
  </si>
  <si>
    <t>AutoPost 316</t>
  </si>
  <si>
    <t>AutoPost 317</t>
  </si>
  <si>
    <t>AutoPost 318</t>
  </si>
  <si>
    <t>AutoPost 319</t>
  </si>
  <si>
    <t>AutoPost 320</t>
  </si>
  <si>
    <t>AutoPost 321</t>
  </si>
  <si>
    <t>AutoPost 322</t>
  </si>
  <si>
    <t>AutoPost 323</t>
  </si>
  <si>
    <t>AutoPost 324</t>
  </si>
  <si>
    <t>AutoPost 325</t>
  </si>
  <si>
    <t>AutoPost 326</t>
  </si>
  <si>
    <t>AutoPost 327</t>
  </si>
  <si>
    <t>AutoPost 328</t>
  </si>
  <si>
    <t>AutoPost 329</t>
  </si>
  <si>
    <t>AutoPost 330</t>
  </si>
  <si>
    <t>AutoPost 331</t>
  </si>
  <si>
    <t>AutoPost 332</t>
  </si>
  <si>
    <t>AutoPost 333</t>
  </si>
  <si>
    <t>AutoPost 334</t>
  </si>
  <si>
    <t>AutoPost 335</t>
  </si>
  <si>
    <t>AutoPost 336</t>
  </si>
  <si>
    <t>AutoPost 337</t>
  </si>
  <si>
    <t>AutoPost 338</t>
  </si>
  <si>
    <t>AutoPost 339</t>
  </si>
  <si>
    <t>AutoPost 340</t>
  </si>
  <si>
    <t>AutoPost 341</t>
  </si>
  <si>
    <t>AutoPost 342</t>
  </si>
  <si>
    <t>AutoPost 343</t>
  </si>
  <si>
    <t>AutoPost 344</t>
  </si>
  <si>
    <t>AutoPost 345</t>
  </si>
  <si>
    <t>AutoPost 346</t>
  </si>
  <si>
    <t>AutoPost 347</t>
  </si>
  <si>
    <t>AutoPost 348</t>
  </si>
  <si>
    <t>AutoPost 349</t>
  </si>
  <si>
    <t>AutoPost 350</t>
  </si>
  <si>
    <t>AutoPost 351</t>
  </si>
  <si>
    <t>AutoPost 352</t>
  </si>
  <si>
    <t>AutoPost 353</t>
  </si>
  <si>
    <t>AutoPost 354</t>
  </si>
  <si>
    <t>AutoPost 355</t>
  </si>
  <si>
    <t>AutoPost 356</t>
  </si>
  <si>
    <t>AutoPost 357</t>
  </si>
  <si>
    <t>AutoPost 358</t>
  </si>
  <si>
    <t>AutoPost 359</t>
  </si>
  <si>
    <t>AutoPost 360</t>
  </si>
  <si>
    <t>AutoPost 361</t>
  </si>
  <si>
    <t>AutoPost 362</t>
  </si>
  <si>
    <t>AutoPost 363</t>
  </si>
  <si>
    <t>AutoPost 364</t>
  </si>
  <si>
    <t>AutoPost 365</t>
  </si>
  <si>
    <t>AutoPost 366</t>
  </si>
  <si>
    <t>AutoPost 367</t>
  </si>
  <si>
    <t>AutoPost 368</t>
  </si>
  <si>
    <t>AutoPost 369</t>
  </si>
  <si>
    <t>AutoPost 370</t>
  </si>
  <si>
    <t>AutoPost 371</t>
  </si>
  <si>
    <t>AutoPost 372</t>
  </si>
  <si>
    <t>AutoPost 373</t>
  </si>
  <si>
    <t>AutoPost 374</t>
  </si>
  <si>
    <t>AutoPost 375</t>
  </si>
  <si>
    <t>AutoPost 376</t>
  </si>
  <si>
    <t>AutoPost 377</t>
  </si>
  <si>
    <t>AutoPost 378</t>
  </si>
  <si>
    <t>AutoPost 379</t>
  </si>
  <si>
    <t>AutoPost 380</t>
  </si>
  <si>
    <t>AutoPost 381</t>
  </si>
  <si>
    <t>AutoPost 382</t>
  </si>
  <si>
    <t>AutoPost 383</t>
  </si>
  <si>
    <t>AutoPost 384</t>
  </si>
  <si>
    <t>AutoPost 385</t>
  </si>
  <si>
    <t>AutoPost 386</t>
  </si>
  <si>
    <t>AutoPost 387</t>
  </si>
  <si>
    <t>AutoPost 388</t>
  </si>
  <si>
    <t>AutoPost 389</t>
  </si>
  <si>
    <t>AutoPost 390</t>
  </si>
  <si>
    <t>AutoPost 391</t>
  </si>
  <si>
    <t>AutoPost 392</t>
  </si>
  <si>
    <t>AutoPost 393</t>
  </si>
  <si>
    <t>AutoPost 394</t>
  </si>
  <si>
    <t>AutoPost 395</t>
  </si>
  <si>
    <t>AutoPost 396</t>
  </si>
  <si>
    <t>AutoPost 397</t>
  </si>
  <si>
    <t>AutoPost 398</t>
  </si>
  <si>
    <t>AutoPost 399</t>
  </si>
  <si>
    <t>AutoPost 400</t>
  </si>
  <si>
    <t>AutoPost 401</t>
  </si>
  <si>
    <t>AutoPost 402</t>
  </si>
  <si>
    <t>AutoPost 403</t>
  </si>
  <si>
    <t>AutoPost 404</t>
  </si>
  <si>
    <t>AutoPost 405</t>
  </si>
  <si>
    <t>AutoPost 406</t>
  </si>
  <si>
    <t>AutoPost 407</t>
  </si>
  <si>
    <t>AutoPost 408</t>
  </si>
  <si>
    <t>AutoPost 409</t>
  </si>
  <si>
    <t>AutoPost 410</t>
  </si>
  <si>
    <t>AutoPost 411</t>
  </si>
  <si>
    <t>AutoPost 412</t>
  </si>
  <si>
    <t>AutoPost 413</t>
  </si>
  <si>
    <t>AutoPost 414</t>
  </si>
  <si>
    <t>AutoPost 415</t>
  </si>
  <si>
    <t>AutoPost 416</t>
  </si>
  <si>
    <t>AutoPost 417</t>
  </si>
  <si>
    <t>AutoPost 418</t>
  </si>
  <si>
    <t>AutoPost 419</t>
  </si>
  <si>
    <t>AutoPost 420</t>
  </si>
  <si>
    <t>AutoPost 421</t>
  </si>
  <si>
    <t>AutoPost 422</t>
  </si>
  <si>
    <t>AutoPost 423</t>
  </si>
  <si>
    <t>AutoPost 424</t>
  </si>
  <si>
    <t>AutoPost 425</t>
  </si>
  <si>
    <t>AutoPost 426</t>
  </si>
  <si>
    <t>AutoPost 427</t>
  </si>
  <si>
    <t>AutoPost 428</t>
  </si>
  <si>
    <t>AutoPost 429</t>
  </si>
  <si>
    <t>AutoPost 430</t>
  </si>
  <si>
    <t>AutoPost 431</t>
  </si>
  <si>
    <t>AutoPost 432</t>
  </si>
  <si>
    <t>AutoPost 433</t>
  </si>
  <si>
    <t>AutoPost 434</t>
  </si>
  <si>
    <t>AutoPost 435</t>
  </si>
  <si>
    <t>AutoPost 436</t>
  </si>
  <si>
    <t>AutoPost 437</t>
  </si>
  <si>
    <t>AutoPost 438</t>
  </si>
  <si>
    <t>AutoPost 439</t>
  </si>
  <si>
    <t>AutoPost 440</t>
  </si>
  <si>
    <t>AutoPost 441</t>
  </si>
  <si>
    <t>AutoPost 442</t>
  </si>
  <si>
    <t>AutoPost 443</t>
  </si>
  <si>
    <t>AutoPost 444</t>
  </si>
  <si>
    <t>AutoPost 445</t>
  </si>
  <si>
    <t>AutoPost 446</t>
  </si>
  <si>
    <t>AutoPost 447</t>
  </si>
  <si>
    <t>AutoPost 448</t>
  </si>
  <si>
    <t>AutoPost 449</t>
  </si>
  <si>
    <t>AutoPost 450</t>
  </si>
  <si>
    <t>AutoPost 451</t>
  </si>
  <si>
    <t>AutoPost 452</t>
  </si>
  <si>
    <t>AutoPost 453</t>
  </si>
  <si>
    <t>AutoPost 454</t>
  </si>
  <si>
    <t>AutoPost 455</t>
  </si>
  <si>
    <t>AutoPost 456</t>
  </si>
  <si>
    <t>AutoPost 457</t>
  </si>
  <si>
    <t>AutoPost 458</t>
  </si>
  <si>
    <t>AutoPost 459</t>
  </si>
  <si>
    <t>AutoPost 460</t>
  </si>
  <si>
    <t>AutoPost 461</t>
  </si>
  <si>
    <t>AutoPost 462</t>
  </si>
  <si>
    <t>AutoPost 463</t>
  </si>
  <si>
    <t>AutoPost 464</t>
  </si>
  <si>
    <t>AutoPost 465</t>
  </si>
  <si>
    <t>AutoPost 466</t>
  </si>
  <si>
    <t>AutoPost 467</t>
  </si>
  <si>
    <t>AutoPost 468</t>
  </si>
  <si>
    <t>AutoPost 469</t>
  </si>
  <si>
    <t>AutoPost 470</t>
  </si>
  <si>
    <t>AutoPost 471</t>
  </si>
  <si>
    <t>AutoPost 472</t>
  </si>
  <si>
    <t>AutoPost 473</t>
  </si>
  <si>
    <t>AutoPost 474</t>
  </si>
  <si>
    <t>AutoPost 475</t>
  </si>
  <si>
    <t>AutoPost 476</t>
  </si>
  <si>
    <t>AutoPost 477</t>
  </si>
  <si>
    <t>AutoPost 478</t>
  </si>
  <si>
    <t>AutoPost 479</t>
  </si>
  <si>
    <t>AutoPost 480</t>
  </si>
  <si>
    <t>AutoPost 481</t>
  </si>
  <si>
    <t>AutoPost 482</t>
  </si>
  <si>
    <t>AutoPost 483</t>
  </si>
  <si>
    <t>AutoPost 484</t>
  </si>
  <si>
    <t>AutoPost 485</t>
  </si>
  <si>
    <t>AutoPost 486</t>
  </si>
  <si>
    <t>AutoPost 487</t>
  </si>
  <si>
    <t>AutoPost 488</t>
  </si>
  <si>
    <t>AutoPost 489</t>
  </si>
  <si>
    <t>AutoPost 490</t>
  </si>
  <si>
    <t>AutoPost 491</t>
  </si>
  <si>
    <t>AutoPost 492</t>
  </si>
  <si>
    <t>AutoPost 493</t>
  </si>
  <si>
    <t>AutoPost 494</t>
  </si>
  <si>
    <t>AutoPost 495</t>
  </si>
  <si>
    <t>AutoPost 496</t>
  </si>
  <si>
    <t>AutoPost 497</t>
  </si>
  <si>
    <t>AutoPost 498</t>
  </si>
  <si>
    <t>AutoPost 499</t>
  </si>
  <si>
    <t>AutoPost 500</t>
  </si>
  <si>
    <t>AutoPost 501</t>
  </si>
  <si>
    <t>AutoPost 502</t>
  </si>
  <si>
    <t>AutoPost 503</t>
  </si>
  <si>
    <t>AutoPost 504</t>
  </si>
  <si>
    <t>AutoPost 505</t>
  </si>
  <si>
    <t>AutoPost 506</t>
  </si>
  <si>
    <t>AutoPost 507</t>
  </si>
  <si>
    <t>AutoPost 508</t>
  </si>
  <si>
    <t>AutoPost 509</t>
  </si>
  <si>
    <t>AutoPost 510</t>
  </si>
  <si>
    <t>AutoPost 511</t>
  </si>
  <si>
    <t>AutoPost 512</t>
  </si>
  <si>
    <t>AutoPost 513</t>
  </si>
  <si>
    <t>AutoPost 514</t>
  </si>
  <si>
    <t>AutoPost 515</t>
  </si>
  <si>
    <t>AutoPost 516</t>
  </si>
  <si>
    <t>AutoPost 517</t>
  </si>
  <si>
    <t>AutoPost 518</t>
  </si>
  <si>
    <t>AutoPost 519</t>
  </si>
  <si>
    <t>AutoPost 520</t>
  </si>
  <si>
    <t>AutoPost 521</t>
  </si>
  <si>
    <t>AutoPost 522</t>
  </si>
  <si>
    <t>AutoPost 523</t>
  </si>
  <si>
    <t>AutoPost 524</t>
  </si>
  <si>
    <t>AutoPost 525</t>
  </si>
  <si>
    <t>AutoPost 526</t>
  </si>
  <si>
    <t>AutoPost 527</t>
  </si>
  <si>
    <t>AutoPost 528</t>
  </si>
  <si>
    <t>AutoPost 529</t>
  </si>
  <si>
    <t>AutoPost 530</t>
  </si>
  <si>
    <t>AutoPost 531</t>
  </si>
  <si>
    <t>AutoPost 532</t>
  </si>
  <si>
    <t>AutoPost 533</t>
  </si>
  <si>
    <t>AutoPost 534</t>
  </si>
  <si>
    <t>AutoPost 535</t>
  </si>
  <si>
    <t>AutoPost 536</t>
  </si>
  <si>
    <t>AutoPost 537</t>
  </si>
  <si>
    <t>AutoPost 538</t>
  </si>
  <si>
    <t>AutoPost 539</t>
  </si>
  <si>
    <t>AutoPost 540</t>
  </si>
  <si>
    <t>AutoPost 541</t>
  </si>
  <si>
    <t>AutoPost 542</t>
  </si>
  <si>
    <t>AutoPost 543</t>
  </si>
  <si>
    <t>AutoPost 544</t>
  </si>
  <si>
    <t>AutoPost 545</t>
  </si>
  <si>
    <t>AutoPost 546</t>
  </si>
  <si>
    <t>AutoPost 547</t>
  </si>
  <si>
    <t>AutoPost 548</t>
  </si>
  <si>
    <t>AutoPost 549</t>
  </si>
  <si>
    <t>AutoPost 550</t>
  </si>
  <si>
    <t>AutoPost 551</t>
  </si>
  <si>
    <t>AutoPost 552</t>
  </si>
  <si>
    <t>AutoPost 553</t>
  </si>
  <si>
    <t>AutoPost 554</t>
  </si>
  <si>
    <t>AutoPost 555</t>
  </si>
  <si>
    <t>AutoPost 556</t>
  </si>
  <si>
    <t>AutoPost 557</t>
  </si>
  <si>
    <t>AutoPost 558</t>
  </si>
  <si>
    <t>AutoPost 559</t>
  </si>
  <si>
    <t>AutoPost 560</t>
  </si>
  <si>
    <t>AutoPost 561</t>
  </si>
  <si>
    <t>AutoPost 562</t>
  </si>
  <si>
    <t>AutoPost 563</t>
  </si>
  <si>
    <t>AutoPost 564</t>
  </si>
  <si>
    <t>AutoPost 565</t>
  </si>
  <si>
    <t>AutoPost 566</t>
  </si>
  <si>
    <t>AutoPost 567</t>
  </si>
  <si>
    <t>AutoPost 568</t>
  </si>
  <si>
    <t>AutoPost 569</t>
  </si>
  <si>
    <t>AutoPost 570</t>
  </si>
  <si>
    <t>AutoPost 571</t>
  </si>
  <si>
    <t>AutoPost 572</t>
  </si>
  <si>
    <t>AutoPost 573</t>
  </si>
  <si>
    <t>AutoPost 574</t>
  </si>
  <si>
    <t>AutoPost 575</t>
  </si>
  <si>
    <t>AutoPost 576</t>
  </si>
  <si>
    <t>AutoPost 577</t>
  </si>
  <si>
    <t>AutoPost 578</t>
  </si>
  <si>
    <t>AutoPost 579</t>
  </si>
  <si>
    <t>AutoPost 580</t>
  </si>
  <si>
    <t>AutoPost 581</t>
  </si>
  <si>
    <t>AutoPost 582</t>
  </si>
  <si>
    <t>AutoPost 583</t>
  </si>
  <si>
    <t>AutoPost 584</t>
  </si>
  <si>
    <t>AutoPost 585</t>
  </si>
  <si>
    <t>AutoPost 586</t>
  </si>
  <si>
    <t>AutoPost 587</t>
  </si>
  <si>
    <t>AutoPost 588</t>
  </si>
  <si>
    <t>AutoPost 589</t>
  </si>
  <si>
    <t>AutoPost 590</t>
  </si>
  <si>
    <t>AutoPost 591</t>
  </si>
  <si>
    <t>AutoPost 592</t>
  </si>
  <si>
    <t>AutoPost 593</t>
  </si>
  <si>
    <t>AutoPost 594</t>
  </si>
  <si>
    <t>AutoPost 595</t>
  </si>
  <si>
    <t>AutoPost 596</t>
  </si>
  <si>
    <t>AutoPost 597</t>
  </si>
  <si>
    <t>AutoPost 598</t>
  </si>
  <si>
    <t>AutoPost 599</t>
  </si>
  <si>
    <t>AutoPost 600</t>
  </si>
  <si>
    <t>AutoPost 601</t>
  </si>
  <si>
    <t>AutoPost 602</t>
  </si>
  <si>
    <t>AutoPost 603</t>
  </si>
  <si>
    <t>AutoPost 604</t>
  </si>
  <si>
    <t>AutoPost 605</t>
  </si>
  <si>
    <t>AutoPost 606</t>
  </si>
  <si>
    <t>AutoPost 607</t>
  </si>
  <si>
    <t>AutoPost 608</t>
  </si>
  <si>
    <t>AutoPost 609</t>
  </si>
  <si>
    <t>AutoPost 610</t>
  </si>
  <si>
    <t>AutoPost 611</t>
  </si>
  <si>
    <t>AutoPost 612</t>
  </si>
  <si>
    <t>AutoPost 613</t>
  </si>
  <si>
    <t>AutoPost 614</t>
  </si>
  <si>
    <t>AutoPost 615</t>
  </si>
  <si>
    <t>AutoPost 616</t>
  </si>
  <si>
    <t>AutoPost 617</t>
  </si>
  <si>
    <t>AutoPost 618</t>
  </si>
  <si>
    <t>AutoPost 619</t>
  </si>
  <si>
    <t>AutoPost 620</t>
  </si>
  <si>
    <t>AutoPost 621</t>
  </si>
  <si>
    <t>AutoPost 622</t>
  </si>
  <si>
    <t>AutoPost 623</t>
  </si>
  <si>
    <t>AutoPost 624</t>
  </si>
  <si>
    <t>AutoPost 625</t>
  </si>
  <si>
    <t>AutoPost 626</t>
  </si>
  <si>
    <t>AutoPost 627</t>
  </si>
  <si>
    <t>AutoPost 628</t>
  </si>
  <si>
    <t>AutoPost 629</t>
  </si>
  <si>
    <t>AutoPost 630</t>
  </si>
  <si>
    <t>AutoPost 631</t>
  </si>
  <si>
    <t>AutoPost 632</t>
  </si>
  <si>
    <t>AutoPost 633</t>
  </si>
  <si>
    <t>AutoPost 634</t>
  </si>
  <si>
    <t>AutoPost 635</t>
  </si>
  <si>
    <t>AutoPost 636</t>
  </si>
  <si>
    <t>AutoPost 637</t>
  </si>
  <si>
    <t>AutoPost 638</t>
  </si>
  <si>
    <t>AutoPost 639</t>
  </si>
  <si>
    <t>AutoPost 640</t>
  </si>
  <si>
    <t>AutoPost 641</t>
  </si>
  <si>
    <t>AutoPost 642</t>
  </si>
  <si>
    <t>AutoPost 643</t>
  </si>
  <si>
    <t>AutoPost 644</t>
  </si>
  <si>
    <t>AutoPost 645</t>
  </si>
  <si>
    <t>AutoPost 646</t>
  </si>
  <si>
    <t>AutoPost 647</t>
  </si>
  <si>
    <t>AutoPost 648</t>
  </si>
  <si>
    <t>AutoPost 649</t>
  </si>
  <si>
    <t>AutoPost 650</t>
  </si>
  <si>
    <t>AutoPost 651</t>
  </si>
  <si>
    <t>AutoPost 652</t>
  </si>
  <si>
    <t>AutoPost 653</t>
  </si>
  <si>
    <t>AutoPost 654</t>
  </si>
  <si>
    <t>AutoPost 655</t>
  </si>
  <si>
    <t>AutoPost 656</t>
  </si>
  <si>
    <t>AutoPost 657</t>
  </si>
  <si>
    <t>AutoPost 658</t>
  </si>
  <si>
    <t>AutoPost 659</t>
  </si>
  <si>
    <t>AutoPost 660</t>
  </si>
  <si>
    <t>AutoPost 661</t>
  </si>
  <si>
    <t>AutoPost 662</t>
  </si>
  <si>
    <t>AutoPost 663</t>
  </si>
  <si>
    <t>AutoPost 664</t>
  </si>
  <si>
    <t>AutoPost 665</t>
  </si>
  <si>
    <t>AutoPost 666</t>
  </si>
  <si>
    <t>AutoPost 667</t>
  </si>
  <si>
    <t>AutoPost 668</t>
  </si>
  <si>
    <t>AutoPost 669</t>
  </si>
  <si>
    <t>AutoPost 670</t>
  </si>
  <si>
    <t>AutoPost 671</t>
  </si>
  <si>
    <t>AutoPost 672</t>
  </si>
  <si>
    <t>AutoPost 673</t>
  </si>
  <si>
    <t>AutoPost 674</t>
  </si>
  <si>
    <t>AutoPost 675</t>
  </si>
  <si>
    <t>AutoPost 676</t>
  </si>
  <si>
    <t>AutoPost 677</t>
  </si>
  <si>
    <t>AutoPost 678</t>
  </si>
  <si>
    <t>AutoPost 679</t>
  </si>
  <si>
    <t>AutoPost 680</t>
  </si>
  <si>
    <t>AutoPost 681</t>
  </si>
  <si>
    <t>AutoPost 682</t>
  </si>
  <si>
    <t>AutoPost 683</t>
  </si>
  <si>
    <t>AutoPost 684</t>
  </si>
  <si>
    <t>AutoPost 685</t>
  </si>
  <si>
    <t>AutoPost 686</t>
  </si>
  <si>
    <t>AutoPost 687</t>
  </si>
  <si>
    <t>AutoPost 688</t>
  </si>
  <si>
    <t>AutoPost 689</t>
  </si>
  <si>
    <t>AutoPost 690</t>
  </si>
  <si>
    <t>AutoPost 691</t>
  </si>
  <si>
    <t>AutoPost 692</t>
  </si>
  <si>
    <t>AutoPost 693</t>
  </si>
  <si>
    <t>AutoPost 694</t>
  </si>
  <si>
    <t>AutoPost 695</t>
  </si>
  <si>
    <t>AutoPost 696</t>
  </si>
  <si>
    <t>AutoPost 697</t>
  </si>
  <si>
    <t>AutoPost 698</t>
  </si>
  <si>
    <t>AutoPost 699</t>
  </si>
  <si>
    <t>AutoPost 700</t>
  </si>
  <si>
    <t>AutoPost 701</t>
  </si>
  <si>
    <t>AutoPost 702</t>
  </si>
  <si>
    <t>AutoPost 703</t>
  </si>
  <si>
    <t>AutoPost 704</t>
  </si>
  <si>
    <t>AutoPost 705</t>
  </si>
  <si>
    <t>AutoPost 706</t>
  </si>
  <si>
    <t>AutoPost 707</t>
  </si>
  <si>
    <t>AutoPost 708</t>
  </si>
  <si>
    <t>AutoPost 709</t>
  </si>
  <si>
    <t>AutoPost 710</t>
  </si>
  <si>
    <t>AutoPost 711</t>
  </si>
  <si>
    <t>AutoPost 712</t>
  </si>
  <si>
    <t>AutoPost 713</t>
  </si>
  <si>
    <t>AutoPost 714</t>
  </si>
  <si>
    <t>AutoPost 715</t>
  </si>
  <si>
    <t>AutoPost 716</t>
  </si>
  <si>
    <t>AutoPost 717</t>
  </si>
  <si>
    <t>AutoPost 718</t>
  </si>
  <si>
    <t>AutoPost 719</t>
  </si>
  <si>
    <t>AutoPost 720</t>
  </si>
  <si>
    <t>AutoPost 721</t>
  </si>
  <si>
    <t>AutoPost 722</t>
  </si>
  <si>
    <t>AutoPost 723</t>
  </si>
  <si>
    <t>AutoPost 724</t>
  </si>
  <si>
    <t>AutoPost 725</t>
  </si>
  <si>
    <t>AutoPost 726</t>
  </si>
  <si>
    <t>AutoPost 727</t>
  </si>
  <si>
    <t>AutoPost 728</t>
  </si>
  <si>
    <t>AutoPost 729</t>
  </si>
  <si>
    <t>AutoPost 730</t>
  </si>
  <si>
    <t>AutoPost 731</t>
  </si>
  <si>
    <t>AutoPost 732</t>
  </si>
  <si>
    <t>AutoPost 733</t>
  </si>
  <si>
    <t>AutoPost 734</t>
  </si>
  <si>
    <t>AutoPost 735</t>
  </si>
  <si>
    <t>AutoPost 736</t>
  </si>
  <si>
    <t>AutoPost 737</t>
  </si>
  <si>
    <t>AutoPost 738</t>
  </si>
  <si>
    <t>AutoPost 739</t>
  </si>
  <si>
    <t>AutoPost 740</t>
  </si>
  <si>
    <t>AutoPost 741</t>
  </si>
  <si>
    <t>AutoPost 742</t>
  </si>
  <si>
    <t>AutoPost 743</t>
  </si>
  <si>
    <t>AutoPost 744</t>
  </si>
  <si>
    <t>AutoPost 745</t>
  </si>
  <si>
    <t>AutoPost 746</t>
  </si>
  <si>
    <t>AutoPost 747</t>
  </si>
  <si>
    <t>AutoPost 748</t>
  </si>
  <si>
    <t>AutoPost 749</t>
  </si>
  <si>
    <t>AutoPost 750</t>
  </si>
  <si>
    <t>AutoPost 751</t>
  </si>
  <si>
    <t>AutoPost 752</t>
  </si>
  <si>
    <t>AutoPost 753</t>
  </si>
  <si>
    <t>AutoPost 754</t>
  </si>
  <si>
    <t>AutoPost 755</t>
  </si>
  <si>
    <t>AutoPost 756</t>
  </si>
  <si>
    <t>AutoPost 757</t>
  </si>
  <si>
    <t>AutoPost 758</t>
  </si>
  <si>
    <t>AutoPost 759</t>
  </si>
  <si>
    <t>AutoPost 760</t>
  </si>
  <si>
    <t>AutoPost 761</t>
  </si>
  <si>
    <t>AutoPost 762</t>
  </si>
  <si>
    <t>AutoPost 763</t>
  </si>
  <si>
    <t>AutoPost 764</t>
  </si>
  <si>
    <t>AutoPost 765</t>
  </si>
  <si>
    <t>AutoPost 766</t>
  </si>
  <si>
    <t>AutoPost 767</t>
  </si>
  <si>
    <t>AutoPost 768</t>
  </si>
  <si>
    <t>AutoPost 769</t>
  </si>
  <si>
    <t>AutoPost 770</t>
  </si>
  <si>
    <t>AutoPost 771</t>
  </si>
  <si>
    <t>AutoPost 772</t>
  </si>
  <si>
    <t>AutoPost 773</t>
  </si>
  <si>
    <t>AutoPost 774</t>
  </si>
  <si>
    <t>AutoPost 775</t>
  </si>
  <si>
    <t>AutoPost 776</t>
  </si>
  <si>
    <t>AutoPost 777</t>
  </si>
  <si>
    <t>AutoPost 778</t>
  </si>
  <si>
    <t>AutoPost 779</t>
  </si>
  <si>
    <t>AutoPost 780</t>
  </si>
  <si>
    <t>AutoPost 781</t>
  </si>
  <si>
    <t>AutoPost 782</t>
  </si>
  <si>
    <t>AutoPost 783</t>
  </si>
  <si>
    <t>AutoPost 784</t>
  </si>
  <si>
    <t>AutoPost 785</t>
  </si>
  <si>
    <t>AutoPost 786</t>
  </si>
  <si>
    <t>AutoPost 787</t>
  </si>
  <si>
    <t>AutoPost 788</t>
  </si>
  <si>
    <t>AutoPost 789</t>
  </si>
  <si>
    <t>AutoPost 790</t>
  </si>
  <si>
    <t>AutoPost 791</t>
  </si>
  <si>
    <t>AutoPost 792</t>
  </si>
  <si>
    <t>AutoPost 793</t>
  </si>
  <si>
    <t>AutoPost 794</t>
  </si>
  <si>
    <t>AutoPost 795</t>
  </si>
  <si>
    <t>AutoPost 796</t>
  </si>
  <si>
    <t>AutoPost 797</t>
  </si>
  <si>
    <t>AutoPost 798</t>
  </si>
  <si>
    <t>AutoPost 799</t>
  </si>
  <si>
    <t>AutoPost 800</t>
  </si>
  <si>
    <t>AutoPost 801</t>
  </si>
  <si>
    <t>AutoPost 802</t>
  </si>
  <si>
    <t>AutoPost 803</t>
  </si>
  <si>
    <t>AutoPost 804</t>
  </si>
  <si>
    <t>AutoPost 805</t>
  </si>
  <si>
    <t>AutoPost 806</t>
  </si>
  <si>
    <t>AutoPost 807</t>
  </si>
  <si>
    <t>AutoPost 808</t>
  </si>
  <si>
    <t>AutoPost 809</t>
  </si>
  <si>
    <t>AutoPost 810</t>
  </si>
  <si>
    <t>AutoPost 811</t>
  </si>
  <si>
    <t>AutoPost 812</t>
  </si>
  <si>
    <t>AutoPost 813</t>
  </si>
  <si>
    <t>AutoPost 814</t>
  </si>
  <si>
    <t>AutoPost 815</t>
  </si>
  <si>
    <t>AutoPost 816</t>
  </si>
  <si>
    <t>AutoPost 817</t>
  </si>
  <si>
    <t>AutoPost 818</t>
  </si>
  <si>
    <t>AutoPost 819</t>
  </si>
  <si>
    <t>AutoPost 820</t>
  </si>
  <si>
    <t>AutoPost 821</t>
  </si>
  <si>
    <t>AutoPost 822</t>
  </si>
  <si>
    <t>AutoPost 823</t>
  </si>
  <si>
    <t>AutoPost 824</t>
  </si>
  <si>
    <t>AutoPost 825</t>
  </si>
  <si>
    <t>AutoPost 826</t>
  </si>
  <si>
    <t>AutoPost 827</t>
  </si>
  <si>
    <t>AutoPost 828</t>
  </si>
  <si>
    <t>AutoPost 829</t>
  </si>
  <si>
    <t>AutoPost 830</t>
  </si>
  <si>
    <t>AutoPost 831</t>
  </si>
  <si>
    <t>AutoPost 832</t>
  </si>
  <si>
    <t>AutoPost 833</t>
  </si>
  <si>
    <t>AutoPost 834</t>
  </si>
  <si>
    <t>AutoPost 835</t>
  </si>
  <si>
    <t>AutoPost 836</t>
  </si>
  <si>
    <t>AutoPost 837</t>
  </si>
  <si>
    <t>AutoPost 838</t>
  </si>
  <si>
    <t>AutoPost 839</t>
  </si>
  <si>
    <t>AutoPost 840</t>
  </si>
  <si>
    <t>AutoPost 841</t>
  </si>
  <si>
    <t>AutoPost 842</t>
  </si>
  <si>
    <t>AutoPost 843</t>
  </si>
  <si>
    <t>AutoPost 844</t>
  </si>
  <si>
    <t>AutoPost 845</t>
  </si>
  <si>
    <t>AutoPost 846</t>
  </si>
  <si>
    <t>AutoPost 847</t>
  </si>
  <si>
    <t>AutoPost 848</t>
  </si>
  <si>
    <t>AutoPost 849</t>
  </si>
  <si>
    <t>AutoPost 850</t>
  </si>
  <si>
    <t>AutoPost 851</t>
  </si>
  <si>
    <t>AutoPost 852</t>
  </si>
  <si>
    <t>AutoPost 853</t>
  </si>
  <si>
    <t>AutoPost 854</t>
  </si>
  <si>
    <t>AutoPost 855</t>
  </si>
  <si>
    <t>AutoPost 856</t>
  </si>
  <si>
    <t>AutoPost 857</t>
  </si>
  <si>
    <t>AutoPost 858</t>
  </si>
  <si>
    <t>AutoPost 859</t>
  </si>
  <si>
    <t>AutoPost 860</t>
  </si>
  <si>
    <t>AutoPost 861</t>
  </si>
  <si>
    <t>AutoPost 862</t>
  </si>
  <si>
    <t>AutoPost 863</t>
  </si>
  <si>
    <t>AutoPost 864</t>
  </si>
  <si>
    <t>AutoPost 865</t>
  </si>
  <si>
    <t>AutoPost 866</t>
  </si>
  <si>
    <t>AutoPost 867</t>
  </si>
  <si>
    <t>AutoPost 868</t>
  </si>
  <si>
    <t>AutoPost 869</t>
  </si>
  <si>
    <t>AutoPost 870</t>
  </si>
  <si>
    <t>AutoPost 871</t>
  </si>
  <si>
    <t>AutoPost 872</t>
  </si>
  <si>
    <t>AutoPost 873</t>
  </si>
  <si>
    <t>AutoPost 874</t>
  </si>
  <si>
    <t>AutoPost 875</t>
  </si>
  <si>
    <t>AutoPost 876</t>
  </si>
  <si>
    <t>AutoPost 877</t>
  </si>
  <si>
    <t>AutoPost 878</t>
  </si>
  <si>
    <t>AutoPost 879</t>
  </si>
  <si>
    <t>AutoPost 880</t>
  </si>
  <si>
    <t>AutoPost 881</t>
  </si>
  <si>
    <t>AutoPost 882</t>
  </si>
  <si>
    <t>AutoPost 883</t>
  </si>
  <si>
    <t>AutoPost 884</t>
  </si>
  <si>
    <t>AutoPost 885</t>
  </si>
  <si>
    <t>AutoPost 886</t>
  </si>
  <si>
    <t>AutoPost 887</t>
  </si>
  <si>
    <t>AutoPost 888</t>
  </si>
  <si>
    <t>AutoPost 889</t>
  </si>
  <si>
    <t>AutoPost 890</t>
  </si>
  <si>
    <t>AutoPost 891</t>
  </si>
  <si>
    <t>AutoPost 892</t>
  </si>
  <si>
    <t>AutoPost 893</t>
  </si>
  <si>
    <t>AutoPost 894</t>
  </si>
  <si>
    <t>AutoPost 895</t>
  </si>
  <si>
    <t>AutoPost 896</t>
  </si>
  <si>
    <t>AutoPost 897</t>
  </si>
  <si>
    <t>AutoPost 898</t>
  </si>
  <si>
    <t>AutoPost 899</t>
  </si>
  <si>
    <t>AutoPost 900</t>
  </si>
  <si>
    <t>AutoPost 901</t>
  </si>
  <si>
    <t>AutoPost 902</t>
  </si>
  <si>
    <t>AutoPost 903</t>
  </si>
  <si>
    <t>AutoPost 904</t>
  </si>
  <si>
    <t>AutoPost 905</t>
  </si>
  <si>
    <t>AutoPost 906</t>
  </si>
  <si>
    <t>AutoPost 907</t>
  </si>
  <si>
    <t>AutoPost 908</t>
  </si>
  <si>
    <t>AutoPost 909</t>
  </si>
  <si>
    <t>AutoPost 910</t>
  </si>
  <si>
    <t>AutoPost 911</t>
  </si>
  <si>
    <t>AutoPost 912</t>
  </si>
  <si>
    <t>AutoPost 913</t>
  </si>
  <si>
    <t>AutoPost 914</t>
  </si>
  <si>
    <t>AutoPost 915</t>
  </si>
  <si>
    <t>AutoPost 916</t>
  </si>
  <si>
    <t>AutoPost 917</t>
  </si>
  <si>
    <t>AutoPost 918</t>
  </si>
  <si>
    <t>AutoPost 919</t>
  </si>
  <si>
    <t>AutoPost 920</t>
  </si>
  <si>
    <t>AutoPost 921</t>
  </si>
  <si>
    <t>AutoPost 922</t>
  </si>
  <si>
    <t>AutoPost 923</t>
  </si>
  <si>
    <t>AutoPost 924</t>
  </si>
  <si>
    <t>AutoPost 925</t>
  </si>
  <si>
    <t>AutoPost 926</t>
  </si>
  <si>
    <t>AutoPost 927</t>
  </si>
  <si>
    <t>AutoPost 928</t>
  </si>
  <si>
    <t>AutoPost 929</t>
  </si>
  <si>
    <t>AutoPost 930</t>
  </si>
  <si>
    <t>AutoPost 931</t>
  </si>
  <si>
    <t>AutoPost 932</t>
  </si>
  <si>
    <t>AutoPost 933</t>
  </si>
  <si>
    <t>AutoPost 934</t>
  </si>
  <si>
    <t>AutoPost 935</t>
  </si>
  <si>
    <t>AutoPost 936</t>
  </si>
  <si>
    <t>AutoPost 937</t>
  </si>
  <si>
    <t>AutoPost 938</t>
  </si>
  <si>
    <t>AutoPost 939</t>
  </si>
  <si>
    <t>AutoPost 940</t>
  </si>
  <si>
    <t>AutoPost 941</t>
  </si>
  <si>
    <t>AutoPost 942</t>
  </si>
  <si>
    <t>AutoPost 943</t>
  </si>
  <si>
    <t>AutoPost 944</t>
  </si>
  <si>
    <t>AutoPost 945</t>
  </si>
  <si>
    <t>AutoPost 946</t>
  </si>
  <si>
    <t>AutoPost 947</t>
  </si>
  <si>
    <t>AutoPost 948</t>
  </si>
  <si>
    <t>AutoPost 949</t>
  </si>
  <si>
    <t>AutoPost 950</t>
  </si>
  <si>
    <t>AutoPost 951</t>
  </si>
  <si>
    <t>AutoPost 952</t>
  </si>
  <si>
    <t>AutoPost 953</t>
  </si>
  <si>
    <t>AutoPost 954</t>
  </si>
  <si>
    <t>AutoPost 955</t>
  </si>
  <si>
    <t>AutoPost 956</t>
  </si>
  <si>
    <t>AutoPost 957</t>
  </si>
  <si>
    <t>AutoPost 958</t>
  </si>
  <si>
    <t>AutoPost 959</t>
  </si>
  <si>
    <t>AutoPost 960</t>
  </si>
  <si>
    <t>AutoPost 961</t>
  </si>
  <si>
    <t>AutoPost 962</t>
  </si>
  <si>
    <t>AutoPost 963</t>
  </si>
  <si>
    <t>AutoPost 964</t>
  </si>
  <si>
    <t>AutoPost 965</t>
  </si>
  <si>
    <t>AutoPost 966</t>
  </si>
  <si>
    <t>AutoPost 967</t>
  </si>
  <si>
    <t>AutoPost 968</t>
  </si>
  <si>
    <t>AutoPost 969</t>
  </si>
  <si>
    <t>AutoPost 970</t>
  </si>
  <si>
    <t>AutoPost 971</t>
  </si>
  <si>
    <t>AutoPost 972</t>
  </si>
  <si>
    <t>AutoPost 973</t>
  </si>
  <si>
    <t>AutoPost 974</t>
  </si>
  <si>
    <t>AutoPost 975</t>
  </si>
  <si>
    <t>AutoPost 976</t>
  </si>
  <si>
    <t>AutoPost 977</t>
  </si>
  <si>
    <t>AutoPost 978</t>
  </si>
  <si>
    <t>AutoPost 979</t>
  </si>
  <si>
    <t>AutoPost 980</t>
  </si>
  <si>
    <t>AutoPost 981</t>
  </si>
  <si>
    <t>AutoPost 982</t>
  </si>
  <si>
    <t>AutoPost 983</t>
  </si>
  <si>
    <t>AutoPost 984</t>
  </si>
  <si>
    <t>AutoPost 985</t>
  </si>
  <si>
    <t>AutoPost 986</t>
  </si>
  <si>
    <t>AutoPost 987</t>
  </si>
  <si>
    <t>AutoPost 988</t>
  </si>
  <si>
    <t>AutoPost 989</t>
  </si>
  <si>
    <t>AutoPost 990</t>
  </si>
  <si>
    <t>AutoPost 991</t>
  </si>
  <si>
    <t>AutoPost 992</t>
  </si>
  <si>
    <t>AutoPost 993</t>
  </si>
  <si>
    <t>AutoPost 994</t>
  </si>
  <si>
    <t>AutoPost 995</t>
  </si>
  <si>
    <t>AutoPost 996</t>
  </si>
  <si>
    <t>AutoPost 997</t>
  </si>
  <si>
    <t>AutoPost 998</t>
  </si>
  <si>
    <t>AutoPost 999</t>
  </si>
  <si>
    <t>AutoPost 1000</t>
  </si>
  <si>
    <t>AutoPost 1001</t>
  </si>
  <si>
    <t>AutoPost 1002</t>
  </si>
  <si>
    <t>AutoPost 1003</t>
  </si>
  <si>
    <t>AutoPost 1004</t>
  </si>
  <si>
    <t>AutoPost 1005</t>
  </si>
  <si>
    <t>AutoPost 1006</t>
  </si>
  <si>
    <t>AutoPost 1007</t>
  </si>
  <si>
    <t>AutoPost 1008</t>
  </si>
  <si>
    <t>AutoPost 1009</t>
  </si>
  <si>
    <t>AutoPost 1010</t>
  </si>
  <si>
    <t>AutoPost 1011</t>
  </si>
  <si>
    <t>AutoPost 1012</t>
  </si>
  <si>
    <t>AutoPost 1013</t>
  </si>
  <si>
    <t>AutoPost 1014</t>
  </si>
  <si>
    <t>AutoPost 1015</t>
  </si>
  <si>
    <t>AutoPost 1016</t>
  </si>
  <si>
    <t>AutoPost 1017</t>
  </si>
  <si>
    <t>AutoPost 1018</t>
  </si>
  <si>
    <t>AutoPost 1019</t>
  </si>
  <si>
    <t>AutoPost 1020</t>
  </si>
  <si>
    <t>AutoPost 1021</t>
  </si>
  <si>
    <t>AutoPost 1022</t>
  </si>
  <si>
    <t>AutoPost 1023</t>
  </si>
  <si>
    <t>AutoPost 1024</t>
  </si>
  <si>
    <t>AutoPost 1025</t>
  </si>
  <si>
    <t>AutoPost 1026</t>
  </si>
  <si>
    <t>AutoPost 1027</t>
  </si>
  <si>
    <t>AutoPost 1028</t>
  </si>
  <si>
    <t>AutoPost 1029</t>
  </si>
  <si>
    <t>AutoPost 1030</t>
  </si>
  <si>
    <t>AutoPost 1031</t>
  </si>
  <si>
    <t>AutoPost 1032</t>
  </si>
  <si>
    <t>AutoPost 1033</t>
  </si>
  <si>
    <t>AutoPost 1034</t>
  </si>
  <si>
    <t>AutoPost 1035</t>
  </si>
  <si>
    <t>AutoPost 1036</t>
  </si>
  <si>
    <t>AutoPost 1037</t>
  </si>
  <si>
    <t>AutoPost 1038</t>
  </si>
  <si>
    <t>AutoPost 1039</t>
  </si>
  <si>
    <t>AutoPost 1040</t>
  </si>
  <si>
    <t>AutoPost 1041</t>
  </si>
  <si>
    <t>AutoPost 1042</t>
  </si>
  <si>
    <t>AutoPost 1043</t>
  </si>
  <si>
    <t>AutoPost 1044</t>
  </si>
  <si>
    <t>AutoPost 1045</t>
  </si>
  <si>
    <t>AutoPost 1046</t>
  </si>
  <si>
    <t>AutoPost 1047</t>
  </si>
  <si>
    <t>AutoPost 1048</t>
  </si>
  <si>
    <t>AutoPost 1049</t>
  </si>
  <si>
    <t>AutoPost 1050</t>
  </si>
  <si>
    <t>AutoPost 1051</t>
  </si>
  <si>
    <t>AutoPost 1052</t>
  </si>
  <si>
    <t>AutoPost 1053</t>
  </si>
  <si>
    <t>AutoPost 1054</t>
  </si>
  <si>
    <t>AutoPost 1055</t>
  </si>
  <si>
    <t>AutoPost 1056</t>
  </si>
  <si>
    <t>AutoPost 1057</t>
  </si>
  <si>
    <t>AutoPost 1058</t>
  </si>
  <si>
    <t>AutoPost 1059</t>
  </si>
  <si>
    <t>AutoPost 1060</t>
  </si>
  <si>
    <t>AutoPost 1061</t>
  </si>
  <si>
    <t>AutoPost 1062</t>
  </si>
  <si>
    <t>AutoPost 1063</t>
  </si>
  <si>
    <t>AutoPost 1064</t>
  </si>
  <si>
    <t>AutoPost 1065</t>
  </si>
  <si>
    <t>AutoPost 1066</t>
  </si>
  <si>
    <t>AutoPost 1067</t>
  </si>
  <si>
    <t>AutoPost 1068</t>
  </si>
  <si>
    <t>AutoPost 1069</t>
  </si>
  <si>
    <t>AutoPost 1070</t>
  </si>
  <si>
    <t>AutoPost 1071</t>
  </si>
  <si>
    <t>AutoPost 1072</t>
  </si>
  <si>
    <t>AutoPost 1073</t>
  </si>
  <si>
    <t>AutoPost 1074</t>
  </si>
  <si>
    <t>AutoPost 1075</t>
  </si>
  <si>
    <t>AutoPost 1076</t>
  </si>
  <si>
    <t>AutoPost 1077</t>
  </si>
  <si>
    <t>AutoPost 1078</t>
  </si>
  <si>
    <t>AutoPost 1079</t>
  </si>
  <si>
    <t>AutoPost 1080</t>
  </si>
  <si>
    <t>AutoPost 1081</t>
  </si>
  <si>
    <t>AutoPost 1082</t>
  </si>
  <si>
    <t>AutoPost 1083</t>
  </si>
  <si>
    <t>AutoPost 1084</t>
  </si>
  <si>
    <t>AutoPost 1085</t>
  </si>
  <si>
    <t>AutoPost 1086</t>
  </si>
  <si>
    <t>AutoPost 1087</t>
  </si>
  <si>
    <t>AutoPost 1088</t>
  </si>
  <si>
    <t>AutoPost 1089</t>
  </si>
  <si>
    <t>AutoPost 1090</t>
  </si>
  <si>
    <t>AutoPost 1091</t>
  </si>
  <si>
    <t>AutoPost 1092</t>
  </si>
  <si>
    <t>AutoPost 1093</t>
  </si>
  <si>
    <t>AutoPost 1094</t>
  </si>
  <si>
    <t>AutoPost 1095</t>
  </si>
  <si>
    <t>AutoPost 1096</t>
  </si>
  <si>
    <t>AutoPost 1097</t>
  </si>
  <si>
    <t>AutoPost 1098</t>
  </si>
  <si>
    <t>AutoPost 1099</t>
  </si>
  <si>
    <t>AutoPost 1100</t>
  </si>
  <si>
    <t>AutoPost 1101</t>
  </si>
  <si>
    <t>AutoPost 1102</t>
  </si>
  <si>
    <t>AutoPost 1103</t>
  </si>
  <si>
    <t>AutoPost 1104</t>
  </si>
  <si>
    <t>AutoPost 1105</t>
  </si>
  <si>
    <t>AutoPost 1106</t>
  </si>
  <si>
    <t>AutoPost 1107</t>
  </si>
  <si>
    <t>AutoPost 1108</t>
  </si>
  <si>
    <t>AutoPost 1109</t>
  </si>
  <si>
    <t>AutoPost 1110</t>
  </si>
  <si>
    <t>AutoPost 1111</t>
  </si>
  <si>
    <t>AutoPost 1112</t>
  </si>
  <si>
    <t>AutoPost 1113</t>
  </si>
  <si>
    <t>AutoPost 1114</t>
  </si>
  <si>
    <t>AutoPost 1115</t>
  </si>
  <si>
    <t>AutoPost 1116</t>
  </si>
  <si>
    <t>AutoPost 1117</t>
  </si>
  <si>
    <t>AutoPost 1118</t>
  </si>
  <si>
    <t>AutoPost 1119</t>
  </si>
  <si>
    <t>AutoPost 1120</t>
  </si>
  <si>
    <t>AutoPost 1121</t>
  </si>
  <si>
    <t>AutoPost 1122</t>
  </si>
  <si>
    <t>AutoPost 1123</t>
  </si>
  <si>
    <t>AutoPost 1124</t>
  </si>
  <si>
    <t>AutoPost 1125</t>
  </si>
  <si>
    <t>AutoPost 1126</t>
  </si>
  <si>
    <t>AutoPost 1127</t>
  </si>
  <si>
    <t>AutoPost 1128</t>
  </si>
  <si>
    <t>AutoPost 1129</t>
  </si>
  <si>
    <t>AutoPost 1130</t>
  </si>
  <si>
    <t>AutoPost 1131</t>
  </si>
  <si>
    <t>AutoPost 1132</t>
  </si>
  <si>
    <t>AutoPost 1133</t>
  </si>
  <si>
    <t>AutoPost 1134</t>
  </si>
  <si>
    <t>AutoPost 1135</t>
  </si>
  <si>
    <t>AutoPost 1136</t>
  </si>
  <si>
    <t>AutoPost 1137</t>
  </si>
  <si>
    <t>AutoPost 1138</t>
  </si>
  <si>
    <t>AutoPost 1139</t>
  </si>
  <si>
    <t>AutoPost 1140</t>
  </si>
  <si>
    <t>AutoPost 1141</t>
  </si>
  <si>
    <t>AutoPost 1142</t>
  </si>
  <si>
    <t>AutoPost 1143</t>
  </si>
  <si>
    <t>AutoPost 1144</t>
  </si>
  <si>
    <t>AutoPost 1145</t>
  </si>
  <si>
    <t>AutoPost 1146</t>
  </si>
  <si>
    <t>AutoPost 1147</t>
  </si>
  <si>
    <t>AutoPost 1148</t>
  </si>
  <si>
    <t>AutoPost 1149</t>
  </si>
  <si>
    <t>AutoPost 1150</t>
  </si>
  <si>
    <t>AutoPost 1151</t>
  </si>
  <si>
    <t>AutoPost 1152</t>
  </si>
  <si>
    <t>AutoPost 1153</t>
  </si>
  <si>
    <t>AutoPost 1154</t>
  </si>
  <si>
    <t>AutoPost 1155</t>
  </si>
  <si>
    <t>AutoPost 1156</t>
  </si>
  <si>
    <t>AutoPost 1157</t>
  </si>
  <si>
    <t>AutoPost 1158</t>
  </si>
  <si>
    <t>AutoPost 1159</t>
  </si>
  <si>
    <t>AutoPost 1160</t>
  </si>
  <si>
    <t>AutoPost 1161</t>
  </si>
  <si>
    <t>AutoPost 1162</t>
  </si>
  <si>
    <t>AutoPost 1163</t>
  </si>
  <si>
    <t>AutoPost 1164</t>
  </si>
  <si>
    <t>AutoPost 1165</t>
  </si>
  <si>
    <t>AutoPost 1166</t>
  </si>
  <si>
    <t>AutoPost 1167</t>
  </si>
  <si>
    <t>AutoPost 1168</t>
  </si>
  <si>
    <t>AutoPost 1169</t>
  </si>
  <si>
    <t>AutoPost 1170</t>
  </si>
  <si>
    <t>AutoPost 1171</t>
  </si>
  <si>
    <t>AutoPost 1172</t>
  </si>
  <si>
    <t>AutoPost 1173</t>
  </si>
  <si>
    <t>AutoPost 1174</t>
  </si>
  <si>
    <t>AutoPost 1175</t>
  </si>
  <si>
    <t>AutoPost 1176</t>
  </si>
  <si>
    <t>AutoPost 1177</t>
  </si>
  <si>
    <t>AutoPost 1178</t>
  </si>
  <si>
    <t>AutoPost 1179</t>
  </si>
  <si>
    <t>AutoPost 1180</t>
  </si>
  <si>
    <t>AutoPost 1181</t>
  </si>
  <si>
    <t>AutoPost 1182</t>
  </si>
  <si>
    <t>AutoPost 1183</t>
  </si>
  <si>
    <t>AutoPost 1184</t>
  </si>
  <si>
    <t>AutoPost 1185</t>
  </si>
  <si>
    <t>AutoPost 1186</t>
  </si>
  <si>
    <t>AutoPost 1187</t>
  </si>
  <si>
    <t>AutoPost 1188</t>
  </si>
  <si>
    <t>AutoPost 1189</t>
  </si>
  <si>
    <t>AutoPost 1190</t>
  </si>
  <si>
    <t>AutoPost 1191</t>
  </si>
  <si>
    <t>AutoPost 1192</t>
  </si>
  <si>
    <t>AutoPost 1193</t>
  </si>
  <si>
    <t>AutoPost 1194</t>
  </si>
  <si>
    <t>AutoPost 1195</t>
  </si>
  <si>
    <t>AutoPost 1196</t>
  </si>
  <si>
    <t>AutoPost 1197</t>
  </si>
  <si>
    <t>AutoPost 1198</t>
  </si>
  <si>
    <t>AutoPost 1199</t>
  </si>
  <si>
    <t>AutoPost 1200</t>
  </si>
  <si>
    <t>AutoPost 1201</t>
  </si>
  <si>
    <t>AutoPost 1202</t>
  </si>
  <si>
    <t>AutoPost 1203</t>
  </si>
  <si>
    <t>AutoPost 1204</t>
  </si>
  <si>
    <t>AutoPost 1205</t>
  </si>
  <si>
    <t>AutoPost 1206</t>
  </si>
  <si>
    <t>AutoPost 1207</t>
  </si>
  <si>
    <t>AutoPost 1208</t>
  </si>
  <si>
    <t>AutoPost 1209</t>
  </si>
  <si>
    <t>AutoPost 1210</t>
  </si>
  <si>
    <t>AutoPost 1211</t>
  </si>
  <si>
    <t>AutoPost 1212</t>
  </si>
  <si>
    <t>AutoPost 1213</t>
  </si>
  <si>
    <t>AutoPost 1214</t>
  </si>
  <si>
    <t>AutoPost 1215</t>
  </si>
  <si>
    <t>AutoPost 1216</t>
  </si>
  <si>
    <t>AutoPost 1217</t>
  </si>
  <si>
    <t>AutoPost 1218</t>
  </si>
  <si>
    <t>AutoPost 1219</t>
  </si>
  <si>
    <t>AutoPost 1220</t>
  </si>
  <si>
    <t>AutoPost 1221</t>
  </si>
  <si>
    <t>AutoPost 1222</t>
  </si>
  <si>
    <t>AutoPost 1223</t>
  </si>
  <si>
    <t>AutoPost 1224</t>
  </si>
  <si>
    <t>AutoPost 1225</t>
  </si>
  <si>
    <t>AutoPost 1226</t>
  </si>
  <si>
    <t>AutoPost 1227</t>
  </si>
  <si>
    <t>AutoPost 1228</t>
  </si>
  <si>
    <t>AutoPost 1229</t>
  </si>
  <si>
    <t>AutoPost 1230</t>
  </si>
  <si>
    <t>AutoPost 1231</t>
  </si>
  <si>
    <t>AutoPost 1232</t>
  </si>
  <si>
    <t>AutoPost 1233</t>
  </si>
  <si>
    <t>AutoPost 1234</t>
  </si>
  <si>
    <t>AutoPost 1235</t>
  </si>
  <si>
    <t>AutoPost 1236</t>
  </si>
  <si>
    <t>AutoPost 1237</t>
  </si>
  <si>
    <t>AutoPost 1238</t>
  </si>
  <si>
    <t>AutoPost 1239</t>
  </si>
  <si>
    <t>AutoPost 1240</t>
  </si>
  <si>
    <t>AutoPost 1241</t>
  </si>
  <si>
    <t>AutoPost 1242</t>
  </si>
  <si>
    <t>AutoPost 1243</t>
  </si>
  <si>
    <t>AutoPost 1244</t>
  </si>
  <si>
    <t>AutoPost 1245</t>
  </si>
  <si>
    <t>AutoPost 1246</t>
  </si>
  <si>
    <t>AutoPost 1247</t>
  </si>
  <si>
    <t>AutoPost 1248</t>
  </si>
  <si>
    <t>AutoPost 1249</t>
  </si>
  <si>
    <t>AutoPost 1250</t>
  </si>
  <si>
    <t>AutoPost 1251</t>
  </si>
  <si>
    <t>AutoPost 1252</t>
  </si>
  <si>
    <t>AutoPost 1253</t>
  </si>
  <si>
    <t>AutoPost 1254</t>
  </si>
  <si>
    <t>AutoPost 1255</t>
  </si>
  <si>
    <t>AutoPost 1256</t>
  </si>
  <si>
    <t>AutoPost 1257</t>
  </si>
  <si>
    <t>AutoPost 1258</t>
  </si>
  <si>
    <t>AutoPost 1259</t>
  </si>
  <si>
    <t>AutoPost 1260</t>
  </si>
  <si>
    <t>AutoPost 1261</t>
  </si>
  <si>
    <t>AutoPost 1262</t>
  </si>
  <si>
    <t>AutoPost 1263</t>
  </si>
  <si>
    <t>AutoPost 1264</t>
  </si>
  <si>
    <t>AutoPost 1265</t>
  </si>
  <si>
    <t>AutoPost 1266</t>
  </si>
  <si>
    <t>AutoPost 1267</t>
  </si>
  <si>
    <t>AutoPost 1268</t>
  </si>
  <si>
    <t>AutoPost 1269</t>
  </si>
  <si>
    <t>AutoPost 1270</t>
  </si>
  <si>
    <t>AutoPost 1271</t>
  </si>
  <si>
    <t>AutoPost 1272</t>
  </si>
  <si>
    <t>AutoPost 1273</t>
  </si>
  <si>
    <t>AutoPost 1274</t>
  </si>
  <si>
    <t>AutoPost 1275</t>
  </si>
  <si>
    <t>AutoPost 1276</t>
  </si>
  <si>
    <t>AutoPost 1277</t>
  </si>
  <si>
    <t>AutoPost 1278</t>
  </si>
  <si>
    <t>AutoPost 1279</t>
  </si>
  <si>
    <t>AutoPost 1280</t>
  </si>
  <si>
    <t>AutoPost 1281</t>
  </si>
  <si>
    <t>AutoPost 1282</t>
  </si>
  <si>
    <t>AutoPost 1283</t>
  </si>
  <si>
    <t>AutoPost 1284</t>
  </si>
  <si>
    <t>AutoPost 1285</t>
  </si>
  <si>
    <t>AutoPost 1286</t>
  </si>
  <si>
    <t>AutoPost 1287</t>
  </si>
  <si>
    <t>AutoPost 1288</t>
  </si>
  <si>
    <t>AutoPost 1289</t>
  </si>
  <si>
    <t>AutoPost 1290</t>
  </si>
  <si>
    <t>AutoPost 1291</t>
  </si>
  <si>
    <t>AutoPost 1292</t>
  </si>
  <si>
    <t>AutoPost 1293</t>
  </si>
  <si>
    <t>AutoPost 1294</t>
  </si>
  <si>
    <t>AutoPost 1295</t>
  </si>
  <si>
    <t>AutoPost 1296</t>
  </si>
  <si>
    <t>AutoPost 1297</t>
  </si>
  <si>
    <t>AutoPost 1298</t>
  </si>
  <si>
    <t>AutoPost 1299</t>
  </si>
  <si>
    <t>AutoPost 1300</t>
  </si>
  <si>
    <t>AutoPost 1301</t>
  </si>
  <si>
    <t>AutoPost 1302</t>
  </si>
  <si>
    <t>AutoPost 1303</t>
  </si>
  <si>
    <t>AutoPost 1304</t>
  </si>
  <si>
    <t>AutoPost 1305</t>
  </si>
  <si>
    <t>AutoPost 1306</t>
  </si>
  <si>
    <t>AutoPost 1307</t>
  </si>
  <si>
    <t>AutoPost 1308</t>
  </si>
  <si>
    <t>AutoPost 1309</t>
  </si>
  <si>
    <t>AutoPost 1310</t>
  </si>
  <si>
    <t>AutoPost 1311</t>
  </si>
  <si>
    <t>AutoPost 1312</t>
  </si>
  <si>
    <t>AutoPost 1313</t>
  </si>
  <si>
    <t>AutoPost 1314</t>
  </si>
  <si>
    <t>AutoPost 1315</t>
  </si>
  <si>
    <t>AutoPost 1316</t>
  </si>
  <si>
    <t>AutoPost 1317</t>
  </si>
  <si>
    <t>AutoPost 1318</t>
  </si>
  <si>
    <t>AutoPost 1319</t>
  </si>
  <si>
    <t>AutoPost 1320</t>
  </si>
  <si>
    <t>AutoPost 1321</t>
  </si>
  <si>
    <t>AutoPost 1322</t>
  </si>
  <si>
    <t>AutoPost 1323</t>
  </si>
  <si>
    <t>AutoPost 1324</t>
  </si>
  <si>
    <t>AutoPost 1325</t>
  </si>
  <si>
    <t>AutoPost 1326</t>
  </si>
  <si>
    <t>AutoPost 1327</t>
  </si>
  <si>
    <t>AutoPost 1328</t>
  </si>
  <si>
    <t>AutoPost 1329</t>
  </si>
  <si>
    <t>AutoPost 1330</t>
  </si>
  <si>
    <t>AutoPost 1331</t>
  </si>
  <si>
    <t>AutoPost 1332</t>
  </si>
  <si>
    <t>AutoPost 1333</t>
  </si>
  <si>
    <t>AutoPost 1334</t>
  </si>
  <si>
    <t>AutoPost 1335</t>
  </si>
  <si>
    <t>AutoPost 1336</t>
  </si>
  <si>
    <t>AutoPost 1337</t>
  </si>
  <si>
    <t>AutoPost 1338</t>
  </si>
  <si>
    <t>AutoPost 1339</t>
  </si>
  <si>
    <t>AutoPost 1340</t>
  </si>
  <si>
    <t>AutoPost 1341</t>
  </si>
  <si>
    <t>AutoPost 1342</t>
  </si>
  <si>
    <t>AutoPost 1343</t>
  </si>
  <si>
    <t>AutoPost 1344</t>
  </si>
  <si>
    <t>AutoPost 1345</t>
  </si>
  <si>
    <t>AutoPost 1346</t>
  </si>
  <si>
    <t>AutoPost 1347</t>
  </si>
  <si>
    <t>AutoPost 1348</t>
  </si>
  <si>
    <t>AutoPost 1349</t>
  </si>
  <si>
    <t>AutoPost 1350</t>
  </si>
  <si>
    <t>AutoPost 1351</t>
  </si>
  <si>
    <t>AutoPost 1352</t>
  </si>
  <si>
    <t>AutoPost 1353</t>
  </si>
  <si>
    <t>AutoPost 1354</t>
  </si>
  <si>
    <t>AutoPost 1355</t>
  </si>
  <si>
    <t>AutoPost 1356</t>
  </si>
  <si>
    <t>AutoPost 1357</t>
  </si>
  <si>
    <t>AutoPost 1358</t>
  </si>
  <si>
    <t>AutoPost 1359</t>
  </si>
  <si>
    <t>AutoPost 1360</t>
  </si>
  <si>
    <t>AutoPost 1361</t>
  </si>
  <si>
    <t>AutoPost 1362</t>
  </si>
  <si>
    <t>AutoPost 1363</t>
  </si>
  <si>
    <t>AutoPost 1364</t>
  </si>
  <si>
    <t>AutoPost 1365</t>
  </si>
  <si>
    <t>AutoPost 1366</t>
  </si>
  <si>
    <t>AutoPost 1367</t>
  </si>
  <si>
    <t>AutoPost 1368</t>
  </si>
  <si>
    <t>AutoPost 1369</t>
  </si>
  <si>
    <t>AutoPost 1370</t>
  </si>
  <si>
    <t>AutoPost 1371</t>
  </si>
  <si>
    <t>AutoPost 1372</t>
  </si>
  <si>
    <t>AutoPost 1373</t>
  </si>
  <si>
    <t>AutoPost 1374</t>
  </si>
  <si>
    <t>AutoPost 1375</t>
  </si>
  <si>
    <t>AutoPost 1376</t>
  </si>
  <si>
    <t>AutoPost 1377</t>
  </si>
  <si>
    <t>AutoPost 1378</t>
  </si>
  <si>
    <t>AutoPost 1379</t>
  </si>
  <si>
    <t>AutoPost 1380</t>
  </si>
  <si>
    <t>AutoPost 1381</t>
  </si>
  <si>
    <t>AutoPost 1382</t>
  </si>
  <si>
    <t>AutoPost 1383</t>
  </si>
  <si>
    <t>AutoPost 1384</t>
  </si>
  <si>
    <t>AutoPost 1385</t>
  </si>
  <si>
    <t>AutoPost 1386</t>
  </si>
  <si>
    <t>AutoPost 1387</t>
  </si>
  <si>
    <t>AutoPost 1388</t>
  </si>
  <si>
    <t>AutoPost 1389</t>
  </si>
  <si>
    <t>AutoPost 1390</t>
  </si>
  <si>
    <t>AutoPost 1391</t>
  </si>
  <si>
    <t>AutoPost 1392</t>
  </si>
  <si>
    <t>AutoPost 1393</t>
  </si>
  <si>
    <t>AutoPost 1394</t>
  </si>
  <si>
    <t>AutoPost 1395</t>
  </si>
  <si>
    <t>AutoPost 1396</t>
  </si>
  <si>
    <t>AutoPost 1397</t>
  </si>
  <si>
    <t>AutoPost 1398</t>
  </si>
  <si>
    <t>AutoPost 1399</t>
  </si>
  <si>
    <t>AutoPost 1400</t>
  </si>
  <si>
    <t>AutoPost 1401</t>
  </si>
  <si>
    <t>AutoPost 1402</t>
  </si>
  <si>
    <t>AutoPost 1403</t>
  </si>
  <si>
    <t>AutoPost 1404</t>
  </si>
  <si>
    <t>AutoPost 1405</t>
  </si>
  <si>
    <t>AutoPost 1406</t>
  </si>
  <si>
    <t>AutoPost 1407</t>
  </si>
  <si>
    <t>AutoPost 1408</t>
  </si>
  <si>
    <t>AutoPost 1409</t>
  </si>
  <si>
    <t>AutoPost 1410</t>
  </si>
  <si>
    <t>AutoPost 1411</t>
  </si>
  <si>
    <t>AutoPost 1412</t>
  </si>
  <si>
    <t>AutoPost 1413</t>
  </si>
  <si>
    <t>AutoPost 1414</t>
  </si>
  <si>
    <t>AutoPost 1415</t>
  </si>
  <si>
    <t>AutoPost 1416</t>
  </si>
  <si>
    <t>AutoPost 1417</t>
  </si>
  <si>
    <t>AutoPost 1418</t>
  </si>
  <si>
    <t>AutoPost 1419</t>
  </si>
  <si>
    <t>AutoPost 1420</t>
  </si>
  <si>
    <t>AutoPost 1421</t>
  </si>
  <si>
    <t>AutoPost 1422</t>
  </si>
  <si>
    <t>AutoPost 1423</t>
  </si>
  <si>
    <t>AutoPost 1424</t>
  </si>
  <si>
    <t>AutoPost 1425</t>
  </si>
  <si>
    <t>AutoPost 1426</t>
  </si>
  <si>
    <t>AutoPost 1427</t>
  </si>
  <si>
    <t>AutoPost 1428</t>
  </si>
  <si>
    <t>AutoPost 1429</t>
  </si>
  <si>
    <t>AutoPost 1430</t>
  </si>
  <si>
    <t>AutoPost 1431</t>
  </si>
  <si>
    <t>AutoPost 1432</t>
  </si>
  <si>
    <t>AutoPost 1433</t>
  </si>
  <si>
    <t>AutoPost 1434</t>
  </si>
  <si>
    <t>AutoPost 1435</t>
  </si>
  <si>
    <t>AutoPost 1436</t>
  </si>
  <si>
    <t>AutoPost 1437</t>
  </si>
  <si>
    <t>AutoPost 1438</t>
  </si>
  <si>
    <t>AutoPost 1439</t>
  </si>
  <si>
    <t>AutoPost 1440</t>
  </si>
  <si>
    <t>AutoPost 1441</t>
  </si>
  <si>
    <t>AutoPost 1442</t>
  </si>
  <si>
    <t>AutoPost 1443</t>
  </si>
  <si>
    <t>AutoPost 1444</t>
  </si>
  <si>
    <t>AutoPost 1445</t>
  </si>
  <si>
    <t>AutoPost 1446</t>
  </si>
  <si>
    <t>AutoPost 1447</t>
  </si>
  <si>
    <t>AutoPost 1448</t>
  </si>
  <si>
    <t>AutoPost 1449</t>
  </si>
  <si>
    <t>AutoPost 1450</t>
  </si>
  <si>
    <t>AutoPost 1451</t>
  </si>
  <si>
    <t>AutoPost 1452</t>
  </si>
  <si>
    <t>AutoPost 1453</t>
  </si>
  <si>
    <t>AutoPost 1454</t>
  </si>
  <si>
    <t>AutoPost 1455</t>
  </si>
  <si>
    <t>AutoPost 1456</t>
  </si>
  <si>
    <t>AutoPost 1457</t>
  </si>
  <si>
    <t>AutoPost 1458</t>
  </si>
  <si>
    <t>AutoPost 1459</t>
  </si>
  <si>
    <t>AutoPost 1460</t>
  </si>
  <si>
    <t>AutoPost 1461</t>
  </si>
  <si>
    <t>AutoPost 1462</t>
  </si>
  <si>
    <t>AutoPost 1463</t>
  </si>
  <si>
    <t>AutoPost 1464</t>
  </si>
  <si>
    <t>AutoPost 1465</t>
  </si>
  <si>
    <t>AutoPost 1466</t>
  </si>
  <si>
    <t>AutoPost 1467</t>
  </si>
  <si>
    <t>AutoPost 1468</t>
  </si>
  <si>
    <t>AutoPost 1469</t>
  </si>
  <si>
    <t>AutoPost 1470</t>
  </si>
  <si>
    <t>AutoPost 1471</t>
  </si>
  <si>
    <t>AutoPost 1472</t>
  </si>
  <si>
    <t>AutoPost 1473</t>
  </si>
  <si>
    <t>AutoPost 1474</t>
  </si>
  <si>
    <t>AutoPost 1475</t>
  </si>
  <si>
    <t>AutoPost 1476</t>
  </si>
  <si>
    <t>AutoPost 1477</t>
  </si>
  <si>
    <t>AutoPost 1478</t>
  </si>
  <si>
    <t>AutoPost 1479</t>
  </si>
  <si>
    <t>AutoPost 1480</t>
  </si>
  <si>
    <t>AutoPost 1481</t>
  </si>
  <si>
    <t>AutoPost 1482</t>
  </si>
  <si>
    <t>AutoPost 1483</t>
  </si>
  <si>
    <t>AutoPost 1484</t>
  </si>
  <si>
    <t>AutoPost 1485</t>
  </si>
  <si>
    <t>AutoPost 1486</t>
  </si>
  <si>
    <t>AutoPost 1487</t>
  </si>
  <si>
    <t>AutoPost 1488</t>
  </si>
  <si>
    <t>AutoPost 1489</t>
  </si>
  <si>
    <t>AutoPost 1490</t>
  </si>
  <si>
    <t>AutoPost 1491</t>
  </si>
  <si>
    <t>AutoPost 1492</t>
  </si>
  <si>
    <t>AutoPost 1493</t>
  </si>
  <si>
    <t>AutoPost 1494</t>
  </si>
  <si>
    <t>AutoPost 1495</t>
  </si>
  <si>
    <t>AutoPost 1496</t>
  </si>
  <si>
    <t>AutoPost 1497</t>
  </si>
  <si>
    <t>AutoPost 1498</t>
  </si>
  <si>
    <t>AutoPost 1499</t>
  </si>
  <si>
    <t>AutoPost 1500</t>
  </si>
  <si>
    <t>AutoPost 1501</t>
  </si>
  <si>
    <t>AutoPost 1502</t>
  </si>
  <si>
    <t>AutoPost 1503</t>
  </si>
  <si>
    <t>AutoPost 1504</t>
  </si>
  <si>
    <t>AutoPost 1505</t>
  </si>
  <si>
    <t>AutoPost 1506</t>
  </si>
  <si>
    <t>AutoPost 1507</t>
  </si>
  <si>
    <t>AutoPost 1508</t>
  </si>
  <si>
    <t>AutoPost 1509</t>
  </si>
  <si>
    <t>AutoPost 1510</t>
  </si>
  <si>
    <t>AutoPost 1511</t>
  </si>
  <si>
    <t>AutoPost 1512</t>
  </si>
  <si>
    <t>AutoPost 1513</t>
  </si>
  <si>
    <t>AutoPost 1514</t>
  </si>
  <si>
    <t>AutoPost 1515</t>
  </si>
  <si>
    <t>AutoPost 1516</t>
  </si>
  <si>
    <t>AutoPost 1517</t>
  </si>
  <si>
    <t>AutoPost 1518</t>
  </si>
  <si>
    <t>AutoPost 1519</t>
  </si>
  <si>
    <t>AutoPost 1520</t>
  </si>
  <si>
    <t>AutoPost 1521</t>
  </si>
  <si>
    <t>AutoPost 1522</t>
  </si>
  <si>
    <t>AutoPost 1523</t>
  </si>
  <si>
    <t>AutoPost 1524</t>
  </si>
  <si>
    <t>AutoPost 1525</t>
  </si>
  <si>
    <t>AutoPost 1526</t>
  </si>
  <si>
    <t>AutoPost 1527</t>
  </si>
  <si>
    <t>AutoPost 1528</t>
  </si>
  <si>
    <t>AutoPost 1529</t>
  </si>
  <si>
    <t>AutoPost 1530</t>
  </si>
  <si>
    <t>AutoPost 1531</t>
  </si>
  <si>
    <t>AutoPost 1532</t>
  </si>
  <si>
    <t>AutoPost 1533</t>
  </si>
  <si>
    <t>AutoPost 1534</t>
  </si>
  <si>
    <t>AutoPost 1535</t>
  </si>
  <si>
    <t>AutoPost 1536</t>
  </si>
  <si>
    <t>AutoPost 1537</t>
  </si>
  <si>
    <t>AutoPost 1538</t>
  </si>
  <si>
    <t>AutoPost 1539</t>
  </si>
  <si>
    <t>AutoPost 1540</t>
  </si>
  <si>
    <t>AutoPost 1541</t>
  </si>
  <si>
    <t>AutoPost 1542</t>
  </si>
  <si>
    <t>AutoPost 1543</t>
  </si>
  <si>
    <t>AutoPost 1544</t>
  </si>
  <si>
    <t>AutoPost 1545</t>
  </si>
  <si>
    <t>AutoPost 1546</t>
  </si>
  <si>
    <t>AutoPost 1547</t>
  </si>
  <si>
    <t>AutoPost 1548</t>
  </si>
  <si>
    <t>AutoPost 1549</t>
  </si>
  <si>
    <t>AutoPost 1550</t>
  </si>
  <si>
    <t>AutoPost 1551</t>
  </si>
  <si>
    <t>AutoPost 1552</t>
  </si>
  <si>
    <t>AutoPost 1553</t>
  </si>
  <si>
    <t>AutoPost 1554</t>
  </si>
  <si>
    <t>AutoPost 1555</t>
  </si>
  <si>
    <t>AutoPost 1556</t>
  </si>
  <si>
    <t>AutoPost 1557</t>
  </si>
  <si>
    <t>AutoPost 1558</t>
  </si>
  <si>
    <t>AutoPost 1559</t>
  </si>
  <si>
    <t>AutoPost 1560</t>
  </si>
  <si>
    <t>AutoPost 1561</t>
  </si>
  <si>
    <t>AutoPost 1562</t>
  </si>
  <si>
    <t>AutoPost 1563</t>
  </si>
  <si>
    <t>AutoPost 1564</t>
  </si>
  <si>
    <t>AutoPost 1565</t>
  </si>
  <si>
    <t>AutoPost 1566</t>
  </si>
  <si>
    <t>AutoPost 1567</t>
  </si>
  <si>
    <t>AutoPost 1568</t>
  </si>
  <si>
    <t>AutoPost 1569</t>
  </si>
  <si>
    <t>AutoPost 1570</t>
  </si>
  <si>
    <t>AutoPost 1571</t>
  </si>
  <si>
    <t>AutoPost 1572</t>
  </si>
  <si>
    <t>AutoPost 1573</t>
  </si>
  <si>
    <t>AutoPost 1574</t>
  </si>
  <si>
    <t>AutoPost 1575</t>
  </si>
  <si>
    <t>AutoPost 1576</t>
  </si>
  <si>
    <t>AutoPost 1577</t>
  </si>
  <si>
    <t>AutoPost 1578</t>
  </si>
  <si>
    <t>AutoPost 1579</t>
  </si>
  <si>
    <t>AutoPost 1580</t>
  </si>
  <si>
    <t>AutoPost 1581</t>
  </si>
  <si>
    <t>AutoPost 1582</t>
  </si>
  <si>
    <t>AutoPost 1583</t>
  </si>
  <si>
    <t>AutoPost 1584</t>
  </si>
  <si>
    <t>AutoPost 1585</t>
  </si>
  <si>
    <t>AutoPost 1586</t>
  </si>
  <si>
    <t>AutoPost 1587</t>
  </si>
  <si>
    <t>AutoPost 1588</t>
  </si>
  <si>
    <t>AutoPost 1589</t>
  </si>
  <si>
    <t>AutoPost 1590</t>
  </si>
  <si>
    <t>AutoPost 1591</t>
  </si>
  <si>
    <t>AutoPost 1592</t>
  </si>
  <si>
    <t>AutoPost 1593</t>
  </si>
  <si>
    <t>AutoPost 1594</t>
  </si>
  <si>
    <t>AutoPost 1595</t>
  </si>
  <si>
    <t>AutoPost 1596</t>
  </si>
  <si>
    <t>AutoPost 1597</t>
  </si>
  <si>
    <t>AutoPost 1598</t>
  </si>
  <si>
    <t>AutoPost 1599</t>
  </si>
  <si>
    <t>AutoPost 1600</t>
  </si>
  <si>
    <t>AutoPost 1601</t>
  </si>
  <si>
    <t>AutoPost 1602</t>
  </si>
  <si>
    <t>AutoPost 1603</t>
  </si>
  <si>
    <t>AutoPost 1604</t>
  </si>
  <si>
    <t>AutoPost 1605</t>
  </si>
  <si>
    <t>AutoPost 1606</t>
  </si>
  <si>
    <t>AutoPost 1607</t>
  </si>
  <si>
    <t>AutoPost 1608</t>
  </si>
  <si>
    <t>AutoPost 1609</t>
  </si>
  <si>
    <t>AutoPost 1610</t>
  </si>
  <si>
    <t>AutoPost 1611</t>
  </si>
  <si>
    <t>AutoPost 1612</t>
  </si>
  <si>
    <t>AutoPost 1613</t>
  </si>
  <si>
    <t>AutoPost 1614</t>
  </si>
  <si>
    <t>AutoPost 1615</t>
  </si>
  <si>
    <t>AutoPost 1616</t>
  </si>
  <si>
    <t>AutoPost 1617</t>
  </si>
  <si>
    <t>AutoPost 1618</t>
  </si>
  <si>
    <t>AutoPost 1619</t>
  </si>
  <si>
    <t>AutoPost 1620</t>
  </si>
  <si>
    <t>AutoPost 1621</t>
  </si>
  <si>
    <t>AutoPost 1622</t>
  </si>
  <si>
    <t>AutoPost 1623</t>
  </si>
  <si>
    <t>AutoPost 1624</t>
  </si>
  <si>
    <t>AutoPost 1625</t>
  </si>
  <si>
    <t>AutoPost 1626</t>
  </si>
  <si>
    <t>AutoPost 1627</t>
  </si>
  <si>
    <t>AutoPost 1628</t>
  </si>
  <si>
    <t>AutoPost 1629</t>
  </si>
  <si>
    <t>AutoPost 1630</t>
  </si>
  <si>
    <t>AutoPost 1631</t>
  </si>
  <si>
    <t>AutoPost 1632</t>
  </si>
  <si>
    <t>AutoPost 1633</t>
  </si>
  <si>
    <t>AutoPost 1634</t>
  </si>
  <si>
    <t>AutoPost 1635</t>
  </si>
  <si>
    <t>AutoPost 1636</t>
  </si>
  <si>
    <t>AutoPost 1637</t>
  </si>
  <si>
    <t>AutoPost 1638</t>
  </si>
  <si>
    <t>AutoPost 1639</t>
  </si>
  <si>
    <t>AutoPost 1640</t>
  </si>
  <si>
    <t>AutoPost 1641</t>
  </si>
  <si>
    <t>AutoPost 1642</t>
  </si>
  <si>
    <t>AutoPost 1643</t>
  </si>
  <si>
    <t>AutoPost 1644</t>
  </si>
  <si>
    <t>AutoPost 1645</t>
  </si>
  <si>
    <t>AutoPost 1646</t>
  </si>
  <si>
    <t>AutoPost 1647</t>
  </si>
  <si>
    <t>AutoPost 1648</t>
  </si>
  <si>
    <t>AutoPost 1649</t>
  </si>
  <si>
    <t>AutoPost 1650</t>
  </si>
  <si>
    <t>AutoPost 1651</t>
  </si>
  <si>
    <t>AutoPost 1652</t>
  </si>
  <si>
    <t>AutoPost 1653</t>
  </si>
  <si>
    <t>AutoPost 1654</t>
  </si>
  <si>
    <t>AutoPost 1655</t>
  </si>
  <si>
    <t>AutoPost 1656</t>
  </si>
  <si>
    <t>AutoPost 1657</t>
  </si>
  <si>
    <t>AutoPost 1658</t>
  </si>
  <si>
    <t>AutoPost 1659</t>
  </si>
  <si>
    <t>AutoPost 1660</t>
  </si>
  <si>
    <t>AutoPost 1661</t>
  </si>
  <si>
    <t>AutoPost 1662</t>
  </si>
  <si>
    <t>AutoPost 1663</t>
  </si>
  <si>
    <t>AutoPost 1664</t>
  </si>
  <si>
    <t>AutoPost 1665</t>
  </si>
  <si>
    <t>AutoPost 1666</t>
  </si>
  <si>
    <t>AutoPost 1667</t>
  </si>
  <si>
    <t>AutoPost 1668</t>
  </si>
  <si>
    <t>AutoPost 1669</t>
  </si>
  <si>
    <t>AutoPost 1670</t>
  </si>
  <si>
    <t>AutoPost 1671</t>
  </si>
  <si>
    <t>AutoPost 1672</t>
  </si>
  <si>
    <t>AutoPost 1673</t>
  </si>
  <si>
    <t>AutoPost 1674</t>
  </si>
  <si>
    <t>AutoPost 1675</t>
  </si>
  <si>
    <t>AutoPost 1676</t>
  </si>
  <si>
    <t>AutoPost 1677</t>
  </si>
  <si>
    <t>AutoPost 1678</t>
  </si>
  <si>
    <t>AutoPost 1679</t>
  </si>
  <si>
    <t>AutoPost 1680</t>
  </si>
  <si>
    <t>AutoPost 1681</t>
  </si>
  <si>
    <t>AutoPost 1682</t>
  </si>
  <si>
    <t>AutoPost 1683</t>
  </si>
  <si>
    <t>AutoPost 1684</t>
  </si>
  <si>
    <t>AutoPost 1685</t>
  </si>
  <si>
    <t>AutoPost 1686</t>
  </si>
  <si>
    <t>AutoPost 1687</t>
  </si>
  <si>
    <t>AutoPost 1688</t>
  </si>
  <si>
    <t>AutoPost 1689</t>
  </si>
  <si>
    <t>AutoPost 1690</t>
  </si>
  <si>
    <t>AutoPost 1691</t>
  </si>
  <si>
    <t>AutoPost 1692</t>
  </si>
  <si>
    <t>AutoPost 1693</t>
  </si>
  <si>
    <t>AutoPost 1694</t>
  </si>
  <si>
    <t>AutoPost 1695</t>
  </si>
  <si>
    <t>AutoPost 1696</t>
  </si>
  <si>
    <t>AutoPost 1697</t>
  </si>
  <si>
    <t>AutoPost 1698</t>
  </si>
  <si>
    <t>AutoPost 1699</t>
  </si>
  <si>
    <t>AutoPost 1700</t>
  </si>
  <si>
    <t>AutoPost 1701</t>
  </si>
  <si>
    <t>AutoPost 1702</t>
  </si>
  <si>
    <t>AutoPost 1703</t>
  </si>
  <si>
    <t>AutoPost 1704</t>
  </si>
  <si>
    <t>AutoPost 1705</t>
  </si>
  <si>
    <t>AutoPost 1706</t>
  </si>
  <si>
    <t>AutoPost 1707</t>
  </si>
  <si>
    <t>AutoPost 1708</t>
  </si>
  <si>
    <t>AutoPost 1709</t>
  </si>
  <si>
    <t>AutoPost 1710</t>
  </si>
  <si>
    <t>AutoPost 1711</t>
  </si>
  <si>
    <t>AutoPost 1712</t>
  </si>
  <si>
    <t>AutoPost 1713</t>
  </si>
  <si>
    <t>AutoPost 1714</t>
  </si>
  <si>
    <t>AutoPost 1715</t>
  </si>
  <si>
    <t>AutoPost 1716</t>
  </si>
  <si>
    <t>AutoPost 1717</t>
  </si>
  <si>
    <t>AutoPost 1718</t>
  </si>
  <si>
    <t>AutoPost 1719</t>
  </si>
  <si>
    <t>AutoPost 1720</t>
  </si>
  <si>
    <t>AutoPost 1721</t>
  </si>
  <si>
    <t>AutoPost 1722</t>
  </si>
  <si>
    <t>AutoPost 1723</t>
  </si>
  <si>
    <t>AutoPost 1724</t>
  </si>
  <si>
    <t>AutoPost 1725</t>
  </si>
  <si>
    <t>AutoPost 1726</t>
  </si>
  <si>
    <t>AutoPost 1727</t>
  </si>
  <si>
    <t>AutoPost 1728</t>
  </si>
  <si>
    <t>AutoPost 1729</t>
  </si>
  <si>
    <t>AutoPost 1730</t>
  </si>
  <si>
    <t>AutoPost 1731</t>
  </si>
  <si>
    <t>AutoPost 1732</t>
  </si>
  <si>
    <t>AutoPost 1733</t>
  </si>
  <si>
    <t>AutoPost 1734</t>
  </si>
  <si>
    <t>AutoPost 1735</t>
  </si>
  <si>
    <t>AutoPost 1736</t>
  </si>
  <si>
    <t>AutoPost 1737</t>
  </si>
  <si>
    <t>AutoPost 1738</t>
  </si>
  <si>
    <t>AutoPost 1739</t>
  </si>
  <si>
    <t>AutoPost 1740</t>
  </si>
  <si>
    <t>AutoPost 1741</t>
  </si>
  <si>
    <t>AutoPost 1742</t>
  </si>
  <si>
    <t>AutoPost 1743</t>
  </si>
  <si>
    <t>AutoPost 1744</t>
  </si>
  <si>
    <t>AutoPost 1745</t>
  </si>
  <si>
    <t>AutoPost 1746</t>
  </si>
  <si>
    <t>AutoPost 1747</t>
  </si>
  <si>
    <t>AutoPost 1748</t>
  </si>
  <si>
    <t>AutoPost 1749</t>
  </si>
  <si>
    <t>AutoPost 1750</t>
  </si>
  <si>
    <t>AutoPost 1751</t>
  </si>
  <si>
    <t>AutoPost 1752</t>
  </si>
  <si>
    <t>AutoPost 1753</t>
  </si>
  <si>
    <t>AutoPost 1754</t>
  </si>
  <si>
    <t>AutoPost 1755</t>
  </si>
  <si>
    <t>AutoPost 1756</t>
  </si>
  <si>
    <t>AutoPost 1757</t>
  </si>
  <si>
    <t>AutoPost 1758</t>
  </si>
  <si>
    <t>AutoPost 1759</t>
  </si>
  <si>
    <t>AutoPost 1760</t>
  </si>
  <si>
    <t>AutoPost 1761</t>
  </si>
  <si>
    <t>AutoPost 1762</t>
  </si>
  <si>
    <t>AutoPost 1763</t>
  </si>
  <si>
    <t>AutoPost 1764</t>
  </si>
  <si>
    <t>AutoPost 1765</t>
  </si>
  <si>
    <t>AutoPost 1766</t>
  </si>
  <si>
    <t>AutoPost 1767</t>
  </si>
  <si>
    <t>AutoPost 1768</t>
  </si>
  <si>
    <t>AutoPost 1769</t>
  </si>
  <si>
    <t>AutoPost 1770</t>
  </si>
  <si>
    <t>AutoPost 1771</t>
  </si>
  <si>
    <t>AutoPost 1772</t>
  </si>
  <si>
    <t>AutoPost 1773</t>
  </si>
  <si>
    <t>AutoPost 1774</t>
  </si>
  <si>
    <t>AutoPost 1775</t>
  </si>
  <si>
    <t>AutoPost 1776</t>
  </si>
  <si>
    <t>AutoPost 1777</t>
  </si>
  <si>
    <t>AutoPost 1778</t>
  </si>
  <si>
    <t>AutoPost 1779</t>
  </si>
  <si>
    <t>AutoPost 1780</t>
  </si>
  <si>
    <t>AutoPost 1781</t>
  </si>
  <si>
    <t>AutoPost 1782</t>
  </si>
  <si>
    <t>AutoPost 1783</t>
  </si>
  <si>
    <t>AutoPost 1784</t>
  </si>
  <si>
    <t>AutoPost 1785</t>
  </si>
  <si>
    <t>AutoPost 1786</t>
  </si>
  <si>
    <t>AutoPost 1787</t>
  </si>
  <si>
    <t>AutoPost 1788</t>
  </si>
  <si>
    <t>AutoPost 1789</t>
  </si>
  <si>
    <t>AutoPost 1790</t>
  </si>
  <si>
    <t>AutoPost 1791</t>
  </si>
  <si>
    <t>AutoPost 1792</t>
  </si>
  <si>
    <t>AutoPost 1793</t>
  </si>
  <si>
    <t>AutoPost 1794</t>
  </si>
  <si>
    <t>AutoPost 1795</t>
  </si>
  <si>
    <t>AutoPost 1796</t>
  </si>
  <si>
    <t>AutoPost 1797</t>
  </si>
  <si>
    <t>AutoPost 1798</t>
  </si>
  <si>
    <t>AutoPost 1799</t>
  </si>
  <si>
    <t>AutoPost 1800</t>
  </si>
  <si>
    <t>AutoPost 1801</t>
  </si>
  <si>
    <t>AutoPost 1802</t>
  </si>
  <si>
    <t>AutoPost 1803</t>
  </si>
  <si>
    <t>AutoPost 1804</t>
  </si>
  <si>
    <t>AutoPost 1805</t>
  </si>
  <si>
    <t>AutoPost 1806</t>
  </si>
  <si>
    <t>AutoPost 1807</t>
  </si>
  <si>
    <t>AutoPost 1808</t>
  </si>
  <si>
    <t>AutoPost 1809</t>
  </si>
  <si>
    <t>AutoPost 1810</t>
  </si>
  <si>
    <t>AutoPost 1811</t>
  </si>
  <si>
    <t>AutoPost 1812</t>
  </si>
  <si>
    <t>AutoPost 1813</t>
  </si>
  <si>
    <t>AutoPost 1814</t>
  </si>
  <si>
    <t>AutoPost 1815</t>
  </si>
  <si>
    <t>AutoPost 1816</t>
  </si>
  <si>
    <t>AutoPost 1817</t>
  </si>
  <si>
    <t>AutoPost 1818</t>
  </si>
  <si>
    <t>AutoPost 1819</t>
  </si>
  <si>
    <t>AutoPost 1820</t>
  </si>
  <si>
    <t>AutoPost 1821</t>
  </si>
  <si>
    <t>AutoPost 1822</t>
  </si>
  <si>
    <t>AutoPost 1823</t>
  </si>
  <si>
    <t>AutoPost 1824</t>
  </si>
  <si>
    <t>AutoPost 1825</t>
  </si>
  <si>
    <t>AutoPost 1826</t>
  </si>
  <si>
    <t>AutoPost 1827</t>
  </si>
  <si>
    <t>AutoPost 1828</t>
  </si>
  <si>
    <t>AutoPost 1829</t>
  </si>
  <si>
    <t>AutoPost 1830</t>
  </si>
  <si>
    <t>AutoPost 1831</t>
  </si>
  <si>
    <t>AutoPost 1832</t>
  </si>
  <si>
    <t>AutoPost 1833</t>
  </si>
  <si>
    <t>AutoPost 1834</t>
  </si>
  <si>
    <t>AutoPost 1835</t>
  </si>
  <si>
    <t>AutoPost 1836</t>
  </si>
  <si>
    <t>AutoPost 1837</t>
  </si>
  <si>
    <t>AutoPost 1838</t>
  </si>
  <si>
    <t>AutoPost 1839</t>
  </si>
  <si>
    <t>AutoPost 1840</t>
  </si>
  <si>
    <t>AutoPost 1841</t>
  </si>
  <si>
    <t>AutoPost 1842</t>
  </si>
  <si>
    <t>AutoPost 1843</t>
  </si>
  <si>
    <t>AutoPost 1844</t>
  </si>
  <si>
    <t>AutoPost 1845</t>
  </si>
  <si>
    <t>AutoPost 1846</t>
  </si>
  <si>
    <t>AutoPost 1847</t>
  </si>
  <si>
    <t>AutoPost 1848</t>
  </si>
  <si>
    <t>AutoPost 1849</t>
  </si>
  <si>
    <t>AutoPost 1850</t>
  </si>
  <si>
    <t>AutoPost 1851</t>
  </si>
  <si>
    <t>AutoPost 1852</t>
  </si>
  <si>
    <t>AutoPost 1853</t>
  </si>
  <si>
    <t>AutoPost 1854</t>
  </si>
  <si>
    <t>AutoPost 1855</t>
  </si>
  <si>
    <t>AutoPost 1856</t>
  </si>
  <si>
    <t>AutoPost 1857</t>
  </si>
  <si>
    <t>AutoPost 1858</t>
  </si>
  <si>
    <t>AutoPost 1859</t>
  </si>
  <si>
    <t>AutoPost 1860</t>
  </si>
  <si>
    <t>AutoPost 1861</t>
  </si>
  <si>
    <t>AutoPost 1862</t>
  </si>
  <si>
    <t>AutoPost 1863</t>
  </si>
  <si>
    <t>AutoPost 1864</t>
  </si>
  <si>
    <t>AutoPost 1865</t>
  </si>
  <si>
    <t>AutoPost 1866</t>
  </si>
  <si>
    <t>AutoPost 1867</t>
  </si>
  <si>
    <t>AutoPost 1868</t>
  </si>
  <si>
    <t>AutoPost 1869</t>
  </si>
  <si>
    <t>AutoPost 1870</t>
  </si>
  <si>
    <t>AutoPost 1871</t>
  </si>
  <si>
    <t>AutoPost 1872</t>
  </si>
  <si>
    <t>AutoPost 1873</t>
  </si>
  <si>
    <t>AutoPost 1874</t>
  </si>
  <si>
    <t>AutoPost 1875</t>
  </si>
  <si>
    <t>AutoPost 1876</t>
  </si>
  <si>
    <t>AutoPost 1877</t>
  </si>
  <si>
    <t>AutoPost 1878</t>
  </si>
  <si>
    <t>AutoPost 1879</t>
  </si>
  <si>
    <t>AutoPost 1880</t>
  </si>
  <si>
    <t>AutoPost 1881</t>
  </si>
  <si>
    <t>AutoPost 1882</t>
  </si>
  <si>
    <t>AutoPost 1883</t>
  </si>
  <si>
    <t>AutoPost 1884</t>
  </si>
  <si>
    <t>AutoPost 1885</t>
  </si>
  <si>
    <t>AutoPost 1886</t>
  </si>
  <si>
    <t>AutoPost 1887</t>
  </si>
  <si>
    <t>AutoPost 1888</t>
  </si>
  <si>
    <t>AutoPost 1889</t>
  </si>
  <si>
    <t>AutoPost 1890</t>
  </si>
  <si>
    <t>AutoPost 1891</t>
  </si>
  <si>
    <t>AutoPost 1892</t>
  </si>
  <si>
    <t>AutoPost 1893</t>
  </si>
  <si>
    <t>AutoPost 1894</t>
  </si>
  <si>
    <t>AutoPost 1895</t>
  </si>
  <si>
    <t>AutoPost 1896</t>
  </si>
  <si>
    <t>AutoPost 1897</t>
  </si>
  <si>
    <t>AutoPost 1898</t>
  </si>
  <si>
    <t>AutoPost 1899</t>
  </si>
  <si>
    <t>AutoPost 1900</t>
  </si>
  <si>
    <t>AutoPost 1901</t>
  </si>
  <si>
    <t>AutoPost 1902</t>
  </si>
  <si>
    <t>AutoPost 1903</t>
  </si>
  <si>
    <t>AutoPost 1904</t>
  </si>
  <si>
    <t>AutoPost 1905</t>
  </si>
  <si>
    <t>AutoPost 1906</t>
  </si>
  <si>
    <t>AutoPost 1907</t>
  </si>
  <si>
    <t>AutoPost 1908</t>
  </si>
  <si>
    <t>AutoPost 1909</t>
  </si>
  <si>
    <t>AutoPost 1910</t>
  </si>
  <si>
    <t>AutoPost 1911</t>
  </si>
  <si>
    <t>AutoPost 1912</t>
  </si>
  <si>
    <t>AutoPost 1913</t>
  </si>
  <si>
    <t>AutoPost 1914</t>
  </si>
  <si>
    <t>AutoPost 1915</t>
  </si>
  <si>
    <t>AutoPost 1916</t>
  </si>
  <si>
    <t>AutoPost 1917</t>
  </si>
  <si>
    <t>AutoPost 1918</t>
  </si>
  <si>
    <t>AutoPost 1919</t>
  </si>
  <si>
    <t>AutoPost 1920</t>
  </si>
  <si>
    <t>AutoPost 1921</t>
  </si>
  <si>
    <t>AutoPost 1922</t>
  </si>
  <si>
    <t>AutoPost 1923</t>
  </si>
  <si>
    <t>AutoPost 1924</t>
  </si>
  <si>
    <t>AutoPost 1925</t>
  </si>
  <si>
    <t>AutoPost 1926</t>
  </si>
  <si>
    <t>AutoPost 1927</t>
  </si>
  <si>
    <t>AutoPost 1928</t>
  </si>
  <si>
    <t>AutoPost 1929</t>
  </si>
  <si>
    <t>AutoPost 1930</t>
  </si>
  <si>
    <t>AutoPost 1931</t>
  </si>
  <si>
    <t>AutoPost 1932</t>
  </si>
  <si>
    <t>AutoPost 1933</t>
  </si>
  <si>
    <t>AutoPost 1934</t>
  </si>
  <si>
    <t>AutoPost 1935</t>
  </si>
  <si>
    <t>AutoPost 1936</t>
  </si>
  <si>
    <t>AutoPost 1937</t>
  </si>
  <si>
    <t>AutoPost 1938</t>
  </si>
  <si>
    <t>AutoPost 1939</t>
  </si>
  <si>
    <t>AutoPost 1940</t>
  </si>
  <si>
    <t>AutoPost 1941</t>
  </si>
  <si>
    <t>AutoPost 1942</t>
  </si>
  <si>
    <t>AutoPost 1943</t>
  </si>
  <si>
    <t>AutoPost 1944</t>
  </si>
  <si>
    <t>AutoPost 1945</t>
  </si>
  <si>
    <t>AutoPost 1946</t>
  </si>
  <si>
    <t>AutoPost 1947</t>
  </si>
  <si>
    <t>AutoPost 1948</t>
  </si>
  <si>
    <t>AutoPost 1949</t>
  </si>
  <si>
    <t>AutoPost 1950</t>
  </si>
  <si>
    <t>AutoPost 1951</t>
  </si>
  <si>
    <t>AutoPost 1952</t>
  </si>
  <si>
    <t>AutoPost 1953</t>
  </si>
  <si>
    <t>AutoPost 1954</t>
  </si>
  <si>
    <t>AutoPost 1955</t>
  </si>
  <si>
    <t>AutoPost 1956</t>
  </si>
  <si>
    <t>AutoPost 1957</t>
  </si>
  <si>
    <t>AutoPost 1958</t>
  </si>
  <si>
    <t>AutoPost 1959</t>
  </si>
  <si>
    <t>AutoPost 1960</t>
  </si>
  <si>
    <t>AutoPost 1961</t>
  </si>
  <si>
    <t>AutoPost 1962</t>
  </si>
  <si>
    <t>AutoPost 1963</t>
  </si>
  <si>
    <t>AutoPost 1964</t>
  </si>
  <si>
    <t>AutoPost 1965</t>
  </si>
  <si>
    <t>AutoPost 1966</t>
  </si>
  <si>
    <t>AutoPost 1967</t>
  </si>
  <si>
    <t>AutoPost 1968</t>
  </si>
  <si>
    <t>AutoPost 1969</t>
  </si>
  <si>
    <t>AutoPost 1970</t>
  </si>
  <si>
    <t>AutoPost 1971</t>
  </si>
  <si>
    <t>AutoPost 1972</t>
  </si>
  <si>
    <t>AutoPost 1973</t>
  </si>
  <si>
    <t>AutoPost 1974</t>
  </si>
  <si>
    <t>AutoPost 1975</t>
  </si>
  <si>
    <t>AutoPost 1976</t>
  </si>
  <si>
    <t>AutoPost 1977</t>
  </si>
  <si>
    <t>AutoPost 1978</t>
  </si>
  <si>
    <t>AutoPost 1979</t>
  </si>
  <si>
    <t>AutoPost 1980</t>
  </si>
  <si>
    <t>AutoPost 1981</t>
  </si>
  <si>
    <t>AutoPost 1982</t>
  </si>
  <si>
    <t>AutoPost 1983</t>
  </si>
  <si>
    <t>AutoPost 1984</t>
  </si>
  <si>
    <t>AutoPost 1985</t>
  </si>
  <si>
    <t>AutoPost 1986</t>
  </si>
  <si>
    <t>AutoPost 1987</t>
  </si>
  <si>
    <t>AutoPost 1988</t>
  </si>
  <si>
    <t>AutoPost 1989</t>
  </si>
  <si>
    <t>AutoPost 1990</t>
  </si>
  <si>
    <t>AutoPost 1991</t>
  </si>
  <si>
    <t>AutoPost 1992</t>
  </si>
  <si>
    <t>AutoPost 1993</t>
  </si>
  <si>
    <t>AutoPost 1994</t>
  </si>
  <si>
    <t>AutoPost 1995</t>
  </si>
  <si>
    <t>AutoPost 1996</t>
  </si>
  <si>
    <t>AutoPost 1997</t>
  </si>
  <si>
    <t>AutoPost 1998</t>
  </si>
  <si>
    <t>AutoPost 1999</t>
  </si>
  <si>
    <t>GBP</t>
  </si>
  <si>
    <t>EUR</t>
  </si>
  <si>
    <t>AUD</t>
  </si>
  <si>
    <t>USD</t>
  </si>
  <si>
    <t>CAD</t>
  </si>
  <si>
    <t>2024-05</t>
  </si>
  <si>
    <t>2024-06</t>
  </si>
  <si>
    <t>2025-01</t>
  </si>
  <si>
    <t>2023-09</t>
  </si>
  <si>
    <t>2023-08</t>
  </si>
  <si>
    <t>2025-05</t>
  </si>
  <si>
    <t>2023-12</t>
  </si>
  <si>
    <t>2024-04</t>
  </si>
  <si>
    <t>2023-04</t>
  </si>
  <si>
    <t>2023-11</t>
  </si>
  <si>
    <t>2024-11</t>
  </si>
  <si>
    <t>2024-02</t>
  </si>
  <si>
    <t>2025-04</t>
  </si>
  <si>
    <t>2025-03</t>
  </si>
  <si>
    <t>2023-01</t>
  </si>
  <si>
    <t>2024-09</t>
  </si>
  <si>
    <t>2024-03</t>
  </si>
  <si>
    <t>2023-07</t>
  </si>
  <si>
    <t>2023-03</t>
  </si>
  <si>
    <t>2025-06</t>
  </si>
  <si>
    <t>2024-01</t>
  </si>
  <si>
    <t>2024-07</t>
  </si>
  <si>
    <t>2023-06</t>
  </si>
  <si>
    <t>2024-12</t>
  </si>
  <si>
    <t>2023-02</t>
  </si>
  <si>
    <t>2024-08</t>
  </si>
  <si>
    <t>2024-10</t>
  </si>
  <si>
    <t>2023-10</t>
  </si>
  <si>
    <t>2025-02</t>
  </si>
  <si>
    <t>2023-05</t>
  </si>
  <si>
    <t>FiscalYear</t>
  </si>
  <si>
    <t>Quarter</t>
  </si>
  <si>
    <t>BudgetUSD</t>
  </si>
  <si>
    <t>ForecastUSD</t>
  </si>
  <si>
    <t>ActualUSD</t>
  </si>
  <si>
    <t>VarianceUSD</t>
  </si>
  <si>
    <t>Notes</t>
  </si>
  <si>
    <t>Row Labels</t>
  </si>
  <si>
    <t>(blank)</t>
  </si>
  <si>
    <t>Grand Total</t>
  </si>
  <si>
    <t>Sum of ActualAmount</t>
  </si>
  <si>
    <t>Analyze by Month:</t>
  </si>
  <si>
    <t>Analyze by Account:</t>
  </si>
  <si>
    <t>nalyze by Department / CostCenter:</t>
  </si>
  <si>
    <t>Jan</t>
  </si>
  <si>
    <t>Feb</t>
  </si>
  <si>
    <t>Mar</t>
  </si>
  <si>
    <t>Apr</t>
  </si>
  <si>
    <t>May</t>
  </si>
  <si>
    <t>Jun</t>
  </si>
  <si>
    <t>Jul</t>
  </si>
  <si>
    <t>Aug</t>
  </si>
  <si>
    <t>Sep</t>
  </si>
  <si>
    <t>Oct</t>
  </si>
  <si>
    <t>Nov</t>
  </si>
  <si>
    <t>Dec</t>
  </si>
  <si>
    <t>Sum of BudgetUSD</t>
  </si>
  <si>
    <t>Metric</t>
  </si>
  <si>
    <t>Actual</t>
  </si>
  <si>
    <t>Budget</t>
  </si>
  <si>
    <t>Variance</t>
  </si>
  <si>
    <t>Variance %</t>
  </si>
  <si>
    <t>Revenue</t>
  </si>
  <si>
    <t>Expenses</t>
  </si>
  <si>
    <t>Net Profit</t>
  </si>
  <si>
    <t>Column Labels</t>
  </si>
  <si>
    <t>Count of Dept</t>
  </si>
  <si>
    <t>Revenue Pivot</t>
  </si>
  <si>
    <t>Expense Pivot</t>
  </si>
  <si>
    <t>&lt;1/1/2023</t>
  </si>
  <si>
    <t>VARIANCE %</t>
  </si>
  <si>
    <t>N/A</t>
  </si>
  <si>
    <t>Material_Flag</t>
  </si>
  <si>
    <t>FILTER MATERIAL VARIANCES</t>
  </si>
  <si>
    <t>RANK TOP CONTRIBUTOR</t>
  </si>
  <si>
    <t>Sum of Variance</t>
  </si>
  <si>
    <t>Count of VARIANCE %</t>
  </si>
  <si>
    <t>CLASSIFY PERFORMANCE</t>
  </si>
  <si>
    <t>Count of CLASSIFY PERFORMANCE</t>
  </si>
  <si>
    <t>Count of Metric</t>
  </si>
  <si>
    <t>Sum of Actual</t>
  </si>
  <si>
    <t>Sum of Budget</t>
  </si>
  <si>
    <t>Sum of Variance %</t>
  </si>
  <si>
    <r>
      <t>Actual vs Budget</t>
    </r>
    <r>
      <rPr>
        <sz val="26"/>
        <color theme="1"/>
        <rFont val="Calibri"/>
        <family val="2"/>
        <scheme val="minor"/>
      </rPr>
      <t>:</t>
    </r>
  </si>
  <si>
    <r>
      <t>op contributors to variance</t>
    </r>
    <r>
      <rPr>
        <sz val="26"/>
        <color rgb="FFFF0000"/>
        <rFont val="Calibri"/>
        <family val="2"/>
        <scheme val="minor"/>
      </rPr>
      <t>:</t>
    </r>
  </si>
  <si>
    <r>
      <t>MoM trends</t>
    </r>
    <r>
      <rPr>
        <sz val="36"/>
        <color theme="1"/>
        <rFont val="Calibri"/>
        <family val="2"/>
        <scheme val="minor"/>
      </rPr>
      <t>:</t>
    </r>
  </si>
  <si>
    <r>
      <t>Performance Classification</t>
    </r>
    <r>
      <rPr>
        <sz val="26"/>
        <color theme="1"/>
        <rFont val="Calibri"/>
        <family val="2"/>
        <scheme val="minor"/>
      </rPr>
      <t>:</t>
    </r>
  </si>
  <si>
    <t>Favorable</t>
  </si>
  <si>
    <t>Unfavorable</t>
  </si>
  <si>
    <t>EDA</t>
  </si>
  <si>
    <t>ACTUAL</t>
  </si>
  <si>
    <t>(Revenue vs Expense)</t>
  </si>
  <si>
    <t>ACTUAL VS BUDGET (CORE BUSINESS QUESTION)</t>
  </si>
  <si>
    <t>Revenue Actual vs Budget</t>
  </si>
  <si>
    <t>Expense Actual vs Budget</t>
  </si>
  <si>
    <t>Monthly Management Reporting &amp; Actual vs Budget Performance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</si>
</sst>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6">
    <font>
      <sz val="11"/>
      <color theme="1"/>
      <name val="Calibri"/>
      <family val="2"/>
      <scheme val="minor"/>
    </font>
    <font>
      <b/>
      <sz val="11"/>
      <color theme="1"/>
      <name val="Calibri"/>
      <family val="2"/>
      <scheme val="minor"/>
    </font>
    <font>
      <b/>
      <sz val="28"/>
      <color theme="1"/>
      <name val="Calibri"/>
      <family val="2"/>
      <scheme val="minor"/>
    </font>
    <font>
      <b/>
      <sz val="26"/>
      <color theme="1"/>
      <name val="Calibri"/>
      <family val="2"/>
      <scheme val="minor"/>
    </font>
    <font>
      <b/>
      <sz val="24"/>
      <color theme="1"/>
      <name val="Calibri"/>
      <family val="2"/>
      <scheme val="minor"/>
    </font>
    <font>
      <sz val="10"/>
      <color theme="1"/>
      <name val="Arial Unicode MS"/>
    </font>
    <font>
      <sz val="11"/>
      <color rgb="FFFF0000"/>
      <name val="Calibri"/>
      <family val="2"/>
      <scheme val="minor"/>
    </font>
    <font>
      <sz val="36"/>
      <color theme="1"/>
      <name val="Calibri"/>
      <family val="2"/>
      <scheme val="minor"/>
    </font>
    <font>
      <sz val="36"/>
      <color rgb="FFFF0000"/>
      <name val="Calibri"/>
      <family val="2"/>
      <scheme val="minor"/>
    </font>
    <font>
      <sz val="28"/>
      <color rgb="FFFF0000"/>
      <name val="Calibri"/>
      <family val="2"/>
      <scheme val="minor"/>
    </font>
    <font>
      <sz val="11"/>
      <color theme="1"/>
      <name val="Calibri"/>
      <family val="2"/>
      <scheme val="minor"/>
    </font>
    <font>
      <sz val="26"/>
      <color theme="1"/>
      <name val="Calibri"/>
      <family val="2"/>
      <scheme val="minor"/>
    </font>
    <font>
      <b/>
      <sz val="26"/>
      <color rgb="FFFF0000"/>
      <name val="Calibri"/>
      <family val="2"/>
      <scheme val="minor"/>
    </font>
    <font>
      <sz val="26"/>
      <color rgb="FFFF0000"/>
      <name val="Calibri"/>
      <family val="2"/>
      <scheme val="minor"/>
    </font>
    <font>
      <b/>
      <sz val="36"/>
      <color theme="1"/>
      <name val="Calibri"/>
      <family val="2"/>
      <scheme val="minor"/>
    </font>
    <font>
      <b/>
      <sz val="72"/>
      <color theme="5"/>
      <name val="Calibri"/>
      <family val="2"/>
      <scheme val="minor"/>
    </font>
    <font>
      <b/>
      <sz val="18"/>
      <color theme="1"/>
      <name val="Calibri"/>
      <family val="2"/>
      <scheme val="minor"/>
    </font>
    <font>
      <b/>
      <sz val="28"/>
      <color rgb="FFFF0000"/>
      <name val="Calibri"/>
      <family val="2"/>
      <scheme val="minor"/>
    </font>
    <font>
      <b/>
      <sz val="24"/>
      <color rgb="FFFF0000"/>
      <name val="Calibri"/>
      <family val="2"/>
      <scheme val="minor"/>
    </font>
    <font>
      <b/>
      <sz val="20"/>
      <color rgb="FFFF0000"/>
      <name val="Calibri"/>
      <family val="2"/>
      <scheme val="minor"/>
    </font>
    <font>
      <b/>
      <sz val="16"/>
      <color rgb="FFFF0000"/>
      <name val="Calibri"/>
      <family val="2"/>
      <scheme val="minor"/>
    </font>
    <font>
      <b/>
      <sz val="22"/>
      <color rgb="FFFF0000"/>
      <name val="Calibri"/>
      <family val="2"/>
      <scheme val="minor"/>
    </font>
    <font>
      <sz val="11"/>
      <color theme="5"/>
      <name val="Calibri"/>
      <family val="2"/>
      <scheme val="minor"/>
    </font>
    <font>
      <b/>
      <sz val="36"/>
      <color theme="5"/>
      <name val="Calibri"/>
      <family val="2"/>
      <scheme val="minor"/>
    </font>
    <font>
      <sz val="72"/>
      <color theme="5"/>
      <name val="Calibri"/>
      <family val="2"/>
      <scheme val="minor"/>
    </font>
    <font>
      <sz val="24"/>
      <color theme="5"/>
      <name val="Calibri"/>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rgb="FFFFFFCC"/>
      </patternFill>
    </fill>
    <fill>
      <patternFill patternType="solid">
        <fgColor theme="2"/>
        <bgColor indexed="64"/>
      </patternFill>
    </fill>
  </fills>
  <borders count="4">
    <border>
      <left/>
      <right/>
      <top/>
      <bottom/>
      <diagonal/>
    </border>
    <border>
      <left style="thin">
        <color auto="1"/>
      </left>
      <right style="thin">
        <color auto="1"/>
      </right>
      <top style="thin">
        <color auto="1"/>
      </top>
      <bottom style="thin">
        <color auto="1"/>
      </bottom>
      <diagonal/>
    </border>
    <border>
      <left/>
      <right/>
      <top style="thin">
        <color theme="4" tint="0.39997558519241921"/>
      </top>
      <bottom/>
      <diagonal/>
    </border>
    <border>
      <left style="thin">
        <color rgb="FFB2B2B2"/>
      </left>
      <right style="thin">
        <color rgb="FFB2B2B2"/>
      </right>
      <top style="thin">
        <color rgb="FFB2B2B2"/>
      </top>
      <bottom style="thin">
        <color rgb="FFB2B2B2"/>
      </bottom>
      <diagonal/>
    </border>
  </borders>
  <cellStyleXfs count="2">
    <xf numFmtId="0" fontId="0" fillId="0" borderId="0"/>
    <xf numFmtId="0" fontId="10" fillId="3" borderId="3" applyNumberFormat="0" applyFont="0" applyAlignment="0" applyProtection="0"/>
  </cellStyleXfs>
  <cellXfs count="35">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0" fontId="1" fillId="0" borderId="0" xfId="0" applyFont="1"/>
    <xf numFmtId="0" fontId="2" fillId="0" borderId="0" xfId="0" applyFont="1"/>
    <xf numFmtId="0" fontId="3" fillId="0" borderId="0" xfId="0" applyFont="1"/>
    <xf numFmtId="0" fontId="4" fillId="0" borderId="0" xfId="0" applyFont="1"/>
    <xf numFmtId="0" fontId="0" fillId="0" borderId="0" xfId="0" applyAlignment="1">
      <alignment horizontal="left" indent="1"/>
    </xf>
    <xf numFmtId="0" fontId="1" fillId="0" borderId="0" xfId="0" applyFont="1" applyAlignment="1">
      <alignment horizontal="center" vertical="center" wrapText="1"/>
    </xf>
    <xf numFmtId="0" fontId="0" fillId="0" borderId="0" xfId="0" applyAlignment="1">
      <alignment vertical="center" wrapText="1"/>
    </xf>
    <xf numFmtId="0" fontId="5" fillId="0" borderId="0" xfId="0" applyFont="1" applyAlignment="1">
      <alignment vertical="center" wrapText="1"/>
    </xf>
    <xf numFmtId="0" fontId="1" fillId="2" borderId="2" xfId="0" applyFont="1" applyFill="1" applyBorder="1"/>
    <xf numFmtId="0" fontId="7" fillId="0" borderId="0" xfId="0" applyFont="1"/>
    <xf numFmtId="0" fontId="8" fillId="0" borderId="0" xfId="0" applyFont="1"/>
    <xf numFmtId="0" fontId="6" fillId="0" borderId="0" xfId="0" applyFont="1"/>
    <xf numFmtId="0" fontId="9" fillId="0" borderId="0" xfId="0" applyFont="1"/>
    <xf numFmtId="0" fontId="0" fillId="0" borderId="0" xfId="0" applyAlignment="1">
      <alignment horizontal="left" indent="2"/>
    </xf>
    <xf numFmtId="0" fontId="11" fillId="0" borderId="0" xfId="0" applyFont="1"/>
    <xf numFmtId="0" fontId="12" fillId="0" borderId="0" xfId="0" applyFont="1"/>
    <xf numFmtId="0" fontId="13" fillId="0" borderId="0" xfId="0" applyFont="1"/>
    <xf numFmtId="0" fontId="14" fillId="0" borderId="0" xfId="0" applyFont="1"/>
    <xf numFmtId="0" fontId="16" fillId="0" borderId="0" xfId="0" applyFont="1"/>
    <xf numFmtId="0" fontId="17" fillId="0" borderId="0" xfId="0" applyFont="1"/>
    <xf numFmtId="0" fontId="18" fillId="0" borderId="0" xfId="0" applyFont="1"/>
    <xf numFmtId="0" fontId="19" fillId="0" borderId="0" xfId="0" applyFont="1"/>
    <xf numFmtId="0" fontId="20" fillId="0" borderId="0" xfId="0" applyFont="1"/>
    <xf numFmtId="0" fontId="21" fillId="0" borderId="0" xfId="0" applyFont="1"/>
    <xf numFmtId="0" fontId="22" fillId="4" borderId="0" xfId="0" applyFont="1" applyFill="1"/>
    <xf numFmtId="0" fontId="23" fillId="4" borderId="0" xfId="0" applyFont="1" applyFill="1"/>
    <xf numFmtId="0" fontId="15" fillId="4" borderId="0" xfId="0" applyFont="1" applyFill="1"/>
    <xf numFmtId="0" fontId="24" fillId="4" borderId="0" xfId="0" applyFont="1" applyFill="1"/>
    <xf numFmtId="0" fontId="25" fillId="4" borderId="3" xfId="0" applyFont="1" applyFill="1" applyBorder="1"/>
    <xf numFmtId="0" fontId="22" fillId="4" borderId="3" xfId="1" applyFont="1" applyFill="1"/>
  </cellXfs>
  <cellStyles count="2">
    <cellStyle name="Normal" xfId="0" builtinId="0"/>
    <cellStyle name="Note" xfId="1" builtinId="10"/>
  </cellStyles>
  <dxfs count="20">
    <dxf>
      <font>
        <color rgb="FF9C0006"/>
      </font>
    </dxf>
    <dxf>
      <font>
        <color rgb="FF9C0006"/>
      </font>
    </dxf>
    <dxf>
      <font>
        <color rgb="FF9C0006"/>
      </font>
    </dxf>
    <dxf>
      <font>
        <color rgb="FF9C0006"/>
      </font>
    </dxf>
    <dxf>
      <font>
        <color rgb="FF9C0006"/>
      </font>
    </dxf>
    <dxf>
      <font>
        <color rgb="FF9C0006"/>
      </font>
      <fill>
        <patternFill>
          <bgColor rgb="FFFFC7CE"/>
        </patternFill>
      </fill>
    </dxf>
    <dxf>
      <font>
        <color rgb="FF9C0006"/>
      </font>
    </dxf>
    <dxf>
      <font>
        <color theme="5"/>
      </font>
    </dxf>
    <dxf>
      <font>
        <color theme="5"/>
      </font>
    </dxf>
    <dxf>
      <font>
        <color theme="5"/>
      </font>
    </dxf>
    <dxf>
      <fill>
        <patternFill>
          <bgColor theme="2"/>
        </patternFill>
      </fill>
    </dxf>
    <dxf>
      <fill>
        <patternFill>
          <bgColor theme="2"/>
        </patternFill>
      </fill>
    </dxf>
    <dxf>
      <fill>
        <patternFill>
          <bgColor theme="2"/>
        </patternFill>
      </fill>
    </dxf>
    <dxf>
      <fill>
        <patternFill patternType="solid">
          <fgColor indexed="65"/>
          <bgColor rgb="FFFFFFCC"/>
        </patternFill>
      </fill>
      <border diagonalUp="0" diagonalDown="0" outline="0">
        <left style="thin">
          <color rgb="FFB2B2B2"/>
        </left>
        <right style="thin">
          <color rgb="FFB2B2B2"/>
        </right>
        <top style="thin">
          <color rgb="FFB2B2B2"/>
        </top>
        <bottom style="thin">
          <color rgb="FFB2B2B2"/>
        </bottom>
      </border>
    </dxf>
    <dxf>
      <font>
        <sz val="24"/>
      </font>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microsoft.com/office/2007/relationships/slicerCache" Target="slicerCaches/slicerCache5.xml"/><Relationship Id="rId21" Type="http://schemas.openxmlformats.org/officeDocument/2006/relationships/worksheet" Target="worksheets/sheet21.xml"/><Relationship Id="rId34" Type="http://schemas.openxmlformats.org/officeDocument/2006/relationships/pivotCacheDefinition" Target="pivotCache/pivotCacheDefinition7.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5.xml"/><Relationship Id="rId37" Type="http://schemas.microsoft.com/office/2007/relationships/slicerCache" Target="slicerCaches/slicerCache3.xml"/><Relationship Id="rId40" Type="http://schemas.openxmlformats.org/officeDocument/2006/relationships/theme" Target="theme/theme1.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1.xml"/><Relationship Id="rId36"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4.xml"/><Relationship Id="rId44"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pivotCacheDefinition" Target="pivotCache/pivotCacheDefinition3.xml"/><Relationship Id="rId35" Type="http://schemas.microsoft.com/office/2007/relationships/slicerCache" Target="slicerCaches/slicerCache1.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6.xml"/><Relationship Id="rId38" Type="http://schemas.microsoft.com/office/2007/relationships/slicerCache" Target="slicerCaches/slicerCache4.xml"/><Relationship Id="rId20" Type="http://schemas.openxmlformats.org/officeDocument/2006/relationships/worksheet" Target="worksheets/sheet20.xml"/><Relationship Id="rId41"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file.xlsx]ANALYZE BY DEPT!PivotTable1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ANALYZE</a:t>
            </a:r>
            <a:r>
              <a:rPr lang="en-US" baseline="0"/>
              <a:t>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'ANALYZE BY DEPT'!$B$3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 BY DEPT'!$A$4:$A$11</c:f>
              <c:strCache>
                <c:ptCount val="7"/>
                <c:pt idx="0">
                  <c:v>Finance</c:v>
                </c:pt>
                <c:pt idx="1">
                  <c:v>HR</c:v>
                </c:pt>
                <c:pt idx="2">
                  <c:v>IT</c:v>
                </c:pt>
                <c:pt idx="3">
                  <c:v>Marketing</c:v>
                </c:pt>
                <c:pt idx="4">
                  <c:v>Operations</c:v>
                </c:pt>
                <c:pt idx="5">
                  <c:v>Sales</c:v>
                </c:pt>
                <c:pt idx="6">
                  <c:v>(blank)</c:v>
                </c:pt>
              </c:strCache>
            </c:strRef>
          </c:cat>
          <c:val>
            <c:numRef>
              <c:f>'ANALYZE BY DEPT'!$B$4:$B$11</c:f>
              <c:numCache>
                <c:formatCode>General</c:formatCode>
                <c:ptCount val="7"/>
                <c:pt idx="0">
                  <c:v>162279.24000000019</c:v>
                </c:pt>
                <c:pt idx="1">
                  <c:v>93048.339999999924</c:v>
                </c:pt>
                <c:pt idx="2">
                  <c:v>122080.79</c:v>
                </c:pt>
                <c:pt idx="3">
                  <c:v>117831.01000000005</c:v>
                </c:pt>
                <c:pt idx="4">
                  <c:v>145631.91000000009</c:v>
                </c:pt>
                <c:pt idx="5">
                  <c:v>122170.16999999994</c:v>
                </c:pt>
              </c:numCache>
            </c:numRef>
          </c:val>
          <c:extLst>
            <c:ext xmlns:c16="http://schemas.microsoft.com/office/drawing/2014/chart" uri="{C3380CC4-5D6E-409C-BE32-E72D297353CC}">
              <c16:uniqueId val="{00000000-E0A9-41C6-A3C5-36EA490F5803}"/>
            </c:ext>
          </c:extLst>
        </c:ser>
        <c:dLbls>
          <c:dLblPos val="outEnd"/>
          <c:showLegendKey val="0"/>
          <c:showVal val="1"/>
          <c:showCatName val="0"/>
          <c:showSerName val="0"/>
          <c:showPercent val="0"/>
          <c:showBubbleSize val="0"/>
        </c:dLbls>
        <c:gapWidth val="182"/>
        <c:axId val="56802511"/>
        <c:axId val="56804911"/>
      </c:barChart>
      <c:catAx>
        <c:axId val="56802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04911"/>
        <c:crosses val="autoZero"/>
        <c:auto val="1"/>
        <c:lblAlgn val="ctr"/>
        <c:lblOffset val="100"/>
        <c:noMultiLvlLbl val="0"/>
      </c:catAx>
      <c:valAx>
        <c:axId val="568049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0251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file.xlsx]ANALYZEE BY MONTH!PivotTable2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ANALYZE</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78515161145152"/>
          <c:y val="0.15869213428613391"/>
          <c:w val="0.82130177286121442"/>
          <c:h val="0.59753906674074497"/>
        </c:manualLayout>
      </c:layout>
      <c:lineChart>
        <c:grouping val="standard"/>
        <c:varyColors val="0"/>
        <c:ser>
          <c:idx val="0"/>
          <c:order val="0"/>
          <c:tx>
            <c:strRef>
              <c:f>'ANALYZEE BY MONTH'!$B$3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'ANALYZEE BY MONTH'!$A$4:$A$17</c:f>
              <c:strCache>
                <c:ptCount val="13"/>
                <c:pt idx="0">
                  <c:v>&lt;1/1/2023</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'ANALYZEE BY MONTH'!$B$4:$B$17</c:f>
              <c:numCache>
                <c:formatCode>General</c:formatCode>
                <c:ptCount val="13"/>
                <c:pt idx="1">
                  <c:v>77989.75</c:v>
                </c:pt>
                <c:pt idx="2">
                  <c:v>64552.149999999951</c:v>
                </c:pt>
                <c:pt idx="3">
                  <c:v>109614.98000000003</c:v>
                </c:pt>
                <c:pt idx="4">
                  <c:v>55206.580000000031</c:v>
                </c:pt>
                <c:pt idx="5">
                  <c:v>91451.769999999917</c:v>
                </c:pt>
                <c:pt idx="6">
                  <c:v>65344.41</c:v>
                </c:pt>
                <c:pt idx="7">
                  <c:v>34225.71</c:v>
                </c:pt>
                <c:pt idx="8">
                  <c:v>40346.129999999983</c:v>
                </c:pt>
                <c:pt idx="9">
                  <c:v>9458.4799999999977</c:v>
                </c:pt>
                <c:pt idx="10">
                  <c:v>53904.219999999987</c:v>
                </c:pt>
                <c:pt idx="11">
                  <c:v>79096.850000000006</c:v>
                </c:pt>
                <c:pt idx="12">
                  <c:v>81850.429999999935</c:v>
                </c:pt>
              </c:numCache>
            </c:numRef>
          </c:val>
          <c:smooth val="0"/>
          <c:extLst>
            <c:ext xmlns:c16="http://schemas.microsoft.com/office/drawing/2014/chart" uri="{C3380CC4-5D6E-409C-BE32-E72D297353CC}">
              <c16:uniqueId val="{00000000-5C15-48AB-8572-8304376B8F68}"/>
            </c:ext>
          </c:extLst>
        </c:ser>
        <c:dLbls>
          <c:dLblPos val="t"/>
          <c:showLegendKey val="0"/>
          <c:showVal val="1"/>
          <c:showCatName val="0"/>
          <c:showSerName val="0"/>
          <c:showPercent val="0"/>
          <c:showBubbleSize val="0"/>
        </c:dLbls>
        <c:marker val="1"/>
        <c:smooth val="0"/>
        <c:axId val="95001055"/>
        <c:axId val="95026495"/>
      </c:lineChart>
      <c:catAx>
        <c:axId val="95001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26495"/>
        <c:crosses val="autoZero"/>
        <c:auto val="1"/>
        <c:lblAlgn val="ctr"/>
        <c:lblOffset val="100"/>
        <c:noMultiLvlLbl val="0"/>
      </c:catAx>
      <c:valAx>
        <c:axId val="95026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0105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file.xlsx]ANALYZE BY ACCOUNT!PivotTable3</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ANALYZE</a:t>
            </a:r>
            <a:r>
              <a:rPr lang="en-US" baseline="0"/>
              <a:t> BY ACCOUNT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'ANALYZE BY ACCOUNT'!$B$3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 BY ACCOUNT'!$A$4:$A$10</c:f>
              <c:strCache>
                <c:ptCount val="6"/>
                <c:pt idx="0">
                  <c:v>Travel Expense</c:v>
                </c:pt>
                <c:pt idx="1">
                  <c:v>Payroll Expense</c:v>
                </c:pt>
                <c:pt idx="2">
                  <c:v>COGS</c:v>
                </c:pt>
                <c:pt idx="3">
                  <c:v>(blank)</c:v>
                </c:pt>
                <c:pt idx="4">
                  <c:v>Sales Revenue</c:v>
                </c:pt>
                <c:pt idx="5">
                  <c:v>Online Sales</c:v>
                </c:pt>
              </c:strCache>
            </c:strRef>
          </c:cat>
          <c:val>
            <c:numRef>
              <c:f>'ANALYZE BY ACCOUNT'!$B$4:$B$10</c:f>
              <c:numCache>
                <c:formatCode>General</c:formatCode>
                <c:ptCount val="6"/>
                <c:pt idx="0">
                  <c:v>-412380.47999999992</c:v>
                </c:pt>
                <c:pt idx="1">
                  <c:v>-399923.6599999998</c:v>
                </c:pt>
                <c:pt idx="2">
                  <c:v>-397936.33000000013</c:v>
                </c:pt>
                <c:pt idx="4">
                  <c:v>959134.06999999972</c:v>
                </c:pt>
                <c:pt idx="5">
                  <c:v>1014147.8599999991</c:v>
                </c:pt>
              </c:numCache>
            </c:numRef>
          </c:val>
          <c:extLst>
            <c:ext xmlns:c16="http://schemas.microsoft.com/office/drawing/2014/chart" uri="{C3380CC4-5D6E-409C-BE32-E72D297353CC}">
              <c16:uniqueId val="{00000000-E238-49D3-93BF-9A7F337D752F}"/>
            </c:ext>
          </c:extLst>
        </c:ser>
        <c:dLbls>
          <c:dLblPos val="outEnd"/>
          <c:showLegendKey val="0"/>
          <c:showVal val="1"/>
          <c:showCatName val="0"/>
          <c:showSerName val="0"/>
          <c:showPercent val="0"/>
          <c:showBubbleSize val="0"/>
        </c:dLbls>
        <c:gapWidth val="182"/>
        <c:axId val="56766991"/>
        <c:axId val="56772271"/>
      </c:barChart>
      <c:catAx>
        <c:axId val="567669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72271"/>
        <c:crosses val="autoZero"/>
        <c:auto val="1"/>
        <c:lblAlgn val="ctr"/>
        <c:lblOffset val="100"/>
        <c:noMultiLvlLbl val="0"/>
      </c:catAx>
      <c:valAx>
        <c:axId val="567722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6699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file.xlsx]Sheet13!PivotTable9</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73898567456663"/>
          <c:y val="6.7697576177695618E-2"/>
          <c:w val="0.73447366031470118"/>
          <c:h val="0.69043161929815211"/>
        </c:manualLayout>
      </c:layout>
      <c:barChart>
        <c:barDir val="col"/>
        <c:grouping val="clustered"/>
        <c:varyColors val="0"/>
        <c:ser>
          <c:idx val="0"/>
          <c:order val="0"/>
          <c:tx>
            <c:strRef>
              <c:f>Sheet13!$B$3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Sheet13!$A$4:$A$16</c:f>
              <c:multiLvlStrCache>
                <c:ptCount val="6"/>
                <c:lvl>
                  <c:pt idx="0">
                    <c:v>Sales Revenue</c:v>
                  </c:pt>
                  <c:pt idx="1">
                    <c:v>Online Sales</c:v>
                  </c:pt>
                  <c:pt idx="2">
                    <c:v>COGS</c:v>
                  </c:pt>
                  <c:pt idx="3">
                    <c:v>Travel Expense</c:v>
                  </c:pt>
                  <c:pt idx="4">
                    <c:v>Payroll Expense</c:v>
                  </c:pt>
                  <c:pt idx="5">
                    <c:v>(blank)</c:v>
                  </c:pt>
                </c:lvl>
                <c:lvl>
                  <c:pt idx="0">
                    <c:v>4000</c:v>
                  </c:pt>
                  <c:pt idx="1">
                    <c:v>4010</c:v>
                  </c:pt>
                  <c:pt idx="2">
                    <c:v>5000</c:v>
                  </c:pt>
                  <c:pt idx="3">
                    <c:v>5010</c:v>
                  </c:pt>
                  <c:pt idx="4">
                    <c:v>6000</c:v>
                  </c:pt>
                  <c:pt idx="5">
                    <c:v>(blank)</c:v>
                  </c:pt>
                </c:lvl>
              </c:multiLvlStrCache>
            </c:multiLvlStrRef>
          </c:cat>
          <c:val>
            <c:numRef>
              <c:f>Sheet13!$B$4:$B$16</c:f>
              <c:numCache>
                <c:formatCode>General</c:formatCode>
                <c:ptCount val="6"/>
                <c:pt idx="0">
                  <c:v>959134.06999999972</c:v>
                </c:pt>
                <c:pt idx="1">
                  <c:v>1014147.8599999991</c:v>
                </c:pt>
                <c:pt idx="2">
                  <c:v>-397936.33000000013</c:v>
                </c:pt>
                <c:pt idx="3">
                  <c:v>-412380.47999999992</c:v>
                </c:pt>
                <c:pt idx="4">
                  <c:v>-399923.6599999998</c:v>
                </c:pt>
              </c:numCache>
            </c:numRef>
          </c:val>
          <c:extLst>
            <c:ext xmlns:c16="http://schemas.microsoft.com/office/drawing/2014/chart" uri="{C3380CC4-5D6E-409C-BE32-E72D297353CC}">
              <c16:uniqueId val="{00000000-7228-498A-A8CE-73769F3120ED}"/>
            </c:ext>
          </c:extLst>
        </c:ser>
        <c:dLbls>
          <c:dLblPos val="outEnd"/>
          <c:showLegendKey val="0"/>
          <c:showVal val="1"/>
          <c:showCatName val="0"/>
          <c:showSerName val="0"/>
          <c:showPercent val="0"/>
          <c:showBubbleSize val="0"/>
        </c:dLbls>
        <c:gapWidth val="219"/>
        <c:overlap val="-27"/>
        <c:axId val="1816632640"/>
        <c:axId val="1816632160"/>
      </c:barChart>
      <c:catAx>
        <c:axId val="1816632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632160"/>
        <c:crosses val="autoZero"/>
        <c:auto val="1"/>
        <c:lblAlgn val="ctr"/>
        <c:lblOffset val="100"/>
        <c:noMultiLvlLbl val="0"/>
      </c:catAx>
      <c:valAx>
        <c:axId val="1816632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6326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file.xlsx]Sheet19!PivotTable15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Sheet19!$B$3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Sheet19!$A$4:$A$16</c:f>
              <c:multiLvlStrCache>
                <c:ptCount val="6"/>
                <c:lvl>
                  <c:pt idx="0">
                    <c:v>Sales Revenue</c:v>
                  </c:pt>
                  <c:pt idx="1">
                    <c:v>Online Sales</c:v>
                  </c:pt>
                  <c:pt idx="2">
                    <c:v>COGS</c:v>
                  </c:pt>
                  <c:pt idx="3">
                    <c:v>Travel Expense</c:v>
                  </c:pt>
                  <c:pt idx="4">
                    <c:v>Payroll Expense</c:v>
                  </c:pt>
                  <c:pt idx="5">
                    <c:v>(blank)</c:v>
                  </c:pt>
                </c:lvl>
                <c:lvl>
                  <c:pt idx="0">
                    <c:v>4000</c:v>
                  </c:pt>
                  <c:pt idx="1">
                    <c:v>4010</c:v>
                  </c:pt>
                  <c:pt idx="2">
                    <c:v>5000</c:v>
                  </c:pt>
                  <c:pt idx="3">
                    <c:v>5010</c:v>
                  </c:pt>
                  <c:pt idx="4">
                    <c:v>6000</c:v>
                  </c:pt>
                  <c:pt idx="5">
                    <c:v>(blank)</c:v>
                  </c:pt>
                </c:lvl>
              </c:multiLvlStrCache>
            </c:multiLvlStrRef>
          </c:cat>
          <c:val>
            <c:numRef>
              <c:f>Sheet19!$B$4:$B$16</c:f>
              <c:numCache>
                <c:formatCode>General</c:formatCode>
                <c:ptCount val="6"/>
                <c:pt idx="0">
                  <c:v>401</c:v>
                </c:pt>
                <c:pt idx="1">
                  <c:v>402</c:v>
                </c:pt>
                <c:pt idx="2">
                  <c:v>393</c:v>
                </c:pt>
                <c:pt idx="3">
                  <c:v>412</c:v>
                </c:pt>
                <c:pt idx="4">
                  <c:v>392</c:v>
                </c:pt>
              </c:numCache>
            </c:numRef>
          </c:val>
          <c:extLst>
            <c:ext xmlns:c16="http://schemas.microsoft.com/office/drawing/2014/chart" uri="{C3380CC4-5D6E-409C-BE32-E72D297353CC}">
              <c16:uniqueId val="{00000000-92F1-47E2-8D72-F473B3BF51B2}"/>
            </c:ext>
          </c:extLst>
        </c:ser>
        <c:dLbls>
          <c:dLblPos val="outEnd"/>
          <c:showLegendKey val="0"/>
          <c:showVal val="1"/>
          <c:showCatName val="0"/>
          <c:showSerName val="0"/>
          <c:showPercent val="0"/>
          <c:showBubbleSize val="0"/>
        </c:dLbls>
        <c:gapWidth val="219"/>
        <c:overlap val="-27"/>
        <c:axId val="1816623040"/>
        <c:axId val="1816638880"/>
      </c:barChart>
      <c:catAx>
        <c:axId val="1816623040"/>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638880"/>
        <c:crosses val="autoZero"/>
        <c:auto val="1"/>
        <c:lblAlgn val="ctr"/>
        <c:lblOffset val="100"/>
        <c:noMultiLvlLbl val="0"/>
      </c:catAx>
      <c:valAx>
        <c:axId val="1816638880"/>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623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file.xlsx]Sheet16!PivotTable12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Sheet16!$B$3:$B$4</c:f>
              <c:strCache>
                <c:ptCount val="1"/>
                <c:pt idx="0">
                  <c:v>2024</c:v>
                </c:pt>
              </c:strCache>
            </c:strRef>
          </c:tx>
          <c:spPr>
            <a:solidFill>
              <a:schemeClr val="accent1"/>
            </a:solidFill>
            <a:ln>
              <a:noFill/>
            </a:ln>
            <a:effectLst/>
          </c:spPr>
          <c:invertIfNegative val="0"/>
          <c:cat>
            <c:strRef>
              <c:f>Sheet16!$A$5:$A$12</c:f>
              <c:strCache>
                <c:ptCount val="7"/>
                <c:pt idx="0">
                  <c:v>Finance</c:v>
                </c:pt>
                <c:pt idx="1">
                  <c:v>HR</c:v>
                </c:pt>
                <c:pt idx="2">
                  <c:v>IT</c:v>
                </c:pt>
                <c:pt idx="3">
                  <c:v>Marketing</c:v>
                </c:pt>
                <c:pt idx="4">
                  <c:v>Operations</c:v>
                </c:pt>
                <c:pt idx="5">
                  <c:v>Sales</c:v>
                </c:pt>
                <c:pt idx="6">
                  <c:v>(blank)</c:v>
                </c:pt>
              </c:strCache>
            </c:strRef>
          </c:cat>
          <c:val>
            <c:numRef>
              <c:f>Sheet16!$B$5:$B$12</c:f>
              <c:numCache>
                <c:formatCode>General</c:formatCode>
                <c:ptCount val="7"/>
                <c:pt idx="0">
                  <c:v>330828.86</c:v>
                </c:pt>
                <c:pt idx="1">
                  <c:v>181551.44</c:v>
                </c:pt>
                <c:pt idx="2">
                  <c:v>324785.56</c:v>
                </c:pt>
                <c:pt idx="3">
                  <c:v>401070.7</c:v>
                </c:pt>
                <c:pt idx="4">
                  <c:v>327881.56999999995</c:v>
                </c:pt>
                <c:pt idx="5">
                  <c:v>329341.49</c:v>
                </c:pt>
              </c:numCache>
            </c:numRef>
          </c:val>
          <c:extLst>
            <c:ext xmlns:c16="http://schemas.microsoft.com/office/drawing/2014/chart" uri="{C3380CC4-5D6E-409C-BE32-E72D297353CC}">
              <c16:uniqueId val="{00000000-F278-404B-9325-B4FD9B72BD3A}"/>
            </c:ext>
          </c:extLst>
        </c:ser>
        <c:ser>
          <c:idx val="1"/>
          <c:order val="1"/>
          <c:tx>
            <c:strRef>
              <c:f>Sheet16!$C$3:$C$4</c:f>
              <c:strCache>
                <c:ptCount val="1"/>
                <c:pt idx="0">
                  <c:v>2025</c:v>
                </c:pt>
              </c:strCache>
            </c:strRef>
          </c:tx>
          <c:spPr>
            <a:solidFill>
              <a:schemeClr val="accent2"/>
            </a:solidFill>
            <a:ln>
              <a:noFill/>
            </a:ln>
            <a:effectLst/>
          </c:spPr>
          <c:invertIfNegative val="0"/>
          <c:cat>
            <c:strRef>
              <c:f>Sheet16!$A$5:$A$12</c:f>
              <c:strCache>
                <c:ptCount val="7"/>
                <c:pt idx="0">
                  <c:v>Finance</c:v>
                </c:pt>
                <c:pt idx="1">
                  <c:v>HR</c:v>
                </c:pt>
                <c:pt idx="2">
                  <c:v>IT</c:v>
                </c:pt>
                <c:pt idx="3">
                  <c:v>Marketing</c:v>
                </c:pt>
                <c:pt idx="4">
                  <c:v>Operations</c:v>
                </c:pt>
                <c:pt idx="5">
                  <c:v>Sales</c:v>
                </c:pt>
                <c:pt idx="6">
                  <c:v>(blank)</c:v>
                </c:pt>
              </c:strCache>
            </c:strRef>
          </c:cat>
          <c:val>
            <c:numRef>
              <c:f>Sheet16!$C$5:$C$12</c:f>
              <c:numCache>
                <c:formatCode>General</c:formatCode>
                <c:ptCount val="7"/>
                <c:pt idx="0">
                  <c:v>311974.92</c:v>
                </c:pt>
                <c:pt idx="1">
                  <c:v>346844.39</c:v>
                </c:pt>
                <c:pt idx="2">
                  <c:v>235876.7</c:v>
                </c:pt>
                <c:pt idx="3">
                  <c:v>411722.26</c:v>
                </c:pt>
                <c:pt idx="4">
                  <c:v>151964.74</c:v>
                </c:pt>
                <c:pt idx="5">
                  <c:v>383042.39</c:v>
                </c:pt>
              </c:numCache>
            </c:numRef>
          </c:val>
          <c:extLst>
            <c:ext xmlns:c16="http://schemas.microsoft.com/office/drawing/2014/chart" uri="{C3380CC4-5D6E-409C-BE32-E72D297353CC}">
              <c16:uniqueId val="{00000001-F278-404B-9325-B4FD9B72BD3A}"/>
            </c:ext>
          </c:extLst>
        </c:ser>
        <c:ser>
          <c:idx val="2"/>
          <c:order val="2"/>
          <c:tx>
            <c:strRef>
              <c:f>Sheet16!$D$3:$D$4</c:f>
              <c:strCache>
                <c:ptCount val="1"/>
                <c:pt idx="0">
                  <c:v>(blank)</c:v>
                </c:pt>
              </c:strCache>
            </c:strRef>
          </c:tx>
          <c:spPr>
            <a:solidFill>
              <a:schemeClr val="accent3"/>
            </a:solidFill>
            <a:ln>
              <a:noFill/>
            </a:ln>
            <a:effectLst/>
          </c:spPr>
          <c:invertIfNegative val="0"/>
          <c:cat>
            <c:strRef>
              <c:f>Sheet16!$A$5:$A$12</c:f>
              <c:strCache>
                <c:ptCount val="7"/>
                <c:pt idx="0">
                  <c:v>Finance</c:v>
                </c:pt>
                <c:pt idx="1">
                  <c:v>HR</c:v>
                </c:pt>
                <c:pt idx="2">
                  <c:v>IT</c:v>
                </c:pt>
                <c:pt idx="3">
                  <c:v>Marketing</c:v>
                </c:pt>
                <c:pt idx="4">
                  <c:v>Operations</c:v>
                </c:pt>
                <c:pt idx="5">
                  <c:v>Sales</c:v>
                </c:pt>
                <c:pt idx="6">
                  <c:v>(blank)</c:v>
                </c:pt>
              </c:strCache>
            </c:strRef>
          </c:cat>
          <c:val>
            <c:numRef>
              <c:f>Sheet16!$D$5:$D$12</c:f>
              <c:numCache>
                <c:formatCode>General</c:formatCode>
                <c:ptCount val="7"/>
              </c:numCache>
            </c:numRef>
          </c:val>
          <c:extLst>
            <c:ext xmlns:c16="http://schemas.microsoft.com/office/drawing/2014/chart" uri="{C3380CC4-5D6E-409C-BE32-E72D297353CC}">
              <c16:uniqueId val="{00000002-F278-404B-9325-B4FD9B72BD3A}"/>
            </c:ext>
          </c:extLst>
        </c:ser>
        <c:dLbls>
          <c:showLegendKey val="0"/>
          <c:showVal val="0"/>
          <c:showCatName val="0"/>
          <c:showSerName val="0"/>
          <c:showPercent val="0"/>
          <c:showBubbleSize val="0"/>
        </c:dLbls>
        <c:gapWidth val="219"/>
        <c:overlap val="-27"/>
        <c:axId val="1816682080"/>
        <c:axId val="1816685920"/>
      </c:barChart>
      <c:catAx>
        <c:axId val="1816682080"/>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685920"/>
        <c:crosses val="autoZero"/>
        <c:auto val="1"/>
        <c:lblAlgn val="ctr"/>
        <c:lblOffset val="100"/>
        <c:noMultiLvlLbl val="0"/>
      </c:catAx>
      <c:valAx>
        <c:axId val="1816685920"/>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68208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file.xlsx]Sheet7!PivotTable1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Sheet7!$B$3</c:f>
              <c:strCache>
                <c:ptCount val="1"/>
                <c:pt idx="0">
                  <c:v>Sum of ActualAmount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BarType val="both"/>
            <c:errValType val="stdErr"/>
            <c:noEndCap val="0"/>
            <c:spPr>
              <a:noFill/>
              <a:ln w="9525" cap="flat" cmpd="sng" algn="ctr">
                <a:solidFill>
                  <a:schemeClr val="tx1">
                    <a:lumMod val="65000"/>
                    <a:lumOff val="35000"/>
                  </a:schemeClr>
                </a:solidFill>
                <a:round/>
              </a:ln>
              <a:effectLst/>
            </c:spPr>
          </c:errBars>
          <c:cat>
            <c:strRef>
              <c:f>Sheet7!$A$4:$A$5</c:f>
              <c:strCache>
                <c:ptCount val="1"/>
                <c:pt idx="0">
                  <c:v>Sales Revenue</c:v>
                </c:pt>
              </c:strCache>
            </c:strRef>
          </c:cat>
          <c:val>
            <c:numRef>
              <c:f>Sheet7!$B$4:$B$5</c:f>
              <c:numCache>
                <c:formatCode>General</c:formatCode>
                <c:ptCount val="1"/>
                <c:pt idx="0">
                  <c:v>959134.0699999996</c:v>
                </c:pt>
              </c:numCache>
            </c:numRef>
          </c:val>
          <c:extLst>
            <c:ext xmlns:c16="http://schemas.microsoft.com/office/drawing/2014/chart" uri="{C3380CC4-5D6E-409C-BE32-E72D297353CC}">
              <c16:uniqueId val="{00000000-344C-44B1-8DEB-A43C3F2E5169}"/>
            </c:ext>
          </c:extLst>
        </c:ser>
        <c:ser>
          <c:idx val="1"/>
          <c:order val="1"/>
          <c:tx>
            <c:strRef>
              <c:f>Sheet7!$C$3</c:f>
              <c:strCache>
                <c:ptCount val="1"/>
                <c:pt idx="0">
                  <c:v>Sum of BudgetUSD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BarType val="both"/>
            <c:errValType val="stdErr"/>
            <c:noEndCap val="0"/>
            <c:spPr>
              <a:noFill/>
              <a:ln w="9525" cap="flat" cmpd="sng" algn="ctr">
                <a:solidFill>
                  <a:schemeClr val="tx1">
                    <a:lumMod val="65000"/>
                    <a:lumOff val="35000"/>
                  </a:schemeClr>
                </a:solidFill>
                <a:round/>
              </a:ln>
              <a:effectLst/>
            </c:spPr>
          </c:errBars>
          <c:cat>
            <c:strRef>
              <c:f>Sheet7!$A$4:$A$5</c:f>
              <c:strCache>
                <c:ptCount val="1"/>
                <c:pt idx="0">
                  <c:v>Sales Revenue</c:v>
                </c:pt>
              </c:strCache>
            </c:strRef>
          </c:cat>
          <c:val>
            <c:numRef>
              <c:f>Sheet7!$C$4:$C$5</c:f>
              <c:numCache>
                <c:formatCode>General</c:formatCode>
                <c:ptCount val="1"/>
                <c:pt idx="0">
                  <c:v>605236.97000000009</c:v>
                </c:pt>
              </c:numCache>
            </c:numRef>
          </c:val>
          <c:extLst>
            <c:ext xmlns:c16="http://schemas.microsoft.com/office/drawing/2014/chart" uri="{C3380CC4-5D6E-409C-BE32-E72D297353CC}">
              <c16:uniqueId val="{00000001-344C-44B1-8DEB-A43C3F2E5169}"/>
            </c:ext>
          </c:extLst>
        </c:ser>
        <c:dLbls>
          <c:dLblPos val="outEnd"/>
          <c:showLegendKey val="0"/>
          <c:showVal val="1"/>
          <c:showCatName val="0"/>
          <c:showSerName val="0"/>
          <c:showPercent val="0"/>
          <c:showBubbleSize val="0"/>
        </c:dLbls>
        <c:gapWidth val="182"/>
        <c:axId val="307329055"/>
        <c:axId val="307350175"/>
      </c:barChart>
      <c:catAx>
        <c:axId val="307329055"/>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350175"/>
        <c:crosses val="autoZero"/>
        <c:auto val="1"/>
        <c:lblAlgn val="ctr"/>
        <c:lblOffset val="100"/>
        <c:noMultiLvlLbl val="0"/>
      </c:catAx>
      <c:valAx>
        <c:axId val="307350175"/>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32905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file.xlsx]Sheet8!PivotTable2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c:f>
              <c:strCache>
                <c:ptCount val="1"/>
                <c:pt idx="0">
                  <c:v>Sum of ActualAmount</c:v>
                </c:pt>
              </c:strCache>
            </c:strRef>
          </c:tx>
          <c:spPr>
            <a:solidFill>
              <a:schemeClr val="accent1"/>
            </a:solidFill>
            <a:ln>
              <a:noFill/>
            </a:ln>
            <a:effectLst/>
          </c:spPr>
          <c:invertIfNegative val="0"/>
          <c:cat>
            <c:strRef>
              <c:f>Sheet8!$A$4:$A$11</c:f>
              <c:strCache>
                <c:ptCount val="7"/>
                <c:pt idx="0">
                  <c:v>Finance</c:v>
                </c:pt>
                <c:pt idx="1">
                  <c:v>HR</c:v>
                </c:pt>
                <c:pt idx="2">
                  <c:v>IT</c:v>
                </c:pt>
                <c:pt idx="3">
                  <c:v>Marketing</c:v>
                </c:pt>
                <c:pt idx="4">
                  <c:v>Operations</c:v>
                </c:pt>
                <c:pt idx="5">
                  <c:v>Sales</c:v>
                </c:pt>
                <c:pt idx="6">
                  <c:v>(blank)</c:v>
                </c:pt>
              </c:strCache>
            </c:strRef>
          </c:cat>
          <c:val>
            <c:numRef>
              <c:f>Sheet8!$B$4:$B$11</c:f>
              <c:numCache>
                <c:formatCode>General</c:formatCode>
                <c:ptCount val="7"/>
                <c:pt idx="0">
                  <c:v>162279.24000000019</c:v>
                </c:pt>
                <c:pt idx="1">
                  <c:v>93048.339999999924</c:v>
                </c:pt>
                <c:pt idx="2">
                  <c:v>122080.79</c:v>
                </c:pt>
                <c:pt idx="3">
                  <c:v>117831.01000000005</c:v>
                </c:pt>
                <c:pt idx="4">
                  <c:v>145631.91000000009</c:v>
                </c:pt>
                <c:pt idx="5">
                  <c:v>122170.16999999994</c:v>
                </c:pt>
              </c:numCache>
            </c:numRef>
          </c:val>
          <c:extLst>
            <c:ext xmlns:c16="http://schemas.microsoft.com/office/drawing/2014/chart" uri="{C3380CC4-5D6E-409C-BE32-E72D297353CC}">
              <c16:uniqueId val="{00000000-068E-48F3-A3C8-F5D6E386CCF8}"/>
            </c:ext>
          </c:extLst>
        </c:ser>
        <c:ser>
          <c:idx val="1"/>
          <c:order val="1"/>
          <c:tx>
            <c:strRef>
              <c:f>Sheet8!$C$3</c:f>
              <c:strCache>
                <c:ptCount val="1"/>
                <c:pt idx="0">
                  <c:v>Sum of BudgetUSD</c:v>
                </c:pt>
              </c:strCache>
            </c:strRef>
          </c:tx>
          <c:spPr>
            <a:solidFill>
              <a:schemeClr val="accent2"/>
            </a:solidFill>
            <a:ln>
              <a:noFill/>
            </a:ln>
            <a:effectLst/>
          </c:spPr>
          <c:invertIfNegative val="0"/>
          <c:cat>
            <c:strRef>
              <c:f>Sheet8!$A$4:$A$11</c:f>
              <c:strCache>
                <c:ptCount val="7"/>
                <c:pt idx="0">
                  <c:v>Finance</c:v>
                </c:pt>
                <c:pt idx="1">
                  <c:v>HR</c:v>
                </c:pt>
                <c:pt idx="2">
                  <c:v>IT</c:v>
                </c:pt>
                <c:pt idx="3">
                  <c:v>Marketing</c:v>
                </c:pt>
                <c:pt idx="4">
                  <c:v>Operations</c:v>
                </c:pt>
                <c:pt idx="5">
                  <c:v>Sales</c:v>
                </c:pt>
                <c:pt idx="6">
                  <c:v>(blank)</c:v>
                </c:pt>
              </c:strCache>
            </c:strRef>
          </c:cat>
          <c:val>
            <c:numRef>
              <c:f>Sheet8!$C$4:$C$11</c:f>
              <c:numCache>
                <c:formatCode>General</c:formatCode>
                <c:ptCount val="7"/>
                <c:pt idx="0">
                  <c:v>511246.83</c:v>
                </c:pt>
                <c:pt idx="1">
                  <c:v>529572.53</c:v>
                </c:pt>
                <c:pt idx="2">
                  <c:v>905062.79999999993</c:v>
                </c:pt>
                <c:pt idx="3">
                  <c:v>520459.03</c:v>
                </c:pt>
                <c:pt idx="4">
                  <c:v>328498.7</c:v>
                </c:pt>
                <c:pt idx="5">
                  <c:v>942045.12999999989</c:v>
                </c:pt>
              </c:numCache>
            </c:numRef>
          </c:val>
          <c:extLst>
            <c:ext xmlns:c16="http://schemas.microsoft.com/office/drawing/2014/chart" uri="{C3380CC4-5D6E-409C-BE32-E72D297353CC}">
              <c16:uniqueId val="{00000001-068E-48F3-A3C8-F5D6E386CCF8}"/>
            </c:ext>
          </c:extLst>
        </c:ser>
        <c:dLbls>
          <c:showLegendKey val="0"/>
          <c:showVal val="0"/>
          <c:showCatName val="0"/>
          <c:showSerName val="0"/>
          <c:showPercent val="0"/>
          <c:showBubbleSize val="0"/>
        </c:dLbls>
        <c:gapWidth val="219"/>
        <c:overlap val="-27"/>
        <c:axId val="307321375"/>
        <c:axId val="307321855"/>
      </c:barChart>
      <c:catAx>
        <c:axId val="307321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321855"/>
        <c:crosses val="autoZero"/>
        <c:auto val="1"/>
        <c:lblAlgn val="ctr"/>
        <c:lblOffset val="100"/>
        <c:noMultiLvlLbl val="0"/>
      </c:catAx>
      <c:valAx>
        <c:axId val="307321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32137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file.xlsx]Sheet9!PivotTable3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Sheet9!$A$3</c:f>
              <c:strCache>
                <c:ptCount val="1"/>
                <c:pt idx="0">
                  <c:v>Sum of ActualAmount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Sheet9!$A$4</c:f>
              <c:strCache>
                <c:ptCount val="1"/>
                <c:pt idx="0">
                  <c:v>Total</c:v>
                </c:pt>
              </c:strCache>
            </c:strRef>
          </c:cat>
          <c:val>
            <c:numRef>
              <c:f>Sheet9!$A$4</c:f>
              <c:numCache>
                <c:formatCode>General</c:formatCode>
                <c:ptCount val="1"/>
                <c:pt idx="0">
                  <c:v>763041.4599999981</c:v>
                </c:pt>
              </c:numCache>
            </c:numRef>
          </c:val>
          <c:extLst>
            <c:ext xmlns:c16="http://schemas.microsoft.com/office/drawing/2014/chart" uri="{C3380CC4-5D6E-409C-BE32-E72D297353CC}">
              <c16:uniqueId val="{00000000-FEED-4350-BC25-EE5653DA09F5}"/>
            </c:ext>
          </c:extLst>
        </c:ser>
        <c:ser>
          <c:idx val="1"/>
          <c:order val="1"/>
          <c:tx>
            <c:strRef>
              <c:f>Sheet9!$B$3</c:f>
              <c:strCache>
                <c:ptCount val="1"/>
                <c:pt idx="0">
                  <c:v>Sum of BudgetUSD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Sheet9!$A$4</c:f>
              <c:strCache>
                <c:ptCount val="1"/>
                <c:pt idx="0">
                  <c:v>Total</c:v>
                </c:pt>
              </c:strCache>
            </c:strRef>
          </c:cat>
          <c:val>
            <c:numRef>
              <c:f>Sheet9!$B$4</c:f>
              <c:numCache>
                <c:formatCode>General</c:formatCode>
                <c:ptCount val="1"/>
                <c:pt idx="0">
                  <c:v>3736885.0200000005</c:v>
                </c:pt>
              </c:numCache>
            </c:numRef>
          </c:val>
          <c:extLst>
            <c:ext xmlns:c16="http://schemas.microsoft.com/office/drawing/2014/chart" uri="{C3380CC4-5D6E-409C-BE32-E72D297353CC}">
              <c16:uniqueId val="{00000001-FEED-4350-BC25-EE5653DA09F5}"/>
            </c:ext>
          </c:extLst>
        </c:ser>
        <c:dLbls>
          <c:dLblPos val="outEnd"/>
          <c:showLegendKey val="0"/>
          <c:showVal val="1"/>
          <c:showCatName val="0"/>
          <c:showSerName val="0"/>
          <c:showPercent val="0"/>
          <c:showBubbleSize val="0"/>
        </c:dLbls>
        <c:gapWidth val="219"/>
        <c:overlap val="-27"/>
        <c:axId val="307304575"/>
        <c:axId val="307305055"/>
      </c:barChart>
      <c:catAx>
        <c:axId val="307304575"/>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305055"/>
        <c:crosses val="autoZero"/>
        <c:auto val="1"/>
        <c:lblAlgn val="ctr"/>
        <c:lblOffset val="100"/>
        <c:noMultiLvlLbl val="0"/>
      </c:catAx>
      <c:valAx>
        <c:axId val="307305055"/>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30457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file.xlsx]Sheet11!PivotTable4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Sheet11!$A$4:$A$11</c:f>
              <c:strCache>
                <c:ptCount val="7"/>
                <c:pt idx="0">
                  <c:v>Finance</c:v>
                </c:pt>
                <c:pt idx="1">
                  <c:v>HR</c:v>
                </c:pt>
                <c:pt idx="2">
                  <c:v>IT</c:v>
                </c:pt>
                <c:pt idx="3">
                  <c:v>Marketing</c:v>
                </c:pt>
                <c:pt idx="4">
                  <c:v>Operations</c:v>
                </c:pt>
                <c:pt idx="5">
                  <c:v>Sales</c:v>
                </c:pt>
                <c:pt idx="6">
                  <c:v>(blank)</c:v>
                </c:pt>
              </c:strCache>
            </c:strRef>
          </c:cat>
          <c:val>
            <c:numRef>
              <c:f>Sheet11!$B$4:$B$11</c:f>
              <c:numCache>
                <c:formatCode>General</c:formatCode>
                <c:ptCount val="7"/>
                <c:pt idx="0">
                  <c:v>-348967.58999999979</c:v>
                </c:pt>
                <c:pt idx="1">
                  <c:v>-436524.19000000012</c:v>
                </c:pt>
                <c:pt idx="2">
                  <c:v>-782982.00999999943</c:v>
                </c:pt>
                <c:pt idx="3">
                  <c:v>-402628.01999999973</c:v>
                </c:pt>
                <c:pt idx="4">
                  <c:v>-182866.79000000024</c:v>
                </c:pt>
                <c:pt idx="5">
                  <c:v>-819874.96000000101</c:v>
                </c:pt>
              </c:numCache>
            </c:numRef>
          </c:val>
          <c:extLst>
            <c:ext xmlns:c16="http://schemas.microsoft.com/office/drawing/2014/chart" uri="{C3380CC4-5D6E-409C-BE32-E72D297353CC}">
              <c16:uniqueId val="{00000000-3B93-472B-9FCC-FBCBD3FAFADC}"/>
            </c:ext>
          </c:extLst>
        </c:ser>
        <c:dLbls>
          <c:dLblPos val="outEnd"/>
          <c:showLegendKey val="0"/>
          <c:showVal val="1"/>
          <c:showCatName val="0"/>
          <c:showSerName val="0"/>
          <c:showPercent val="0"/>
          <c:showBubbleSize val="0"/>
        </c:dLbls>
        <c:gapWidth val="219"/>
        <c:overlap val="-27"/>
        <c:axId val="1816741600"/>
        <c:axId val="1816748320"/>
      </c:barChart>
      <c:catAx>
        <c:axId val="1816741600"/>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748320"/>
        <c:crosses val="autoZero"/>
        <c:auto val="1"/>
        <c:lblAlgn val="ctr"/>
        <c:lblOffset val="100"/>
        <c:noMultiLvlLbl val="0"/>
      </c:catAx>
      <c:valAx>
        <c:axId val="1816748320"/>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7416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file.xlsx]Sheet17!PivotTable7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Sheet17!$B$3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Sheet17!$A$4:$A$12</c:f>
              <c:multiLvlStrCache>
                <c:ptCount val="6"/>
                <c:lvl>
                  <c:pt idx="0">
                    <c:v>Finance</c:v>
                  </c:pt>
                  <c:pt idx="1">
                    <c:v>HR</c:v>
                  </c:pt>
                  <c:pt idx="2">
                    <c:v>IT</c:v>
                  </c:pt>
                  <c:pt idx="3">
                    <c:v>Marketing</c:v>
                  </c:pt>
                  <c:pt idx="4">
                    <c:v>Operations</c:v>
                  </c:pt>
                  <c:pt idx="5">
                    <c:v>Sales</c:v>
                  </c:pt>
                </c:lvl>
                <c:lvl>
                  <c:pt idx="0">
                    <c:v>Sales Revenue</c:v>
                  </c:pt>
                </c:lvl>
                <c:lvl>
                  <c:pt idx="0">
                    <c:v>4000</c:v>
                  </c:pt>
                </c:lvl>
              </c:multiLvlStrCache>
            </c:multiLvlStrRef>
          </c:cat>
          <c:val>
            <c:numRef>
              <c:f>Sheet17!$B$4:$B$12</c:f>
              <c:numCache>
                <c:formatCode>General</c:formatCode>
                <c:ptCount val="6"/>
                <c:pt idx="0">
                  <c:v>73</c:v>
                </c:pt>
                <c:pt idx="1">
                  <c:v>64</c:v>
                </c:pt>
                <c:pt idx="2">
                  <c:v>62</c:v>
                </c:pt>
                <c:pt idx="3">
                  <c:v>75</c:v>
                </c:pt>
                <c:pt idx="4">
                  <c:v>61</c:v>
                </c:pt>
                <c:pt idx="5">
                  <c:v>63</c:v>
                </c:pt>
              </c:numCache>
            </c:numRef>
          </c:val>
          <c:extLst>
            <c:ext xmlns:c16="http://schemas.microsoft.com/office/drawing/2014/chart" uri="{C3380CC4-5D6E-409C-BE32-E72D297353CC}">
              <c16:uniqueId val="{00000000-96BA-4F6C-81FC-72C6E9D75FB4}"/>
            </c:ext>
          </c:extLst>
        </c:ser>
        <c:dLbls>
          <c:dLblPos val="outEnd"/>
          <c:showLegendKey val="0"/>
          <c:showVal val="1"/>
          <c:showCatName val="0"/>
          <c:showSerName val="0"/>
          <c:showPercent val="0"/>
          <c:showBubbleSize val="0"/>
        </c:dLbls>
        <c:gapWidth val="219"/>
        <c:overlap val="-27"/>
        <c:axId val="369284624"/>
        <c:axId val="369285584"/>
      </c:barChart>
      <c:catAx>
        <c:axId val="369284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285584"/>
        <c:crosses val="autoZero"/>
        <c:auto val="1"/>
        <c:lblAlgn val="ctr"/>
        <c:lblOffset val="100"/>
        <c:noMultiLvlLbl val="0"/>
      </c:catAx>
      <c:valAx>
        <c:axId val="369285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2846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file.xlsx]Sheet20!PivotTable4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a:t>
            </a:r>
            <a:r>
              <a:rPr lang="en-US" baseline="0"/>
              <a:t> ACTUAL VS BUDGET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Sheet20!$A$3</c:f>
              <c:strCache>
                <c:ptCount val="1"/>
                <c:pt idx="0">
                  <c:v>Sum of ActualAmount</c:v>
                </c:pt>
              </c:strCache>
            </c:strRef>
          </c:tx>
          <c:spPr>
            <a:solidFill>
              <a:schemeClr val="accent1"/>
            </a:solidFill>
            <a:ln>
              <a:noFill/>
            </a:ln>
            <a:effectLst/>
          </c:spPr>
          <c:invertIfNegative val="0"/>
          <c:cat>
            <c:strRef>
              <c:f>Sheet20!$A$4</c:f>
              <c:strCache>
                <c:ptCount val="1"/>
                <c:pt idx="0">
                  <c:v>Total</c:v>
                </c:pt>
              </c:strCache>
            </c:strRef>
          </c:cat>
          <c:val>
            <c:numRef>
              <c:f>Sheet20!$A$4</c:f>
              <c:numCache>
                <c:formatCode>General</c:formatCode>
                <c:ptCount val="1"/>
                <c:pt idx="0">
                  <c:v>763041.4599999981</c:v>
                </c:pt>
              </c:numCache>
            </c:numRef>
          </c:val>
          <c:extLst>
            <c:ext xmlns:c16="http://schemas.microsoft.com/office/drawing/2014/chart" uri="{C3380CC4-5D6E-409C-BE32-E72D297353CC}">
              <c16:uniqueId val="{00000000-7849-43B9-876A-9F1F0798A756}"/>
            </c:ext>
          </c:extLst>
        </c:ser>
        <c:ser>
          <c:idx val="1"/>
          <c:order val="1"/>
          <c:tx>
            <c:strRef>
              <c:f>Sheet20!$B$3</c:f>
              <c:strCache>
                <c:ptCount val="1"/>
                <c:pt idx="0">
                  <c:v>Sum of BudgetUSD</c:v>
                </c:pt>
              </c:strCache>
            </c:strRef>
          </c:tx>
          <c:spPr>
            <a:solidFill>
              <a:schemeClr val="accent2"/>
            </a:solidFill>
            <a:ln>
              <a:noFill/>
            </a:ln>
            <a:effectLst/>
          </c:spPr>
          <c:invertIfNegative val="0"/>
          <c:cat>
            <c:strRef>
              <c:f>Sheet20!$A$4</c:f>
              <c:strCache>
                <c:ptCount val="1"/>
                <c:pt idx="0">
                  <c:v>Total</c:v>
                </c:pt>
              </c:strCache>
            </c:strRef>
          </c:cat>
          <c:val>
            <c:numRef>
              <c:f>Sheet20!$B$4</c:f>
              <c:numCache>
                <c:formatCode>General</c:formatCode>
                <c:ptCount val="1"/>
                <c:pt idx="0">
                  <c:v>3736885.0200000005</c:v>
                </c:pt>
              </c:numCache>
            </c:numRef>
          </c:val>
          <c:extLst>
            <c:ext xmlns:c16="http://schemas.microsoft.com/office/drawing/2014/chart" uri="{C3380CC4-5D6E-409C-BE32-E72D297353CC}">
              <c16:uniqueId val="{00000001-7849-43B9-876A-9F1F0798A756}"/>
            </c:ext>
          </c:extLst>
        </c:ser>
        <c:dLbls>
          <c:showLegendKey val="0"/>
          <c:showVal val="0"/>
          <c:showCatName val="0"/>
          <c:showSerName val="0"/>
          <c:showPercent val="0"/>
          <c:showBubbleSize val="0"/>
        </c:dLbls>
        <c:gapWidth val="219"/>
        <c:overlap val="-27"/>
        <c:axId val="196163071"/>
        <c:axId val="196161631"/>
      </c:barChart>
      <c:catAx>
        <c:axId val="196163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61631"/>
        <c:crosses val="autoZero"/>
        <c:auto val="1"/>
        <c:lblAlgn val="ctr"/>
        <c:lblOffset val="100"/>
        <c:noMultiLvlLbl val="0"/>
      </c:catAx>
      <c:valAx>
        <c:axId val="196161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630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file.xlsx]ac vs bu!PivotTable9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'ac vs bu'!$B$3</c:f>
              <c:strCache>
                <c:ptCount val="1"/>
                <c:pt idx="0">
                  <c:v>Sum of ActualAmount</c:v>
                </c:pt>
              </c:strCache>
            </c:strRef>
          </c:tx>
          <c:spPr>
            <a:solidFill>
              <a:schemeClr val="accent1"/>
            </a:solidFill>
            <a:ln>
              <a:noFill/>
            </a:ln>
            <a:effectLst/>
          </c:spPr>
          <c:invertIfNegative val="0"/>
          <c:cat>
            <c:strRef>
              <c:f>'ac vs bu'!$A$4:$A$11</c:f>
              <c:strCache>
                <c:ptCount val="7"/>
                <c:pt idx="0">
                  <c:v>Finance</c:v>
                </c:pt>
                <c:pt idx="1">
                  <c:v>HR</c:v>
                </c:pt>
                <c:pt idx="2">
                  <c:v>IT</c:v>
                </c:pt>
                <c:pt idx="3">
                  <c:v>Marketing</c:v>
                </c:pt>
                <c:pt idx="4">
                  <c:v>Operations</c:v>
                </c:pt>
                <c:pt idx="5">
                  <c:v>Sales</c:v>
                </c:pt>
                <c:pt idx="6">
                  <c:v>(blank)</c:v>
                </c:pt>
              </c:strCache>
            </c:strRef>
          </c:cat>
          <c:val>
            <c:numRef>
              <c:f>'ac vs bu'!$B$4:$B$11</c:f>
              <c:numCache>
                <c:formatCode>General</c:formatCode>
                <c:ptCount val="7"/>
                <c:pt idx="0">
                  <c:v>162279.24000000019</c:v>
                </c:pt>
                <c:pt idx="1">
                  <c:v>93048.339999999924</c:v>
                </c:pt>
                <c:pt idx="2">
                  <c:v>122080.79</c:v>
                </c:pt>
                <c:pt idx="3">
                  <c:v>117831.01000000005</c:v>
                </c:pt>
                <c:pt idx="4">
                  <c:v>145631.91000000009</c:v>
                </c:pt>
                <c:pt idx="5">
                  <c:v>122170.16999999994</c:v>
                </c:pt>
              </c:numCache>
            </c:numRef>
          </c:val>
          <c:extLst>
            <c:ext xmlns:c16="http://schemas.microsoft.com/office/drawing/2014/chart" uri="{C3380CC4-5D6E-409C-BE32-E72D297353CC}">
              <c16:uniqueId val="{00000000-5A2C-44D8-858F-3461BF745B10}"/>
            </c:ext>
          </c:extLst>
        </c:ser>
        <c:ser>
          <c:idx val="1"/>
          <c:order val="1"/>
          <c:tx>
            <c:strRef>
              <c:f>'ac vs bu'!$C$3</c:f>
              <c:strCache>
                <c:ptCount val="1"/>
                <c:pt idx="0">
                  <c:v>Sum of BudgetUSD</c:v>
                </c:pt>
              </c:strCache>
            </c:strRef>
          </c:tx>
          <c:spPr>
            <a:solidFill>
              <a:schemeClr val="accent2"/>
            </a:solidFill>
            <a:ln>
              <a:noFill/>
            </a:ln>
            <a:effectLst/>
          </c:spPr>
          <c:invertIfNegative val="0"/>
          <c:cat>
            <c:strRef>
              <c:f>'ac vs bu'!$A$4:$A$11</c:f>
              <c:strCache>
                <c:ptCount val="7"/>
                <c:pt idx="0">
                  <c:v>Finance</c:v>
                </c:pt>
                <c:pt idx="1">
                  <c:v>HR</c:v>
                </c:pt>
                <c:pt idx="2">
                  <c:v>IT</c:v>
                </c:pt>
                <c:pt idx="3">
                  <c:v>Marketing</c:v>
                </c:pt>
                <c:pt idx="4">
                  <c:v>Operations</c:v>
                </c:pt>
                <c:pt idx="5">
                  <c:v>Sales</c:v>
                </c:pt>
                <c:pt idx="6">
                  <c:v>(blank)</c:v>
                </c:pt>
              </c:strCache>
            </c:strRef>
          </c:cat>
          <c:val>
            <c:numRef>
              <c:f>'ac vs bu'!$C$4:$C$11</c:f>
              <c:numCache>
                <c:formatCode>General</c:formatCode>
                <c:ptCount val="7"/>
                <c:pt idx="0">
                  <c:v>511246.83</c:v>
                </c:pt>
                <c:pt idx="1">
                  <c:v>529572.53</c:v>
                </c:pt>
                <c:pt idx="2">
                  <c:v>905062.79999999993</c:v>
                </c:pt>
                <c:pt idx="3">
                  <c:v>520459.03</c:v>
                </c:pt>
                <c:pt idx="4">
                  <c:v>328498.7</c:v>
                </c:pt>
                <c:pt idx="5">
                  <c:v>942045.12999999989</c:v>
                </c:pt>
              </c:numCache>
            </c:numRef>
          </c:val>
          <c:extLst>
            <c:ext xmlns:c16="http://schemas.microsoft.com/office/drawing/2014/chart" uri="{C3380CC4-5D6E-409C-BE32-E72D297353CC}">
              <c16:uniqueId val="{00000001-5A2C-44D8-858F-3461BF745B10}"/>
            </c:ext>
          </c:extLst>
        </c:ser>
        <c:dLbls>
          <c:showLegendKey val="0"/>
          <c:showVal val="0"/>
          <c:showCatName val="0"/>
          <c:showSerName val="0"/>
          <c:showPercent val="0"/>
          <c:showBubbleSize val="0"/>
        </c:dLbls>
        <c:gapWidth val="219"/>
        <c:overlap val="-27"/>
        <c:axId val="1715753408"/>
        <c:axId val="1715754848"/>
      </c:barChart>
      <c:catAx>
        <c:axId val="171575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754848"/>
        <c:crosses val="autoZero"/>
        <c:auto val="1"/>
        <c:lblAlgn val="ctr"/>
        <c:lblOffset val="100"/>
        <c:noMultiLvlLbl val="0"/>
      </c:catAx>
      <c:valAx>
        <c:axId val="171575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753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file.xlsx]ac vs bu!PivotTable9</c:name>
    <c:fmtId val="3"/>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ACTUAL</a:t>
            </a:r>
            <a:r>
              <a:rPr lang="en-US" baseline="0"/>
              <a:t> VS BUDGET</a:t>
            </a:r>
            <a:endParaRPr lang="en-US"/>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77018821592722"/>
          <c:y val="4.3375821308288286E-2"/>
          <c:w val="0.80134726302609094"/>
          <c:h val="0.86720016493011343"/>
        </c:manualLayout>
      </c:layout>
      <c:barChart>
        <c:barDir val="bar"/>
        <c:grouping val="clustered"/>
        <c:varyColors val="0"/>
        <c:ser>
          <c:idx val="0"/>
          <c:order val="0"/>
          <c:tx>
            <c:strRef>
              <c:f>'ac vs bu'!$B$3</c:f>
              <c:strCache>
                <c:ptCount val="1"/>
                <c:pt idx="0">
                  <c:v>Sum of ActualAmount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'ac vs bu'!$A$4:$A$11</c:f>
              <c:strCache>
                <c:ptCount val="7"/>
                <c:pt idx="0">
                  <c:v>Finance</c:v>
                </c:pt>
                <c:pt idx="1">
                  <c:v>HR</c:v>
                </c:pt>
                <c:pt idx="2">
                  <c:v>IT</c:v>
                </c:pt>
                <c:pt idx="3">
                  <c:v>Marketing</c:v>
                </c:pt>
                <c:pt idx="4">
                  <c:v>Operations</c:v>
                </c:pt>
                <c:pt idx="5">
                  <c:v>Sales</c:v>
                </c:pt>
                <c:pt idx="6">
                  <c:v>(blank)</c:v>
                </c:pt>
              </c:strCache>
            </c:strRef>
          </c:cat>
          <c:val>
            <c:numRef>
              <c:f>'ac vs bu'!$B$4:$B$11</c:f>
              <c:numCache>
                <c:formatCode>General</c:formatCode>
                <c:ptCount val="7"/>
                <c:pt idx="0">
                  <c:v>162279.24000000019</c:v>
                </c:pt>
                <c:pt idx="1">
                  <c:v>93048.339999999924</c:v>
                </c:pt>
                <c:pt idx="2">
                  <c:v>122080.79</c:v>
                </c:pt>
                <c:pt idx="3">
                  <c:v>117831.01000000005</c:v>
                </c:pt>
                <c:pt idx="4">
                  <c:v>145631.91000000009</c:v>
                </c:pt>
                <c:pt idx="5">
                  <c:v>122170.16999999994</c:v>
                </c:pt>
              </c:numCache>
            </c:numRef>
          </c:val>
          <c:extLst>
            <c:ext xmlns:c16="http://schemas.microsoft.com/office/drawing/2014/chart" uri="{C3380CC4-5D6E-409C-BE32-E72D297353CC}">
              <c16:uniqueId val="{00000000-CC5B-404E-A334-6B2145805DBA}"/>
            </c:ext>
          </c:extLst>
        </c:ser>
        <c:ser>
          <c:idx val="1"/>
          <c:order val="1"/>
          <c:tx>
            <c:strRef>
              <c:f>'ac vs bu'!$C$3</c:f>
              <c:strCache>
                <c:ptCount val="1"/>
                <c:pt idx="0">
                  <c:v>Sum of BudgetUSD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'ac vs bu'!$A$4:$A$11</c:f>
              <c:strCache>
                <c:ptCount val="7"/>
                <c:pt idx="0">
                  <c:v>Finance</c:v>
                </c:pt>
                <c:pt idx="1">
                  <c:v>HR</c:v>
                </c:pt>
                <c:pt idx="2">
                  <c:v>IT</c:v>
                </c:pt>
                <c:pt idx="3">
                  <c:v>Marketing</c:v>
                </c:pt>
                <c:pt idx="4">
                  <c:v>Operations</c:v>
                </c:pt>
                <c:pt idx="5">
                  <c:v>Sales</c:v>
                </c:pt>
                <c:pt idx="6">
                  <c:v>(blank)</c:v>
                </c:pt>
              </c:strCache>
            </c:strRef>
          </c:cat>
          <c:val>
            <c:numRef>
              <c:f>'ac vs bu'!$C$4:$C$11</c:f>
              <c:numCache>
                <c:formatCode>General</c:formatCode>
                <c:ptCount val="7"/>
                <c:pt idx="0">
                  <c:v>511246.83</c:v>
                </c:pt>
                <c:pt idx="1">
                  <c:v>529572.53</c:v>
                </c:pt>
                <c:pt idx="2">
                  <c:v>905062.79999999993</c:v>
                </c:pt>
                <c:pt idx="3">
                  <c:v>520459.03</c:v>
                </c:pt>
                <c:pt idx="4">
                  <c:v>328498.7</c:v>
                </c:pt>
                <c:pt idx="5">
                  <c:v>942045.12999999989</c:v>
                </c:pt>
              </c:numCache>
            </c:numRef>
          </c:val>
          <c:extLst>
            <c:ext xmlns:c16="http://schemas.microsoft.com/office/drawing/2014/chart" uri="{C3380CC4-5D6E-409C-BE32-E72D297353CC}">
              <c16:uniqueId val="{00000001-CC5B-404E-A334-6B2145805DBA}"/>
            </c:ext>
          </c:extLst>
        </c:ser>
        <c:dLbls>
          <c:dLblPos val="outEnd"/>
          <c:showLegendKey val="0"/>
          <c:showVal val="1"/>
          <c:showCatName val="0"/>
          <c:showSerName val="0"/>
          <c:showPercent val="0"/>
          <c:showBubbleSize val="0"/>
        </c:dLbls>
        <c:gapWidth val="269"/>
        <c:overlap val="-50"/>
        <c:axId val="1763037088"/>
        <c:axId val="1763063488"/>
      </c:barChart>
      <c:catAx>
        <c:axId val="1763037088"/>
        <c:scaling>
          <c:orientation val="minMax"/>
        </c:scaling>
        <c:delete val="0"/>
        <c:axPos val="l"/>
        <c:title>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763063488"/>
        <c:crosses val="autoZero"/>
        <c:auto val="1"/>
        <c:lblAlgn val="ctr"/>
        <c:lblOffset val="100"/>
        <c:noMultiLvlLbl val="0"/>
      </c:catAx>
      <c:valAx>
        <c:axId val="1763063488"/>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037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file.xlsx]top cont to var!PivotTable10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cont to var'!$B$3</c:f>
              <c:strCache>
                <c:ptCount val="1"/>
                <c:pt idx="0">
                  <c:v>Total</c:v>
                </c:pt>
              </c:strCache>
            </c:strRef>
          </c:tx>
          <c:spPr>
            <a:solidFill>
              <a:schemeClr val="accent1"/>
            </a:solidFill>
            <a:ln>
              <a:noFill/>
            </a:ln>
            <a:effectLst/>
          </c:spPr>
          <c:invertIfNegative val="0"/>
          <c:cat>
            <c:strRef>
              <c:f>'top cont to var'!$A$4:$A$11</c:f>
              <c:strCache>
                <c:ptCount val="7"/>
                <c:pt idx="0">
                  <c:v>Finance</c:v>
                </c:pt>
                <c:pt idx="1">
                  <c:v>HR</c:v>
                </c:pt>
                <c:pt idx="2">
                  <c:v>IT</c:v>
                </c:pt>
                <c:pt idx="3">
                  <c:v>Marketing</c:v>
                </c:pt>
                <c:pt idx="4">
                  <c:v>Operations</c:v>
                </c:pt>
                <c:pt idx="5">
                  <c:v>Sales</c:v>
                </c:pt>
                <c:pt idx="6">
                  <c:v>(blank)</c:v>
                </c:pt>
              </c:strCache>
            </c:strRef>
          </c:cat>
          <c:val>
            <c:numRef>
              <c:f>'top cont to var'!$B$4:$B$11</c:f>
              <c:numCache>
                <c:formatCode>General</c:formatCode>
                <c:ptCount val="7"/>
                <c:pt idx="0">
                  <c:v>-348967.58999999979</c:v>
                </c:pt>
                <c:pt idx="1">
                  <c:v>-436524.19000000012</c:v>
                </c:pt>
                <c:pt idx="2">
                  <c:v>-782982.00999999943</c:v>
                </c:pt>
                <c:pt idx="3">
                  <c:v>-402628.01999999973</c:v>
                </c:pt>
                <c:pt idx="4">
                  <c:v>-182866.79000000024</c:v>
                </c:pt>
                <c:pt idx="5">
                  <c:v>-819874.96000000101</c:v>
                </c:pt>
              </c:numCache>
            </c:numRef>
          </c:val>
          <c:extLst>
            <c:ext xmlns:c16="http://schemas.microsoft.com/office/drawing/2014/chart" uri="{C3380CC4-5D6E-409C-BE32-E72D297353CC}">
              <c16:uniqueId val="{00000000-EE61-4C4E-97CD-589A7FA914D9}"/>
            </c:ext>
          </c:extLst>
        </c:ser>
        <c:dLbls>
          <c:showLegendKey val="0"/>
          <c:showVal val="0"/>
          <c:showCatName val="0"/>
          <c:showSerName val="0"/>
          <c:showPercent val="0"/>
          <c:showBubbleSize val="0"/>
        </c:dLbls>
        <c:gapWidth val="182"/>
        <c:axId val="888765872"/>
        <c:axId val="888784112"/>
      </c:barChart>
      <c:catAx>
        <c:axId val="888765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784112"/>
        <c:crosses val="autoZero"/>
        <c:auto val="1"/>
        <c:lblAlgn val="ctr"/>
        <c:lblOffset val="100"/>
        <c:noMultiLvlLbl val="0"/>
      </c:catAx>
      <c:valAx>
        <c:axId val="8887841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765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file.xlsx]top cont to var!PivotTable10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VARIANCE DRIVERS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cont to var'!$B$3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cont to var'!$A$4:$A$11</c:f>
              <c:strCache>
                <c:ptCount val="7"/>
                <c:pt idx="0">
                  <c:v>Finance</c:v>
                </c:pt>
                <c:pt idx="1">
                  <c:v>HR</c:v>
                </c:pt>
                <c:pt idx="2">
                  <c:v>IT</c:v>
                </c:pt>
                <c:pt idx="3">
                  <c:v>Marketing</c:v>
                </c:pt>
                <c:pt idx="4">
                  <c:v>Operations</c:v>
                </c:pt>
                <c:pt idx="5">
                  <c:v>Sales</c:v>
                </c:pt>
                <c:pt idx="6">
                  <c:v>(blank)</c:v>
                </c:pt>
              </c:strCache>
            </c:strRef>
          </c:cat>
          <c:val>
            <c:numRef>
              <c:f>'top cont to var'!$B$4:$B$11</c:f>
              <c:numCache>
                <c:formatCode>General</c:formatCode>
                <c:ptCount val="7"/>
                <c:pt idx="0">
                  <c:v>-348967.58999999979</c:v>
                </c:pt>
                <c:pt idx="1">
                  <c:v>-436524.19000000012</c:v>
                </c:pt>
                <c:pt idx="2">
                  <c:v>-782982.00999999943</c:v>
                </c:pt>
                <c:pt idx="3">
                  <c:v>-402628.01999999973</c:v>
                </c:pt>
                <c:pt idx="4">
                  <c:v>-182866.79000000024</c:v>
                </c:pt>
                <c:pt idx="5">
                  <c:v>-819874.96000000101</c:v>
                </c:pt>
              </c:numCache>
            </c:numRef>
          </c:val>
          <c:extLst>
            <c:ext xmlns:c16="http://schemas.microsoft.com/office/drawing/2014/chart" uri="{C3380CC4-5D6E-409C-BE32-E72D297353CC}">
              <c16:uniqueId val="{00000000-9953-454C-AA81-60279DF9F71A}"/>
            </c:ext>
          </c:extLst>
        </c:ser>
        <c:dLbls>
          <c:dLblPos val="outEnd"/>
          <c:showLegendKey val="0"/>
          <c:showVal val="1"/>
          <c:showCatName val="0"/>
          <c:showSerName val="0"/>
          <c:showPercent val="0"/>
          <c:showBubbleSize val="0"/>
        </c:dLbls>
        <c:gapWidth val="182"/>
        <c:axId val="1763084608"/>
        <c:axId val="1763074048"/>
      </c:barChart>
      <c:catAx>
        <c:axId val="1763084608"/>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074048"/>
        <c:crosses val="autoZero"/>
        <c:auto val="1"/>
        <c:lblAlgn val="ctr"/>
        <c:lblOffset val="100"/>
        <c:noMultiLvlLbl val="0"/>
      </c:catAx>
      <c:valAx>
        <c:axId val="1763074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0846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file.xlsx]mom trends!PivotTable11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'mom trends'!$B$3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'mom trends'!$A$4:$A$35</c:f>
              <c:strCache>
                <c:ptCount val="31"/>
                <c:pt idx="0">
                  <c:v>2023-01</c:v>
                </c:pt>
                <c:pt idx="1">
                  <c:v>2023-02</c:v>
                </c:pt>
                <c:pt idx="2">
                  <c:v>2023-03</c:v>
                </c:pt>
                <c:pt idx="3">
                  <c:v>2023-04</c:v>
                </c:pt>
                <c:pt idx="4">
                  <c:v>2023-05</c:v>
                </c:pt>
                <c:pt idx="5">
                  <c:v>2023-06</c:v>
                </c:pt>
                <c:pt idx="6">
                  <c:v>2023-07</c:v>
                </c:pt>
                <c:pt idx="7">
                  <c:v>2023-08</c:v>
                </c:pt>
                <c:pt idx="8">
                  <c:v>2023-09</c:v>
                </c:pt>
                <c:pt idx="9">
                  <c:v>2023-10</c:v>
                </c:pt>
                <c:pt idx="10">
                  <c:v>2023-11</c:v>
                </c:pt>
                <c:pt idx="11">
                  <c:v>2023-12</c:v>
                </c:pt>
                <c:pt idx="12">
                  <c:v>2024-01</c:v>
                </c:pt>
                <c:pt idx="13">
                  <c:v>2024-02</c:v>
                </c:pt>
                <c:pt idx="14">
                  <c:v>2024-03</c:v>
                </c:pt>
                <c:pt idx="15">
                  <c:v>2024-04</c:v>
                </c:pt>
                <c:pt idx="16">
                  <c:v>2024-05</c:v>
                </c:pt>
                <c:pt idx="17">
                  <c:v>2024-06</c:v>
                </c:pt>
                <c:pt idx="18">
                  <c:v>2024-07</c:v>
                </c:pt>
                <c:pt idx="19">
                  <c:v>2024-08</c:v>
                </c:pt>
                <c:pt idx="20">
                  <c:v>2024-09</c:v>
                </c:pt>
                <c:pt idx="21">
                  <c:v>2024-10</c:v>
                </c:pt>
                <c:pt idx="22">
                  <c:v>2024-11</c:v>
                </c:pt>
                <c:pt idx="23">
                  <c:v>2024-12</c:v>
                </c:pt>
                <c:pt idx="24">
                  <c:v>2025-01</c:v>
                </c:pt>
                <c:pt idx="25">
                  <c:v>2025-02</c:v>
                </c:pt>
                <c:pt idx="26">
                  <c:v>2025-03</c:v>
                </c:pt>
                <c:pt idx="27">
                  <c:v>2025-04</c:v>
                </c:pt>
                <c:pt idx="28">
                  <c:v>2025-05</c:v>
                </c:pt>
                <c:pt idx="29">
                  <c:v>2025-06</c:v>
                </c:pt>
                <c:pt idx="30">
                  <c:v>(blank)</c:v>
                </c:pt>
              </c:strCache>
            </c:strRef>
          </c:cat>
          <c:val>
            <c:numRef>
              <c:f>'mom trends'!$B$4:$B$35</c:f>
              <c:numCache>
                <c:formatCode>General</c:formatCode>
                <c:ptCount val="31"/>
                <c:pt idx="0">
                  <c:v>26757.070000000007</c:v>
                </c:pt>
                <c:pt idx="1">
                  <c:v>35857.68</c:v>
                </c:pt>
                <c:pt idx="2">
                  <c:v>29296.01</c:v>
                </c:pt>
                <c:pt idx="3">
                  <c:v>19230.650000000001</c:v>
                </c:pt>
                <c:pt idx="4">
                  <c:v>19307.009999999998</c:v>
                </c:pt>
                <c:pt idx="5">
                  <c:v>13928.019999999993</c:v>
                </c:pt>
                <c:pt idx="6">
                  <c:v>6660.7500000000009</c:v>
                </c:pt>
                <c:pt idx="7">
                  <c:v>34705.420000000013</c:v>
                </c:pt>
                <c:pt idx="8">
                  <c:v>13844.769999999999</c:v>
                </c:pt>
                <c:pt idx="9">
                  <c:v>37055.769999999982</c:v>
                </c:pt>
                <c:pt idx="10">
                  <c:v>47766.410000000011</c:v>
                </c:pt>
                <c:pt idx="11">
                  <c:v>44432.500000000007</c:v>
                </c:pt>
                <c:pt idx="12">
                  <c:v>33900.860000000022</c:v>
                </c:pt>
                <c:pt idx="13">
                  <c:v>23434.010000000002</c:v>
                </c:pt>
                <c:pt idx="14">
                  <c:v>46882.010000000017</c:v>
                </c:pt>
                <c:pt idx="15">
                  <c:v>25446.869999999995</c:v>
                </c:pt>
                <c:pt idx="16">
                  <c:v>37121.229999999996</c:v>
                </c:pt>
                <c:pt idx="17">
                  <c:v>33983.860000000008</c:v>
                </c:pt>
                <c:pt idx="18">
                  <c:v>27564.959999999992</c:v>
                </c:pt>
                <c:pt idx="19">
                  <c:v>5640.7099999999964</c:v>
                </c:pt>
                <c:pt idx="20">
                  <c:v>-4386.2900000000018</c:v>
                </c:pt>
                <c:pt idx="21">
                  <c:v>16848.449999999997</c:v>
                </c:pt>
                <c:pt idx="22">
                  <c:v>31330.440000000002</c:v>
                </c:pt>
                <c:pt idx="23">
                  <c:v>37417.929999999986</c:v>
                </c:pt>
                <c:pt idx="24">
                  <c:v>17331.819999999996</c:v>
                </c:pt>
                <c:pt idx="25">
                  <c:v>5260.46</c:v>
                </c:pt>
                <c:pt idx="26">
                  <c:v>33436.959999999999</c:v>
                </c:pt>
                <c:pt idx="27">
                  <c:v>10529.060000000001</c:v>
                </c:pt>
                <c:pt idx="28">
                  <c:v>35023.53</c:v>
                </c:pt>
                <c:pt idx="29">
                  <c:v>17432.529999999995</c:v>
                </c:pt>
              </c:numCache>
            </c:numRef>
          </c:val>
          <c:smooth val="0"/>
          <c:extLst>
            <c:ext xmlns:c16="http://schemas.microsoft.com/office/drawing/2014/chart" uri="{C3380CC4-5D6E-409C-BE32-E72D297353CC}">
              <c16:uniqueId val="{00000000-2EC6-4728-8B3A-1969FEE0F248}"/>
            </c:ext>
          </c:extLst>
        </c:ser>
        <c:dLbls>
          <c:dLblPos val="t"/>
          <c:showLegendKey val="0"/>
          <c:showVal val="1"/>
          <c:showCatName val="0"/>
          <c:showSerName val="0"/>
          <c:showPercent val="0"/>
          <c:showBubbleSize val="0"/>
        </c:dLbls>
        <c:smooth val="0"/>
        <c:axId val="768713936"/>
        <c:axId val="768710096"/>
      </c:lineChart>
      <c:catAx>
        <c:axId val="768713936"/>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710096"/>
        <c:crosses val="autoZero"/>
        <c:auto val="1"/>
        <c:lblAlgn val="ctr"/>
        <c:lblOffset val="100"/>
        <c:noMultiLvlLbl val="0"/>
      </c:catAx>
      <c:valAx>
        <c:axId val="768710096"/>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713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file.xlsx]mom trends!PivotTable11</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'mom trends'!$B$3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'mom trends'!$A$4:$A$35</c:f>
              <c:strCache>
                <c:ptCount val="31"/>
                <c:pt idx="0">
                  <c:v>2023-01</c:v>
                </c:pt>
                <c:pt idx="1">
                  <c:v>2023-02</c:v>
                </c:pt>
                <c:pt idx="2">
                  <c:v>2023-03</c:v>
                </c:pt>
                <c:pt idx="3">
                  <c:v>2023-04</c:v>
                </c:pt>
                <c:pt idx="4">
                  <c:v>2023-05</c:v>
                </c:pt>
                <c:pt idx="5">
                  <c:v>2023-06</c:v>
                </c:pt>
                <c:pt idx="6">
                  <c:v>2023-07</c:v>
                </c:pt>
                <c:pt idx="7">
                  <c:v>2023-08</c:v>
                </c:pt>
                <c:pt idx="8">
                  <c:v>2023-09</c:v>
                </c:pt>
                <c:pt idx="9">
                  <c:v>2023-10</c:v>
                </c:pt>
                <c:pt idx="10">
                  <c:v>2023-11</c:v>
                </c:pt>
                <c:pt idx="11">
                  <c:v>2023-12</c:v>
                </c:pt>
                <c:pt idx="12">
                  <c:v>2024-01</c:v>
                </c:pt>
                <c:pt idx="13">
                  <c:v>2024-02</c:v>
                </c:pt>
                <c:pt idx="14">
                  <c:v>2024-03</c:v>
                </c:pt>
                <c:pt idx="15">
                  <c:v>2024-04</c:v>
                </c:pt>
                <c:pt idx="16">
                  <c:v>2024-05</c:v>
                </c:pt>
                <c:pt idx="17">
                  <c:v>2024-06</c:v>
                </c:pt>
                <c:pt idx="18">
                  <c:v>2024-07</c:v>
                </c:pt>
                <c:pt idx="19">
                  <c:v>2024-08</c:v>
                </c:pt>
                <c:pt idx="20">
                  <c:v>2024-09</c:v>
                </c:pt>
                <c:pt idx="21">
                  <c:v>2024-10</c:v>
                </c:pt>
                <c:pt idx="22">
                  <c:v>2024-11</c:v>
                </c:pt>
                <c:pt idx="23">
                  <c:v>2024-12</c:v>
                </c:pt>
                <c:pt idx="24">
                  <c:v>2025-01</c:v>
                </c:pt>
                <c:pt idx="25">
                  <c:v>2025-02</c:v>
                </c:pt>
                <c:pt idx="26">
                  <c:v>2025-03</c:v>
                </c:pt>
                <c:pt idx="27">
                  <c:v>2025-04</c:v>
                </c:pt>
                <c:pt idx="28">
                  <c:v>2025-05</c:v>
                </c:pt>
                <c:pt idx="29">
                  <c:v>2025-06</c:v>
                </c:pt>
                <c:pt idx="30">
                  <c:v>(blank)</c:v>
                </c:pt>
              </c:strCache>
            </c:strRef>
          </c:cat>
          <c:val>
            <c:numRef>
              <c:f>'mom trends'!$B$4:$B$35</c:f>
              <c:numCache>
                <c:formatCode>General</c:formatCode>
                <c:ptCount val="31"/>
                <c:pt idx="0">
                  <c:v>26757.070000000007</c:v>
                </c:pt>
                <c:pt idx="1">
                  <c:v>35857.68</c:v>
                </c:pt>
                <c:pt idx="2">
                  <c:v>29296.01</c:v>
                </c:pt>
                <c:pt idx="3">
                  <c:v>19230.650000000001</c:v>
                </c:pt>
                <c:pt idx="4">
                  <c:v>19307.009999999998</c:v>
                </c:pt>
                <c:pt idx="5">
                  <c:v>13928.019999999993</c:v>
                </c:pt>
                <c:pt idx="6">
                  <c:v>6660.7500000000009</c:v>
                </c:pt>
                <c:pt idx="7">
                  <c:v>34705.420000000013</c:v>
                </c:pt>
                <c:pt idx="8">
                  <c:v>13844.769999999999</c:v>
                </c:pt>
                <c:pt idx="9">
                  <c:v>37055.769999999982</c:v>
                </c:pt>
                <c:pt idx="10">
                  <c:v>47766.410000000011</c:v>
                </c:pt>
                <c:pt idx="11">
                  <c:v>44432.500000000007</c:v>
                </c:pt>
                <c:pt idx="12">
                  <c:v>33900.860000000022</c:v>
                </c:pt>
                <c:pt idx="13">
                  <c:v>23434.010000000002</c:v>
                </c:pt>
                <c:pt idx="14">
                  <c:v>46882.010000000017</c:v>
                </c:pt>
                <c:pt idx="15">
                  <c:v>25446.869999999995</c:v>
                </c:pt>
                <c:pt idx="16">
                  <c:v>37121.229999999996</c:v>
                </c:pt>
                <c:pt idx="17">
                  <c:v>33983.860000000008</c:v>
                </c:pt>
                <c:pt idx="18">
                  <c:v>27564.959999999992</c:v>
                </c:pt>
                <c:pt idx="19">
                  <c:v>5640.7099999999964</c:v>
                </c:pt>
                <c:pt idx="20">
                  <c:v>-4386.2900000000018</c:v>
                </c:pt>
                <c:pt idx="21">
                  <c:v>16848.449999999997</c:v>
                </c:pt>
                <c:pt idx="22">
                  <c:v>31330.440000000002</c:v>
                </c:pt>
                <c:pt idx="23">
                  <c:v>37417.929999999986</c:v>
                </c:pt>
                <c:pt idx="24">
                  <c:v>17331.819999999996</c:v>
                </c:pt>
                <c:pt idx="25">
                  <c:v>5260.46</c:v>
                </c:pt>
                <c:pt idx="26">
                  <c:v>33436.959999999999</c:v>
                </c:pt>
                <c:pt idx="27">
                  <c:v>10529.060000000001</c:v>
                </c:pt>
                <c:pt idx="28">
                  <c:v>35023.53</c:v>
                </c:pt>
                <c:pt idx="29">
                  <c:v>17432.529999999995</c:v>
                </c:pt>
              </c:numCache>
            </c:numRef>
          </c:val>
          <c:extLst>
            <c:ext xmlns:c16="http://schemas.microsoft.com/office/drawing/2014/chart" uri="{C3380CC4-5D6E-409C-BE32-E72D297353CC}">
              <c16:uniqueId val="{00000000-FD50-4A69-B6A8-34D542FD9CF5}"/>
            </c:ext>
          </c:extLst>
        </c:ser>
        <c:dLbls>
          <c:dLblPos val="outEnd"/>
          <c:showLegendKey val="0"/>
          <c:showVal val="1"/>
          <c:showCatName val="0"/>
          <c:showSerName val="0"/>
          <c:showPercent val="0"/>
          <c:showBubbleSize val="0"/>
        </c:dLbls>
        <c:gapWidth val="182"/>
        <c:axId val="1060749680"/>
        <c:axId val="1060750640"/>
      </c:barChart>
      <c:catAx>
        <c:axId val="1060749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750640"/>
        <c:crosses val="autoZero"/>
        <c:auto val="1"/>
        <c:lblAlgn val="ctr"/>
        <c:lblOffset val="100"/>
        <c:noMultiLvlLbl val="0"/>
      </c:catAx>
      <c:valAx>
        <c:axId val="1060750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74968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file.xlsx]performance!PivotTable12</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PERFORMANCE</a:t>
            </a:r>
            <a:r>
              <a:rPr lang="en-US" baseline="0"/>
              <a:t> CLASSIFICATION</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performance!$B$3:$B$4</c:f>
              <c:strCache>
                <c:ptCount val="1"/>
                <c:pt idx="0">
                  <c:v>Favorable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performance!$A$5:$A$12</c:f>
              <c:strCache>
                <c:ptCount val="7"/>
                <c:pt idx="0">
                  <c:v>Finance</c:v>
                </c:pt>
                <c:pt idx="1">
                  <c:v>HR</c:v>
                </c:pt>
                <c:pt idx="2">
                  <c:v>IT</c:v>
                </c:pt>
                <c:pt idx="3">
                  <c:v>Marketing</c:v>
                </c:pt>
                <c:pt idx="4">
                  <c:v>Operations</c:v>
                </c:pt>
                <c:pt idx="5">
                  <c:v>Sales</c:v>
                </c:pt>
                <c:pt idx="6">
                  <c:v>(blank)</c:v>
                </c:pt>
              </c:strCache>
            </c:strRef>
          </c:cat>
          <c:val>
            <c:numRef>
              <c:f>performance!$B$5:$B$12</c:f>
              <c:numCache>
                <c:formatCode>General</c:formatCode>
                <c:ptCount val="7"/>
                <c:pt idx="0">
                  <c:v>145</c:v>
                </c:pt>
                <c:pt idx="1">
                  <c:v>128</c:v>
                </c:pt>
                <c:pt idx="2">
                  <c:v>122</c:v>
                </c:pt>
                <c:pt idx="3">
                  <c:v>123</c:v>
                </c:pt>
                <c:pt idx="4">
                  <c:v>132</c:v>
                </c:pt>
                <c:pt idx="5">
                  <c:v>131</c:v>
                </c:pt>
              </c:numCache>
            </c:numRef>
          </c:val>
          <c:extLst>
            <c:ext xmlns:c16="http://schemas.microsoft.com/office/drawing/2014/chart" uri="{C3380CC4-5D6E-409C-BE32-E72D297353CC}">
              <c16:uniqueId val="{00000000-03EF-4DA2-84FD-137882845BA5}"/>
            </c:ext>
          </c:extLst>
        </c:ser>
        <c:ser>
          <c:idx val="1"/>
          <c:order val="1"/>
          <c:tx>
            <c:strRef>
              <c:f>performance!$C$3:$C$4</c:f>
              <c:strCache>
                <c:ptCount val="1"/>
                <c:pt idx="0">
                  <c:v>Unfavorable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performance!$A$5:$A$12</c:f>
              <c:strCache>
                <c:ptCount val="7"/>
                <c:pt idx="0">
                  <c:v>Finance</c:v>
                </c:pt>
                <c:pt idx="1">
                  <c:v>HR</c:v>
                </c:pt>
                <c:pt idx="2">
                  <c:v>IT</c:v>
                </c:pt>
                <c:pt idx="3">
                  <c:v>Marketing</c:v>
                </c:pt>
                <c:pt idx="4">
                  <c:v>Operations</c:v>
                </c:pt>
                <c:pt idx="5">
                  <c:v>Sales</c:v>
                </c:pt>
                <c:pt idx="6">
                  <c:v>(blank)</c:v>
                </c:pt>
              </c:strCache>
            </c:strRef>
          </c:cat>
          <c:val>
            <c:numRef>
              <c:f>performance!$C$5:$C$12</c:f>
              <c:numCache>
                <c:formatCode>General</c:formatCode>
                <c:ptCount val="7"/>
                <c:pt idx="0">
                  <c:v>198</c:v>
                </c:pt>
                <c:pt idx="1">
                  <c:v>222</c:v>
                </c:pt>
                <c:pt idx="2">
                  <c:v>195</c:v>
                </c:pt>
                <c:pt idx="3">
                  <c:v>215</c:v>
                </c:pt>
                <c:pt idx="4">
                  <c:v>183</c:v>
                </c:pt>
                <c:pt idx="5">
                  <c:v>202</c:v>
                </c:pt>
              </c:numCache>
            </c:numRef>
          </c:val>
          <c:extLst>
            <c:ext xmlns:c16="http://schemas.microsoft.com/office/drawing/2014/chart" uri="{C3380CC4-5D6E-409C-BE32-E72D297353CC}">
              <c16:uniqueId val="{00000007-27B2-4186-85AA-84CBA44E92CE}"/>
            </c:ext>
          </c:extLst>
        </c:ser>
        <c:ser>
          <c:idx val="2"/>
          <c:order val="2"/>
          <c:tx>
            <c:strRef>
              <c:f>performance!$D$3:$D$4</c:f>
              <c:strCache>
                <c:ptCount val="1"/>
                <c:pt idx="0">
                  <c:v>(blank)</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performance!$A$5:$A$12</c:f>
              <c:strCache>
                <c:ptCount val="7"/>
                <c:pt idx="0">
                  <c:v>Finance</c:v>
                </c:pt>
                <c:pt idx="1">
                  <c:v>HR</c:v>
                </c:pt>
                <c:pt idx="2">
                  <c:v>IT</c:v>
                </c:pt>
                <c:pt idx="3">
                  <c:v>Marketing</c:v>
                </c:pt>
                <c:pt idx="4">
                  <c:v>Operations</c:v>
                </c:pt>
                <c:pt idx="5">
                  <c:v>Sales</c:v>
                </c:pt>
                <c:pt idx="6">
                  <c:v>(blank)</c:v>
                </c:pt>
              </c:strCache>
            </c:strRef>
          </c:cat>
          <c:val>
            <c:numRef>
              <c:f>performance!$D$5:$D$12</c:f>
              <c:numCache>
                <c:formatCode>General</c:formatCode>
                <c:ptCount val="7"/>
              </c:numCache>
            </c:numRef>
          </c:val>
          <c:extLst>
            <c:ext xmlns:c16="http://schemas.microsoft.com/office/drawing/2014/chart" uri="{C3380CC4-5D6E-409C-BE32-E72D297353CC}">
              <c16:uniqueId val="{00000008-27B2-4186-85AA-84CBA44E92CE}"/>
            </c:ext>
          </c:extLst>
        </c:ser>
        <c:dLbls>
          <c:dLblPos val="ctr"/>
          <c:showLegendKey val="0"/>
          <c:showVal val="1"/>
          <c:showCatName val="0"/>
          <c:showSerName val="0"/>
          <c:showPercent val="0"/>
          <c:showBubbleSize val="0"/>
        </c:dLbls>
        <c:gapWidth val="79"/>
        <c:overlap val="100"/>
        <c:axId val="1101609952"/>
        <c:axId val="1101607072"/>
      </c:barChart>
      <c:catAx>
        <c:axId val="1101609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101607072"/>
        <c:crosses val="autoZero"/>
        <c:auto val="1"/>
        <c:lblAlgn val="ctr"/>
        <c:lblOffset val="100"/>
        <c:noMultiLvlLbl val="0"/>
      </c:catAx>
      <c:valAx>
        <c:axId val="1101607072"/>
        <c:scaling>
          <c:orientation val="minMax"/>
        </c:scaling>
        <c:delete val="1"/>
        <c:axPos val="l"/>
        <c:numFmt formatCode="General" sourceLinked="1"/>
        <c:majorTickMark val="none"/>
        <c:minorTickMark val="none"/>
        <c:tickLblPos val="nextTo"/>
        <c:crossAx val="1101609952"/>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file.xlsx]ac vs bu!PivotTable9</c:name>
    <c:fmtId val="2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ACTUAL</a:t>
            </a:r>
            <a:r>
              <a:rPr lang="en-US" baseline="0"/>
              <a:t> VS BUDGET</a:t>
            </a:r>
            <a:endParaRPr lang="en-US"/>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'ac vs bu'!$B$3</c:f>
              <c:strCache>
                <c:ptCount val="1"/>
                <c:pt idx="0">
                  <c:v>Sum of ActualAmount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'ac vs bu'!$A$4:$A$11</c:f>
              <c:strCache>
                <c:ptCount val="7"/>
                <c:pt idx="0">
                  <c:v>Finance</c:v>
                </c:pt>
                <c:pt idx="1">
                  <c:v>HR</c:v>
                </c:pt>
                <c:pt idx="2">
                  <c:v>IT</c:v>
                </c:pt>
                <c:pt idx="3">
                  <c:v>Marketing</c:v>
                </c:pt>
                <c:pt idx="4">
                  <c:v>Operations</c:v>
                </c:pt>
                <c:pt idx="5">
                  <c:v>Sales</c:v>
                </c:pt>
                <c:pt idx="6">
                  <c:v>(blank)</c:v>
                </c:pt>
              </c:strCache>
            </c:strRef>
          </c:cat>
          <c:val>
            <c:numRef>
              <c:f>'ac vs bu'!$B$4:$B$11</c:f>
              <c:numCache>
                <c:formatCode>General</c:formatCode>
                <c:ptCount val="7"/>
                <c:pt idx="0">
                  <c:v>162279.24000000019</c:v>
                </c:pt>
                <c:pt idx="1">
                  <c:v>93048.339999999924</c:v>
                </c:pt>
                <c:pt idx="2">
                  <c:v>122080.79</c:v>
                </c:pt>
                <c:pt idx="3">
                  <c:v>117831.01000000005</c:v>
                </c:pt>
                <c:pt idx="4">
                  <c:v>145631.91000000009</c:v>
                </c:pt>
                <c:pt idx="5">
                  <c:v>122170.16999999994</c:v>
                </c:pt>
              </c:numCache>
            </c:numRef>
          </c:val>
          <c:extLst>
            <c:ext xmlns:c16="http://schemas.microsoft.com/office/drawing/2014/chart" uri="{C3380CC4-5D6E-409C-BE32-E72D297353CC}">
              <c16:uniqueId val="{00000000-A5AA-43A2-9B7C-9DC82B37E593}"/>
            </c:ext>
          </c:extLst>
        </c:ser>
        <c:ser>
          <c:idx val="1"/>
          <c:order val="1"/>
          <c:tx>
            <c:strRef>
              <c:f>'ac vs bu'!$C$3</c:f>
              <c:strCache>
                <c:ptCount val="1"/>
                <c:pt idx="0">
                  <c:v>Sum of BudgetUSD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'ac vs bu'!$A$4:$A$11</c:f>
              <c:strCache>
                <c:ptCount val="7"/>
                <c:pt idx="0">
                  <c:v>Finance</c:v>
                </c:pt>
                <c:pt idx="1">
                  <c:v>HR</c:v>
                </c:pt>
                <c:pt idx="2">
                  <c:v>IT</c:v>
                </c:pt>
                <c:pt idx="3">
                  <c:v>Marketing</c:v>
                </c:pt>
                <c:pt idx="4">
                  <c:v>Operations</c:v>
                </c:pt>
                <c:pt idx="5">
                  <c:v>Sales</c:v>
                </c:pt>
                <c:pt idx="6">
                  <c:v>(blank)</c:v>
                </c:pt>
              </c:strCache>
            </c:strRef>
          </c:cat>
          <c:val>
            <c:numRef>
              <c:f>'ac vs bu'!$C$4:$C$11</c:f>
              <c:numCache>
                <c:formatCode>General</c:formatCode>
                <c:ptCount val="7"/>
                <c:pt idx="0">
                  <c:v>511246.83</c:v>
                </c:pt>
                <c:pt idx="1">
                  <c:v>529572.53</c:v>
                </c:pt>
                <c:pt idx="2">
                  <c:v>905062.79999999993</c:v>
                </c:pt>
                <c:pt idx="3">
                  <c:v>520459.03</c:v>
                </c:pt>
                <c:pt idx="4">
                  <c:v>328498.7</c:v>
                </c:pt>
                <c:pt idx="5">
                  <c:v>942045.12999999989</c:v>
                </c:pt>
              </c:numCache>
            </c:numRef>
          </c:val>
          <c:extLst>
            <c:ext xmlns:c16="http://schemas.microsoft.com/office/drawing/2014/chart" uri="{C3380CC4-5D6E-409C-BE32-E72D297353CC}">
              <c16:uniqueId val="{00000001-A5AA-43A2-9B7C-9DC82B37E593}"/>
            </c:ext>
          </c:extLst>
        </c:ser>
        <c:dLbls>
          <c:dLblPos val="outEnd"/>
          <c:showLegendKey val="0"/>
          <c:showVal val="1"/>
          <c:showCatName val="0"/>
          <c:showSerName val="0"/>
          <c:showPercent val="0"/>
          <c:showBubbleSize val="0"/>
        </c:dLbls>
        <c:gapWidth val="269"/>
        <c:overlap val="-50"/>
        <c:axId val="1763037088"/>
        <c:axId val="1763063488"/>
      </c:barChart>
      <c:catAx>
        <c:axId val="1763037088"/>
        <c:scaling>
          <c:orientation val="minMax"/>
        </c:scaling>
        <c:delete val="0"/>
        <c:axPos val="l"/>
        <c:title>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763063488"/>
        <c:crosses val="autoZero"/>
        <c:auto val="1"/>
        <c:lblAlgn val="ctr"/>
        <c:lblOffset val="100"/>
        <c:noMultiLvlLbl val="0"/>
      </c:catAx>
      <c:valAx>
        <c:axId val="1763063488"/>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037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file.xlsx]top cont to var!PivotTable10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VARIANCE DRIVERS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cont to var'!$B$3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cont to var'!$A$4:$A$11</c:f>
              <c:strCache>
                <c:ptCount val="7"/>
                <c:pt idx="0">
                  <c:v>Finance</c:v>
                </c:pt>
                <c:pt idx="1">
                  <c:v>HR</c:v>
                </c:pt>
                <c:pt idx="2">
                  <c:v>IT</c:v>
                </c:pt>
                <c:pt idx="3">
                  <c:v>Marketing</c:v>
                </c:pt>
                <c:pt idx="4">
                  <c:v>Operations</c:v>
                </c:pt>
                <c:pt idx="5">
                  <c:v>Sales</c:v>
                </c:pt>
                <c:pt idx="6">
                  <c:v>(blank)</c:v>
                </c:pt>
              </c:strCache>
            </c:strRef>
          </c:cat>
          <c:val>
            <c:numRef>
              <c:f>'top cont to var'!$B$4:$B$11</c:f>
              <c:numCache>
                <c:formatCode>General</c:formatCode>
                <c:ptCount val="7"/>
                <c:pt idx="0">
                  <c:v>-348967.58999999979</c:v>
                </c:pt>
                <c:pt idx="1">
                  <c:v>-436524.19000000012</c:v>
                </c:pt>
                <c:pt idx="2">
                  <c:v>-782982.00999999943</c:v>
                </c:pt>
                <c:pt idx="3">
                  <c:v>-402628.01999999973</c:v>
                </c:pt>
                <c:pt idx="4">
                  <c:v>-182866.79000000024</c:v>
                </c:pt>
                <c:pt idx="5">
                  <c:v>-819874.96000000101</c:v>
                </c:pt>
              </c:numCache>
            </c:numRef>
          </c:val>
          <c:extLst>
            <c:ext xmlns:c16="http://schemas.microsoft.com/office/drawing/2014/chart" uri="{C3380CC4-5D6E-409C-BE32-E72D297353CC}">
              <c16:uniqueId val="{00000000-F57D-4D0B-9D21-68A1289D9190}"/>
            </c:ext>
          </c:extLst>
        </c:ser>
        <c:dLbls>
          <c:dLblPos val="outEnd"/>
          <c:showLegendKey val="0"/>
          <c:showVal val="1"/>
          <c:showCatName val="0"/>
          <c:showSerName val="0"/>
          <c:showPercent val="0"/>
          <c:showBubbleSize val="0"/>
        </c:dLbls>
        <c:gapWidth val="182"/>
        <c:axId val="1763084608"/>
        <c:axId val="1763074048"/>
      </c:barChart>
      <c:catAx>
        <c:axId val="1763084608"/>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074048"/>
        <c:crosses val="autoZero"/>
        <c:auto val="1"/>
        <c:lblAlgn val="ctr"/>
        <c:lblOffset val="100"/>
        <c:noMultiLvlLbl val="0"/>
      </c:catAx>
      <c:valAx>
        <c:axId val="1763074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0846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file.xlsx]mom trends!PivotTable11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'mom trends'!$B$3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'mom trends'!$A$4:$A$35</c:f>
              <c:strCache>
                <c:ptCount val="31"/>
                <c:pt idx="0">
                  <c:v>2023-01</c:v>
                </c:pt>
                <c:pt idx="1">
                  <c:v>2023-02</c:v>
                </c:pt>
                <c:pt idx="2">
                  <c:v>2023-03</c:v>
                </c:pt>
                <c:pt idx="3">
                  <c:v>2023-04</c:v>
                </c:pt>
                <c:pt idx="4">
                  <c:v>2023-05</c:v>
                </c:pt>
                <c:pt idx="5">
                  <c:v>2023-06</c:v>
                </c:pt>
                <c:pt idx="6">
                  <c:v>2023-07</c:v>
                </c:pt>
                <c:pt idx="7">
                  <c:v>2023-08</c:v>
                </c:pt>
                <c:pt idx="8">
                  <c:v>2023-09</c:v>
                </c:pt>
                <c:pt idx="9">
                  <c:v>2023-10</c:v>
                </c:pt>
                <c:pt idx="10">
                  <c:v>2023-11</c:v>
                </c:pt>
                <c:pt idx="11">
                  <c:v>2023-12</c:v>
                </c:pt>
                <c:pt idx="12">
                  <c:v>2024-01</c:v>
                </c:pt>
                <c:pt idx="13">
                  <c:v>2024-02</c:v>
                </c:pt>
                <c:pt idx="14">
                  <c:v>2024-03</c:v>
                </c:pt>
                <c:pt idx="15">
                  <c:v>2024-04</c:v>
                </c:pt>
                <c:pt idx="16">
                  <c:v>2024-05</c:v>
                </c:pt>
                <c:pt idx="17">
                  <c:v>2024-06</c:v>
                </c:pt>
                <c:pt idx="18">
                  <c:v>2024-07</c:v>
                </c:pt>
                <c:pt idx="19">
                  <c:v>2024-08</c:v>
                </c:pt>
                <c:pt idx="20">
                  <c:v>2024-09</c:v>
                </c:pt>
                <c:pt idx="21">
                  <c:v>2024-10</c:v>
                </c:pt>
                <c:pt idx="22">
                  <c:v>2024-11</c:v>
                </c:pt>
                <c:pt idx="23">
                  <c:v>2024-12</c:v>
                </c:pt>
                <c:pt idx="24">
                  <c:v>2025-01</c:v>
                </c:pt>
                <c:pt idx="25">
                  <c:v>2025-02</c:v>
                </c:pt>
                <c:pt idx="26">
                  <c:v>2025-03</c:v>
                </c:pt>
                <c:pt idx="27">
                  <c:v>2025-04</c:v>
                </c:pt>
                <c:pt idx="28">
                  <c:v>2025-05</c:v>
                </c:pt>
                <c:pt idx="29">
                  <c:v>2025-06</c:v>
                </c:pt>
                <c:pt idx="30">
                  <c:v>(blank)</c:v>
                </c:pt>
              </c:strCache>
            </c:strRef>
          </c:cat>
          <c:val>
            <c:numRef>
              <c:f>'mom trends'!$B$4:$B$35</c:f>
              <c:numCache>
                <c:formatCode>General</c:formatCode>
                <c:ptCount val="31"/>
                <c:pt idx="0">
                  <c:v>26757.070000000007</c:v>
                </c:pt>
                <c:pt idx="1">
                  <c:v>35857.68</c:v>
                </c:pt>
                <c:pt idx="2">
                  <c:v>29296.01</c:v>
                </c:pt>
                <c:pt idx="3">
                  <c:v>19230.650000000001</c:v>
                </c:pt>
                <c:pt idx="4">
                  <c:v>19307.009999999998</c:v>
                </c:pt>
                <c:pt idx="5">
                  <c:v>13928.019999999993</c:v>
                </c:pt>
                <c:pt idx="6">
                  <c:v>6660.7500000000009</c:v>
                </c:pt>
                <c:pt idx="7">
                  <c:v>34705.420000000013</c:v>
                </c:pt>
                <c:pt idx="8">
                  <c:v>13844.769999999999</c:v>
                </c:pt>
                <c:pt idx="9">
                  <c:v>37055.769999999982</c:v>
                </c:pt>
                <c:pt idx="10">
                  <c:v>47766.410000000011</c:v>
                </c:pt>
                <c:pt idx="11">
                  <c:v>44432.500000000007</c:v>
                </c:pt>
                <c:pt idx="12">
                  <c:v>33900.860000000022</c:v>
                </c:pt>
                <c:pt idx="13">
                  <c:v>23434.010000000002</c:v>
                </c:pt>
                <c:pt idx="14">
                  <c:v>46882.010000000017</c:v>
                </c:pt>
                <c:pt idx="15">
                  <c:v>25446.869999999995</c:v>
                </c:pt>
                <c:pt idx="16">
                  <c:v>37121.229999999996</c:v>
                </c:pt>
                <c:pt idx="17">
                  <c:v>33983.860000000008</c:v>
                </c:pt>
                <c:pt idx="18">
                  <c:v>27564.959999999992</c:v>
                </c:pt>
                <c:pt idx="19">
                  <c:v>5640.7099999999964</c:v>
                </c:pt>
                <c:pt idx="20">
                  <c:v>-4386.2900000000018</c:v>
                </c:pt>
                <c:pt idx="21">
                  <c:v>16848.449999999997</c:v>
                </c:pt>
                <c:pt idx="22">
                  <c:v>31330.440000000002</c:v>
                </c:pt>
                <c:pt idx="23">
                  <c:v>37417.929999999986</c:v>
                </c:pt>
                <c:pt idx="24">
                  <c:v>17331.819999999996</c:v>
                </c:pt>
                <c:pt idx="25">
                  <c:v>5260.46</c:v>
                </c:pt>
                <c:pt idx="26">
                  <c:v>33436.959999999999</c:v>
                </c:pt>
                <c:pt idx="27">
                  <c:v>10529.060000000001</c:v>
                </c:pt>
                <c:pt idx="28">
                  <c:v>35023.53</c:v>
                </c:pt>
                <c:pt idx="29">
                  <c:v>17432.529999999995</c:v>
                </c:pt>
              </c:numCache>
            </c:numRef>
          </c:val>
          <c:smooth val="0"/>
          <c:extLst>
            <c:ext xmlns:c16="http://schemas.microsoft.com/office/drawing/2014/chart" uri="{C3380CC4-5D6E-409C-BE32-E72D297353CC}">
              <c16:uniqueId val="{00000000-FB59-409F-A869-A11DE8AEA01B}"/>
            </c:ext>
          </c:extLst>
        </c:ser>
        <c:dLbls>
          <c:dLblPos val="t"/>
          <c:showLegendKey val="0"/>
          <c:showVal val="1"/>
          <c:showCatName val="0"/>
          <c:showSerName val="0"/>
          <c:showPercent val="0"/>
          <c:showBubbleSize val="0"/>
        </c:dLbls>
        <c:smooth val="0"/>
        <c:axId val="768713936"/>
        <c:axId val="768710096"/>
      </c:lineChart>
      <c:catAx>
        <c:axId val="768713936"/>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710096"/>
        <c:crosses val="autoZero"/>
        <c:auto val="1"/>
        <c:lblAlgn val="ctr"/>
        <c:lblOffset val="100"/>
        <c:noMultiLvlLbl val="0"/>
      </c:catAx>
      <c:valAx>
        <c:axId val="768710096"/>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713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file.xlsx]performance!PivotTable12</c:name>
    <c:fmtId val="7"/>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PERFORMANCE</a:t>
            </a:r>
            <a:r>
              <a:rPr lang="en-US" baseline="0"/>
              <a:t> CLASSIFICATION</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triangle"/>
          <c:size val="6"/>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performance!$B$3:$B$4</c:f>
              <c:strCache>
                <c:ptCount val="1"/>
                <c:pt idx="0">
                  <c:v>Favorable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performance!$A$5:$A$12</c:f>
              <c:strCache>
                <c:ptCount val="7"/>
                <c:pt idx="0">
                  <c:v>Finance</c:v>
                </c:pt>
                <c:pt idx="1">
                  <c:v>HR</c:v>
                </c:pt>
                <c:pt idx="2">
                  <c:v>IT</c:v>
                </c:pt>
                <c:pt idx="3">
                  <c:v>Marketing</c:v>
                </c:pt>
                <c:pt idx="4">
                  <c:v>Operations</c:v>
                </c:pt>
                <c:pt idx="5">
                  <c:v>Sales</c:v>
                </c:pt>
                <c:pt idx="6">
                  <c:v>(blank)</c:v>
                </c:pt>
              </c:strCache>
            </c:strRef>
          </c:cat>
          <c:val>
            <c:numRef>
              <c:f>performance!$B$5:$B$12</c:f>
              <c:numCache>
                <c:formatCode>General</c:formatCode>
                <c:ptCount val="7"/>
                <c:pt idx="0">
                  <c:v>145</c:v>
                </c:pt>
                <c:pt idx="1">
                  <c:v>128</c:v>
                </c:pt>
                <c:pt idx="2">
                  <c:v>122</c:v>
                </c:pt>
                <c:pt idx="3">
                  <c:v>123</c:v>
                </c:pt>
                <c:pt idx="4">
                  <c:v>132</c:v>
                </c:pt>
                <c:pt idx="5">
                  <c:v>131</c:v>
                </c:pt>
              </c:numCache>
            </c:numRef>
          </c:val>
          <c:extLst>
            <c:ext xmlns:c16="http://schemas.microsoft.com/office/drawing/2014/chart" uri="{C3380CC4-5D6E-409C-BE32-E72D297353CC}">
              <c16:uniqueId val="{00000000-3E51-43ED-9E79-0A6515DEC13B}"/>
            </c:ext>
          </c:extLst>
        </c:ser>
        <c:ser>
          <c:idx val="1"/>
          <c:order val="1"/>
          <c:tx>
            <c:strRef>
              <c:f>performance!$C$3:$C$4</c:f>
              <c:strCache>
                <c:ptCount val="1"/>
                <c:pt idx="0">
                  <c:v>Unfavorable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performance!$A$5:$A$12</c:f>
              <c:strCache>
                <c:ptCount val="7"/>
                <c:pt idx="0">
                  <c:v>Finance</c:v>
                </c:pt>
                <c:pt idx="1">
                  <c:v>HR</c:v>
                </c:pt>
                <c:pt idx="2">
                  <c:v>IT</c:v>
                </c:pt>
                <c:pt idx="3">
                  <c:v>Marketing</c:v>
                </c:pt>
                <c:pt idx="4">
                  <c:v>Operations</c:v>
                </c:pt>
                <c:pt idx="5">
                  <c:v>Sales</c:v>
                </c:pt>
                <c:pt idx="6">
                  <c:v>(blank)</c:v>
                </c:pt>
              </c:strCache>
            </c:strRef>
          </c:cat>
          <c:val>
            <c:numRef>
              <c:f>performance!$C$5:$C$12</c:f>
              <c:numCache>
                <c:formatCode>General</c:formatCode>
                <c:ptCount val="7"/>
                <c:pt idx="0">
                  <c:v>198</c:v>
                </c:pt>
                <c:pt idx="1">
                  <c:v>222</c:v>
                </c:pt>
                <c:pt idx="2">
                  <c:v>195</c:v>
                </c:pt>
                <c:pt idx="3">
                  <c:v>215</c:v>
                </c:pt>
                <c:pt idx="4">
                  <c:v>183</c:v>
                </c:pt>
                <c:pt idx="5">
                  <c:v>202</c:v>
                </c:pt>
              </c:numCache>
            </c:numRef>
          </c:val>
          <c:extLst>
            <c:ext xmlns:c16="http://schemas.microsoft.com/office/drawing/2014/chart" uri="{C3380CC4-5D6E-409C-BE32-E72D297353CC}">
              <c16:uniqueId val="{00000007-6E62-413B-9FCC-8895551D65C7}"/>
            </c:ext>
          </c:extLst>
        </c:ser>
        <c:ser>
          <c:idx val="2"/>
          <c:order val="2"/>
          <c:tx>
            <c:strRef>
              <c:f>performance!$D$3:$D$4</c:f>
              <c:strCache>
                <c:ptCount val="1"/>
                <c:pt idx="0">
                  <c:v>(blank)</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performance!$A$5:$A$12</c:f>
              <c:strCache>
                <c:ptCount val="7"/>
                <c:pt idx="0">
                  <c:v>Finance</c:v>
                </c:pt>
                <c:pt idx="1">
                  <c:v>HR</c:v>
                </c:pt>
                <c:pt idx="2">
                  <c:v>IT</c:v>
                </c:pt>
                <c:pt idx="3">
                  <c:v>Marketing</c:v>
                </c:pt>
                <c:pt idx="4">
                  <c:v>Operations</c:v>
                </c:pt>
                <c:pt idx="5">
                  <c:v>Sales</c:v>
                </c:pt>
                <c:pt idx="6">
                  <c:v>(blank)</c:v>
                </c:pt>
              </c:strCache>
            </c:strRef>
          </c:cat>
          <c:val>
            <c:numRef>
              <c:f>performance!$D$5:$D$12</c:f>
              <c:numCache>
                <c:formatCode>General</c:formatCode>
                <c:ptCount val="7"/>
              </c:numCache>
            </c:numRef>
          </c:val>
          <c:extLst>
            <c:ext xmlns:c16="http://schemas.microsoft.com/office/drawing/2014/chart" uri="{C3380CC4-5D6E-409C-BE32-E72D297353CC}">
              <c16:uniqueId val="{00000008-6E62-413B-9FCC-8895551D65C7}"/>
            </c:ext>
          </c:extLst>
        </c:ser>
        <c:dLbls>
          <c:dLblPos val="ctr"/>
          <c:showLegendKey val="0"/>
          <c:showVal val="1"/>
          <c:showCatName val="0"/>
          <c:showSerName val="0"/>
          <c:showPercent val="0"/>
          <c:showBubbleSize val="0"/>
        </c:dLbls>
        <c:gapWidth val="79"/>
        <c:overlap val="100"/>
        <c:axId val="1101609952"/>
        <c:axId val="1101607072"/>
      </c:barChart>
      <c:catAx>
        <c:axId val="1101609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101607072"/>
        <c:crosses val="autoZero"/>
        <c:auto val="1"/>
        <c:lblAlgn val="ctr"/>
        <c:lblOffset val="100"/>
        <c:noMultiLvlLbl val="0"/>
      </c:catAx>
      <c:valAx>
        <c:axId val="1101607072"/>
        <c:scaling>
          <c:orientation val="minMax"/>
        </c:scaling>
        <c:delete val="1"/>
        <c:axPos val="l"/>
        <c:numFmt formatCode="General" sourceLinked="1"/>
        <c:majorTickMark val="none"/>
        <c:minorTickMark val="none"/>
        <c:tickLblPos val="nextTo"/>
        <c:crossAx val="1101609952"/>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file.xlsx]Sheet1!PivotTable1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Sum of ActualAmount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Sheet1!$A$4:$A$5</c:f>
              <c:strCache>
                <c:ptCount val="1"/>
                <c:pt idx="0">
                  <c:v>Sales Revenue</c:v>
                </c:pt>
              </c:strCache>
            </c:strRef>
          </c:cat>
          <c:val>
            <c:numRef>
              <c:f>Sheet1!$B$4:$B$5</c:f>
              <c:numCache>
                <c:formatCode>General</c:formatCode>
                <c:ptCount val="1"/>
                <c:pt idx="0">
                  <c:v>959134.0699999996</c:v>
                </c:pt>
              </c:numCache>
            </c:numRef>
          </c:val>
          <c:extLst>
            <c:ext xmlns:c16="http://schemas.microsoft.com/office/drawing/2014/chart" uri="{C3380CC4-5D6E-409C-BE32-E72D297353CC}">
              <c16:uniqueId val="{00000000-3A4C-4F9B-809F-E6D1B9005408}"/>
            </c:ext>
          </c:extLst>
        </c:ser>
        <c:ser>
          <c:idx val="1"/>
          <c:order val="1"/>
          <c:tx>
            <c:strRef>
              <c:f>Sheet1!$C$3</c:f>
              <c:strCache>
                <c:ptCount val="1"/>
                <c:pt idx="0">
                  <c:v>Sum of BudgetUSD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Sheet1!$A$4:$A$5</c:f>
              <c:strCache>
                <c:ptCount val="1"/>
                <c:pt idx="0">
                  <c:v>Sales Revenue</c:v>
                </c:pt>
              </c:strCache>
            </c:strRef>
          </c:cat>
          <c:val>
            <c:numRef>
              <c:f>Sheet1!$C$4:$C$5</c:f>
              <c:numCache>
                <c:formatCode>General</c:formatCode>
                <c:ptCount val="1"/>
                <c:pt idx="0">
                  <c:v>605236.97000000009</c:v>
                </c:pt>
              </c:numCache>
            </c:numRef>
          </c:val>
          <c:extLst>
            <c:ext xmlns:c16="http://schemas.microsoft.com/office/drawing/2014/chart" uri="{C3380CC4-5D6E-409C-BE32-E72D297353CC}">
              <c16:uniqueId val="{00000001-3A4C-4F9B-809F-E6D1B9005408}"/>
            </c:ext>
          </c:extLst>
        </c:ser>
        <c:ser>
          <c:idx val="2"/>
          <c:order val="2"/>
          <c:tx>
            <c:strRef>
              <c:f>Sheet1!$D$3</c:f>
              <c:strCache>
                <c:ptCount val="1"/>
                <c:pt idx="0">
                  <c:v>Sum of Variance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Sheet1!$A$4:$A$5</c:f>
              <c:strCache>
                <c:ptCount val="1"/>
                <c:pt idx="0">
                  <c:v>Sales Revenue</c:v>
                </c:pt>
              </c:strCache>
            </c:strRef>
          </c:cat>
          <c:val>
            <c:numRef>
              <c:f>Sheet1!$D$4:$D$5</c:f>
              <c:numCache>
                <c:formatCode>General</c:formatCode>
                <c:ptCount val="1"/>
                <c:pt idx="0">
                  <c:v>353897.10000000038</c:v>
                </c:pt>
              </c:numCache>
            </c:numRef>
          </c:val>
          <c:extLst>
            <c:ext xmlns:c16="http://schemas.microsoft.com/office/drawing/2014/chart" uri="{C3380CC4-5D6E-409C-BE32-E72D297353CC}">
              <c16:uniqueId val="{00000002-3A4C-4F9B-809F-E6D1B9005408}"/>
            </c:ext>
          </c:extLst>
        </c:ser>
        <c:dLbls>
          <c:dLblPos val="outEnd"/>
          <c:showLegendKey val="0"/>
          <c:showVal val="1"/>
          <c:showCatName val="0"/>
          <c:showSerName val="0"/>
          <c:showPercent val="0"/>
          <c:showBubbleSize val="0"/>
        </c:dLbls>
        <c:gapWidth val="219"/>
        <c:overlap val="-27"/>
        <c:axId val="196159231"/>
        <c:axId val="196156351"/>
      </c:barChart>
      <c:catAx>
        <c:axId val="19615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56351"/>
        <c:crosses val="autoZero"/>
        <c:auto val="1"/>
        <c:lblAlgn val="ctr"/>
        <c:lblOffset val="100"/>
        <c:noMultiLvlLbl val="0"/>
      </c:catAx>
      <c:valAx>
        <c:axId val="196156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5923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file.xlsx]Sheet6!PivotTable2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EXPENSE</a:t>
            </a:r>
            <a:r>
              <a:rPr lang="en-US" baseline="0"/>
              <a:t> ACTUAL VS BUDGET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Sum of ActualAmount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Sheet6!$A$4:$A$11</c:f>
              <c:strCache>
                <c:ptCount val="7"/>
                <c:pt idx="0">
                  <c:v>Finance</c:v>
                </c:pt>
                <c:pt idx="1">
                  <c:v>HR</c:v>
                </c:pt>
                <c:pt idx="2">
                  <c:v>IT</c:v>
                </c:pt>
                <c:pt idx="3">
                  <c:v>Marketing</c:v>
                </c:pt>
                <c:pt idx="4">
                  <c:v>Operations</c:v>
                </c:pt>
                <c:pt idx="5">
                  <c:v>Sales</c:v>
                </c:pt>
                <c:pt idx="6">
                  <c:v>(blank)</c:v>
                </c:pt>
              </c:strCache>
            </c:strRef>
          </c:cat>
          <c:val>
            <c:numRef>
              <c:f>Sheet6!$B$4:$B$11</c:f>
              <c:numCache>
                <c:formatCode>General</c:formatCode>
                <c:ptCount val="7"/>
                <c:pt idx="0">
                  <c:v>162279.24000000019</c:v>
                </c:pt>
                <c:pt idx="1">
                  <c:v>93048.339999999924</c:v>
                </c:pt>
                <c:pt idx="2">
                  <c:v>122080.79</c:v>
                </c:pt>
                <c:pt idx="3">
                  <c:v>117831.01000000005</c:v>
                </c:pt>
                <c:pt idx="4">
                  <c:v>145631.91000000009</c:v>
                </c:pt>
                <c:pt idx="5">
                  <c:v>122170.16999999994</c:v>
                </c:pt>
              </c:numCache>
            </c:numRef>
          </c:val>
          <c:extLst>
            <c:ext xmlns:c16="http://schemas.microsoft.com/office/drawing/2014/chart" uri="{C3380CC4-5D6E-409C-BE32-E72D297353CC}">
              <c16:uniqueId val="{00000000-AFD5-4AB4-A90E-610456E43B72}"/>
            </c:ext>
          </c:extLst>
        </c:ser>
        <c:ser>
          <c:idx val="1"/>
          <c:order val="1"/>
          <c:tx>
            <c:strRef>
              <c:f>Sheet6!$C$3</c:f>
              <c:strCache>
                <c:ptCount val="1"/>
                <c:pt idx="0">
                  <c:v>Sum of BudgetUSD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Sheet6!$A$4:$A$11</c:f>
              <c:strCache>
                <c:ptCount val="7"/>
                <c:pt idx="0">
                  <c:v>Finance</c:v>
                </c:pt>
                <c:pt idx="1">
                  <c:v>HR</c:v>
                </c:pt>
                <c:pt idx="2">
                  <c:v>IT</c:v>
                </c:pt>
                <c:pt idx="3">
                  <c:v>Marketing</c:v>
                </c:pt>
                <c:pt idx="4">
                  <c:v>Operations</c:v>
                </c:pt>
                <c:pt idx="5">
                  <c:v>Sales</c:v>
                </c:pt>
                <c:pt idx="6">
                  <c:v>(blank)</c:v>
                </c:pt>
              </c:strCache>
            </c:strRef>
          </c:cat>
          <c:val>
            <c:numRef>
              <c:f>Sheet6!$C$4:$C$11</c:f>
              <c:numCache>
                <c:formatCode>General</c:formatCode>
                <c:ptCount val="7"/>
                <c:pt idx="0">
                  <c:v>511246.83</c:v>
                </c:pt>
                <c:pt idx="1">
                  <c:v>529572.53</c:v>
                </c:pt>
                <c:pt idx="2">
                  <c:v>905062.79999999993</c:v>
                </c:pt>
                <c:pt idx="3">
                  <c:v>520459.03</c:v>
                </c:pt>
                <c:pt idx="4">
                  <c:v>328498.7</c:v>
                </c:pt>
                <c:pt idx="5">
                  <c:v>942045.12999999989</c:v>
                </c:pt>
              </c:numCache>
            </c:numRef>
          </c:val>
          <c:extLst>
            <c:ext xmlns:c16="http://schemas.microsoft.com/office/drawing/2014/chart" uri="{C3380CC4-5D6E-409C-BE32-E72D297353CC}">
              <c16:uniqueId val="{00000001-AFD5-4AB4-A90E-610456E43B72}"/>
            </c:ext>
          </c:extLst>
        </c:ser>
        <c:ser>
          <c:idx val="2"/>
          <c:order val="2"/>
          <c:tx>
            <c:strRef>
              <c:f>Sheet6!$D$3</c:f>
              <c:strCache>
                <c:ptCount val="1"/>
                <c:pt idx="0">
                  <c:v>Sum of Variance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Sheet6!$A$4:$A$11</c:f>
              <c:strCache>
                <c:ptCount val="7"/>
                <c:pt idx="0">
                  <c:v>Finance</c:v>
                </c:pt>
                <c:pt idx="1">
                  <c:v>HR</c:v>
                </c:pt>
                <c:pt idx="2">
                  <c:v>IT</c:v>
                </c:pt>
                <c:pt idx="3">
                  <c:v>Marketing</c:v>
                </c:pt>
                <c:pt idx="4">
                  <c:v>Operations</c:v>
                </c:pt>
                <c:pt idx="5">
                  <c:v>Sales</c:v>
                </c:pt>
                <c:pt idx="6">
                  <c:v>(blank)</c:v>
                </c:pt>
              </c:strCache>
            </c:strRef>
          </c:cat>
          <c:val>
            <c:numRef>
              <c:f>Sheet6!$D$4:$D$11</c:f>
              <c:numCache>
                <c:formatCode>General</c:formatCode>
                <c:ptCount val="7"/>
                <c:pt idx="0">
                  <c:v>-348967.58999999979</c:v>
                </c:pt>
                <c:pt idx="1">
                  <c:v>-436524.19000000012</c:v>
                </c:pt>
                <c:pt idx="2">
                  <c:v>-782982.00999999943</c:v>
                </c:pt>
                <c:pt idx="3">
                  <c:v>-402628.01999999973</c:v>
                </c:pt>
                <c:pt idx="4">
                  <c:v>-182866.79000000024</c:v>
                </c:pt>
                <c:pt idx="5">
                  <c:v>-819874.96000000101</c:v>
                </c:pt>
              </c:numCache>
            </c:numRef>
          </c:val>
          <c:extLst>
            <c:ext xmlns:c16="http://schemas.microsoft.com/office/drawing/2014/chart" uri="{C3380CC4-5D6E-409C-BE32-E72D297353CC}">
              <c16:uniqueId val="{00000002-AFD5-4AB4-A90E-610456E43B72}"/>
            </c:ext>
          </c:extLst>
        </c:ser>
        <c:dLbls>
          <c:dLblPos val="outEnd"/>
          <c:showLegendKey val="0"/>
          <c:showVal val="1"/>
          <c:showCatName val="0"/>
          <c:showSerName val="0"/>
          <c:showPercent val="0"/>
          <c:showBubbleSize val="0"/>
        </c:dLbls>
        <c:gapWidth val="219"/>
        <c:overlap val="-27"/>
        <c:axId val="1968357935"/>
        <c:axId val="1968340175"/>
      </c:barChart>
      <c:catAx>
        <c:axId val="1968357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340175"/>
        <c:crosses val="autoZero"/>
        <c:auto val="1"/>
        <c:lblAlgn val="ctr"/>
        <c:lblOffset val="100"/>
        <c:noMultiLvlLbl val="0"/>
      </c:catAx>
      <c:valAx>
        <c:axId val="1968340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35793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image" Target="../media/image2.emf"/><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7.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chart" Target="../charts/chart21.xml"/><Relationship Id="rId1" Type="http://schemas.openxmlformats.org/officeDocument/2006/relationships/chart" Target="../charts/chart20.xml"/><Relationship Id="rId4" Type="http://schemas.openxmlformats.org/officeDocument/2006/relationships/chart" Target="../charts/chart23.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25.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2</xdr:col>
      <xdr:colOff>19050</xdr:colOff>
      <xdr:row>1</xdr:row>
      <xdr:rowOff>123825</xdr:rowOff>
    </xdr:from>
    <xdr:to>
      <xdr:col>11</xdr:col>
      <xdr:colOff>400050</xdr:colOff>
      <xdr:row>19</xdr:row>
      <xdr:rowOff>104775</xdr:rowOff>
    </xdr:to>
    <xdr:graphicFrame macro="">
      <xdr:nvGraphicFramePr>
        <xdr:cNvPr id="2" name="Chart 1">
          <a:extLst>
            <a:ext uri="{FF2B5EF4-FFF2-40B4-BE49-F238E27FC236}">
              <a16:creationId xmlns:a16="http://schemas.microsoft.com/office/drawing/2014/main" id="{5DB03BE5-1052-5DEA-81BC-E6F51CC7D5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0</xdr:row>
      <xdr:rowOff>419100</xdr:rowOff>
    </xdr:from>
    <xdr:to>
      <xdr:col>11</xdr:col>
      <xdr:colOff>85726</xdr:colOff>
      <xdr:row>21</xdr:row>
      <xdr:rowOff>66675</xdr:rowOff>
    </xdr:to>
    <xdr:graphicFrame macro="">
      <xdr:nvGraphicFramePr>
        <xdr:cNvPr id="4" name="Chart 3">
          <a:extLst>
            <a:ext uri="{FF2B5EF4-FFF2-40B4-BE49-F238E27FC236}">
              <a16:creationId xmlns:a16="http://schemas.microsoft.com/office/drawing/2014/main" id="{FC24574B-085A-BE52-B2CC-DD5C98A13D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28574</xdr:colOff>
      <xdr:row>1</xdr:row>
      <xdr:rowOff>76199</xdr:rowOff>
    </xdr:from>
    <xdr:to>
      <xdr:col>11</xdr:col>
      <xdr:colOff>361949</xdr:colOff>
      <xdr:row>18</xdr:row>
      <xdr:rowOff>133349</xdr:rowOff>
    </xdr:to>
    <xdr:graphicFrame macro="">
      <xdr:nvGraphicFramePr>
        <xdr:cNvPr id="6" name="Chart 5">
          <a:extLst>
            <a:ext uri="{FF2B5EF4-FFF2-40B4-BE49-F238E27FC236}">
              <a16:creationId xmlns:a16="http://schemas.microsoft.com/office/drawing/2014/main" id="{59DCA066-0B19-36BD-1211-FF97E11CFA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457199</xdr:colOff>
      <xdr:row>1</xdr:row>
      <xdr:rowOff>114299</xdr:rowOff>
    </xdr:from>
    <xdr:to>
      <xdr:col>12</xdr:col>
      <xdr:colOff>142874</xdr:colOff>
      <xdr:row>23</xdr:row>
      <xdr:rowOff>142874</xdr:rowOff>
    </xdr:to>
    <xdr:graphicFrame macro="">
      <xdr:nvGraphicFramePr>
        <xdr:cNvPr id="2" name="Chart 1">
          <a:extLst>
            <a:ext uri="{FF2B5EF4-FFF2-40B4-BE49-F238E27FC236}">
              <a16:creationId xmlns:a16="http://schemas.microsoft.com/office/drawing/2014/main" id="{B55D5FB8-459F-7D09-C814-D501288D29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0</xdr:colOff>
      <xdr:row>11</xdr:row>
      <xdr:rowOff>0</xdr:rowOff>
    </xdr:from>
    <xdr:to>
      <xdr:col>4</xdr:col>
      <xdr:colOff>9525</xdr:colOff>
      <xdr:row>11</xdr:row>
      <xdr:rowOff>200025</xdr:rowOff>
    </xdr:to>
    <xdr:pic>
      <xdr:nvPicPr>
        <xdr:cNvPr id="5" name="Picture 4">
          <a:extLst>
            <a:ext uri="{FF2B5EF4-FFF2-40B4-BE49-F238E27FC236}">
              <a16:creationId xmlns:a16="http://schemas.microsoft.com/office/drawing/2014/main" id="{BDCA7F91-FA05-EC5B-1E8B-411B920FB3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62250" y="20955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361950</xdr:colOff>
      <xdr:row>7</xdr:row>
      <xdr:rowOff>47625</xdr:rowOff>
    </xdr:from>
    <xdr:to>
      <xdr:col>7</xdr:col>
      <xdr:colOff>142875</xdr:colOff>
      <xdr:row>8</xdr:row>
      <xdr:rowOff>95250</xdr:rowOff>
    </xdr:to>
    <xdr:sp macro="" textlink="">
      <xdr:nvSpPr>
        <xdr:cNvPr id="6" name="Rectangle 5">
          <a:extLst>
            <a:ext uri="{FF2B5EF4-FFF2-40B4-BE49-F238E27FC236}">
              <a16:creationId xmlns:a16="http://schemas.microsoft.com/office/drawing/2014/main" id="{D4B1B003-2A91-8836-77CF-314CBABC1E66}"/>
            </a:ext>
          </a:extLst>
        </xdr:cNvPr>
        <xdr:cNvSpPr/>
      </xdr:nvSpPr>
      <xdr:spPr>
        <a:xfrm>
          <a:off x="4953000" y="1381125"/>
          <a:ext cx="390525" cy="2381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0</xdr:colOff>
      <xdr:row>14</xdr:row>
      <xdr:rowOff>0</xdr:rowOff>
    </xdr:from>
    <xdr:to>
      <xdr:col>4</xdr:col>
      <xdr:colOff>9525</xdr:colOff>
      <xdr:row>15</xdr:row>
      <xdr:rowOff>9525</xdr:rowOff>
    </xdr:to>
    <xdr:pic>
      <xdr:nvPicPr>
        <xdr:cNvPr id="8" name="Picture 7">
          <a:extLst>
            <a:ext uri="{FF2B5EF4-FFF2-40B4-BE49-F238E27FC236}">
              <a16:creationId xmlns:a16="http://schemas.microsoft.com/office/drawing/2014/main" id="{5B50B9D2-69EB-B147-0845-911D2D4AA3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62250" y="26670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0</xdr:colOff>
          <xdr:row>14</xdr:row>
          <xdr:rowOff>0</xdr:rowOff>
        </xdr:from>
        <xdr:to>
          <xdr:col>4</xdr:col>
          <xdr:colOff>9525</xdr:colOff>
          <xdr:row>15</xdr:row>
          <xdr:rowOff>9525</xdr:rowOff>
        </xdr:to>
        <xdr:pic>
          <xdr:nvPicPr>
            <xdr:cNvPr id="10" name="Picture 9">
              <a:extLst>
                <a:ext uri="{FF2B5EF4-FFF2-40B4-BE49-F238E27FC236}">
                  <a16:creationId xmlns:a16="http://schemas.microsoft.com/office/drawing/2014/main" id="{29A44DF8-63DF-6C6C-B159-9533AAFF028B}"/>
                </a:ext>
              </a:extLst>
            </xdr:cNvPr>
            <xdr:cNvPicPr>
              <a:picLocks noChangeAspect="1" noChangeArrowheads="1"/>
              <a:extLst>
                <a:ext uri="{84589F7E-364E-4C9E-8A38-B11213B215E9}">
                  <a14:cameraTool cellRange="$G$10" spid="_x0000_s20578"/>
                </a:ext>
              </a:extLst>
            </xdr:cNvPicPr>
          </xdr:nvPicPr>
          <xdr:blipFill>
            <a:blip xmlns:r="http://schemas.openxmlformats.org/officeDocument/2006/relationships" r:embed="rId2"/>
            <a:srcRect/>
            <a:stretch>
              <a:fillRect/>
            </a:stretch>
          </xdr:blipFill>
          <xdr:spPr bwMode="auto">
            <a:xfrm>
              <a:off x="2762250" y="2667000"/>
              <a:ext cx="619125" cy="20002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5</xdr:col>
      <xdr:colOff>438150</xdr:colOff>
      <xdr:row>2</xdr:row>
      <xdr:rowOff>66675</xdr:rowOff>
    </xdr:from>
    <xdr:to>
      <xdr:col>6</xdr:col>
      <xdr:colOff>371475</xdr:colOff>
      <xdr:row>4</xdr:row>
      <xdr:rowOff>85725</xdr:rowOff>
    </xdr:to>
    <xdr:sp macro="" textlink="">
      <xdr:nvSpPr>
        <xdr:cNvPr id="11" name="Rectangle 10">
          <a:extLst>
            <a:ext uri="{FF2B5EF4-FFF2-40B4-BE49-F238E27FC236}">
              <a16:creationId xmlns:a16="http://schemas.microsoft.com/office/drawing/2014/main" id="{EE852AC2-F4D3-6DE9-E99D-E4883AFCF51F}"/>
            </a:ext>
          </a:extLst>
        </xdr:cNvPr>
        <xdr:cNvSpPr/>
      </xdr:nvSpPr>
      <xdr:spPr>
        <a:xfrm>
          <a:off x="4419600" y="447675"/>
          <a:ext cx="542925" cy="4000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p>
      </xdr:txBody>
    </xdr:sp>
    <xdr:clientData/>
  </xdr:twoCellAnchor>
  <xdr:twoCellAnchor>
    <xdr:from>
      <xdr:col>2</xdr:col>
      <xdr:colOff>171450</xdr:colOff>
      <xdr:row>1</xdr:row>
      <xdr:rowOff>57150</xdr:rowOff>
    </xdr:from>
    <xdr:to>
      <xdr:col>9</xdr:col>
      <xdr:colOff>476250</xdr:colOff>
      <xdr:row>19</xdr:row>
      <xdr:rowOff>66675</xdr:rowOff>
    </xdr:to>
    <xdr:graphicFrame macro="">
      <xdr:nvGraphicFramePr>
        <xdr:cNvPr id="2" name="Chart 1">
          <a:extLst>
            <a:ext uri="{FF2B5EF4-FFF2-40B4-BE49-F238E27FC236}">
              <a16:creationId xmlns:a16="http://schemas.microsoft.com/office/drawing/2014/main" id="{12401F85-48E0-A275-3743-0A916E4D40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152400</xdr:colOff>
      <xdr:row>12</xdr:row>
      <xdr:rowOff>0</xdr:rowOff>
    </xdr:from>
    <xdr:to>
      <xdr:col>5</xdr:col>
      <xdr:colOff>542925</xdr:colOff>
      <xdr:row>25</xdr:row>
      <xdr:rowOff>161925</xdr:rowOff>
    </xdr:to>
    <xdr:graphicFrame macro="">
      <xdr:nvGraphicFramePr>
        <xdr:cNvPr id="2" name="Chart 1">
          <a:extLst>
            <a:ext uri="{FF2B5EF4-FFF2-40B4-BE49-F238E27FC236}">
              <a16:creationId xmlns:a16="http://schemas.microsoft.com/office/drawing/2014/main" id="{1883F5D3-83E7-5656-2445-5452858E6F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514350</xdr:colOff>
      <xdr:row>0</xdr:row>
      <xdr:rowOff>133350</xdr:rowOff>
    </xdr:from>
    <xdr:to>
      <xdr:col>11</xdr:col>
      <xdr:colOff>428626</xdr:colOff>
      <xdr:row>26</xdr:row>
      <xdr:rowOff>38100</xdr:rowOff>
    </xdr:to>
    <xdr:graphicFrame macro="">
      <xdr:nvGraphicFramePr>
        <xdr:cNvPr id="2" name="Chart 1">
          <a:extLst>
            <a:ext uri="{FF2B5EF4-FFF2-40B4-BE49-F238E27FC236}">
              <a16:creationId xmlns:a16="http://schemas.microsoft.com/office/drawing/2014/main" id="{4B65080D-F711-21EF-356E-2FAF66AB49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57149</xdr:colOff>
      <xdr:row>0</xdr:row>
      <xdr:rowOff>95249</xdr:rowOff>
    </xdr:from>
    <xdr:to>
      <xdr:col>12</xdr:col>
      <xdr:colOff>342900</xdr:colOff>
      <xdr:row>21</xdr:row>
      <xdr:rowOff>66674</xdr:rowOff>
    </xdr:to>
    <xdr:graphicFrame macro="">
      <xdr:nvGraphicFramePr>
        <xdr:cNvPr id="2" name="Chart 1">
          <a:extLst>
            <a:ext uri="{FF2B5EF4-FFF2-40B4-BE49-F238E27FC236}">
              <a16:creationId xmlns:a16="http://schemas.microsoft.com/office/drawing/2014/main" id="{84B7D953-327F-A33A-42A1-A9D75634DE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209550</xdr:colOff>
      <xdr:row>1</xdr:row>
      <xdr:rowOff>133350</xdr:rowOff>
    </xdr:from>
    <xdr:to>
      <xdr:col>9</xdr:col>
      <xdr:colOff>514350</xdr:colOff>
      <xdr:row>16</xdr:row>
      <xdr:rowOff>19050</xdr:rowOff>
    </xdr:to>
    <xdr:graphicFrame macro="">
      <xdr:nvGraphicFramePr>
        <xdr:cNvPr id="2" name="Chart 1">
          <a:extLst>
            <a:ext uri="{FF2B5EF4-FFF2-40B4-BE49-F238E27FC236}">
              <a16:creationId xmlns:a16="http://schemas.microsoft.com/office/drawing/2014/main" id="{6FFF1A19-3BEF-45B4-D03B-751DB9317E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xdr:colOff>
      <xdr:row>10</xdr:row>
      <xdr:rowOff>38100</xdr:rowOff>
    </xdr:from>
    <xdr:to>
      <xdr:col>11</xdr:col>
      <xdr:colOff>123826</xdr:colOff>
      <xdr:row>24</xdr:row>
      <xdr:rowOff>114300</xdr:rowOff>
    </xdr:to>
    <xdr:graphicFrame macro="">
      <xdr:nvGraphicFramePr>
        <xdr:cNvPr id="2" name="Chart 1">
          <a:extLst>
            <a:ext uri="{FF2B5EF4-FFF2-40B4-BE49-F238E27FC236}">
              <a16:creationId xmlns:a16="http://schemas.microsoft.com/office/drawing/2014/main" id="{B488BBCA-D181-1D21-25FE-B8D0DFD334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257174</xdr:colOff>
      <xdr:row>0</xdr:row>
      <xdr:rowOff>142874</xdr:rowOff>
    </xdr:from>
    <xdr:to>
      <xdr:col>10</xdr:col>
      <xdr:colOff>438149</xdr:colOff>
      <xdr:row>21</xdr:row>
      <xdr:rowOff>152399</xdr:rowOff>
    </xdr:to>
    <xdr:graphicFrame macro="">
      <xdr:nvGraphicFramePr>
        <xdr:cNvPr id="2" name="Chart 1">
          <a:extLst>
            <a:ext uri="{FF2B5EF4-FFF2-40B4-BE49-F238E27FC236}">
              <a16:creationId xmlns:a16="http://schemas.microsoft.com/office/drawing/2014/main" id="{6B70EEE5-4E72-C15A-5AE7-149EBFAA2C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xdr:col>
      <xdr:colOff>952500</xdr:colOff>
      <xdr:row>5</xdr:row>
      <xdr:rowOff>95250</xdr:rowOff>
    </xdr:from>
    <xdr:to>
      <xdr:col>9</xdr:col>
      <xdr:colOff>66675</xdr:colOff>
      <xdr:row>19</xdr:row>
      <xdr:rowOff>171450</xdr:rowOff>
    </xdr:to>
    <xdr:graphicFrame macro="">
      <xdr:nvGraphicFramePr>
        <xdr:cNvPr id="2" name="Chart 1">
          <a:extLst>
            <a:ext uri="{FF2B5EF4-FFF2-40B4-BE49-F238E27FC236}">
              <a16:creationId xmlns:a16="http://schemas.microsoft.com/office/drawing/2014/main" id="{84C06DB0-DCE3-57C2-84DF-E4A55501B2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3</xdr:col>
      <xdr:colOff>171450</xdr:colOff>
      <xdr:row>0</xdr:row>
      <xdr:rowOff>352425</xdr:rowOff>
    </xdr:from>
    <xdr:to>
      <xdr:col>10</xdr:col>
      <xdr:colOff>476250</xdr:colOff>
      <xdr:row>18</xdr:row>
      <xdr:rowOff>123825</xdr:rowOff>
    </xdr:to>
    <xdr:graphicFrame macro="">
      <xdr:nvGraphicFramePr>
        <xdr:cNvPr id="2" name="Chart 1">
          <a:extLst>
            <a:ext uri="{FF2B5EF4-FFF2-40B4-BE49-F238E27FC236}">
              <a16:creationId xmlns:a16="http://schemas.microsoft.com/office/drawing/2014/main" id="{EEC2785D-27FE-9D3F-9049-8FC32B4795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64308</xdr:colOff>
      <xdr:row>0</xdr:row>
      <xdr:rowOff>1</xdr:rowOff>
    </xdr:from>
    <xdr:to>
      <xdr:col>17</xdr:col>
      <xdr:colOff>581187</xdr:colOff>
      <xdr:row>29</xdr:row>
      <xdr:rowOff>16145</xdr:rowOff>
    </xdr:to>
    <xdr:graphicFrame macro="">
      <xdr:nvGraphicFramePr>
        <xdr:cNvPr id="3" name="Chart 2">
          <a:extLst>
            <a:ext uri="{FF2B5EF4-FFF2-40B4-BE49-F238E27FC236}">
              <a16:creationId xmlns:a16="http://schemas.microsoft.com/office/drawing/2014/main" id="{FCC4CBCC-8FD3-C383-4CE2-A02239CA9D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2</xdr:col>
      <xdr:colOff>161925</xdr:colOff>
      <xdr:row>4</xdr:row>
      <xdr:rowOff>47625</xdr:rowOff>
    </xdr:from>
    <xdr:to>
      <xdr:col>9</xdr:col>
      <xdr:colOff>466725</xdr:colOff>
      <xdr:row>25</xdr:row>
      <xdr:rowOff>28575</xdr:rowOff>
    </xdr:to>
    <xdr:graphicFrame macro="">
      <xdr:nvGraphicFramePr>
        <xdr:cNvPr id="2" name="Chart 1">
          <a:extLst>
            <a:ext uri="{FF2B5EF4-FFF2-40B4-BE49-F238E27FC236}">
              <a16:creationId xmlns:a16="http://schemas.microsoft.com/office/drawing/2014/main" id="{9B22E9FB-2E25-35F3-8D56-B1483C4E59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285750</xdr:colOff>
      <xdr:row>4</xdr:row>
      <xdr:rowOff>0</xdr:rowOff>
    </xdr:from>
    <xdr:to>
      <xdr:col>13</xdr:col>
      <xdr:colOff>9525</xdr:colOff>
      <xdr:row>24</xdr:row>
      <xdr:rowOff>95250</xdr:rowOff>
    </xdr:to>
    <xdr:graphicFrame macro="">
      <xdr:nvGraphicFramePr>
        <xdr:cNvPr id="3" name="Chart 2">
          <a:extLst>
            <a:ext uri="{FF2B5EF4-FFF2-40B4-BE49-F238E27FC236}">
              <a16:creationId xmlns:a16="http://schemas.microsoft.com/office/drawing/2014/main" id="{99B680AF-9F25-7411-C753-DB1AB9E3A1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2</xdr:col>
      <xdr:colOff>1085850</xdr:colOff>
      <xdr:row>1</xdr:row>
      <xdr:rowOff>76200</xdr:rowOff>
    </xdr:from>
    <xdr:to>
      <xdr:col>7</xdr:col>
      <xdr:colOff>457201</xdr:colOff>
      <xdr:row>15</xdr:row>
      <xdr:rowOff>152400</xdr:rowOff>
    </xdr:to>
    <xdr:graphicFrame macro="">
      <xdr:nvGraphicFramePr>
        <xdr:cNvPr id="2" name="Chart 1">
          <a:extLst>
            <a:ext uri="{FF2B5EF4-FFF2-40B4-BE49-F238E27FC236}">
              <a16:creationId xmlns:a16="http://schemas.microsoft.com/office/drawing/2014/main" id="{7D3FF270-5CA7-9DB2-0C5C-DA2BC85F28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209549</xdr:colOff>
      <xdr:row>0</xdr:row>
      <xdr:rowOff>371474</xdr:rowOff>
    </xdr:from>
    <xdr:to>
      <xdr:col>8</xdr:col>
      <xdr:colOff>561975</xdr:colOff>
      <xdr:row>38</xdr:row>
      <xdr:rowOff>133349</xdr:rowOff>
    </xdr:to>
    <xdr:graphicFrame macro="">
      <xdr:nvGraphicFramePr>
        <xdr:cNvPr id="3" name="Chart 2">
          <a:extLst>
            <a:ext uri="{FF2B5EF4-FFF2-40B4-BE49-F238E27FC236}">
              <a16:creationId xmlns:a16="http://schemas.microsoft.com/office/drawing/2014/main" id="{AA5F0FC1-171B-AA10-266C-21B00F036C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2</xdr:col>
      <xdr:colOff>219075</xdr:colOff>
      <xdr:row>0</xdr:row>
      <xdr:rowOff>295275</xdr:rowOff>
    </xdr:from>
    <xdr:to>
      <xdr:col>10</xdr:col>
      <xdr:colOff>590550</xdr:colOff>
      <xdr:row>18</xdr:row>
      <xdr:rowOff>28575</xdr:rowOff>
    </xdr:to>
    <xdr:graphicFrame macro="">
      <xdr:nvGraphicFramePr>
        <xdr:cNvPr id="2" name="Chart 1">
          <a:extLst>
            <a:ext uri="{FF2B5EF4-FFF2-40B4-BE49-F238E27FC236}">
              <a16:creationId xmlns:a16="http://schemas.microsoft.com/office/drawing/2014/main" id="{FC42CD39-E0D8-CBE5-1E7E-4DD875E428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3</xdr:col>
      <xdr:colOff>0</xdr:colOff>
      <xdr:row>3</xdr:row>
      <xdr:rowOff>0</xdr:rowOff>
    </xdr:from>
    <xdr:to>
      <xdr:col>12</xdr:col>
      <xdr:colOff>193049</xdr:colOff>
      <xdr:row>23</xdr:row>
      <xdr:rowOff>46463</xdr:rowOff>
    </xdr:to>
    <xdr:graphicFrame macro="">
      <xdr:nvGraphicFramePr>
        <xdr:cNvPr id="26" name="Chart 25">
          <a:extLst>
            <a:ext uri="{FF2B5EF4-FFF2-40B4-BE49-F238E27FC236}">
              <a16:creationId xmlns:a16="http://schemas.microsoft.com/office/drawing/2014/main" id="{85BC3809-2D0C-4805-94AC-36BA8440CD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46464</xdr:colOff>
      <xdr:row>2</xdr:row>
      <xdr:rowOff>348476</xdr:rowOff>
    </xdr:from>
    <xdr:to>
      <xdr:col>25</xdr:col>
      <xdr:colOff>441403</xdr:colOff>
      <xdr:row>23</xdr:row>
      <xdr:rowOff>141713</xdr:rowOff>
    </xdr:to>
    <xdr:graphicFrame macro="">
      <xdr:nvGraphicFramePr>
        <xdr:cNvPr id="28" name="Chart 27">
          <a:extLst>
            <a:ext uri="{FF2B5EF4-FFF2-40B4-BE49-F238E27FC236}">
              <a16:creationId xmlns:a16="http://schemas.microsoft.com/office/drawing/2014/main" id="{946C1C24-631B-4A05-9752-9DDBFC5A49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20705</xdr:colOff>
      <xdr:row>23</xdr:row>
      <xdr:rowOff>124240</xdr:rowOff>
    </xdr:from>
    <xdr:to>
      <xdr:col>11</xdr:col>
      <xdr:colOff>538369</xdr:colOff>
      <xdr:row>50</xdr:row>
      <xdr:rowOff>72058</xdr:rowOff>
    </xdr:to>
    <xdr:graphicFrame macro="">
      <xdr:nvGraphicFramePr>
        <xdr:cNvPr id="30" name="Chart 29">
          <a:extLst>
            <a:ext uri="{FF2B5EF4-FFF2-40B4-BE49-F238E27FC236}">
              <a16:creationId xmlns:a16="http://schemas.microsoft.com/office/drawing/2014/main" id="{AD13DE4B-20EE-40C2-B8FB-6FCA92508E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124239</xdr:colOff>
      <xdr:row>23</xdr:row>
      <xdr:rowOff>20708</xdr:rowOff>
    </xdr:from>
    <xdr:to>
      <xdr:col>27</xdr:col>
      <xdr:colOff>20706</xdr:colOff>
      <xdr:row>49</xdr:row>
      <xdr:rowOff>82827</xdr:rowOff>
    </xdr:to>
    <xdr:graphicFrame macro="">
      <xdr:nvGraphicFramePr>
        <xdr:cNvPr id="31" name="Chart 30">
          <a:extLst>
            <a:ext uri="{FF2B5EF4-FFF2-40B4-BE49-F238E27FC236}">
              <a16:creationId xmlns:a16="http://schemas.microsoft.com/office/drawing/2014/main" id="{705FEAF9-9EA9-4A7E-A503-D10C57CDD1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13</xdr:row>
      <xdr:rowOff>9524</xdr:rowOff>
    </xdr:from>
    <xdr:to>
      <xdr:col>3</xdr:col>
      <xdr:colOff>27333</xdr:colOff>
      <xdr:row>25</xdr:row>
      <xdr:rowOff>179732</xdr:rowOff>
    </xdr:to>
    <mc:AlternateContent xmlns:mc="http://schemas.openxmlformats.org/markup-compatibility/2006" xmlns:a14="http://schemas.microsoft.com/office/drawing/2010/main">
      <mc:Choice Requires="a14">
        <xdr:graphicFrame macro="">
          <xdr:nvGraphicFramePr>
            <xdr:cNvPr id="32" name="AccountName 1">
              <a:extLst>
                <a:ext uri="{FF2B5EF4-FFF2-40B4-BE49-F238E27FC236}">
                  <a16:creationId xmlns:a16="http://schemas.microsoft.com/office/drawing/2014/main" id="{683E3AC0-3DE2-94D9-AE17-2A9FE7765F26}"/>
                </a:ext>
              </a:extLst>
            </xdr:cNvPr>
            <xdr:cNvGraphicFramePr/>
          </xdr:nvGraphicFramePr>
          <xdr:xfrm>
            <a:off x="0" y="0"/>
            <a:ext cx="0" cy="0"/>
          </xdr:xfrm>
          <a:graphic>
            <a:graphicData uri="http://schemas.microsoft.com/office/drawing/2010/slicer">
              <sle:slicer xmlns:sle="http://schemas.microsoft.com/office/drawing/2010/slicer" name="AccountName 1"/>
            </a:graphicData>
          </a:graphic>
        </xdr:graphicFrame>
      </mc:Choice>
      <mc:Fallback xmlns="">
        <xdr:sp macro="" textlink="">
          <xdr:nvSpPr>
            <xdr:cNvPr id="0" name=""/>
            <xdr:cNvSpPr>
              <a:spLocks noTextEdit="1"/>
            </xdr:cNvSpPr>
          </xdr:nvSpPr>
          <xdr:spPr>
            <a:xfrm>
              <a:off x="0" y="3895724"/>
              <a:ext cx="1856133" cy="24562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104775</xdr:rowOff>
    </xdr:from>
    <xdr:to>
      <xdr:col>3</xdr:col>
      <xdr:colOff>27333</xdr:colOff>
      <xdr:row>37</xdr:row>
      <xdr:rowOff>22363</xdr:rowOff>
    </xdr:to>
    <mc:AlternateContent xmlns:mc="http://schemas.openxmlformats.org/markup-compatibility/2006" xmlns:a14="http://schemas.microsoft.com/office/drawing/2010/main">
      <mc:Choice Requires="a14">
        <xdr:graphicFrame macro="">
          <xdr:nvGraphicFramePr>
            <xdr:cNvPr id="33" name="Dept">
              <a:extLst>
                <a:ext uri="{FF2B5EF4-FFF2-40B4-BE49-F238E27FC236}">
                  <a16:creationId xmlns:a16="http://schemas.microsoft.com/office/drawing/2014/main" id="{125D485D-5D0B-3989-6C8F-FC782F0D9933}"/>
                </a:ext>
              </a:extLst>
            </xdr:cNvPr>
            <xdr:cNvGraphicFramePr/>
          </xdr:nvGraphicFramePr>
          <xdr:xfrm>
            <a:off x="0" y="0"/>
            <a:ext cx="0" cy="0"/>
          </xdr:xfrm>
          <a:graphic>
            <a:graphicData uri="http://schemas.microsoft.com/office/drawing/2010/slicer">
              <sle:slicer xmlns:sle="http://schemas.microsoft.com/office/drawing/2010/slicer" name="Dept"/>
            </a:graphicData>
          </a:graphic>
        </xdr:graphicFrame>
      </mc:Choice>
      <mc:Fallback xmlns="">
        <xdr:sp macro="" textlink="">
          <xdr:nvSpPr>
            <xdr:cNvPr id="0" name=""/>
            <xdr:cNvSpPr>
              <a:spLocks noTextEdit="1"/>
            </xdr:cNvSpPr>
          </xdr:nvSpPr>
          <xdr:spPr>
            <a:xfrm>
              <a:off x="0" y="6467475"/>
              <a:ext cx="1856133" cy="20130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xdr:row>
      <xdr:rowOff>99804</xdr:rowOff>
    </xdr:from>
    <xdr:to>
      <xdr:col>3</xdr:col>
      <xdr:colOff>27333</xdr:colOff>
      <xdr:row>12</xdr:row>
      <xdr:rowOff>135833</xdr:rowOff>
    </xdr:to>
    <mc:AlternateContent xmlns:mc="http://schemas.openxmlformats.org/markup-compatibility/2006" xmlns:a14="http://schemas.microsoft.com/office/drawing/2010/main">
      <mc:Choice Requires="a14">
        <xdr:graphicFrame macro="">
          <xdr:nvGraphicFramePr>
            <xdr:cNvPr id="34" name="YearMonth 1">
              <a:extLst>
                <a:ext uri="{FF2B5EF4-FFF2-40B4-BE49-F238E27FC236}">
                  <a16:creationId xmlns:a16="http://schemas.microsoft.com/office/drawing/2014/main" id="{6262CADB-61CA-820E-D523-E5917EBBD534}"/>
                </a:ext>
              </a:extLst>
            </xdr:cNvPr>
            <xdr:cNvGraphicFramePr/>
          </xdr:nvGraphicFramePr>
          <xdr:xfrm>
            <a:off x="0" y="0"/>
            <a:ext cx="0" cy="0"/>
          </xdr:xfrm>
          <a:graphic>
            <a:graphicData uri="http://schemas.microsoft.com/office/drawing/2010/slicer">
              <sle:slicer xmlns:sle="http://schemas.microsoft.com/office/drawing/2010/slicer" name="YearMonth 1"/>
            </a:graphicData>
          </a:graphic>
        </xdr:graphicFrame>
      </mc:Choice>
      <mc:Fallback xmlns="">
        <xdr:sp macro="" textlink="">
          <xdr:nvSpPr>
            <xdr:cNvPr id="0" name=""/>
            <xdr:cNvSpPr>
              <a:spLocks noTextEdit="1"/>
            </xdr:cNvSpPr>
          </xdr:nvSpPr>
          <xdr:spPr>
            <a:xfrm>
              <a:off x="0" y="1280904"/>
              <a:ext cx="1856133" cy="25506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37</xdr:row>
      <xdr:rowOff>77444</xdr:rowOff>
    </xdr:from>
    <xdr:to>
      <xdr:col>3</xdr:col>
      <xdr:colOff>27333</xdr:colOff>
      <xdr:row>44</xdr:row>
      <xdr:rowOff>57151</xdr:rowOff>
    </xdr:to>
    <mc:AlternateContent xmlns:mc="http://schemas.openxmlformats.org/markup-compatibility/2006" xmlns:a14="http://schemas.microsoft.com/office/drawing/2010/main">
      <mc:Choice Requires="a14">
        <xdr:graphicFrame macro="">
          <xdr:nvGraphicFramePr>
            <xdr:cNvPr id="35" name="Material_Flag 1">
              <a:extLst>
                <a:ext uri="{FF2B5EF4-FFF2-40B4-BE49-F238E27FC236}">
                  <a16:creationId xmlns:a16="http://schemas.microsoft.com/office/drawing/2014/main" id="{18A24556-0A0B-87F2-C109-A6A0458A1FC2}"/>
                </a:ext>
              </a:extLst>
            </xdr:cNvPr>
            <xdr:cNvGraphicFramePr/>
          </xdr:nvGraphicFramePr>
          <xdr:xfrm>
            <a:off x="0" y="0"/>
            <a:ext cx="0" cy="0"/>
          </xdr:xfrm>
          <a:graphic>
            <a:graphicData uri="http://schemas.microsoft.com/office/drawing/2010/slicer">
              <sle:slicer xmlns:sle="http://schemas.microsoft.com/office/drawing/2010/slicer" name="Material_Flag 1"/>
            </a:graphicData>
          </a:graphic>
        </xdr:graphicFrame>
      </mc:Choice>
      <mc:Fallback xmlns="">
        <xdr:sp macro="" textlink="">
          <xdr:nvSpPr>
            <xdr:cNvPr id="0" name=""/>
            <xdr:cNvSpPr>
              <a:spLocks noTextEdit="1"/>
            </xdr:cNvSpPr>
          </xdr:nvSpPr>
          <xdr:spPr>
            <a:xfrm>
              <a:off x="0" y="8535644"/>
              <a:ext cx="1856133" cy="13132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44</xdr:row>
      <xdr:rowOff>58393</xdr:rowOff>
    </xdr:from>
    <xdr:to>
      <xdr:col>3</xdr:col>
      <xdr:colOff>27333</xdr:colOff>
      <xdr:row>57</xdr:row>
      <xdr:rowOff>79513</xdr:rowOff>
    </xdr:to>
    <mc:AlternateContent xmlns:mc="http://schemas.openxmlformats.org/markup-compatibility/2006" xmlns:a14="http://schemas.microsoft.com/office/drawing/2010/main">
      <mc:Choice Requires="a14">
        <xdr:graphicFrame macro="">
          <xdr:nvGraphicFramePr>
            <xdr:cNvPr id="36" name="CLASSIFY PERFORMANCE">
              <a:extLst>
                <a:ext uri="{FF2B5EF4-FFF2-40B4-BE49-F238E27FC236}">
                  <a16:creationId xmlns:a16="http://schemas.microsoft.com/office/drawing/2014/main" id="{992526F6-2B18-BBEF-60EE-F8923C361954}"/>
                </a:ext>
              </a:extLst>
            </xdr:cNvPr>
            <xdr:cNvGraphicFramePr/>
          </xdr:nvGraphicFramePr>
          <xdr:xfrm>
            <a:off x="0" y="0"/>
            <a:ext cx="0" cy="0"/>
          </xdr:xfrm>
          <a:graphic>
            <a:graphicData uri="http://schemas.microsoft.com/office/drawing/2010/slicer">
              <sle:slicer xmlns:sle="http://schemas.microsoft.com/office/drawing/2010/slicer" name="CLASSIFY PERFORMANCE"/>
            </a:graphicData>
          </a:graphic>
        </xdr:graphicFrame>
      </mc:Choice>
      <mc:Fallback xmlns="">
        <xdr:sp macro="" textlink="">
          <xdr:nvSpPr>
            <xdr:cNvPr id="0" name=""/>
            <xdr:cNvSpPr>
              <a:spLocks noTextEdit="1"/>
            </xdr:cNvSpPr>
          </xdr:nvSpPr>
          <xdr:spPr>
            <a:xfrm>
              <a:off x="0" y="9850093"/>
              <a:ext cx="1856133" cy="2497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8.xml><?xml version="1.0" encoding="utf-8"?>
<xdr:wsDr xmlns:xdr="http://schemas.openxmlformats.org/drawingml/2006/spreadsheetDrawing" xmlns:a="http://schemas.openxmlformats.org/drawingml/2006/main">
  <xdr:twoCellAnchor>
    <xdr:from>
      <xdr:col>0</xdr:col>
      <xdr:colOff>0</xdr:colOff>
      <xdr:row>5</xdr:row>
      <xdr:rowOff>95249</xdr:rowOff>
    </xdr:from>
    <xdr:to>
      <xdr:col>9</xdr:col>
      <xdr:colOff>238125</xdr:colOff>
      <xdr:row>20</xdr:row>
      <xdr:rowOff>104774</xdr:rowOff>
    </xdr:to>
    <xdr:graphicFrame macro="">
      <xdr:nvGraphicFramePr>
        <xdr:cNvPr id="2" name="Chart 1">
          <a:extLst>
            <a:ext uri="{FF2B5EF4-FFF2-40B4-BE49-F238E27FC236}">
              <a16:creationId xmlns:a16="http://schemas.microsoft.com/office/drawing/2014/main" id="{78D53765-D0B5-5421-29B3-D27AD1261E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11</xdr:row>
      <xdr:rowOff>28575</xdr:rowOff>
    </xdr:from>
    <xdr:to>
      <xdr:col>9</xdr:col>
      <xdr:colOff>419100</xdr:colOff>
      <xdr:row>26</xdr:row>
      <xdr:rowOff>47625</xdr:rowOff>
    </xdr:to>
    <xdr:graphicFrame macro="">
      <xdr:nvGraphicFramePr>
        <xdr:cNvPr id="2" name="Chart 1">
          <a:extLst>
            <a:ext uri="{FF2B5EF4-FFF2-40B4-BE49-F238E27FC236}">
              <a16:creationId xmlns:a16="http://schemas.microsoft.com/office/drawing/2014/main" id="{E63FE939-CED8-EB36-106F-E4BF58729F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21.956627430554" createdVersion="8" refreshedVersion="8" minRefreshableVersion="3" recordCount="2001" xr:uid="{4F4C6494-ABFD-4E9E-BA0D-DE53ABCEFE16}">
  <cacheSource type="worksheet">
    <worksheetSource ref="A1:L1048576" sheet="GeneralLedger"/>
  </cacheSource>
  <cacheFields count="15">
    <cacheField name="GLID" numFmtId="0">
      <sharedItems containsBlank="1" count="2001">
        <s v="GL000000"/>
        <s v="GL000001"/>
        <s v="GL000002"/>
        <s v="GL000003"/>
        <s v="GL000004"/>
        <s v="GL000005"/>
        <s v="GL000006"/>
        <s v="GL000007"/>
        <s v="GL000008"/>
        <s v="GL000009"/>
        <s v="GL000010"/>
        <s v="GL000011"/>
        <s v="GL000012"/>
        <s v="GL000013"/>
        <s v="GL000014"/>
        <s v="GL000015"/>
        <s v="GL000016"/>
        <s v="GL000017"/>
        <s v="GL000018"/>
        <s v="GL000019"/>
        <s v="GL000020"/>
        <s v="GL000021"/>
        <s v="GL000022"/>
        <s v="GL000023"/>
        <s v="GL000024"/>
        <s v="GL000025"/>
        <s v="GL000026"/>
        <s v="GL000027"/>
        <s v="GL000028"/>
        <s v="GL000029"/>
        <s v="GL000030"/>
        <s v="GL000031"/>
        <s v="GL000032"/>
        <s v="GL000033"/>
        <s v="GL000034"/>
        <s v="GL000035"/>
        <s v="GL000036"/>
        <s v="GL000037"/>
        <s v="GL000038"/>
        <s v="GL000039"/>
        <s v="GL000040"/>
        <s v="GL000041"/>
        <s v="GL000042"/>
        <s v="GL000043"/>
        <s v="GL000044"/>
        <s v="GL000045"/>
        <s v="GL000046"/>
        <s v="GL000047"/>
        <s v="GL000048"/>
        <s v="GL000049"/>
        <s v="GL000050"/>
        <s v="GL000051"/>
        <s v="GL000052"/>
        <s v="GL000053"/>
        <s v="GL000054"/>
        <s v="GL000055"/>
        <s v="GL000056"/>
        <s v="GL000057"/>
        <s v="GL000058"/>
        <s v="GL000059"/>
        <s v="GL000060"/>
        <s v="GL000061"/>
        <s v="GL000062"/>
        <s v="GL000063"/>
        <s v="GL000064"/>
        <s v="GL000065"/>
        <s v="GL000066"/>
        <s v="GL000067"/>
        <s v="GL000068"/>
        <s v="GL000069"/>
        <s v="GL000070"/>
        <s v="GL000071"/>
        <s v="GL000072"/>
        <s v="GL000073"/>
        <s v="GL000074"/>
        <s v="GL000075"/>
        <s v="GL000076"/>
        <s v="GL000077"/>
        <s v="GL000078"/>
        <s v="GL000079"/>
        <s v="GL000080"/>
        <s v="GL000081"/>
        <s v="GL000082"/>
        <s v="GL000083"/>
        <s v="GL000084"/>
        <s v="GL000085"/>
        <s v="GL000086"/>
        <s v="GL000087"/>
        <s v="GL000088"/>
        <s v="GL000089"/>
        <s v="GL000090"/>
        <s v="GL000091"/>
        <s v="GL000092"/>
        <s v="GL000093"/>
        <s v="GL000094"/>
        <s v="GL000095"/>
        <s v="GL000096"/>
        <s v="GL000097"/>
        <s v="GL000098"/>
        <s v="GL000099"/>
        <s v="GL000100"/>
        <s v="GL000101"/>
        <s v="GL000102"/>
        <s v="GL000103"/>
        <s v="GL000104"/>
        <s v="GL000105"/>
        <s v="GL000106"/>
        <s v="GL000107"/>
        <s v="GL000108"/>
        <s v="GL000109"/>
        <s v="GL000110"/>
        <s v="GL000111"/>
        <s v="GL000112"/>
        <s v="GL000113"/>
        <s v="GL000114"/>
        <s v="GL000115"/>
        <s v="GL000116"/>
        <s v="GL000117"/>
        <s v="GL000118"/>
        <s v="GL000119"/>
        <s v="GL000120"/>
        <s v="GL000121"/>
        <s v="GL000122"/>
        <s v="GL000123"/>
        <s v="GL000124"/>
        <s v="GL000125"/>
        <s v="GL000126"/>
        <s v="GL000127"/>
        <s v="GL000128"/>
        <s v="GL000129"/>
        <s v="GL000130"/>
        <s v="GL000131"/>
        <s v="GL000132"/>
        <s v="GL000133"/>
        <s v="GL000134"/>
        <s v="GL000135"/>
        <s v="GL000136"/>
        <s v="GL000137"/>
        <s v="GL000138"/>
        <s v="GL000139"/>
        <s v="GL000140"/>
        <s v="GL000141"/>
        <s v="GL000142"/>
        <s v="GL000143"/>
        <s v="GL000144"/>
        <s v="GL000145"/>
        <s v="GL000146"/>
        <s v="GL000147"/>
        <s v="GL000148"/>
        <s v="GL000149"/>
        <s v="GL000150"/>
        <s v="GL000151"/>
        <s v="GL000152"/>
        <s v="GL000153"/>
        <s v="GL000154"/>
        <s v="GL000155"/>
        <s v="GL000156"/>
        <s v="GL000157"/>
        <s v="GL000158"/>
        <s v="GL000159"/>
        <s v="GL000160"/>
        <s v="GL000161"/>
        <s v="GL000162"/>
        <s v="GL000163"/>
        <s v="GL000164"/>
        <s v="GL000165"/>
        <s v="GL000166"/>
        <s v="GL000167"/>
        <s v="GL000168"/>
        <s v="GL000169"/>
        <s v="GL000170"/>
        <s v="GL000171"/>
        <s v="GL000172"/>
        <s v="GL000173"/>
        <s v="GL000174"/>
        <s v="GL000175"/>
        <s v="GL000176"/>
        <s v="GL000177"/>
        <s v="GL000178"/>
        <s v="GL000179"/>
        <s v="GL000180"/>
        <s v="GL000181"/>
        <s v="GL000182"/>
        <s v="GL000183"/>
        <s v="GL000184"/>
        <s v="GL000185"/>
        <s v="GL000186"/>
        <s v="GL000187"/>
        <s v="GL000188"/>
        <s v="GL000189"/>
        <s v="GL000190"/>
        <s v="GL000191"/>
        <s v="GL000192"/>
        <s v="GL000193"/>
        <s v="GL000194"/>
        <s v="GL000195"/>
        <s v="GL000196"/>
        <s v="GL000197"/>
        <s v="GL000198"/>
        <s v="GL000199"/>
        <s v="GL000200"/>
        <s v="GL000201"/>
        <s v="GL000202"/>
        <s v="GL000203"/>
        <s v="GL000204"/>
        <s v="GL000205"/>
        <s v="GL000206"/>
        <s v="GL000207"/>
        <s v="GL000208"/>
        <s v="GL000209"/>
        <s v="GL000210"/>
        <s v="GL000211"/>
        <s v="GL000212"/>
        <s v="GL000213"/>
        <s v="GL000214"/>
        <s v="GL000215"/>
        <s v="GL000216"/>
        <s v="GL000217"/>
        <s v="GL000218"/>
        <s v="GL000219"/>
        <s v="GL000220"/>
        <s v="GL000221"/>
        <s v="GL000222"/>
        <s v="GL000223"/>
        <s v="GL000224"/>
        <s v="GL000225"/>
        <s v="GL000226"/>
        <s v="GL000227"/>
        <s v="GL000228"/>
        <s v="GL000229"/>
        <s v="GL000230"/>
        <s v="GL000231"/>
        <s v="GL000232"/>
        <s v="GL000233"/>
        <s v="GL000234"/>
        <s v="GL000235"/>
        <s v="GL000236"/>
        <s v="GL000237"/>
        <s v="GL000238"/>
        <s v="GL000239"/>
        <s v="GL000240"/>
        <s v="GL000241"/>
        <s v="GL000242"/>
        <s v="GL000243"/>
        <s v="GL000244"/>
        <s v="GL000245"/>
        <s v="GL000246"/>
        <s v="GL000247"/>
        <s v="GL000248"/>
        <s v="GL000249"/>
        <s v="GL000250"/>
        <s v="GL000251"/>
        <s v="GL000252"/>
        <s v="GL000253"/>
        <s v="GL000254"/>
        <s v="GL000255"/>
        <s v="GL000256"/>
        <s v="GL000257"/>
        <s v="GL000258"/>
        <s v="GL000259"/>
        <s v="GL000260"/>
        <s v="GL000261"/>
        <s v="GL000262"/>
        <s v="GL000263"/>
        <s v="GL000264"/>
        <s v="GL000265"/>
        <s v="GL000266"/>
        <s v="GL000267"/>
        <s v="GL000268"/>
        <s v="GL000269"/>
        <s v="GL000270"/>
        <s v="GL000271"/>
        <s v="GL000272"/>
        <s v="GL000273"/>
        <s v="GL000274"/>
        <s v="GL000275"/>
        <s v="GL000276"/>
        <s v="GL000277"/>
        <s v="GL000278"/>
        <s v="GL000279"/>
        <s v="GL000280"/>
        <s v="GL000281"/>
        <s v="GL000282"/>
        <s v="GL000283"/>
        <s v="GL000284"/>
        <s v="GL000285"/>
        <s v="GL000286"/>
        <s v="GL000287"/>
        <s v="GL000288"/>
        <s v="GL000289"/>
        <s v="GL000290"/>
        <s v="GL000291"/>
        <s v="GL000292"/>
        <s v="GL000293"/>
        <s v="GL000294"/>
        <s v="GL000295"/>
        <s v="GL000296"/>
        <s v="GL000297"/>
        <s v="GL000298"/>
        <s v="GL000299"/>
        <s v="GL000300"/>
        <s v="GL000301"/>
        <s v="GL000302"/>
        <s v="GL000303"/>
        <s v="GL000304"/>
        <s v="GL000305"/>
        <s v="GL000306"/>
        <s v="GL000307"/>
        <s v="GL000308"/>
        <s v="GL000309"/>
        <s v="GL000310"/>
        <s v="GL000311"/>
        <s v="GL000312"/>
        <s v="GL000313"/>
        <s v="GL000314"/>
        <s v="GL000315"/>
        <s v="GL000316"/>
        <s v="GL000317"/>
        <s v="GL000318"/>
        <s v="GL000319"/>
        <s v="GL000320"/>
        <s v="GL000321"/>
        <s v="GL000322"/>
        <s v="GL000323"/>
        <s v="GL000324"/>
        <s v="GL000325"/>
        <s v="GL000326"/>
        <s v="GL000327"/>
        <s v="GL000328"/>
        <s v="GL000329"/>
        <s v="GL000330"/>
        <s v="GL000331"/>
        <s v="GL000332"/>
        <s v="GL000333"/>
        <s v="GL000334"/>
        <s v="GL000335"/>
        <s v="GL000336"/>
        <s v="GL000337"/>
        <s v="GL000338"/>
        <s v="GL000339"/>
        <s v="GL000340"/>
        <s v="GL000341"/>
        <s v="GL000342"/>
        <s v="GL000343"/>
        <s v="GL000344"/>
        <s v="GL000345"/>
        <s v="GL000346"/>
        <s v="GL000347"/>
        <s v="GL000348"/>
        <s v="GL000349"/>
        <s v="GL000350"/>
        <s v="GL000351"/>
        <s v="GL000352"/>
        <s v="GL000353"/>
        <s v="GL000354"/>
        <s v="GL000355"/>
        <s v="GL000356"/>
        <s v="GL000357"/>
        <s v="GL000358"/>
        <s v="GL000359"/>
        <s v="GL000360"/>
        <s v="GL000361"/>
        <s v="GL000362"/>
        <s v="GL000363"/>
        <s v="GL000364"/>
        <s v="GL000365"/>
        <s v="GL000366"/>
        <s v="GL000367"/>
        <s v="GL000368"/>
        <s v="GL000369"/>
        <s v="GL000370"/>
        <s v="GL000371"/>
        <s v="GL000372"/>
        <s v="GL000373"/>
        <s v="GL000374"/>
        <s v="GL000375"/>
        <s v="GL000376"/>
        <s v="GL000377"/>
        <s v="GL000378"/>
        <s v="GL000379"/>
        <s v="GL000380"/>
        <s v="GL000381"/>
        <s v="GL000382"/>
        <s v="GL000383"/>
        <s v="GL000384"/>
        <s v="GL000385"/>
        <s v="GL000386"/>
        <s v="GL000387"/>
        <s v="GL000388"/>
        <s v="GL000389"/>
        <s v="GL000390"/>
        <s v="GL000391"/>
        <s v="GL000392"/>
        <s v="GL000393"/>
        <s v="GL000394"/>
        <s v="GL000395"/>
        <s v="GL000396"/>
        <s v="GL000397"/>
        <s v="GL000398"/>
        <s v="GL000399"/>
        <s v="GL000400"/>
        <s v="GL000401"/>
        <s v="GL000402"/>
        <s v="GL000403"/>
        <s v="GL000404"/>
        <s v="GL000405"/>
        <s v="GL000406"/>
        <s v="GL000407"/>
        <s v="GL000408"/>
        <s v="GL000409"/>
        <s v="GL000410"/>
        <s v="GL000411"/>
        <s v="GL000412"/>
        <s v="GL000413"/>
        <s v="GL000414"/>
        <s v="GL000415"/>
        <s v="GL000416"/>
        <s v="GL000417"/>
        <s v="GL000418"/>
        <s v="GL000419"/>
        <s v="GL000420"/>
        <s v="GL000421"/>
        <s v="GL000422"/>
        <s v="GL000423"/>
        <s v="GL000424"/>
        <s v="GL000425"/>
        <s v="GL000426"/>
        <s v="GL000427"/>
        <s v="GL000428"/>
        <s v="GL000429"/>
        <s v="GL000430"/>
        <s v="GL000431"/>
        <s v="GL000432"/>
        <s v="GL000433"/>
        <s v="GL000434"/>
        <s v="GL000435"/>
        <s v="GL000436"/>
        <s v="GL000437"/>
        <s v="GL000438"/>
        <s v="GL000439"/>
        <s v="GL000440"/>
        <s v="GL000441"/>
        <s v="GL000442"/>
        <s v="GL000443"/>
        <s v="GL000444"/>
        <s v="GL000445"/>
        <s v="GL000446"/>
        <s v="GL000447"/>
        <s v="GL000448"/>
        <s v="GL000449"/>
        <s v="GL000450"/>
        <s v="GL000451"/>
        <s v="GL000452"/>
        <s v="GL000453"/>
        <s v="GL000454"/>
        <s v="GL000455"/>
        <s v="GL000456"/>
        <s v="GL000457"/>
        <s v="GL000458"/>
        <s v="GL000459"/>
        <s v="GL000460"/>
        <s v="GL000461"/>
        <s v="GL000462"/>
        <s v="GL000463"/>
        <s v="GL000464"/>
        <s v="GL000465"/>
        <s v="GL000466"/>
        <s v="GL000467"/>
        <s v="GL000468"/>
        <s v="GL000469"/>
        <s v="GL000470"/>
        <s v="GL000471"/>
        <s v="GL000472"/>
        <s v="GL000473"/>
        <s v="GL000474"/>
        <s v="GL000475"/>
        <s v="GL000476"/>
        <s v="GL000477"/>
        <s v="GL000478"/>
        <s v="GL000479"/>
        <s v="GL000480"/>
        <s v="GL000481"/>
        <s v="GL000482"/>
        <s v="GL000483"/>
        <s v="GL000484"/>
        <s v="GL000485"/>
        <s v="GL000486"/>
        <s v="GL000487"/>
        <s v="GL000488"/>
        <s v="GL000489"/>
        <s v="GL000490"/>
        <s v="GL000491"/>
        <s v="GL000492"/>
        <s v="GL000493"/>
        <s v="GL000494"/>
        <s v="GL000495"/>
        <s v="GL000496"/>
        <s v="GL000497"/>
        <s v="GL000498"/>
        <s v="GL000499"/>
        <s v="GL000500"/>
        <s v="GL000501"/>
        <s v="GL000502"/>
        <s v="GL000503"/>
        <s v="GL000504"/>
        <s v="GL000505"/>
        <s v="GL000506"/>
        <s v="GL000507"/>
        <s v="GL000508"/>
        <s v="GL000509"/>
        <s v="GL000510"/>
        <s v="GL000511"/>
        <s v="GL000512"/>
        <s v="GL000513"/>
        <s v="GL000514"/>
        <s v="GL000515"/>
        <s v="GL000516"/>
        <s v="GL000517"/>
        <s v="GL000518"/>
        <s v="GL000519"/>
        <s v="GL000520"/>
        <s v="GL000521"/>
        <s v="GL000522"/>
        <s v="GL000523"/>
        <s v="GL000524"/>
        <s v="GL000525"/>
        <s v="GL000526"/>
        <s v="GL000527"/>
        <s v="GL000528"/>
        <s v="GL000529"/>
        <s v="GL000530"/>
        <s v="GL000531"/>
        <s v="GL000532"/>
        <s v="GL000533"/>
        <s v="GL000534"/>
        <s v="GL000535"/>
        <s v="GL000536"/>
        <s v="GL000537"/>
        <s v="GL000538"/>
        <s v="GL000539"/>
        <s v="GL000540"/>
        <s v="GL000541"/>
        <s v="GL000542"/>
        <s v="GL000543"/>
        <s v="GL000544"/>
        <s v="GL000545"/>
        <s v="GL000546"/>
        <s v="GL000547"/>
        <s v="GL000548"/>
        <s v="GL000549"/>
        <s v="GL000550"/>
        <s v="GL000551"/>
        <s v="GL000552"/>
        <s v="GL000553"/>
        <s v="GL000554"/>
        <s v="GL000555"/>
        <s v="GL000556"/>
        <s v="GL000557"/>
        <s v="GL000558"/>
        <s v="GL000559"/>
        <s v="GL000560"/>
        <s v="GL000561"/>
        <s v="GL000562"/>
        <s v="GL000563"/>
        <s v="GL000564"/>
        <s v="GL000565"/>
        <s v="GL000566"/>
        <s v="GL000567"/>
        <s v="GL000568"/>
        <s v="GL000569"/>
        <s v="GL000570"/>
        <s v="GL000571"/>
        <s v="GL000572"/>
        <s v="GL000573"/>
        <s v="GL000574"/>
        <s v="GL000575"/>
        <s v="GL000576"/>
        <s v="GL000577"/>
        <s v="GL000578"/>
        <s v="GL000579"/>
        <s v="GL000580"/>
        <s v="GL000581"/>
        <s v="GL000582"/>
        <s v="GL000583"/>
        <s v="GL000584"/>
        <s v="GL000585"/>
        <s v="GL000586"/>
        <s v="GL000587"/>
        <s v="GL000588"/>
        <s v="GL000589"/>
        <s v="GL000590"/>
        <s v="GL000591"/>
        <s v="GL000592"/>
        <s v="GL000593"/>
        <s v="GL000594"/>
        <s v="GL000595"/>
        <s v="GL000596"/>
        <s v="GL000597"/>
        <s v="GL000598"/>
        <s v="GL000599"/>
        <s v="GL000600"/>
        <s v="GL000601"/>
        <s v="GL000602"/>
        <s v="GL000603"/>
        <s v="GL000604"/>
        <s v="GL000605"/>
        <s v="GL000606"/>
        <s v="GL000607"/>
        <s v="GL000608"/>
        <s v="GL000609"/>
        <s v="GL000610"/>
        <s v="GL000611"/>
        <s v="GL000612"/>
        <s v="GL000613"/>
        <s v="GL000614"/>
        <s v="GL000615"/>
        <s v="GL000616"/>
        <s v="GL000617"/>
        <s v="GL000618"/>
        <s v="GL000619"/>
        <s v="GL000620"/>
        <s v="GL000621"/>
        <s v="GL000622"/>
        <s v="GL000623"/>
        <s v="GL000624"/>
        <s v="GL000625"/>
        <s v="GL000626"/>
        <s v="GL000627"/>
        <s v="GL000628"/>
        <s v="GL000629"/>
        <s v="GL000630"/>
        <s v="GL000631"/>
        <s v="GL000632"/>
        <s v="GL000633"/>
        <s v="GL000634"/>
        <s v="GL000635"/>
        <s v="GL000636"/>
        <s v="GL000637"/>
        <s v="GL000638"/>
        <s v="GL000639"/>
        <s v="GL000640"/>
        <s v="GL000641"/>
        <s v="GL000642"/>
        <s v="GL000643"/>
        <s v="GL000644"/>
        <s v="GL000645"/>
        <s v="GL000646"/>
        <s v="GL000647"/>
        <s v="GL000648"/>
        <s v="GL000649"/>
        <s v="GL000650"/>
        <s v="GL000651"/>
        <s v="GL000652"/>
        <s v="GL000653"/>
        <s v="GL000654"/>
        <s v="GL000655"/>
        <s v="GL000656"/>
        <s v="GL000657"/>
        <s v="GL000658"/>
        <s v="GL000659"/>
        <s v="GL000660"/>
        <s v="GL000661"/>
        <s v="GL000662"/>
        <s v="GL000663"/>
        <s v="GL000664"/>
        <s v="GL000665"/>
        <s v="GL000666"/>
        <s v="GL000667"/>
        <s v="GL000668"/>
        <s v="GL000669"/>
        <s v="GL000670"/>
        <s v="GL000671"/>
        <s v="GL000672"/>
        <s v="GL000673"/>
        <s v="GL000674"/>
        <s v="GL000675"/>
        <s v="GL000676"/>
        <s v="GL000677"/>
        <s v="GL000678"/>
        <s v="GL000679"/>
        <s v="GL000680"/>
        <s v="GL000681"/>
        <s v="GL000682"/>
        <s v="GL000683"/>
        <s v="GL000684"/>
        <s v="GL000685"/>
        <s v="GL000686"/>
        <s v="GL000687"/>
        <s v="GL000688"/>
        <s v="GL000689"/>
        <s v="GL000690"/>
        <s v="GL000691"/>
        <s v="GL000692"/>
        <s v="GL000693"/>
        <s v="GL000694"/>
        <s v="GL000695"/>
        <s v="GL000696"/>
        <s v="GL000697"/>
        <s v="GL000698"/>
        <s v="GL000699"/>
        <s v="GL000700"/>
        <s v="GL000701"/>
        <s v="GL000702"/>
        <s v="GL000703"/>
        <s v="GL000704"/>
        <s v="GL000705"/>
        <s v="GL000706"/>
        <s v="GL000707"/>
        <s v="GL000708"/>
        <s v="GL000709"/>
        <s v="GL000710"/>
        <s v="GL000711"/>
        <s v="GL000712"/>
        <s v="GL000713"/>
        <s v="GL000714"/>
        <s v="GL000715"/>
        <s v="GL000716"/>
        <s v="GL000717"/>
        <s v="GL000718"/>
        <s v="GL000719"/>
        <s v="GL000720"/>
        <s v="GL000721"/>
        <s v="GL000722"/>
        <s v="GL000723"/>
        <s v="GL000724"/>
        <s v="GL000725"/>
        <s v="GL000726"/>
        <s v="GL000727"/>
        <s v="GL000728"/>
        <s v="GL000729"/>
        <s v="GL000730"/>
        <s v="GL000731"/>
        <s v="GL000732"/>
        <s v="GL000733"/>
        <s v="GL000734"/>
        <s v="GL000735"/>
        <s v="GL000736"/>
        <s v="GL000737"/>
        <s v="GL000738"/>
        <s v="GL000739"/>
        <s v="GL000740"/>
        <s v="GL000741"/>
        <s v="GL000742"/>
        <s v="GL000743"/>
        <s v="GL000744"/>
        <s v="GL000745"/>
        <s v="GL000746"/>
        <s v="GL000747"/>
        <s v="GL000748"/>
        <s v="GL000749"/>
        <s v="GL000750"/>
        <s v="GL000751"/>
        <s v="GL000752"/>
        <s v="GL000753"/>
        <s v="GL000754"/>
        <s v="GL000755"/>
        <s v="GL000756"/>
        <s v="GL000757"/>
        <s v="GL000758"/>
        <s v="GL000759"/>
        <s v="GL000760"/>
        <s v="GL000761"/>
        <s v="GL000762"/>
        <s v="GL000763"/>
        <s v="GL000764"/>
        <s v="GL000765"/>
        <s v="GL000766"/>
        <s v="GL000767"/>
        <s v="GL000768"/>
        <s v="GL000769"/>
        <s v="GL000770"/>
        <s v="GL000771"/>
        <s v="GL000772"/>
        <s v="GL000773"/>
        <s v="GL000774"/>
        <s v="GL000775"/>
        <s v="GL000776"/>
        <s v="GL000777"/>
        <s v="GL000778"/>
        <s v="GL000779"/>
        <s v="GL000780"/>
        <s v="GL000781"/>
        <s v="GL000782"/>
        <s v="GL000783"/>
        <s v="GL000784"/>
        <s v="GL000785"/>
        <s v="GL000786"/>
        <s v="GL000787"/>
        <s v="GL000788"/>
        <s v="GL000789"/>
        <s v="GL000790"/>
        <s v="GL000791"/>
        <s v="GL000792"/>
        <s v="GL000793"/>
        <s v="GL000794"/>
        <s v="GL000795"/>
        <s v="GL000796"/>
        <s v="GL000797"/>
        <s v="GL000798"/>
        <s v="GL000799"/>
        <s v="GL000800"/>
        <s v="GL000801"/>
        <s v="GL000802"/>
        <s v="GL000803"/>
        <s v="GL000804"/>
        <s v="GL000805"/>
        <s v="GL000806"/>
        <s v="GL000807"/>
        <s v="GL000808"/>
        <s v="GL000809"/>
        <s v="GL000810"/>
        <s v="GL000811"/>
        <s v="GL000812"/>
        <s v="GL000813"/>
        <s v="GL000814"/>
        <s v="GL000815"/>
        <s v="GL000816"/>
        <s v="GL000817"/>
        <s v="GL000818"/>
        <s v="GL000819"/>
        <s v="GL000820"/>
        <s v="GL000821"/>
        <s v="GL000822"/>
        <s v="GL000823"/>
        <s v="GL000824"/>
        <s v="GL000825"/>
        <s v="GL000826"/>
        <s v="GL000827"/>
        <s v="GL000828"/>
        <s v="GL000829"/>
        <s v="GL000830"/>
        <s v="GL000831"/>
        <s v="GL000832"/>
        <s v="GL000833"/>
        <s v="GL000834"/>
        <s v="GL000835"/>
        <s v="GL000836"/>
        <s v="GL000837"/>
        <s v="GL000838"/>
        <s v="GL000839"/>
        <s v="GL000840"/>
        <s v="GL000841"/>
        <s v="GL000842"/>
        <s v="GL000843"/>
        <s v="GL000844"/>
        <s v="GL000845"/>
        <s v="GL000846"/>
        <s v="GL000847"/>
        <s v="GL000848"/>
        <s v="GL000849"/>
        <s v="GL000850"/>
        <s v="GL000851"/>
        <s v="GL000852"/>
        <s v="GL000853"/>
        <s v="GL000854"/>
        <s v="GL000855"/>
        <s v="GL000856"/>
        <s v="GL000857"/>
        <s v="GL000858"/>
        <s v="GL000859"/>
        <s v="GL000860"/>
        <s v="GL000861"/>
        <s v="GL000862"/>
        <s v="GL000863"/>
        <s v="GL000864"/>
        <s v="GL000865"/>
        <s v="GL000866"/>
        <s v="GL000867"/>
        <s v="GL000868"/>
        <s v="GL000869"/>
        <s v="GL000870"/>
        <s v="GL000871"/>
        <s v="GL000872"/>
        <s v="GL000873"/>
        <s v="GL000874"/>
        <s v="GL000875"/>
        <s v="GL000876"/>
        <s v="GL000877"/>
        <s v="GL000878"/>
        <s v="GL000879"/>
        <s v="GL000880"/>
        <s v="GL000881"/>
        <s v="GL000882"/>
        <s v="GL000883"/>
        <s v="GL000884"/>
        <s v="GL000885"/>
        <s v="GL000886"/>
        <s v="GL000887"/>
        <s v="GL000888"/>
        <s v="GL000889"/>
        <s v="GL000890"/>
        <s v="GL000891"/>
        <s v="GL000892"/>
        <s v="GL000893"/>
        <s v="GL000894"/>
        <s v="GL000895"/>
        <s v="GL000896"/>
        <s v="GL000897"/>
        <s v="GL000898"/>
        <s v="GL000899"/>
        <s v="GL000900"/>
        <s v="GL000901"/>
        <s v="GL000902"/>
        <s v="GL000903"/>
        <s v="GL000904"/>
        <s v="GL000905"/>
        <s v="GL000906"/>
        <s v="GL000907"/>
        <s v="GL000908"/>
        <s v="GL000909"/>
        <s v="GL000910"/>
        <s v="GL000911"/>
        <s v="GL000912"/>
        <s v="GL000913"/>
        <s v="GL000914"/>
        <s v="GL000915"/>
        <s v="GL000916"/>
        <s v="GL000917"/>
        <s v="GL000918"/>
        <s v="GL000919"/>
        <s v="GL000920"/>
        <s v="GL000921"/>
        <s v="GL000922"/>
        <s v="GL000923"/>
        <s v="GL000924"/>
        <s v="GL000925"/>
        <s v="GL000926"/>
        <s v="GL000927"/>
        <s v="GL000928"/>
        <s v="GL000929"/>
        <s v="GL000930"/>
        <s v="GL000931"/>
        <s v="GL000932"/>
        <s v="GL000933"/>
        <s v="GL000934"/>
        <s v="GL000935"/>
        <s v="GL000936"/>
        <s v="GL000937"/>
        <s v="GL000938"/>
        <s v="GL000939"/>
        <s v="GL000940"/>
        <s v="GL000941"/>
        <s v="GL000942"/>
        <s v="GL000943"/>
        <s v="GL000944"/>
        <s v="GL000945"/>
        <s v="GL000946"/>
        <s v="GL000947"/>
        <s v="GL000948"/>
        <s v="GL000949"/>
        <s v="GL000950"/>
        <s v="GL000951"/>
        <s v="GL000952"/>
        <s v="GL000953"/>
        <s v="GL000954"/>
        <s v="GL000955"/>
        <s v="GL000956"/>
        <s v="GL000957"/>
        <s v="GL000958"/>
        <s v="GL000959"/>
        <s v="GL000960"/>
        <s v="GL000961"/>
        <s v="GL000962"/>
        <s v="GL000963"/>
        <s v="GL000964"/>
        <s v="GL000965"/>
        <s v="GL000966"/>
        <s v="GL000967"/>
        <s v="GL000968"/>
        <s v="GL000969"/>
        <s v="GL000970"/>
        <s v="GL000971"/>
        <s v="GL000972"/>
        <s v="GL000973"/>
        <s v="GL000974"/>
        <s v="GL000975"/>
        <s v="GL000976"/>
        <s v="GL000977"/>
        <s v="GL000978"/>
        <s v="GL000979"/>
        <s v="GL000980"/>
        <s v="GL000981"/>
        <s v="GL000982"/>
        <s v="GL000983"/>
        <s v="GL000984"/>
        <s v="GL000985"/>
        <s v="GL000986"/>
        <s v="GL000987"/>
        <s v="GL000988"/>
        <s v="GL000989"/>
        <s v="GL000990"/>
        <s v="GL000991"/>
        <s v="GL000992"/>
        <s v="GL000993"/>
        <s v="GL000994"/>
        <s v="GL000995"/>
        <s v="GL000996"/>
        <s v="GL000997"/>
        <s v="GL000998"/>
        <s v="GL000999"/>
        <s v="GL001000"/>
        <s v="GL001001"/>
        <s v="GL001002"/>
        <s v="GL001003"/>
        <s v="GL001004"/>
        <s v="GL001005"/>
        <s v="GL001006"/>
        <s v="GL001007"/>
        <s v="GL001008"/>
        <s v="GL001009"/>
        <s v="GL001010"/>
        <s v="GL001011"/>
        <s v="GL001012"/>
        <s v="GL001013"/>
        <s v="GL001014"/>
        <s v="GL001015"/>
        <s v="GL001016"/>
        <s v="GL001017"/>
        <s v="GL001018"/>
        <s v="GL001019"/>
        <s v="GL001020"/>
        <s v="GL001021"/>
        <s v="GL001022"/>
        <s v="GL001023"/>
        <s v="GL001024"/>
        <s v="GL001025"/>
        <s v="GL001026"/>
        <s v="GL001027"/>
        <s v="GL001028"/>
        <s v="GL001029"/>
        <s v="GL001030"/>
        <s v="GL001031"/>
        <s v="GL001032"/>
        <s v="GL001033"/>
        <s v="GL001034"/>
        <s v="GL001035"/>
        <s v="GL001036"/>
        <s v="GL001037"/>
        <s v="GL001038"/>
        <s v="GL001039"/>
        <s v="GL001040"/>
        <s v="GL001041"/>
        <s v="GL001042"/>
        <s v="GL001043"/>
        <s v="GL001044"/>
        <s v="GL001045"/>
        <s v="GL001046"/>
        <s v="GL001047"/>
        <s v="GL001048"/>
        <s v="GL001049"/>
        <s v="GL001050"/>
        <s v="GL001051"/>
        <s v="GL001052"/>
        <s v="GL001053"/>
        <s v="GL001054"/>
        <s v="GL001055"/>
        <s v="GL001056"/>
        <s v="GL001057"/>
        <s v="GL001058"/>
        <s v="GL001059"/>
        <s v="GL001060"/>
        <s v="GL001061"/>
        <s v="GL001062"/>
        <s v="GL001063"/>
        <s v="GL001064"/>
        <s v="GL001065"/>
        <s v="GL001066"/>
        <s v="GL001067"/>
        <s v="GL001068"/>
        <s v="GL001069"/>
        <s v="GL001070"/>
        <s v="GL001071"/>
        <s v="GL001072"/>
        <s v="GL001073"/>
        <s v="GL001074"/>
        <s v="GL001075"/>
        <s v="GL001076"/>
        <s v="GL001077"/>
        <s v="GL001078"/>
        <s v="GL001079"/>
        <s v="GL001080"/>
        <s v="GL001081"/>
        <s v="GL001082"/>
        <s v="GL001083"/>
        <s v="GL001084"/>
        <s v="GL001085"/>
        <s v="GL001086"/>
        <s v="GL001087"/>
        <s v="GL001088"/>
        <s v="GL001089"/>
        <s v="GL001090"/>
        <s v="GL001091"/>
        <s v="GL001092"/>
        <s v="GL001093"/>
        <s v="GL001094"/>
        <s v="GL001095"/>
        <s v="GL001096"/>
        <s v="GL001097"/>
        <s v="GL001098"/>
        <s v="GL001099"/>
        <s v="GL001100"/>
        <s v="GL001101"/>
        <s v="GL001102"/>
        <s v="GL001103"/>
        <s v="GL001104"/>
        <s v="GL001105"/>
        <s v="GL001106"/>
        <s v="GL001107"/>
        <s v="GL001108"/>
        <s v="GL001109"/>
        <s v="GL001110"/>
        <s v="GL001111"/>
        <s v="GL001112"/>
        <s v="GL001113"/>
        <s v="GL001114"/>
        <s v="GL001115"/>
        <s v="GL001116"/>
        <s v="GL001117"/>
        <s v="GL001118"/>
        <s v="GL001119"/>
        <s v="GL001120"/>
        <s v="GL001121"/>
        <s v="GL001122"/>
        <s v="GL001123"/>
        <s v="GL001124"/>
        <s v="GL001125"/>
        <s v="GL001126"/>
        <s v="GL001127"/>
        <s v="GL001128"/>
        <s v="GL001129"/>
        <s v="GL001130"/>
        <s v="GL001131"/>
        <s v="GL001132"/>
        <s v="GL001133"/>
        <s v="GL001134"/>
        <s v="GL001135"/>
        <s v="GL001136"/>
        <s v="GL001137"/>
        <s v="GL001138"/>
        <s v="GL001139"/>
        <s v="GL001140"/>
        <s v="GL001141"/>
        <s v="GL001142"/>
        <s v="GL001143"/>
        <s v="GL001144"/>
        <s v="GL001145"/>
        <s v="GL001146"/>
        <s v="GL001147"/>
        <s v="GL001148"/>
        <s v="GL001149"/>
        <s v="GL001150"/>
        <s v="GL001151"/>
        <s v="GL001152"/>
        <s v="GL001153"/>
        <s v="GL001154"/>
        <s v="GL001155"/>
        <s v="GL001156"/>
        <s v="GL001157"/>
        <s v="GL001158"/>
        <s v="GL001159"/>
        <s v="GL001160"/>
        <s v="GL001161"/>
        <s v="GL001162"/>
        <s v="GL001163"/>
        <s v="GL001164"/>
        <s v="GL001165"/>
        <s v="GL001166"/>
        <s v="GL001167"/>
        <s v="GL001168"/>
        <s v="GL001169"/>
        <s v="GL001170"/>
        <s v="GL001171"/>
        <s v="GL001172"/>
        <s v="GL001173"/>
        <s v="GL001174"/>
        <s v="GL001175"/>
        <s v="GL001176"/>
        <s v="GL001177"/>
        <s v="GL001178"/>
        <s v="GL001179"/>
        <s v="GL001180"/>
        <s v="GL001181"/>
        <s v="GL001182"/>
        <s v="GL001183"/>
        <s v="GL001184"/>
        <s v="GL001185"/>
        <s v="GL001186"/>
        <s v="GL001187"/>
        <s v="GL001188"/>
        <s v="GL001189"/>
        <s v="GL001190"/>
        <s v="GL001191"/>
        <s v="GL001192"/>
        <s v="GL001193"/>
        <s v="GL001194"/>
        <s v="GL001195"/>
        <s v="GL001196"/>
        <s v="GL001197"/>
        <s v="GL001198"/>
        <s v="GL001199"/>
        <s v="GL001200"/>
        <s v="GL001201"/>
        <s v="GL001202"/>
        <s v="GL001203"/>
        <s v="GL001204"/>
        <s v="GL001205"/>
        <s v="GL001206"/>
        <s v="GL001207"/>
        <s v="GL001208"/>
        <s v="GL001209"/>
        <s v="GL001210"/>
        <s v="GL001211"/>
        <s v="GL001212"/>
        <s v="GL001213"/>
        <s v="GL001214"/>
        <s v="GL001215"/>
        <s v="GL001216"/>
        <s v="GL001217"/>
        <s v="GL001218"/>
        <s v="GL001219"/>
        <s v="GL001220"/>
        <s v="GL001221"/>
        <s v="GL001222"/>
        <s v="GL001223"/>
        <s v="GL001224"/>
        <s v="GL001225"/>
        <s v="GL001226"/>
        <s v="GL001227"/>
        <s v="GL001228"/>
        <s v="GL001229"/>
        <s v="GL001230"/>
        <s v="GL001231"/>
        <s v="GL001232"/>
        <s v="GL001233"/>
        <s v="GL001234"/>
        <s v="GL001235"/>
        <s v="GL001236"/>
        <s v="GL001237"/>
        <s v="GL001238"/>
        <s v="GL001239"/>
        <s v="GL001240"/>
        <s v="GL001241"/>
        <s v="GL001242"/>
        <s v="GL001243"/>
        <s v="GL001244"/>
        <s v="GL001245"/>
        <s v="GL001246"/>
        <s v="GL001247"/>
        <s v="GL001248"/>
        <s v="GL001249"/>
        <s v="GL001250"/>
        <s v="GL001251"/>
        <s v="GL001252"/>
        <s v="GL001253"/>
        <s v="GL001254"/>
        <s v="GL001255"/>
        <s v="GL001256"/>
        <s v="GL001257"/>
        <s v="GL001258"/>
        <s v="GL001259"/>
        <s v="GL001260"/>
        <s v="GL001261"/>
        <s v="GL001262"/>
        <s v="GL001263"/>
        <s v="GL001264"/>
        <s v="GL001265"/>
        <s v="GL001266"/>
        <s v="GL001267"/>
        <s v="GL001268"/>
        <s v="GL001269"/>
        <s v="GL001270"/>
        <s v="GL001271"/>
        <s v="GL001272"/>
        <s v="GL001273"/>
        <s v="GL001274"/>
        <s v="GL001275"/>
        <s v="GL001276"/>
        <s v="GL001277"/>
        <s v="GL001278"/>
        <s v="GL001279"/>
        <s v="GL001280"/>
        <s v="GL001281"/>
        <s v="GL001282"/>
        <s v="GL001283"/>
        <s v="GL001284"/>
        <s v="GL001285"/>
        <s v="GL001286"/>
        <s v="GL001287"/>
        <s v="GL001288"/>
        <s v="GL001289"/>
        <s v="GL001290"/>
        <s v="GL001291"/>
        <s v="GL001292"/>
        <s v="GL001293"/>
        <s v="GL001294"/>
        <s v="GL001295"/>
        <s v="GL001296"/>
        <s v="GL001297"/>
        <s v="GL001298"/>
        <s v="GL001299"/>
        <s v="GL001300"/>
        <s v="GL001301"/>
        <s v="GL001302"/>
        <s v="GL001303"/>
        <s v="GL001304"/>
        <s v="GL001305"/>
        <s v="GL001306"/>
        <s v="GL001307"/>
        <s v="GL001308"/>
        <s v="GL001309"/>
        <s v="GL001310"/>
        <s v="GL001311"/>
        <s v="GL001312"/>
        <s v="GL001313"/>
        <s v="GL001314"/>
        <s v="GL001315"/>
        <s v="GL001316"/>
        <s v="GL001317"/>
        <s v="GL001318"/>
        <s v="GL001319"/>
        <s v="GL001320"/>
        <s v="GL001321"/>
        <s v="GL001322"/>
        <s v="GL001323"/>
        <s v="GL001324"/>
        <s v="GL001325"/>
        <s v="GL001326"/>
        <s v="GL001327"/>
        <s v="GL001328"/>
        <s v="GL001329"/>
        <s v="GL001330"/>
        <s v="GL001331"/>
        <s v="GL001332"/>
        <s v="GL001333"/>
        <s v="GL001334"/>
        <s v="GL001335"/>
        <s v="GL001336"/>
        <s v="GL001337"/>
        <s v="GL001338"/>
        <s v="GL001339"/>
        <s v="GL001340"/>
        <s v="GL001341"/>
        <s v="GL001342"/>
        <s v="GL001343"/>
        <s v="GL001344"/>
        <s v="GL001345"/>
        <s v="GL001346"/>
        <s v="GL001347"/>
        <s v="GL001348"/>
        <s v="GL001349"/>
        <s v="GL001350"/>
        <s v="GL001351"/>
        <s v="GL001352"/>
        <s v="GL001353"/>
        <s v="GL001354"/>
        <s v="GL001355"/>
        <s v="GL001356"/>
        <s v="GL001357"/>
        <s v="GL001358"/>
        <s v="GL001359"/>
        <s v="GL001360"/>
        <s v="GL001361"/>
        <s v="GL001362"/>
        <s v="GL001363"/>
        <s v="GL001364"/>
        <s v="GL001365"/>
        <s v="GL001366"/>
        <s v="GL001367"/>
        <s v="GL001368"/>
        <s v="GL001369"/>
        <s v="GL001370"/>
        <s v="GL001371"/>
        <s v="GL001372"/>
        <s v="GL001373"/>
        <s v="GL001374"/>
        <s v="GL001375"/>
        <s v="GL001376"/>
        <s v="GL001377"/>
        <s v="GL001378"/>
        <s v="GL001379"/>
        <s v="GL001380"/>
        <s v="GL001381"/>
        <s v="GL001382"/>
        <s v="GL001383"/>
        <s v="GL001384"/>
        <s v="GL001385"/>
        <s v="GL001386"/>
        <s v="GL001387"/>
        <s v="GL001388"/>
        <s v="GL001389"/>
        <s v="GL001390"/>
        <s v="GL001391"/>
        <s v="GL001392"/>
        <s v="GL001393"/>
        <s v="GL001394"/>
        <s v="GL001395"/>
        <s v="GL001396"/>
        <s v="GL001397"/>
        <s v="GL001398"/>
        <s v="GL001399"/>
        <s v="GL001400"/>
        <s v="GL001401"/>
        <s v="GL001402"/>
        <s v="GL001403"/>
        <s v="GL001404"/>
        <s v="GL001405"/>
        <s v="GL001406"/>
        <s v="GL001407"/>
        <s v="GL001408"/>
        <s v="GL001409"/>
        <s v="GL001410"/>
        <s v="GL001411"/>
        <s v="GL001412"/>
        <s v="GL001413"/>
        <s v="GL001414"/>
        <s v="GL001415"/>
        <s v="GL001416"/>
        <s v="GL001417"/>
        <s v="GL001418"/>
        <s v="GL001419"/>
        <s v="GL001420"/>
        <s v="GL001421"/>
        <s v="GL001422"/>
        <s v="GL001423"/>
        <s v="GL001424"/>
        <s v="GL001425"/>
        <s v="GL001426"/>
        <s v="GL001427"/>
        <s v="GL001428"/>
        <s v="GL001429"/>
        <s v="GL001430"/>
        <s v="GL001431"/>
        <s v="GL001432"/>
        <s v="GL001433"/>
        <s v="GL001434"/>
        <s v="GL001435"/>
        <s v="GL001436"/>
        <s v="GL001437"/>
        <s v="GL001438"/>
        <s v="GL001439"/>
        <s v="GL001440"/>
        <s v="GL001441"/>
        <s v="GL001442"/>
        <s v="GL001443"/>
        <s v="GL001444"/>
        <s v="GL001445"/>
        <s v="GL001446"/>
        <s v="GL001447"/>
        <s v="GL001448"/>
        <s v="GL001449"/>
        <s v="GL001450"/>
        <s v="GL001451"/>
        <s v="GL001452"/>
        <s v="GL001453"/>
        <s v="GL001454"/>
        <s v="GL001455"/>
        <s v="GL001456"/>
        <s v="GL001457"/>
        <s v="GL001458"/>
        <s v="GL001459"/>
        <s v="GL001460"/>
        <s v="GL001461"/>
        <s v="GL001462"/>
        <s v="GL001463"/>
        <s v="GL001464"/>
        <s v="GL001465"/>
        <s v="GL001466"/>
        <s v="GL001467"/>
        <s v="GL001468"/>
        <s v="GL001469"/>
        <s v="GL001470"/>
        <s v="GL001471"/>
        <s v="GL001472"/>
        <s v="GL001473"/>
        <s v="GL001474"/>
        <s v="GL001475"/>
        <s v="GL001476"/>
        <s v="GL001477"/>
        <s v="GL001478"/>
        <s v="GL001479"/>
        <s v="GL001480"/>
        <s v="GL001481"/>
        <s v="GL001482"/>
        <s v="GL001483"/>
        <s v="GL001484"/>
        <s v="GL001485"/>
        <s v="GL001486"/>
        <s v="GL001487"/>
        <s v="GL001488"/>
        <s v="GL001489"/>
        <s v="GL001490"/>
        <s v="GL001491"/>
        <s v="GL001492"/>
        <s v="GL001493"/>
        <s v="GL001494"/>
        <s v="GL001495"/>
        <s v="GL001496"/>
        <s v="GL001497"/>
        <s v="GL001498"/>
        <s v="GL001499"/>
        <s v="GL001500"/>
        <s v="GL001501"/>
        <s v="GL001502"/>
        <s v="GL001503"/>
        <s v="GL001504"/>
        <s v="GL001505"/>
        <s v="GL001506"/>
        <s v="GL001507"/>
        <s v="GL001508"/>
        <s v="GL001509"/>
        <s v="GL001510"/>
        <s v="GL001511"/>
        <s v="GL001512"/>
        <s v="GL001513"/>
        <s v="GL001514"/>
        <s v="GL001515"/>
        <s v="GL001516"/>
        <s v="GL001517"/>
        <s v="GL001518"/>
        <s v="GL001519"/>
        <s v="GL001520"/>
        <s v="GL001521"/>
        <s v="GL001522"/>
        <s v="GL001523"/>
        <s v="GL001524"/>
        <s v="GL001525"/>
        <s v="GL001526"/>
        <s v="GL001527"/>
        <s v="GL001528"/>
        <s v="GL001529"/>
        <s v="GL001530"/>
        <s v="GL001531"/>
        <s v="GL001532"/>
        <s v="GL001533"/>
        <s v="GL001534"/>
        <s v="GL001535"/>
        <s v="GL001536"/>
        <s v="GL001537"/>
        <s v="GL001538"/>
        <s v="GL001539"/>
        <s v="GL001540"/>
        <s v="GL001541"/>
        <s v="GL001542"/>
        <s v="GL001543"/>
        <s v="GL001544"/>
        <s v="GL001545"/>
        <s v="GL001546"/>
        <s v="GL001547"/>
        <s v="GL001548"/>
        <s v="GL001549"/>
        <s v="GL001550"/>
        <s v="GL001551"/>
        <s v="GL001552"/>
        <s v="GL001553"/>
        <s v="GL001554"/>
        <s v="GL001555"/>
        <s v="GL001556"/>
        <s v="GL001557"/>
        <s v="GL001558"/>
        <s v="GL001559"/>
        <s v="GL001560"/>
        <s v="GL001561"/>
        <s v="GL001562"/>
        <s v="GL001563"/>
        <s v="GL001564"/>
        <s v="GL001565"/>
        <s v="GL001566"/>
        <s v="GL001567"/>
        <s v="GL001568"/>
        <s v="GL001569"/>
        <s v="GL001570"/>
        <s v="GL001571"/>
        <s v="GL001572"/>
        <s v="GL001573"/>
        <s v="GL001574"/>
        <s v="GL001575"/>
        <s v="GL001576"/>
        <s v="GL001577"/>
        <s v="GL001578"/>
        <s v="GL001579"/>
        <s v="GL001580"/>
        <s v="GL001581"/>
        <s v="GL001582"/>
        <s v="GL001583"/>
        <s v="GL001584"/>
        <s v="GL001585"/>
        <s v="GL001586"/>
        <s v="GL001587"/>
        <s v="GL001588"/>
        <s v="GL001589"/>
        <s v="GL001590"/>
        <s v="GL001591"/>
        <s v="GL001592"/>
        <s v="GL001593"/>
        <s v="GL001594"/>
        <s v="GL001595"/>
        <s v="GL001596"/>
        <s v="GL001597"/>
        <s v="GL001598"/>
        <s v="GL001599"/>
        <s v="GL001600"/>
        <s v="GL001601"/>
        <s v="GL001602"/>
        <s v="GL001603"/>
        <s v="GL001604"/>
        <s v="GL001605"/>
        <s v="GL001606"/>
        <s v="GL001607"/>
        <s v="GL001608"/>
        <s v="GL001609"/>
        <s v="GL001610"/>
        <s v="GL001611"/>
        <s v="GL001612"/>
        <s v="GL001613"/>
        <s v="GL001614"/>
        <s v="GL001615"/>
        <s v="GL001616"/>
        <s v="GL001617"/>
        <s v="GL001618"/>
        <s v="GL001619"/>
        <s v="GL001620"/>
        <s v="GL001621"/>
        <s v="GL001622"/>
        <s v="GL001623"/>
        <s v="GL001624"/>
        <s v="GL001625"/>
        <s v="GL001626"/>
        <s v="GL001627"/>
        <s v="GL001628"/>
        <s v="GL001629"/>
        <s v="GL001630"/>
        <s v="GL001631"/>
        <s v="GL001632"/>
        <s v="GL001633"/>
        <s v="GL001634"/>
        <s v="GL001635"/>
        <s v="GL001636"/>
        <s v="GL001637"/>
        <s v="GL001638"/>
        <s v="GL001639"/>
        <s v="GL001640"/>
        <s v="GL001641"/>
        <s v="GL001642"/>
        <s v="GL001643"/>
        <s v="GL001644"/>
        <s v="GL001645"/>
        <s v="GL001646"/>
        <s v="GL001647"/>
        <s v="GL001648"/>
        <s v="GL001649"/>
        <s v="GL001650"/>
        <s v="GL001651"/>
        <s v="GL001652"/>
        <s v="GL001653"/>
        <s v="GL001654"/>
        <s v="GL001655"/>
        <s v="GL001656"/>
        <s v="GL001657"/>
        <s v="GL001658"/>
        <s v="GL001659"/>
        <s v="GL001660"/>
        <s v="GL001661"/>
        <s v="GL001662"/>
        <s v="GL001663"/>
        <s v="GL001664"/>
        <s v="GL001665"/>
        <s v="GL001666"/>
        <s v="GL001667"/>
        <s v="GL001668"/>
        <s v="GL001669"/>
        <s v="GL001670"/>
        <s v="GL001671"/>
        <s v="GL001672"/>
        <s v="GL001673"/>
        <s v="GL001674"/>
        <s v="GL001675"/>
        <s v="GL001676"/>
        <s v="GL001677"/>
        <s v="GL001678"/>
        <s v="GL001679"/>
        <s v="GL001680"/>
        <s v="GL001681"/>
        <s v="GL001682"/>
        <s v="GL001683"/>
        <s v="GL001684"/>
        <s v="GL001685"/>
        <s v="GL001686"/>
        <s v="GL001687"/>
        <s v="GL001688"/>
        <s v="GL001689"/>
        <s v="GL001690"/>
        <s v="GL001691"/>
        <s v="GL001692"/>
        <s v="GL001693"/>
        <s v="GL001694"/>
        <s v="GL001695"/>
        <s v="GL001696"/>
        <s v="GL001697"/>
        <s v="GL001698"/>
        <s v="GL001699"/>
        <s v="GL001700"/>
        <s v="GL001701"/>
        <s v="GL001702"/>
        <s v="GL001703"/>
        <s v="GL001704"/>
        <s v="GL001705"/>
        <s v="GL001706"/>
        <s v="GL001707"/>
        <s v="GL001708"/>
        <s v="GL001709"/>
        <s v="GL001710"/>
        <s v="GL001711"/>
        <s v="GL001712"/>
        <s v="GL001713"/>
        <s v="GL001714"/>
        <s v="GL001715"/>
        <s v="GL001716"/>
        <s v="GL001717"/>
        <s v="GL001718"/>
        <s v="GL001719"/>
        <s v="GL001720"/>
        <s v="GL001721"/>
        <s v="GL001722"/>
        <s v="GL001723"/>
        <s v="GL001724"/>
        <s v="GL001725"/>
        <s v="GL001726"/>
        <s v="GL001727"/>
        <s v="GL001728"/>
        <s v="GL001729"/>
        <s v="GL001730"/>
        <s v="GL001731"/>
        <s v="GL001732"/>
        <s v="GL001733"/>
        <s v="GL001734"/>
        <s v="GL001735"/>
        <s v="GL001736"/>
        <s v="GL001737"/>
        <s v="GL001738"/>
        <s v="GL001739"/>
        <s v="GL001740"/>
        <s v="GL001741"/>
        <s v="GL001742"/>
        <s v="GL001743"/>
        <s v="GL001744"/>
        <s v="GL001745"/>
        <s v="GL001746"/>
        <s v="GL001747"/>
        <s v="GL001748"/>
        <s v="GL001749"/>
        <s v="GL001750"/>
        <s v="GL001751"/>
        <s v="GL001752"/>
        <s v="GL001753"/>
        <s v="GL001754"/>
        <s v="GL001755"/>
        <s v="GL001756"/>
        <s v="GL001757"/>
        <s v="GL001758"/>
        <s v="GL001759"/>
        <s v="GL001760"/>
        <s v="GL001761"/>
        <s v="GL001762"/>
        <s v="GL001763"/>
        <s v="GL001764"/>
        <s v="GL001765"/>
        <s v="GL001766"/>
        <s v="GL001767"/>
        <s v="GL001768"/>
        <s v="GL001769"/>
        <s v="GL001770"/>
        <s v="GL001771"/>
        <s v="GL001772"/>
        <s v="GL001773"/>
        <s v="GL001774"/>
        <s v="GL001775"/>
        <s v="GL001776"/>
        <s v="GL001777"/>
        <s v="GL001778"/>
        <s v="GL001779"/>
        <s v="GL001780"/>
        <s v="GL001781"/>
        <s v="GL001782"/>
        <s v="GL001783"/>
        <s v="GL001784"/>
        <s v="GL001785"/>
        <s v="GL001786"/>
        <s v="GL001787"/>
        <s v="GL001788"/>
        <s v="GL001789"/>
        <s v="GL001790"/>
        <s v="GL001791"/>
        <s v="GL001792"/>
        <s v="GL001793"/>
        <s v="GL001794"/>
        <s v="GL001795"/>
        <s v="GL001796"/>
        <s v="GL001797"/>
        <s v="GL001798"/>
        <s v="GL001799"/>
        <s v="GL001800"/>
        <s v="GL001801"/>
        <s v="GL001802"/>
        <s v="GL001803"/>
        <s v="GL001804"/>
        <s v="GL001805"/>
        <s v="GL001806"/>
        <s v="GL001807"/>
        <s v="GL001808"/>
        <s v="GL001809"/>
        <s v="GL001810"/>
        <s v="GL001811"/>
        <s v="GL001812"/>
        <s v="GL001813"/>
        <s v="GL001814"/>
        <s v="GL001815"/>
        <s v="GL001816"/>
        <s v="GL001817"/>
        <s v="GL001818"/>
        <s v="GL001819"/>
        <s v="GL001820"/>
        <s v="GL001821"/>
        <s v="GL001822"/>
        <s v="GL001823"/>
        <s v="GL001824"/>
        <s v="GL001825"/>
        <s v="GL001826"/>
        <s v="GL001827"/>
        <s v="GL001828"/>
        <s v="GL001829"/>
        <s v="GL001830"/>
        <s v="GL001831"/>
        <s v="GL001832"/>
        <s v="GL001833"/>
        <s v="GL001834"/>
        <s v="GL001835"/>
        <s v="GL001836"/>
        <s v="GL001837"/>
        <s v="GL001838"/>
        <s v="GL001839"/>
        <s v="GL001840"/>
        <s v="GL001841"/>
        <s v="GL001842"/>
        <s v="GL001843"/>
        <s v="GL001844"/>
        <s v="GL001845"/>
        <s v="GL001846"/>
        <s v="GL001847"/>
        <s v="GL001848"/>
        <s v="GL001849"/>
        <s v="GL001850"/>
        <s v="GL001851"/>
        <s v="GL001852"/>
        <s v="GL001853"/>
        <s v="GL001854"/>
        <s v="GL001855"/>
        <s v="GL001856"/>
        <s v="GL001857"/>
        <s v="GL001858"/>
        <s v="GL001859"/>
        <s v="GL001860"/>
        <s v="GL001861"/>
        <s v="GL001862"/>
        <s v="GL001863"/>
        <s v="GL001864"/>
        <s v="GL001865"/>
        <s v="GL001866"/>
        <s v="GL001867"/>
        <s v="GL001868"/>
        <s v="GL001869"/>
        <s v="GL001870"/>
        <s v="GL001871"/>
        <s v="GL001872"/>
        <s v="GL001873"/>
        <s v="GL001874"/>
        <s v="GL001875"/>
        <s v="GL001876"/>
        <s v="GL001877"/>
        <s v="GL001878"/>
        <s v="GL001879"/>
        <s v="GL001880"/>
        <s v="GL001881"/>
        <s v="GL001882"/>
        <s v="GL001883"/>
        <s v="GL001884"/>
        <s v="GL001885"/>
        <s v="GL001886"/>
        <s v="GL001887"/>
        <s v="GL001888"/>
        <s v="GL001889"/>
        <s v="GL001890"/>
        <s v="GL001891"/>
        <s v="GL001892"/>
        <s v="GL001893"/>
        <s v="GL001894"/>
        <s v="GL001895"/>
        <s v="GL001896"/>
        <s v="GL001897"/>
        <s v="GL001898"/>
        <s v="GL001899"/>
        <s v="GL001900"/>
        <s v="GL001901"/>
        <s v="GL001902"/>
        <s v="GL001903"/>
        <s v="GL001904"/>
        <s v="GL001905"/>
        <s v="GL001906"/>
        <s v="GL001907"/>
        <s v="GL001908"/>
        <s v="GL001909"/>
        <s v="GL001910"/>
        <s v="GL001911"/>
        <s v="GL001912"/>
        <s v="GL001913"/>
        <s v="GL001914"/>
        <s v="GL001915"/>
        <s v="GL001916"/>
        <s v="GL001917"/>
        <s v="GL001918"/>
        <s v="GL001919"/>
        <s v="GL001920"/>
        <s v="GL001921"/>
        <s v="GL001922"/>
        <s v="GL001923"/>
        <s v="GL001924"/>
        <s v="GL001925"/>
        <s v="GL001926"/>
        <s v="GL001927"/>
        <s v="GL001928"/>
        <s v="GL001929"/>
        <s v="GL001930"/>
        <s v="GL001931"/>
        <s v="GL001932"/>
        <s v="GL001933"/>
        <s v="GL001934"/>
        <s v="GL001935"/>
        <s v="GL001936"/>
        <s v="GL001937"/>
        <s v="GL001938"/>
        <s v="GL001939"/>
        <s v="GL001940"/>
        <s v="GL001941"/>
        <s v="GL001942"/>
        <s v="GL001943"/>
        <s v="GL001944"/>
        <s v="GL001945"/>
        <s v="GL001946"/>
        <s v="GL001947"/>
        <s v="GL001948"/>
        <s v="GL001949"/>
        <s v="GL001950"/>
        <s v="GL001951"/>
        <s v="GL001952"/>
        <s v="GL001953"/>
        <s v="GL001954"/>
        <s v="GL001955"/>
        <s v="GL001956"/>
        <s v="GL001957"/>
        <s v="GL001958"/>
        <s v="GL001959"/>
        <s v="GL001960"/>
        <s v="GL001961"/>
        <s v="GL001962"/>
        <s v="GL001963"/>
        <s v="GL001964"/>
        <s v="GL001965"/>
        <s v="GL001966"/>
        <s v="GL001967"/>
        <s v="GL001968"/>
        <s v="GL001969"/>
        <s v="GL001970"/>
        <s v="GL001971"/>
        <s v="GL001972"/>
        <s v="GL001973"/>
        <s v="GL001974"/>
        <s v="GL001975"/>
        <s v="GL001976"/>
        <s v="GL001977"/>
        <s v="GL001978"/>
        <s v="GL001979"/>
        <s v="GL001980"/>
        <s v="GL001981"/>
        <s v="GL001982"/>
        <s v="GL001983"/>
        <s v="GL001984"/>
        <s v="GL001985"/>
        <s v="GL001986"/>
        <s v="GL001987"/>
        <s v="GL001988"/>
        <s v="GL001989"/>
        <s v="GL001990"/>
        <s v="GL001991"/>
        <s v="GL001992"/>
        <s v="GL001993"/>
        <s v="GL001994"/>
        <s v="GL001995"/>
        <s v="GL001996"/>
        <s v="GL001997"/>
        <s v="GL001998"/>
        <s v="GL001999"/>
        <m/>
      </sharedItems>
    </cacheField>
    <cacheField name="TxnDate" numFmtId="0">
      <sharedItems containsNonDate="0" containsDate="1" containsString="0" containsBlank="1" minDate="2023-01-01T00:00:00" maxDate="2025-07-01T00:00:00" count="816">
        <d v="2024-05-05T00:00:00"/>
        <d v="2024-06-23T00:00:00"/>
        <d v="2025-01-09T00:00:00"/>
        <d v="2023-09-30T00:00:00"/>
        <d v="2023-08-03T00:00:00"/>
        <d v="2025-05-11T00:00:00"/>
        <d v="2023-08-04T00:00:00"/>
        <d v="2023-12-22T00:00:00"/>
        <d v="2024-04-30T00:00:00"/>
        <d v="2023-04-13T00:00:00"/>
        <d v="2023-11-20T00:00:00"/>
        <d v="2024-11-12T00:00:00"/>
        <d v="2024-05-25T00:00:00"/>
        <d v="2024-02-22T00:00:00"/>
        <d v="2025-04-29T00:00:00"/>
        <d v="2023-04-02T00:00:00"/>
        <d v="2025-03-06T00:00:00"/>
        <d v="2024-11-09T00:00:00"/>
        <d v="2023-01-27T00:00:00"/>
        <d v="2024-09-02T00:00:00"/>
        <d v="2024-03-28T00:00:00"/>
        <d v="2023-07-01T00:00:00"/>
        <d v="2024-05-29T00:00:00"/>
        <d v="2023-03-22T00:00:00"/>
        <d v="2023-04-09T00:00:00"/>
        <d v="2025-05-25T00:00:00"/>
        <d v="2024-11-14T00:00:00"/>
        <d v="2025-06-12T00:00:00"/>
        <d v="2025-03-19T00:00:00"/>
        <d v="2024-03-26T00:00:00"/>
        <d v="2024-01-07T00:00:00"/>
        <d v="2024-05-04T00:00:00"/>
        <d v="2023-01-15T00:00:00"/>
        <d v="2023-11-17T00:00:00"/>
        <d v="2024-07-28T00:00:00"/>
        <d v="2024-05-13T00:00:00"/>
        <d v="2025-04-20T00:00:00"/>
        <d v="2023-06-19T00:00:00"/>
        <d v="2025-01-03T00:00:00"/>
        <d v="2024-02-03T00:00:00"/>
        <d v="2024-12-22T00:00:00"/>
        <d v="2023-09-27T00:00:00"/>
        <d v="2023-02-08T00:00:00"/>
        <d v="2023-03-15T00:00:00"/>
        <d v="2024-08-28T00:00:00"/>
        <d v="2024-03-19T00:00:00"/>
        <d v="2023-01-25T00:00:00"/>
        <d v="2024-03-08T00:00:00"/>
        <d v="2023-03-14T00:00:00"/>
        <d v="2024-09-18T00:00:00"/>
        <d v="2024-10-26T00:00:00"/>
        <d v="2025-06-09T00:00:00"/>
        <d v="2023-11-19T00:00:00"/>
        <d v="2024-04-26T00:00:00"/>
        <d v="2024-11-02T00:00:00"/>
        <d v="2023-04-25T00:00:00"/>
        <d v="2023-12-19T00:00:00"/>
        <d v="2024-09-11T00:00:00"/>
        <d v="2024-02-02T00:00:00"/>
        <d v="2024-06-22T00:00:00"/>
        <d v="2023-09-16T00:00:00"/>
        <d v="2024-08-25T00:00:00"/>
        <d v="2023-09-03T00:00:00"/>
        <d v="2023-02-27T00:00:00"/>
        <d v="2023-10-15T00:00:00"/>
        <d v="2025-05-01T00:00:00"/>
        <d v="2025-06-23T00:00:00"/>
        <d v="2025-06-18T00:00:00"/>
        <d v="2024-05-18T00:00:00"/>
        <d v="2025-05-04T00:00:00"/>
        <d v="2024-02-21T00:00:00"/>
        <d v="2025-02-02T00:00:00"/>
        <d v="2024-09-16T00:00:00"/>
        <d v="2025-04-04T00:00:00"/>
        <d v="2023-03-27T00:00:00"/>
        <d v="2025-03-26T00:00:00"/>
        <d v="2023-03-16T00:00:00"/>
        <d v="2025-05-22T00:00:00"/>
        <d v="2023-12-24T00:00:00"/>
        <d v="2023-10-23T00:00:00"/>
        <d v="2023-12-31T00:00:00"/>
        <d v="2023-10-22T00:00:00"/>
        <d v="2025-02-21T00:00:00"/>
        <d v="2024-11-22T00:00:00"/>
        <d v="2023-12-15T00:00:00"/>
        <d v="2023-07-28T00:00:00"/>
        <d v="2024-04-14T00:00:00"/>
        <d v="2024-11-24T00:00:00"/>
        <d v="2024-05-12T00:00:00"/>
        <d v="2023-10-16T00:00:00"/>
        <d v="2023-10-12T00:00:00"/>
        <d v="2025-05-12T00:00:00"/>
        <d v="2023-02-15T00:00:00"/>
        <d v="2023-01-09T00:00:00"/>
        <d v="2025-01-10T00:00:00"/>
        <d v="2024-07-05T00:00:00"/>
        <d v="2024-10-07T00:00:00"/>
        <d v="2023-09-01T00:00:00"/>
        <d v="2023-08-24T00:00:00"/>
        <d v="2023-06-30T00:00:00"/>
        <d v="2025-06-15T00:00:00"/>
        <d v="2024-01-28T00:00:00"/>
        <d v="2024-03-04T00:00:00"/>
        <d v="2025-02-14T00:00:00"/>
        <d v="2023-06-25T00:00:00"/>
        <d v="2024-03-30T00:00:00"/>
        <d v="2024-09-10T00:00:00"/>
        <d v="2023-10-28T00:00:00"/>
        <d v="2025-04-15T00:00:00"/>
        <d v="2025-01-12T00:00:00"/>
        <d v="2024-11-30T00:00:00"/>
        <d v="2025-01-24T00:00:00"/>
        <d v="2023-07-21T00:00:00"/>
        <d v="2024-02-23T00:00:00"/>
        <d v="2024-08-06T00:00:00"/>
        <d v="2023-11-30T00:00:00"/>
        <d v="2023-12-16T00:00:00"/>
        <d v="2023-02-05T00:00:00"/>
        <d v="2025-01-14T00:00:00"/>
        <d v="2023-09-05T00:00:00"/>
        <d v="2025-02-22T00:00:00"/>
        <d v="2024-08-31T00:00:00"/>
        <d v="2023-09-08T00:00:00"/>
        <d v="2024-10-17T00:00:00"/>
        <d v="2025-01-04T00:00:00"/>
        <d v="2024-09-23T00:00:00"/>
        <d v="2025-06-24T00:00:00"/>
        <d v="2023-12-25T00:00:00"/>
        <d v="2023-08-09T00:00:00"/>
        <d v="2024-06-18T00:00:00"/>
        <d v="2023-04-30T00:00:00"/>
        <d v="2023-06-03T00:00:00"/>
        <d v="2023-05-22T00:00:00"/>
        <d v="2024-06-25T00:00:00"/>
        <d v="2024-03-01T00:00:00"/>
        <d v="2025-01-11T00:00:00"/>
        <d v="2025-02-18T00:00:00"/>
        <d v="2024-03-17T00:00:00"/>
        <d v="2025-06-03T00:00:00"/>
        <d v="2024-10-11T00:00:00"/>
        <d v="2025-06-14T00:00:00"/>
        <d v="2023-07-09T00:00:00"/>
        <d v="2023-04-19T00:00:00"/>
        <d v="2023-04-21T00:00:00"/>
        <d v="2023-01-29T00:00:00"/>
        <d v="2025-06-20T00:00:00"/>
        <d v="2023-12-09T00:00:00"/>
        <d v="2025-02-17T00:00:00"/>
        <d v="2024-12-21T00:00:00"/>
        <d v="2025-02-26T00:00:00"/>
        <d v="2024-07-17T00:00:00"/>
        <d v="2024-06-04T00:00:00"/>
        <d v="2023-11-22T00:00:00"/>
        <d v="2024-05-06T00:00:00"/>
        <d v="2023-09-13T00:00:00"/>
        <d v="2023-01-17T00:00:00"/>
        <d v="2024-09-29T00:00:00"/>
        <d v="2024-04-02T00:00:00"/>
        <d v="2024-07-16T00:00:00"/>
        <d v="2025-03-13T00:00:00"/>
        <d v="2024-08-22T00:00:00"/>
        <d v="2024-02-08T00:00:00"/>
        <d v="2024-08-07T00:00:00"/>
        <d v="2025-06-08T00:00:00"/>
        <d v="2023-04-20T00:00:00"/>
        <d v="2025-04-23T00:00:00"/>
        <d v="2023-01-10T00:00:00"/>
        <d v="2023-09-18T00:00:00"/>
        <d v="2023-05-23T00:00:00"/>
        <d v="2024-12-09T00:00:00"/>
        <d v="2023-03-20T00:00:00"/>
        <d v="2024-11-01T00:00:00"/>
        <d v="2023-02-06T00:00:00"/>
        <d v="2025-06-30T00:00:00"/>
        <d v="2024-08-18T00:00:00"/>
        <d v="2023-02-13T00:00:00"/>
        <d v="2024-01-15T00:00:00"/>
        <d v="2023-02-12T00:00:00"/>
        <d v="2023-03-12T00:00:00"/>
        <d v="2024-09-14T00:00:00"/>
        <d v="2024-02-25T00:00:00"/>
        <d v="2023-01-28T00:00:00"/>
        <d v="2024-09-03T00:00:00"/>
        <d v="2023-08-18T00:00:00"/>
        <d v="2024-09-13T00:00:00"/>
        <d v="2025-03-23T00:00:00"/>
        <d v="2023-08-21T00:00:00"/>
        <d v="2023-11-29T00:00:00"/>
        <d v="2025-02-19T00:00:00"/>
        <d v="2023-08-14T00:00:00"/>
        <d v="2024-01-18T00:00:00"/>
        <d v="2023-11-01T00:00:00"/>
        <d v="2024-02-12T00:00:00"/>
        <d v="2025-03-07T00:00:00"/>
        <d v="2024-12-10T00:00:00"/>
        <d v="2024-05-17T00:00:00"/>
        <d v="2023-11-21T00:00:00"/>
        <d v="2024-03-16T00:00:00"/>
        <d v="2023-04-11T00:00:00"/>
        <d v="2023-12-20T00:00:00"/>
        <d v="2024-11-11T00:00:00"/>
        <d v="2025-05-02T00:00:00"/>
        <d v="2023-08-10T00:00:00"/>
        <d v="2025-02-16T00:00:00"/>
        <d v="2024-01-03T00:00:00"/>
        <d v="2023-08-12T00:00:00"/>
        <d v="2023-07-14T00:00:00"/>
        <d v="2024-04-15T00:00:00"/>
        <d v="2024-10-21T00:00:00"/>
        <d v="2023-01-24T00:00:00"/>
        <d v="2024-08-30T00:00:00"/>
        <d v="2023-07-06T00:00:00"/>
        <d v="2025-02-24T00:00:00"/>
        <d v="2023-03-26T00:00:00"/>
        <d v="2023-01-14T00:00:00"/>
        <d v="2023-05-14T00:00:00"/>
        <d v="2025-03-09T00:00:00"/>
        <d v="2024-07-22T00:00:00"/>
        <d v="2023-11-04T00:00:00"/>
        <d v="2025-06-16T00:00:00"/>
        <d v="2024-06-12T00:00:00"/>
        <d v="2025-03-27T00:00:00"/>
        <d v="2024-07-02T00:00:00"/>
        <d v="2023-07-08T00:00:00"/>
        <d v="2024-06-08T00:00:00"/>
        <d v="2025-04-21T00:00:00"/>
        <d v="2023-01-22T00:00:00"/>
        <d v="2024-11-26T00:00:00"/>
        <d v="2025-04-18T00:00:00"/>
        <d v="2024-05-02T00:00:00"/>
        <d v="2024-03-05T00:00:00"/>
        <d v="2023-06-04T00:00:00"/>
        <d v="2023-07-31T00:00:00"/>
        <d v="2024-02-26T00:00:00"/>
        <d v="2025-02-09T00:00:00"/>
        <d v="2024-01-09T00:00:00"/>
        <d v="2025-01-06T00:00:00"/>
        <d v="2023-10-21T00:00:00"/>
        <d v="2025-05-27T00:00:00"/>
        <d v="2023-09-22T00:00:00"/>
        <d v="2024-02-16T00:00:00"/>
        <d v="2024-02-10T00:00:00"/>
        <d v="2023-06-14T00:00:00"/>
        <d v="2023-11-24T00:00:00"/>
        <d v="2023-08-07T00:00:00"/>
        <d v="2024-04-07T00:00:00"/>
        <d v="2023-05-06T00:00:00"/>
        <d v="2024-01-25T00:00:00"/>
        <d v="2025-02-06T00:00:00"/>
        <d v="2025-04-28T00:00:00"/>
        <d v="2025-01-05T00:00:00"/>
        <d v="2023-04-15T00:00:00"/>
        <d v="2025-01-28T00:00:00"/>
        <d v="2025-06-25T00:00:00"/>
        <d v="2024-04-01T00:00:00"/>
        <d v="2025-04-30T00:00:00"/>
        <d v="2024-05-10T00:00:00"/>
        <d v="2024-02-29T00:00:00"/>
        <d v="2025-01-22T00:00:00"/>
        <d v="2023-12-08T00:00:00"/>
        <d v="2024-11-29T00:00:00"/>
        <d v="2024-09-20T00:00:00"/>
        <d v="2024-01-17T00:00:00"/>
        <d v="2023-10-10T00:00:00"/>
        <d v="2024-10-02T00:00:00"/>
        <d v="2024-07-31T00:00:00"/>
        <d v="2024-04-03T00:00:00"/>
        <d v="2023-01-23T00:00:00"/>
        <d v="2023-03-04T00:00:00"/>
        <d v="2024-05-30T00:00:00"/>
        <d v="2024-10-01T00:00:00"/>
        <d v="2024-02-04T00:00:00"/>
        <d v="2025-05-19T00:00:00"/>
        <d v="2025-06-21T00:00:00"/>
        <d v="2023-07-11T00:00:00"/>
        <d v="2023-12-03T00:00:00"/>
        <d v="2024-01-10T00:00:00"/>
        <d v="2024-02-18T00:00:00"/>
        <d v="2023-04-07T00:00:00"/>
        <d v="2024-01-26T00:00:00"/>
        <d v="2024-08-13T00:00:00"/>
        <d v="2023-11-13T00:00:00"/>
        <d v="2024-02-06T00:00:00"/>
        <d v="2024-05-15T00:00:00"/>
        <d v="2025-05-06T00:00:00"/>
        <d v="2023-11-08T00:00:00"/>
        <d v="2024-10-05T00:00:00"/>
        <d v="2023-11-02T00:00:00"/>
        <d v="2023-02-19T00:00:00"/>
        <d v="2024-11-03T00:00:00"/>
        <d v="2024-09-19T00:00:00"/>
        <d v="2023-10-04T00:00:00"/>
        <d v="2024-12-11T00:00:00"/>
        <d v="2024-01-20T00:00:00"/>
        <d v="2023-05-04T00:00:00"/>
        <d v="2024-10-15T00:00:00"/>
        <d v="2023-10-13T00:00:00"/>
        <d v="2024-08-02T00:00:00"/>
        <d v="2023-09-04T00:00:00"/>
        <d v="2023-09-14T00:00:00"/>
        <d v="2023-04-14T00:00:00"/>
        <d v="2024-08-17T00:00:00"/>
        <d v="2025-02-27T00:00:00"/>
        <d v="2025-05-24T00:00:00"/>
        <d v="2024-01-02T00:00:00"/>
        <d v="2024-08-21T00:00:00"/>
        <d v="2025-05-29T00:00:00"/>
        <d v="2024-06-01T00:00:00"/>
        <d v="2024-08-01T00:00:00"/>
        <d v="2024-01-22T00:00:00"/>
        <d v="2025-04-14T00:00:00"/>
        <d v="2023-01-08T00:00:00"/>
        <d v="2024-02-27T00:00:00"/>
        <d v="2023-01-04T00:00:00"/>
        <d v="2025-03-02T00:00:00"/>
        <d v="2023-01-19T00:00:00"/>
        <d v="2024-10-09T00:00:00"/>
        <d v="2024-03-12T00:00:00"/>
        <d v="2025-05-08T00:00:00"/>
        <d v="2025-02-11T00:00:00"/>
        <d v="2023-11-16T00:00:00"/>
        <d v="2023-07-03T00:00:00"/>
        <d v="2023-01-30T00:00:00"/>
        <d v="2023-04-26T00:00:00"/>
        <d v="2023-02-09T00:00:00"/>
        <d v="2023-05-12T00:00:00"/>
        <d v="2025-05-15T00:00:00"/>
        <d v="2024-08-24T00:00:00"/>
        <d v="2023-08-26T00:00:00"/>
        <d v="2023-11-03T00:00:00"/>
        <d v="2023-10-05T00:00:00"/>
        <d v="2023-08-08T00:00:00"/>
        <d v="2023-02-26T00:00:00"/>
        <d v="2023-01-31T00:00:00"/>
        <d v="2024-07-20T00:00:00"/>
        <d v="2023-02-28T00:00:00"/>
        <d v="2025-01-27T00:00:00"/>
        <d v="2024-05-20T00:00:00"/>
        <d v="2023-05-09T00:00:00"/>
        <d v="2024-04-08T00:00:00"/>
        <d v="2024-05-21T00:00:00"/>
        <d v="2023-11-12T00:00:00"/>
        <d v="2023-08-29T00:00:00"/>
        <d v="2024-08-09T00:00:00"/>
        <d v="2023-07-13T00:00:00"/>
        <d v="2024-02-11T00:00:00"/>
        <d v="2025-03-29T00:00:00"/>
        <d v="2023-07-07T00:00:00"/>
        <d v="2024-02-14T00:00:00"/>
        <d v="2024-11-15T00:00:00"/>
        <d v="2024-02-19T00:00:00"/>
        <d v="2023-12-07T00:00:00"/>
        <d v="2025-02-07T00:00:00"/>
        <d v="2024-07-23T00:00:00"/>
        <d v="2023-01-06T00:00:00"/>
        <d v="2024-01-29T00:00:00"/>
        <d v="2023-01-21T00:00:00"/>
        <d v="2024-12-28T00:00:00"/>
        <d v="2024-06-24T00:00:00"/>
        <d v="2025-01-31T00:00:00"/>
        <d v="2024-09-17T00:00:00"/>
        <d v="2023-10-09T00:00:00"/>
        <d v="2023-11-26T00:00:00"/>
        <d v="2023-02-07T00:00:00"/>
        <d v="2024-05-31T00:00:00"/>
        <d v="2024-09-06T00:00:00"/>
        <d v="2023-02-20T00:00:00"/>
        <d v="2024-05-27T00:00:00"/>
        <d v="2025-05-21T00:00:00"/>
        <d v="2023-02-17T00:00:00"/>
        <d v="2024-10-18T00:00:00"/>
        <d v="2023-12-01T00:00:00"/>
        <d v="2024-12-18T00:00:00"/>
        <d v="2024-07-21T00:00:00"/>
        <d v="2023-12-06T00:00:00"/>
        <d v="2023-10-03T00:00:00"/>
        <d v="2023-06-23T00:00:00"/>
        <d v="2025-01-18T00:00:00"/>
        <d v="2023-08-01T00:00:00"/>
        <d v="2024-08-14T00:00:00"/>
        <d v="2023-07-25T00:00:00"/>
        <d v="2024-09-24T00:00:00"/>
        <d v="2025-03-25T00:00:00"/>
        <d v="2024-05-03T00:00:00"/>
        <d v="2023-11-10T00:00:00"/>
        <d v="2024-11-06T00:00:00"/>
        <d v="2023-06-28T00:00:00"/>
        <d v="2023-08-22T00:00:00"/>
        <d v="2024-01-04T00:00:00"/>
        <d v="2023-03-02T00:00:00"/>
        <d v="2023-01-07T00:00:00"/>
        <d v="2023-08-27T00:00:00"/>
        <d v="2024-09-12T00:00:00"/>
        <d v="2024-10-06T00:00:00"/>
        <d v="2024-12-06T00:00:00"/>
        <d v="2025-05-13T00:00:00"/>
        <d v="2023-09-19T00:00:00"/>
        <d v="2024-03-15T00:00:00"/>
        <d v="2023-01-16T00:00:00"/>
        <d v="2023-12-27T00:00:00"/>
        <d v="2024-05-23T00:00:00"/>
        <d v="2025-05-09T00:00:00"/>
        <d v="2025-03-14T00:00:00"/>
        <d v="2023-09-21T00:00:00"/>
        <d v="2025-05-20T00:00:00"/>
        <d v="2025-01-30T00:00:00"/>
        <d v="2025-01-13T00:00:00"/>
        <d v="2024-12-04T00:00:00"/>
        <d v="2023-05-02T00:00:00"/>
        <d v="2023-05-31T00:00:00"/>
        <d v="2024-11-04T00:00:00"/>
        <d v="2024-09-01T00:00:00"/>
        <d v="2024-10-12T00:00:00"/>
        <d v="2024-02-05T00:00:00"/>
        <d v="2023-02-25T00:00:00"/>
        <d v="2024-10-08T00:00:00"/>
        <d v="2024-06-13T00:00:00"/>
        <d v="2024-12-02T00:00:00"/>
        <d v="2024-12-05T00:00:00"/>
        <d v="2025-03-04T00:00:00"/>
        <d v="2024-08-20T00:00:00"/>
        <d v="2024-10-29T00:00:00"/>
        <d v="2023-12-12T00:00:00"/>
        <d v="2025-06-06T00:00:00"/>
        <d v="2023-08-23T00:00:00"/>
        <d v="2023-05-24T00:00:00"/>
        <d v="2024-10-22T00:00:00"/>
        <d v="2023-12-02T00:00:00"/>
        <d v="2023-10-06T00:00:00"/>
        <d v="2025-05-05T00:00:00"/>
        <d v="2025-04-10T00:00:00"/>
        <d v="2023-03-07T00:00:00"/>
        <d v="2025-05-18T00:00:00"/>
        <d v="2023-12-18T00:00:00"/>
        <d v="2023-10-31T00:00:00"/>
        <d v="2023-03-03T00:00:00"/>
        <d v="2023-12-11T00:00:00"/>
        <d v="2024-07-19T00:00:00"/>
        <d v="2023-06-26T00:00:00"/>
        <d v="2025-03-01T00:00:00"/>
        <d v="2025-04-25T00:00:00"/>
        <d v="2025-02-03T00:00:00"/>
        <d v="2023-05-13T00:00:00"/>
        <d v="2023-09-25T00:00:00"/>
        <d v="2023-03-21T00:00:00"/>
        <d v="2023-10-25T00:00:00"/>
        <d v="2024-10-19T00:00:00"/>
        <d v="2025-03-20T00:00:00"/>
        <d v="2023-04-06T00:00:00"/>
        <d v="2024-08-05T00:00:00"/>
        <d v="2025-02-08T00:00:00"/>
        <d v="2024-10-30T00:00:00"/>
        <d v="2025-06-01T00:00:00"/>
        <d v="2024-06-27T00:00:00"/>
        <d v="2023-02-22T00:00:00"/>
        <d v="2023-06-27T00:00:00"/>
        <d v="2024-08-19T00:00:00"/>
        <d v="2024-10-24T00:00:00"/>
        <d v="2023-03-08T00:00:00"/>
        <d v="2023-11-23T00:00:00"/>
        <d v="2024-08-23T00:00:00"/>
        <d v="2023-01-01T00:00:00"/>
        <d v="2024-12-12T00:00:00"/>
        <d v="2024-04-06T00:00:00"/>
        <d v="2023-08-05T00:00:00"/>
        <d v="2024-05-26T00:00:00"/>
        <d v="2024-06-20T00:00:00"/>
        <d v="2024-10-04T00:00:00"/>
        <d v="2025-03-08T00:00:00"/>
        <d v="2023-10-24T00:00:00"/>
        <d v="2024-04-20T00:00:00"/>
        <d v="2023-06-22T00:00:00"/>
        <d v="2023-05-15T00:00:00"/>
        <d v="2023-08-11T00:00:00"/>
        <d v="2024-12-20T00:00:00"/>
        <d v="2025-02-28T00:00:00"/>
        <d v="2024-01-08T00:00:00"/>
        <d v="2024-11-17T00:00:00"/>
        <d v="2024-03-14T00:00:00"/>
        <d v="2025-03-17T00:00:00"/>
        <d v="2024-05-11T00:00:00"/>
        <d v="2024-12-08T00:00:00"/>
        <d v="2023-10-27T00:00:00"/>
        <d v="2024-03-18T00:00:00"/>
        <d v="2024-07-01T00:00:00"/>
        <d v="2023-12-04T00:00:00"/>
        <d v="2025-01-15T00:00:00"/>
        <d v="2024-01-12T00:00:00"/>
        <d v="2024-12-30T00:00:00"/>
        <d v="2025-06-19T00:00:00"/>
        <d v="2024-03-11T00:00:00"/>
        <d v="2025-05-26T00:00:00"/>
        <d v="2024-10-23T00:00:00"/>
        <d v="2025-04-05T00:00:00"/>
        <d v="2024-07-03T00:00:00"/>
        <d v="2025-02-01T00:00:00"/>
        <d v="2024-12-15T00:00:00"/>
        <d v="2025-02-12T00:00:00"/>
        <d v="2025-04-09T00:00:00"/>
        <d v="2025-06-13T00:00:00"/>
        <d v="2024-11-19T00:00:00"/>
        <d v="2024-06-07T00:00:00"/>
        <d v="2024-09-05T00:00:00"/>
        <d v="2024-09-08T00:00:00"/>
        <d v="2025-05-17T00:00:00"/>
        <d v="2024-06-02T00:00:00"/>
        <d v="2024-04-21T00:00:00"/>
        <d v="2024-03-29T00:00:00"/>
        <d v="2023-12-13T00:00:00"/>
        <d v="2025-04-07T00:00:00"/>
        <d v="2024-10-13T00:00:00"/>
        <d v="2023-04-03T00:00:00"/>
        <d v="2024-02-28T00:00:00"/>
        <d v="2025-03-24T00:00:00"/>
        <d v="2024-08-29T00:00:00"/>
        <d v="2024-11-13T00:00:00"/>
        <d v="2023-01-03T00:00:00"/>
        <d v="2025-05-23T00:00:00"/>
        <d v="2024-11-28T00:00:00"/>
        <d v="2023-08-28T00:00:00"/>
        <d v="2024-04-18T00:00:00"/>
        <d v="2024-06-29T00:00:00"/>
        <d v="2024-04-04T00:00:00"/>
        <d v="2024-06-03T00:00:00"/>
        <d v="2024-05-09T00:00:00"/>
        <d v="2023-03-31T00:00:00"/>
        <d v="2024-01-21T00:00:00"/>
        <d v="2024-03-27T00:00:00"/>
        <d v="2023-03-23T00:00:00"/>
        <d v="2024-08-12T00:00:00"/>
        <d v="2025-03-31T00:00:00"/>
        <d v="2023-06-05T00:00:00"/>
        <d v="2023-05-10T00:00:00"/>
        <d v="2023-10-01T00:00:00"/>
        <d v="2024-07-12T00:00:00"/>
        <d v="2023-10-30T00:00:00"/>
        <d v="2023-09-12T00:00:00"/>
        <d v="2025-04-17T00:00:00"/>
        <d v="2024-03-25T00:00:00"/>
        <d v="2023-05-21T00:00:00"/>
        <d v="2023-04-01T00:00:00"/>
        <d v="2023-07-27T00:00:00"/>
        <d v="2024-02-20T00:00:00"/>
        <d v="2023-09-29T00:00:00"/>
        <d v="2025-06-28T00:00:00"/>
        <d v="2024-07-25T00:00:00"/>
        <d v="2024-05-07T00:00:00"/>
        <d v="2023-11-11T00:00:00"/>
        <d v="2023-10-19T00:00:00"/>
        <d v="2023-04-17T00:00:00"/>
        <d v="2024-06-05T00:00:00"/>
        <d v="2023-04-22T00:00:00"/>
        <d v="2024-04-25T00:00:00"/>
        <d v="2025-05-30T00:00:00"/>
        <d v="2025-04-22T00:00:00"/>
        <d v="2024-04-05T00:00:00"/>
        <d v="2024-07-18T00:00:00"/>
        <d v="2024-08-26T00:00:00"/>
        <d v="2023-04-28T00:00:00"/>
        <d v="2024-09-21T00:00:00"/>
        <d v="2023-07-30T00:00:00"/>
        <d v="2025-04-24T00:00:00"/>
        <d v="2025-01-21T00:00:00"/>
        <d v="2023-06-18T00:00:00"/>
        <d v="2023-12-10T00:00:00"/>
        <d v="2024-07-06T00:00:00"/>
        <d v="2024-02-01T00:00:00"/>
        <d v="2023-12-28T00:00:00"/>
        <d v="2024-12-17T00:00:00"/>
        <d v="2024-11-05T00:00:00"/>
        <d v="2025-06-22T00:00:00"/>
        <d v="2023-05-08T00:00:00"/>
        <d v="2024-09-25T00:00:00"/>
        <d v="2024-12-24T00:00:00"/>
        <d v="2024-11-08T00:00:00"/>
        <d v="2024-05-28T00:00:00"/>
        <d v="2024-03-22T00:00:00"/>
        <d v="2025-02-15T00:00:00"/>
        <d v="2025-01-26T00:00:00"/>
        <d v="2024-04-17T00:00:00"/>
        <d v="2023-11-18T00:00:00"/>
        <d v="2024-12-16T00:00:00"/>
        <d v="2023-01-20T00:00:00"/>
        <d v="2023-09-26T00:00:00"/>
        <d v="2023-07-24T00:00:00"/>
        <d v="2023-04-18T00:00:00"/>
        <d v="2023-06-21T00:00:00"/>
        <d v="2025-02-25T00:00:00"/>
        <d v="2025-06-04T00:00:00"/>
        <d v="2024-07-13T00:00:00"/>
        <d v="2023-07-29T00:00:00"/>
        <d v="2023-06-15T00:00:00"/>
        <d v="2023-05-03T00:00:00"/>
        <d v="2024-12-03T00:00:00"/>
        <d v="2025-01-01T00:00:00"/>
        <d v="2023-07-19T00:00:00"/>
        <d v="2024-10-10T00:00:00"/>
        <d v="2024-07-29T00:00:00"/>
        <d v="2023-07-23T00:00:00"/>
        <d v="2023-07-20T00:00:00"/>
        <d v="2024-12-29T00:00:00"/>
        <d v="2023-02-01T00:00:00"/>
        <d v="2025-02-13T00:00:00"/>
        <d v="2024-05-08T00:00:00"/>
        <d v="2024-06-28T00:00:00"/>
        <d v="2024-04-28T00:00:00"/>
        <d v="2023-06-24T00:00:00"/>
        <d v="2023-11-25T00:00:00"/>
        <d v="2023-06-10T00:00:00"/>
        <d v="2024-04-24T00:00:00"/>
        <d v="2025-03-05T00:00:00"/>
        <d v="2024-07-26T00:00:00"/>
        <d v="2023-07-10T00:00:00"/>
        <d v="2024-04-10T00:00:00"/>
        <d v="2024-03-20T00:00:00"/>
        <d v="2023-06-16T00:00:00"/>
        <d v="2024-03-13T00:00:00"/>
        <d v="2023-11-06T00:00:00"/>
        <d v="2024-08-04T00:00:00"/>
        <d v="2023-11-14T00:00:00"/>
        <d v="2023-02-11T00:00:00"/>
        <d v="2025-06-05T00:00:00"/>
        <d v="2024-06-16T00:00:00"/>
        <d v="2023-08-06T00:00:00"/>
        <d v="2025-05-14T00:00:00"/>
        <d v="2023-09-06T00:00:00"/>
        <d v="2024-01-24T00:00:00"/>
        <d v="2024-06-19T00:00:00"/>
        <d v="2024-12-07T00:00:00"/>
        <d v="2025-01-23T00:00:00"/>
        <d v="2023-10-14T00:00:00"/>
        <d v="2024-03-09T00:00:00"/>
        <d v="2023-05-26T00:00:00"/>
        <d v="2023-04-16T00:00:00"/>
        <d v="2023-05-20T00:00:00"/>
        <d v="2024-01-23T00:00:00"/>
        <d v="2024-06-11T00:00:00"/>
        <d v="2023-10-29T00:00:00"/>
        <d v="2024-04-19T00:00:00"/>
        <d v="2024-07-24T00:00:00"/>
        <d v="2025-02-20T00:00:00"/>
        <d v="2023-06-17T00:00:00"/>
        <d v="2025-05-16T00:00:00"/>
        <d v="2024-05-22T00:00:00"/>
        <d v="2023-01-02T00:00:00"/>
        <d v="2023-10-20T00:00:00"/>
        <d v="2024-09-04T00:00:00"/>
        <d v="2023-07-15T00:00:00"/>
        <d v="2023-04-23T00:00:00"/>
        <d v="2024-09-09T00:00:00"/>
        <d v="2024-11-18T00:00:00"/>
        <d v="2023-06-06T00:00:00"/>
        <d v="2023-12-30T00:00:00"/>
        <d v="2024-08-08T00:00:00"/>
        <d v="2023-10-17T00:00:00"/>
        <d v="2024-04-23T00:00:00"/>
        <d v="2023-12-14T00:00:00"/>
        <d v="2023-05-11T00:00:00"/>
        <d v="2023-04-05T00:00:00"/>
        <d v="2024-07-07T00:00:00"/>
        <d v="2023-08-17T00:00:00"/>
        <d v="2024-06-14T00:00:00"/>
        <d v="2024-01-01T00:00:00"/>
        <d v="2024-01-05T00:00:00"/>
        <d v="2023-03-05T00:00:00"/>
        <d v="2024-06-09T00:00:00"/>
        <d v="2024-09-30T00:00:00"/>
        <d v="2023-03-19T00:00:00"/>
        <d v="2024-12-01T00:00:00"/>
        <d v="2024-09-26T00:00:00"/>
        <d v="2025-02-04T00:00:00"/>
        <d v="2023-05-18T00:00:00"/>
        <d v="2024-08-11T00:00:00"/>
        <d v="2024-01-06T00:00:00"/>
        <d v="2023-06-07T00:00:00"/>
        <d v="2024-04-12T00:00:00"/>
        <d v="2024-06-15T00:00:00"/>
        <d v="2023-09-28T00:00:00"/>
        <d v="2023-12-21T00:00:00"/>
        <d v="2024-04-29T00:00:00"/>
        <d v="2024-06-06T00:00:00"/>
        <d v="2024-07-10T00:00:00"/>
        <d v="2024-04-13T00:00:00"/>
        <d v="2025-05-07T00:00:00"/>
        <d v="2023-02-10T00:00:00"/>
        <d v="2023-12-29T00:00:00"/>
        <d v="2023-04-29T00:00:00"/>
        <d v="2024-03-06T00:00:00"/>
        <d v="2024-03-03T00:00:00"/>
        <d v="2024-03-21T00:00:00"/>
        <d v="2024-09-15T00:00:00"/>
        <d v="2023-04-24T00:00:00"/>
        <d v="2024-01-19T00:00:00"/>
        <d v="2024-10-20T00:00:00"/>
        <d v="2024-04-16T00:00:00"/>
        <d v="2023-06-13T00:00:00"/>
        <d v="2024-08-27T00:00:00"/>
        <d v="2023-01-12T00:00:00"/>
        <d v="2025-06-26T00:00:00"/>
        <d v="2023-06-29T00:00:00"/>
        <d v="2024-01-30T00:00:00"/>
        <d v="2024-03-31T00:00:00"/>
        <d v="2023-09-02T00:00:00"/>
        <d v="2023-03-01T00:00:00"/>
        <d v="2024-03-23T00:00:00"/>
        <d v="2024-11-27T00:00:00"/>
        <d v="2023-10-02T00:00:00"/>
        <d v="2023-05-16T00:00:00"/>
        <d v="2025-06-27T00:00:00"/>
        <d v="2025-02-10T00:00:00"/>
        <d v="2025-04-12T00:00:00"/>
        <d v="2025-01-20T00:00:00"/>
        <d v="2024-09-27T00:00:00"/>
        <d v="2024-11-23T00:00:00"/>
        <d v="2023-02-18T00:00:00"/>
        <d v="2025-06-29T00:00:00"/>
        <d v="2025-03-28T00:00:00"/>
        <d v="2023-06-12T00:00:00"/>
        <d v="2023-05-19T00:00:00"/>
        <d v="2023-08-20T00:00:00"/>
        <d v="2024-04-09T00:00:00"/>
        <d v="2023-10-11T00:00:00"/>
        <d v="2023-03-24T00:00:00"/>
        <d v="2023-11-27T00:00:00"/>
        <d v="2025-04-03T00:00:00"/>
        <d v="2023-08-31T00:00:00"/>
        <d v="2023-10-18T00:00:00"/>
        <d v="2024-11-25T00:00:00"/>
        <d v="2024-01-13T00:00:00"/>
        <d v="2023-06-11T00:00:00"/>
        <d v="2024-07-11T00:00:00"/>
        <d v="2025-01-19T00:00:00"/>
        <d v="2023-03-13T00:00:00"/>
        <d v="2025-06-10T00:00:00"/>
        <d v="2024-08-15T00:00:00"/>
        <d v="2024-05-19T00:00:00"/>
        <d v="2024-12-23T00:00:00"/>
        <d v="2023-05-01T00:00:00"/>
        <d v="2024-02-15T00:00:00"/>
        <d v="2025-03-16T00:00:00"/>
        <d v="2023-12-17T00:00:00"/>
        <d v="2023-02-24T00:00:00"/>
        <d v="2025-01-16T00:00:00"/>
        <d v="2024-01-14T00:00:00"/>
        <d v="2025-03-22T00:00:00"/>
        <d v="2024-03-24T00:00:00"/>
        <d v="2023-11-05T00:00:00"/>
        <d v="2024-06-10T00:00:00"/>
        <d v="2025-01-25T00:00:00"/>
        <d v="2024-10-27T00:00:00"/>
        <d v="2023-01-13T00:00:00"/>
        <d v="2024-12-27T00:00:00"/>
        <d v="2025-04-08T00:00:00"/>
        <d v="2023-05-25T00:00:00"/>
        <d v="2023-05-27T00:00:00"/>
        <d v="2024-06-21T00:00:00"/>
        <d v="2025-05-31T00:00:00"/>
        <d v="2023-04-12T00:00:00"/>
        <d v="2024-11-16T00:00:00"/>
        <d v="2023-08-13T00:00:00"/>
        <d v="2023-02-02T00:00:00"/>
        <d v="2023-03-28T00:00:00"/>
        <d v="2023-03-25T00:00:00"/>
        <d v="2023-01-26T00:00:00"/>
        <d v="2024-01-11T00:00:00"/>
        <d v="2023-05-29T00:00:00"/>
        <d v="2023-04-10T00:00:00"/>
        <d v="2023-03-09T00:00:00"/>
        <d v="2024-07-30T00:00:00"/>
        <d v="2024-04-27T00:00:00"/>
        <d v="2024-02-09T00:00:00"/>
        <d v="2024-12-31T00:00:00"/>
        <d v="2023-09-23T00:00:00"/>
        <d v="2023-03-30T00:00:00"/>
        <d v="2023-07-26T00:00:00"/>
        <d v="2025-04-13T00:00:00"/>
        <d v="2025-01-17T00:00:00"/>
        <d v="2024-07-14T00:00:00"/>
        <d v="2024-10-25T00:00:00"/>
        <d v="2025-01-07T00:00:00"/>
        <d v="2024-09-22T00:00:00"/>
        <d v="2023-05-05T00:00:00"/>
        <d v="2023-02-23T00:00:00"/>
        <d v="2024-09-07T00:00:00"/>
        <d v="2024-05-01T00:00:00"/>
        <d v="2023-03-29T00:00:00"/>
        <d v="2024-01-31T00:00:00"/>
        <d v="2024-03-07T00:00:00"/>
        <d v="2024-01-27T00:00:00"/>
        <d v="2023-11-15T00:00:00"/>
        <d v="2025-03-12T00:00:00"/>
        <d v="2025-06-07T00:00:00"/>
        <d v="2024-11-07T00:00:00"/>
        <d v="2024-07-15T00:00:00"/>
        <d v="2024-10-31T00:00:00"/>
        <d v="2025-02-23T00:00:00"/>
        <d v="2024-12-25T00:00:00"/>
        <d v="2023-02-21T00:00:00"/>
        <d v="2024-06-17T00:00:00"/>
        <d v="2024-12-19T00:00:00"/>
        <d v="2024-11-21T00:00:00"/>
        <d v="2023-10-26T00:00:00"/>
        <d v="2025-05-10T00:00:00"/>
        <d v="2025-06-02T00:00:00"/>
        <d v="2024-07-08T00:00:00"/>
        <d v="2025-04-06T00:00:00"/>
        <d v="2023-08-15T00:00:00"/>
        <d v="2023-02-16T00:00:00"/>
        <d v="2023-03-18T00:00:00"/>
        <d v="2023-07-12T00:00:00"/>
        <d v="2024-01-16T00:00:00"/>
        <d v="2023-12-05T00:00:00"/>
        <d v="2023-06-20T00:00:00"/>
        <d v="2023-09-11T00:00:00"/>
        <d v="2024-10-16T00:00:00"/>
        <m/>
      </sharedItems>
      <fieldGroup par="14"/>
    </cacheField>
    <cacheField name="AccountNumber" numFmtId="0">
      <sharedItems containsString="0" containsBlank="1" containsNumber="1" containsInteger="1" minValue="4000" maxValue="6000" count="6">
        <n v="4000"/>
        <n v="5000"/>
        <n v="6000"/>
        <n v="5010"/>
        <n v="4010"/>
        <m/>
      </sharedItems>
    </cacheField>
    <cacheField name="AccountName" numFmtId="0">
      <sharedItems containsBlank="1" count="6">
        <s v="Sales Revenue"/>
        <s v="COGS"/>
        <s v="Payroll Expense"/>
        <s v="Travel Expense"/>
        <s v="Online Sales"/>
        <m/>
      </sharedItems>
    </cacheField>
    <cacheField name="Debit" numFmtId="0">
      <sharedItems containsString="0" containsBlank="1" containsNumber="1" minValue="0" maxValue="1999.52"/>
    </cacheField>
    <cacheField name="Credit" numFmtId="0">
      <sharedItems containsString="0" containsBlank="1" containsNumber="1" minValue="0" maxValue="4999.53"/>
    </cacheField>
    <cacheField name="Dept" numFmtId="0">
      <sharedItems containsBlank="1" count="7">
        <s v="Sales"/>
        <s v="HR"/>
        <s v="IT"/>
        <s v="Marketing"/>
        <s v="Finance"/>
        <s v="Operations"/>
        <m/>
      </sharedItems>
    </cacheField>
    <cacheField name="CostCenter" numFmtId="0">
      <sharedItems containsBlank="1" count="6">
        <s v="CC500"/>
        <s v="CC300"/>
        <s v="CC400"/>
        <s v="CC200"/>
        <s v="CC100"/>
        <m/>
      </sharedItems>
    </cacheField>
    <cacheField name="Description" numFmtId="0">
      <sharedItems containsBlank="1"/>
    </cacheField>
    <cacheField name="Currency" numFmtId="0">
      <sharedItems containsBlank="1"/>
    </cacheField>
    <cacheField name="YearMonth" numFmtId="0">
      <sharedItems containsBlank="1" count="31">
        <s v="2024-05"/>
        <s v="2024-06"/>
        <s v="2025-01"/>
        <s v="2023-09"/>
        <s v="2023-08"/>
        <s v="2025-05"/>
        <s v="2023-12"/>
        <s v="2024-04"/>
        <s v="2023-04"/>
        <s v="2023-11"/>
        <s v="2024-11"/>
        <s v="2024-02"/>
        <s v="2025-04"/>
        <s v="2025-03"/>
        <s v="2023-01"/>
        <s v="2024-09"/>
        <s v="2024-03"/>
        <s v="2023-07"/>
        <s v="2023-03"/>
        <s v="2025-06"/>
        <s v="2024-01"/>
        <s v="2024-07"/>
        <s v="2023-06"/>
        <s v="2024-12"/>
        <s v="2023-02"/>
        <s v="2024-08"/>
        <s v="2024-10"/>
        <s v="2023-10"/>
        <s v="2025-02"/>
        <s v="2023-05"/>
        <m/>
      </sharedItems>
    </cacheField>
    <cacheField name="ActualAmount" numFmtId="0">
      <sharedItems containsString="0" containsBlank="1" containsNumber="1" minValue="-1999.52" maxValue="4999.53" count="1997">
        <n v="2505.15"/>
        <n v="-1184.73"/>
        <n v="-748.25"/>
        <n v="-1610.64"/>
        <n v="-1053.1199999999999"/>
        <n v="-1653.64"/>
        <n v="-899.55"/>
        <n v="-247.27"/>
        <n v="-202.02"/>
        <n v="-1093.72"/>
        <n v="3282.35"/>
        <n v="2452.1999999999998"/>
        <n v="3490.39"/>
        <n v="3379.63"/>
        <n v="1490.43"/>
        <n v="-1119.05"/>
        <n v="4006.73"/>
        <n v="259.83999999999997"/>
        <n v="-735.45"/>
        <n v="-154.43"/>
        <n v="-359.1"/>
        <n v="1632.86"/>
        <n v="-319.7"/>
        <n v="-546.02"/>
        <n v="-267.04000000000002"/>
        <n v="1650.08"/>
        <n v="-115"/>
        <n v="1073.4100000000001"/>
        <n v="3466"/>
        <n v="-947.43"/>
        <n v="4495.8900000000003"/>
        <n v="-72.88"/>
        <n v="867.61"/>
        <n v="-1416.83"/>
        <n v="-806.72"/>
        <n v="391.57"/>
        <n v="-248.09"/>
        <n v="-1469.2"/>
        <n v="-1924.85"/>
        <n v="-1416.63"/>
        <n v="-358.23"/>
        <n v="-1647.4"/>
        <n v="-945.76"/>
        <n v="-941.14"/>
        <n v="-142.16"/>
        <n v="1368.77"/>
        <n v="2507.52"/>
        <n v="1744.89"/>
        <n v="-1408.09"/>
        <n v="-480.19"/>
        <n v="-1444.62"/>
        <n v="4456.24"/>
        <n v="4800.28"/>
        <n v="-425.12"/>
        <n v="-1830.18"/>
        <n v="4128.6400000000003"/>
        <n v="-609.79999999999995"/>
        <n v="-279.32"/>
        <n v="1790.31"/>
        <n v="-1635.65"/>
        <n v="3300.5"/>
        <n v="-1704.76"/>
        <n v="-145.25"/>
        <n v="-1423.44"/>
        <n v="-793.01"/>
        <n v="2977.78"/>
        <n v="-1212.6500000000001"/>
        <n v="1204.96"/>
        <n v="-1735.7"/>
        <n v="-1095.32"/>
        <n v="-553.17999999999995"/>
        <n v="2434.5500000000002"/>
        <n v="-156.53"/>
        <n v="-1231.32"/>
        <n v="-1844.88"/>
        <n v="-1368.26"/>
        <n v="2609.56"/>
        <n v="-1420.84"/>
        <n v="-1671.57"/>
        <n v="-498.83"/>
        <n v="-1528.9"/>
        <n v="4706.6099999999997"/>
        <n v="-1105.6300000000001"/>
        <n v="3399.04"/>
        <n v="-1163.98"/>
        <n v="3532.66"/>
        <n v="-1395.59"/>
        <n v="-1441.07"/>
        <n v="3845.76"/>
        <n v="-1448.69"/>
        <n v="-74.5"/>
        <n v="1071.73"/>
        <n v="-1875.56"/>
        <n v="-1449.67"/>
        <n v="-1782.21"/>
        <n v="4889.25"/>
        <n v="-1101.33"/>
        <n v="-121.65"/>
        <n v="-137.87"/>
        <n v="792.94"/>
        <n v="1346.1"/>
        <n v="961.26"/>
        <n v="-421.91"/>
        <n v="1902.45"/>
        <n v="-764.96"/>
        <n v="734.03"/>
        <n v="-1157.81"/>
        <n v="-1552.29"/>
        <n v="-1400.69"/>
        <n v="-1548.81"/>
        <n v="-1166.95"/>
        <n v="3630.78"/>
        <n v="1148.97"/>
        <n v="1826.98"/>
        <n v="-464.27"/>
        <n v="-325.08999999999997"/>
        <n v="3674.13"/>
        <n v="2578.4299999999998"/>
        <n v="-523.80999999999995"/>
        <n v="-1120.46"/>
        <n v="-547.59"/>
        <n v="2032.52"/>
        <n v="-1405.18"/>
        <n v="-150.66999999999999"/>
        <n v="902.67"/>
        <n v="160.09"/>
        <n v="-367.4"/>
        <n v="4964.84"/>
        <n v="-925"/>
        <n v="-1697.34"/>
        <n v="-308.37"/>
        <n v="-1304.32"/>
        <n v="3993.88"/>
        <n v="703.6"/>
        <n v="-355.53"/>
        <n v="-1915.19"/>
        <n v="877.66"/>
        <n v="2719.49"/>
        <n v="-1695.8"/>
        <n v="-1304.8399999999999"/>
        <n v="708.58"/>
        <n v="-1650.46"/>
        <n v="1112.1600000000001"/>
        <n v="3711.83"/>
        <n v="-715.32"/>
        <n v="-1366.61"/>
        <n v="-1091.43"/>
        <n v="1164.3499999999999"/>
        <n v="-1139.5"/>
        <n v="338.86"/>
        <n v="-1379.51"/>
        <n v="978.34"/>
        <n v="-1490.29"/>
        <n v="-1515.7"/>
        <n v="1736.2"/>
        <n v="-1711.43"/>
        <n v="-511.34"/>
        <n v="4520.9799999999996"/>
        <n v="-1483.66"/>
        <n v="-571.01"/>
        <n v="-1556.44"/>
        <n v="2614.6799999999998"/>
        <n v="3901.69"/>
        <n v="1890.76"/>
        <n v="1829.98"/>
        <n v="1161.94"/>
        <n v="-1114.08"/>
        <n v="859.97"/>
        <n v="-1369.63"/>
        <n v="-1174.4100000000001"/>
        <n v="-605.78"/>
        <n v="-60.93"/>
        <n v="-210.91"/>
        <n v="-763.11"/>
        <n v="-858.91"/>
        <n v="-1330.42"/>
        <n v="1750.45"/>
        <n v="335.99"/>
        <n v="-1783.05"/>
        <n v="-278.89"/>
        <n v="4714.1099999999997"/>
        <n v="-782.32"/>
        <n v="-209.01"/>
        <n v="-449.54"/>
        <n v="-1740.12"/>
        <n v="-1625.69"/>
        <n v="-586.76"/>
        <n v="2824.84"/>
        <n v="1046.78"/>
        <n v="3930.36"/>
        <n v="2772.6"/>
        <n v="-1409.16"/>
        <n v="1470.69"/>
        <n v="3549.99"/>
        <n v="2371.4"/>
        <n v="-1869.71"/>
        <n v="-1812.22"/>
        <n v="-218.2"/>
        <n v="965.46"/>
        <n v="321.5"/>
        <n v="-763.01"/>
        <n v="2497.61"/>
        <n v="4299.82"/>
        <n v="-492.26"/>
        <n v="4036.79"/>
        <n v="3885.84"/>
        <n v="-1161.43"/>
        <n v="4478.0600000000004"/>
        <n v="-169.1"/>
        <n v="-1138.92"/>
        <n v="3750.39"/>
        <n v="-1619.58"/>
        <n v="668.17"/>
        <n v="-1003.8"/>
        <n v="1941.69"/>
        <n v="-521.33000000000004"/>
        <n v="-1612.68"/>
        <n v="-1386.6"/>
        <n v="-1060.0999999999999"/>
        <n v="-558.04"/>
        <n v="345.31"/>
        <n v="1449.49"/>
        <n v="-491.91"/>
        <n v="-1439"/>
        <n v="-858.22"/>
        <n v="4850.6400000000003"/>
        <n v="-103.53"/>
        <n v="4048.34"/>
        <n v="-581.82000000000005"/>
        <n v="-539.15"/>
        <n v="2862.93"/>
        <n v="3938.51"/>
        <n v="-871.28"/>
        <n v="-1527.74"/>
        <n v="1075.51"/>
        <n v="2361.1799999999998"/>
        <n v="-151.34"/>
        <n v="1299.3699999999999"/>
        <n v="-118.21"/>
        <n v="4864.04"/>
        <n v="4495.32"/>
        <n v="-1121.29"/>
        <n v="-908.7"/>
        <n v="3760.55"/>
        <n v="-86.6"/>
        <n v="4264.16"/>
        <n v="4005.6"/>
        <n v="-736.75"/>
        <n v="4679.5"/>
        <n v="-1226.52"/>
        <n v="2655.25"/>
        <n v="889.23"/>
        <n v="-734.75"/>
        <n v="-1799.36"/>
        <n v="-950.03"/>
        <n v="1523.43"/>
        <n v="2725.09"/>
        <n v="-1186.77"/>
        <n v="3404.96"/>
        <n v="-436.8"/>
        <n v="-1095.1300000000001"/>
        <n v="-393.67"/>
        <n v="799.77"/>
        <n v="4354.13"/>
        <n v="-1157.8"/>
        <n v="2597.25"/>
        <n v="-1343.21"/>
        <n v="-1498.82"/>
        <n v="4728.58"/>
        <n v="3612.83"/>
        <n v="4506.28"/>
        <n v="-1000.3"/>
        <n v="-991.08"/>
        <n v="-1499.52"/>
        <n v="1203.8"/>
        <n v="656.25"/>
        <n v="-620.29999999999995"/>
        <n v="-85.24"/>
        <n v="-628.62"/>
        <n v="1358.19"/>
        <n v="2329.64"/>
        <n v="-1039.56"/>
        <n v="-1441.17"/>
        <n v="873.53"/>
        <n v="1932.35"/>
        <n v="-1733.12"/>
        <n v="3004.12"/>
        <n v="-1521.85"/>
        <n v="-1486.16"/>
        <n v="-1308.19"/>
        <n v="-1765.16"/>
        <n v="-842.35"/>
        <n v="-788.28"/>
        <n v="239.94"/>
        <n v="4378.1899999999996"/>
        <n v="-1116.99"/>
        <n v="-1902.75"/>
        <n v="-275.93"/>
        <n v="-1761.1"/>
        <n v="4260.88"/>
        <n v="1229.46"/>
        <n v="-1804.04"/>
        <n v="-1637.96"/>
        <n v="1400.77"/>
        <n v="-1010.88"/>
        <n v="1059.18"/>
        <n v="951.38"/>
        <n v="2648.82"/>
        <n v="2008.6"/>
        <n v="-1604.44"/>
        <n v="-350.19"/>
        <n v="-547.95000000000005"/>
        <n v="561.46"/>
        <n v="-737.29"/>
        <n v="963.96"/>
        <n v="-1233.1600000000001"/>
        <n v="1228"/>
        <n v="1067.1500000000001"/>
        <n v="1167.53"/>
        <n v="-1808.37"/>
        <n v="3683.59"/>
        <n v="2268.92"/>
        <n v="-791.64"/>
        <n v="381.77"/>
        <n v="-603.09"/>
        <n v="-76.959999999999994"/>
        <n v="-870.26"/>
        <n v="195.85"/>
        <n v="3924.16"/>
        <n v="-745.46"/>
        <n v="2579.5"/>
        <n v="-1763.39"/>
        <n v="-957.72"/>
        <n v="312.52"/>
        <n v="4032.89"/>
        <n v="-822.42"/>
        <n v="2096.4299999999998"/>
        <n v="2254.64"/>
        <n v="-1898.13"/>
        <n v="-92.89"/>
        <n v="-192.59"/>
        <n v="1924.88"/>
        <n v="-1161.96"/>
        <n v="-1693.2"/>
        <n v="535.42999999999995"/>
        <n v="-449.09"/>
        <n v="-938.21"/>
        <n v="-131.84"/>
        <n v="3658.34"/>
        <n v="-509.89"/>
        <n v="-697.58"/>
        <n v="-1580.47"/>
        <n v="-1567.36"/>
        <n v="-443.79"/>
        <n v="-889.34"/>
        <n v="2239.96"/>
        <n v="-1291.24"/>
        <n v="-397.07"/>
        <n v="-803.21"/>
        <n v="1032.8399999999999"/>
        <n v="-1071.7"/>
        <n v="-842.82"/>
        <n v="-1375.81"/>
        <n v="4517.55"/>
        <n v="-837.89"/>
        <n v="-426.78"/>
        <n v="-999.72"/>
        <n v="-74.209999999999994"/>
        <n v="1158.73"/>
        <n v="-1129.06"/>
        <n v="-1450.58"/>
        <n v="-820.46"/>
        <n v="-1027.96"/>
        <n v="2599.69"/>
        <n v="-903.24"/>
        <n v="-1037.05"/>
        <n v="-390.22"/>
        <n v="4450.59"/>
        <n v="-1836.23"/>
        <n v="-1033.93"/>
        <n v="-64.73"/>
        <n v="-891.36"/>
        <n v="-983.92"/>
        <n v="-412.44"/>
        <n v="2409.8200000000002"/>
        <n v="-1490.61"/>
        <n v="2946.46"/>
        <n v="-542.61"/>
        <n v="3453.36"/>
        <n v="-1550.28"/>
        <n v="2348.4"/>
        <n v="-761.57"/>
        <n v="958.3"/>
        <n v="-618.6"/>
        <n v="334.65"/>
        <n v="-1922.54"/>
        <n v="3519.07"/>
        <n v="-1944.25"/>
        <n v="-51.54"/>
        <n v="952.59"/>
        <n v="-312.45"/>
        <n v="-571.80999999999995"/>
        <n v="-750.55"/>
        <n v="4835.87"/>
        <n v="2979.48"/>
        <n v="-1288.94"/>
        <n v="-578.6"/>
        <n v="-341.06"/>
        <n v="-1074.77"/>
        <n v="1025.56"/>
        <n v="1148.8499999999999"/>
        <n v="-1644.1"/>
        <n v="3002.11"/>
        <n v="-327.57"/>
        <n v="2146.0700000000002"/>
        <n v="811.92"/>
        <n v="-943.91"/>
        <n v="-453.48"/>
        <n v="4075.25"/>
        <n v="4559.4399999999996"/>
        <n v="-50.64"/>
        <n v="-1277.92"/>
        <n v="-707.53"/>
        <n v="-356.21"/>
        <n v="-189.31"/>
        <n v="-519.61"/>
        <n v="3923.81"/>
        <n v="-171.38"/>
        <n v="-960.38"/>
        <n v="-931.96"/>
        <n v="353.32"/>
        <n v="-66.08"/>
        <n v="361.74"/>
        <n v="-1392.66"/>
        <n v="4172.26"/>
        <n v="-1792.82"/>
        <n v="-164.54"/>
        <n v="-217.44"/>
        <n v="-1899.59"/>
        <n v="-808.94"/>
        <n v="3691.59"/>
        <n v="2510.66"/>
        <n v="1959.12"/>
        <n v="-1541.66"/>
        <n v="-1240.1400000000001"/>
        <n v="-889.94"/>
        <n v="-1562.72"/>
        <n v="-1182.8"/>
        <n v="-489.72"/>
        <n v="-1003.21"/>
        <n v="1571.79"/>
        <n v="-1413.19"/>
        <n v="-819.5"/>
        <n v="1428.23"/>
        <n v="1859.84"/>
        <n v="-1060.6500000000001"/>
        <n v="-493.78"/>
        <n v="-911.05"/>
        <n v="855.46"/>
        <n v="-1218.8900000000001"/>
        <n v="-670.27"/>
        <n v="-579"/>
        <n v="1322.5"/>
        <n v="-1920.52"/>
        <n v="-417.54"/>
        <n v="-1832.61"/>
        <n v="1225.02"/>
        <n v="-973.97"/>
        <n v="-525.5"/>
        <n v="-805.56"/>
        <n v="-1466.97"/>
        <n v="4734.3599999999997"/>
        <n v="1668.4"/>
        <n v="4991.26"/>
        <n v="-445.53"/>
        <n v="-1464.99"/>
        <n v="1422.45"/>
        <n v="2350.1999999999998"/>
        <n v="-1559.89"/>
        <n v="-1570.96"/>
        <n v="3947.32"/>
        <n v="-1467.92"/>
        <n v="-1843.54"/>
        <n v="-134.56"/>
        <n v="1712.94"/>
        <n v="-551.23"/>
        <n v="588.37"/>
        <n v="-134.5"/>
        <n v="-630.03"/>
        <n v="-1840.05"/>
        <n v="-1943.87"/>
        <n v="2322.15"/>
        <n v="1615.42"/>
        <n v="3274.24"/>
        <n v="-293.63"/>
        <n v="2924.19"/>
        <n v="-630.34"/>
        <n v="2794.59"/>
        <n v="-276.86"/>
        <n v="-1358.2"/>
        <n v="-701.01"/>
        <n v="3951.26"/>
        <n v="1521.81"/>
        <n v="-402.01"/>
        <n v="-610.08000000000004"/>
        <n v="4713.8999999999996"/>
        <n v="-1547.67"/>
        <n v="3002.52"/>
        <n v="-1295.97"/>
        <n v="-1648.77"/>
        <n v="1351.35"/>
        <n v="1986.96"/>
        <n v="-1723.41"/>
        <n v="386.09"/>
        <n v="2180.11"/>
        <n v="-1283.72"/>
        <n v="-1809.13"/>
        <n v="-1785.9"/>
        <n v="4808.83"/>
        <n v="-922.15"/>
        <n v="2754.43"/>
        <n v="2370.2800000000002"/>
        <n v="-649.98"/>
        <n v="402.69"/>
        <n v="-154.30000000000001"/>
        <n v="3155.19"/>
        <n v="-1455.97"/>
        <n v="-133.86000000000001"/>
        <n v="-928.81"/>
        <n v="4936.62"/>
        <n v="-1152.7"/>
        <n v="-1793.92"/>
        <n v="-1022.78"/>
        <n v="1831.2"/>
        <n v="1273.25"/>
        <n v="3620.97"/>
        <n v="2592.4299999999998"/>
        <n v="-1683.82"/>
        <n v="-1735.98"/>
        <n v="3791.55"/>
        <n v="2119.27"/>
        <n v="3802.31"/>
        <n v="1414.25"/>
        <n v="1404.17"/>
        <n v="3160.15"/>
        <n v="-344.52"/>
        <n v="-846.89"/>
        <n v="-1316.39"/>
        <n v="-1731.71"/>
        <n v="-1683.19"/>
        <n v="-225.82"/>
        <n v="3218.47"/>
        <n v="489.03"/>
        <n v="-558.76"/>
        <n v="3368.07"/>
        <n v="-1354.74"/>
        <n v="-421.39"/>
        <n v="-618.39"/>
        <n v="-1649.25"/>
        <n v="3741.45"/>
        <n v="3563.43"/>
        <n v="-1010.12"/>
        <n v="4926.55"/>
        <n v="3762.76"/>
        <n v="-372.65"/>
        <n v="-1040.76"/>
        <n v="-1458.37"/>
        <n v="529.02"/>
        <n v="4167.67"/>
        <n v="-1788.83"/>
        <n v="-929.85"/>
        <n v="3706.89"/>
        <n v="4692.96"/>
        <n v="-179.56"/>
        <n v="-649.71"/>
        <n v="3347.45"/>
        <n v="2584"/>
        <n v="4254.54"/>
        <n v="1301.08"/>
        <n v="1565.18"/>
        <n v="-69.31"/>
        <n v="-1752.75"/>
        <n v="759.16"/>
        <n v="-350.75"/>
        <n v="-1991.12"/>
        <n v="-661.12"/>
        <n v="-1109.8599999999999"/>
        <n v="4533.8"/>
        <n v="-329.57"/>
        <n v="4725.13"/>
        <n v="-206.46"/>
        <n v="-402.92"/>
        <n v="4295.83"/>
        <n v="3237.32"/>
        <n v="-648.30999999999995"/>
        <n v="-710.64"/>
        <n v="-309.33999999999997"/>
        <n v="-1657.7"/>
        <n v="-1748.81"/>
        <n v="-278.26"/>
        <n v="-387.61"/>
        <n v="-930.92"/>
        <n v="-1231.94"/>
        <n v="-1911.86"/>
        <n v="1161.8599999999999"/>
        <n v="-622.09"/>
        <n v="-895.07"/>
        <n v="-1093.48"/>
        <n v="1178.75"/>
        <n v="1843.27"/>
        <n v="-1239.45"/>
        <n v="3317.75"/>
        <n v="493.21"/>
        <n v="-1638.5"/>
        <n v="1848.61"/>
        <n v="-436.93"/>
        <n v="-1498.49"/>
        <n v="-1030.46"/>
        <n v="2665.08"/>
        <n v="-416.41"/>
        <n v="2058.4"/>
        <n v="203.81"/>
        <n v="-1876.28"/>
        <n v="-1047.55"/>
        <n v="3567.5"/>
        <n v="1073.3499999999999"/>
        <n v="-1340.18"/>
        <n v="2847.98"/>
        <n v="-1084.3800000000001"/>
        <n v="-1437.11"/>
        <n v="4116.3900000000003"/>
        <n v="-1732.79"/>
        <n v="-1107.71"/>
        <n v="303.27"/>
        <n v="-608.84"/>
        <n v="-1438.43"/>
        <n v="1141.46"/>
        <n v="-1263.43"/>
        <n v="3107.95"/>
        <n v="-1600.99"/>
        <n v="-563.6"/>
        <n v="-961.83"/>
        <n v="-1455.41"/>
        <n v="-1057.3599999999999"/>
        <n v="3358.16"/>
        <n v="1525.47"/>
        <n v="-707.2"/>
        <n v="-1209.72"/>
        <n v="-1696.57"/>
        <n v="2657.38"/>
        <n v="4294.0600000000004"/>
        <n v="451.28"/>
        <n v="-1730.45"/>
        <n v="4570.1099999999997"/>
        <n v="-1200.67"/>
        <n v="-1429.26"/>
        <n v="-1489.09"/>
        <n v="1528.95"/>
        <n v="4139.3100000000004"/>
        <n v="-1781.01"/>
        <n v="-1659.6"/>
        <n v="-1220.3"/>
        <n v="-1327.71"/>
        <n v="-1760.57"/>
        <n v="-832.19"/>
        <n v="-243.79"/>
        <n v="-560.62"/>
        <n v="4106.57"/>
        <n v="-873.19"/>
        <n v="541.23"/>
        <n v="-793.98"/>
        <n v="-644.58000000000004"/>
        <n v="-222.19"/>
        <n v="-296.98"/>
        <n v="-1919.89"/>
        <n v="3948.96"/>
        <n v="1952.91"/>
        <n v="4819.25"/>
        <n v="-385.69"/>
        <n v="-269.3"/>
        <n v="4910.29"/>
        <n v="2866.16"/>
        <n v="-151.68"/>
        <n v="1246.53"/>
        <n v="-1724.65"/>
        <n v="-1411.99"/>
        <n v="-753.12"/>
        <n v="3744.19"/>
        <n v="-906.55"/>
        <n v="-215.69"/>
        <n v="-1478.7"/>
        <n v="3502.79"/>
        <n v="2828.86"/>
        <n v="-130.63999999999999"/>
        <n v="-1824.18"/>
        <n v="2401.06"/>
        <n v="3086.33"/>
        <n v="-1546.69"/>
        <n v="2135.0700000000002"/>
        <n v="337.27"/>
        <n v="4145.3100000000004"/>
        <n v="-322.43"/>
        <n v="-1350.68"/>
        <n v="-1038.71"/>
        <n v="-1455.61"/>
        <n v="-1723.07"/>
        <n v="965.55"/>
        <n v="1927.89"/>
        <n v="-1789.3"/>
        <n v="1155.8499999999999"/>
        <n v="1701.37"/>
        <n v="-706.44"/>
        <n v="734.04"/>
        <n v="-1551.77"/>
        <n v="-176.54"/>
        <n v="1019.92"/>
        <n v="-1858.28"/>
        <n v="-682.74"/>
        <n v="-958.28"/>
        <n v="3448.25"/>
        <n v="-863.44"/>
        <n v="-1764.03"/>
        <n v="-1182.72"/>
        <n v="-1094.9100000000001"/>
        <n v="-889.16"/>
        <n v="-1474.83"/>
        <n v="-1846.14"/>
        <n v="4903.1499999999996"/>
        <n v="2093.2399999999998"/>
        <n v="-1171.3"/>
        <n v="-930.25"/>
        <n v="4977.82"/>
        <n v="-1937.34"/>
        <n v="1978.42"/>
        <n v="-678.83"/>
        <n v="463.02"/>
        <n v="-1296.07"/>
        <n v="3270.5"/>
        <n v="2188.77"/>
        <n v="-655.77"/>
        <n v="-407.27"/>
        <n v="-744.16"/>
        <n v="4474.66"/>
        <n v="-75.27"/>
        <n v="-1164.26"/>
        <n v="-937.56"/>
        <n v="4164.95"/>
        <n v="2820.1"/>
        <n v="2983.93"/>
        <n v="-319.47000000000003"/>
        <n v="1222.08"/>
        <n v="-199.77"/>
        <n v="4349.28"/>
        <n v="-1496.23"/>
        <n v="324.7"/>
        <n v="-1504.62"/>
        <n v="2507.58"/>
        <n v="-837.65"/>
        <n v="-787.73"/>
        <n v="-910.72"/>
        <n v="-1362.52"/>
        <n v="-1261.48"/>
        <n v="3519.33"/>
        <n v="-1425.68"/>
        <n v="4831.59"/>
        <n v="3282.7"/>
        <n v="-1789.76"/>
        <n v="-1557.62"/>
        <n v="4262.2299999999996"/>
        <n v="-1754.04"/>
        <n v="-604.27"/>
        <n v="-788.46"/>
        <n v="1493.92"/>
        <n v="-588.44000000000005"/>
        <n v="-1078.52"/>
        <n v="4324.54"/>
        <n v="2300.21"/>
        <n v="-446.19"/>
        <n v="1518.24"/>
        <n v="-1385.02"/>
        <n v="-1887.31"/>
        <n v="4476.07"/>
        <n v="-170.41"/>
        <n v="-1650.02"/>
        <n v="3235.44"/>
        <n v="-459.65"/>
        <n v="-882.11"/>
        <n v="-1023.17"/>
        <n v="-510.05"/>
        <n v="3848.25"/>
        <n v="-315.25"/>
        <n v="4030.96"/>
        <n v="1965.39"/>
        <n v="3170.84"/>
        <n v="3010.78"/>
        <n v="-1953.3"/>
        <n v="-1420.92"/>
        <n v="-203.96"/>
        <n v="2860.2"/>
        <n v="-1363.92"/>
        <n v="4449.82"/>
        <n v="-256.63"/>
        <n v="303.74"/>
        <n v="-1181.69"/>
        <n v="2568.02"/>
        <n v="-1567.28"/>
        <n v="1614.33"/>
        <n v="-335.31"/>
        <n v="-1491.54"/>
        <n v="2809.76"/>
        <n v="460.23"/>
        <n v="2788.91"/>
        <n v="-695.92"/>
        <n v="-1845.75"/>
        <n v="-892.42"/>
        <n v="-1024.68"/>
        <n v="-927.04"/>
        <n v="3540.18"/>
        <n v="4254.72"/>
        <n v="-1013.65"/>
        <n v="2994.63"/>
        <n v="4094.14"/>
        <n v="-784.89"/>
        <n v="-219.41"/>
        <n v="1558.82"/>
        <n v="-723.9"/>
        <n v="2447.66"/>
        <n v="1067.43"/>
        <n v="-977.48"/>
        <n v="-1331.39"/>
        <n v="4756.54"/>
        <n v="-543"/>
        <n v="-635.02"/>
        <n v="-1114.53"/>
        <n v="1484.62"/>
        <n v="-742.51"/>
        <n v="3933.89"/>
        <n v="4092.61"/>
        <n v="4772.83"/>
        <n v="-1965.5"/>
        <n v="-1386.65"/>
        <n v="872.06"/>
        <n v="-1801.16"/>
        <n v="-1990.94"/>
        <n v="1372.78"/>
        <n v="-1600.28"/>
        <n v="-618.05999999999995"/>
        <n v="3150.6"/>
        <n v="-1288.25"/>
        <n v="-1629.27"/>
        <n v="-436.4"/>
        <n v="-186.27"/>
        <n v="3025.08"/>
        <n v="-793.16"/>
        <n v="-1753.87"/>
        <n v="915.77"/>
        <n v="-1083.5899999999999"/>
        <n v="889.07"/>
        <n v="-1620.36"/>
        <n v="549.91999999999996"/>
        <n v="4103.1000000000004"/>
        <n v="-316.45"/>
        <n v="-1384.87"/>
        <n v="-932.11"/>
        <n v="2355.54"/>
        <n v="-1327.52"/>
        <n v="-77.790000000000006"/>
        <n v="2100.39"/>
        <n v="-882.8"/>
        <n v="3194.96"/>
        <n v="-981.76"/>
        <n v="1322.78"/>
        <n v="-508.47"/>
        <n v="-1587.23"/>
        <n v="2067.5700000000002"/>
        <n v="1379.98"/>
        <n v="4346.96"/>
        <n v="525.34"/>
        <n v="-275.32"/>
        <n v="-1408.29"/>
        <n v="2640.87"/>
        <n v="2978.56"/>
        <n v="-100.56"/>
        <n v="-581.4"/>
        <n v="-176.17"/>
        <n v="-482.67"/>
        <n v="-1072.33"/>
        <n v="1700.49"/>
        <n v="-1915.1"/>
        <n v="-1632.24"/>
        <n v="2334.77"/>
        <n v="2655.46"/>
        <n v="4082.31"/>
        <n v="-1204.8499999999999"/>
        <n v="4496.12"/>
        <n v="2776.15"/>
        <n v="3598.62"/>
        <n v="-1433.77"/>
        <n v="-244.58"/>
        <n v="-958.53"/>
        <n v="-1312.28"/>
        <n v="4549.33"/>
        <n v="-1965.36"/>
        <n v="-769.49"/>
        <n v="-743.08"/>
        <n v="-586.1"/>
        <n v="-1912.35"/>
        <n v="-819.96"/>
        <n v="-1880.1"/>
        <n v="-1255.8499999999999"/>
        <n v="3738.97"/>
        <n v="-50.19"/>
        <n v="-608.52"/>
        <n v="-287.52"/>
        <n v="-1749.98"/>
        <n v="-221.12"/>
        <n v="-1012.53"/>
        <n v="542.16999999999996"/>
        <n v="-580.21"/>
        <n v="-739.56"/>
        <n v="-1657.23"/>
        <n v="-1181.06"/>
        <n v="-944.72"/>
        <n v="3496.47"/>
        <n v="389.32"/>
        <n v="2071.73"/>
        <n v="-1719.48"/>
        <n v="-260.58"/>
        <n v="-79.59"/>
        <n v="2860.93"/>
        <n v="4074.77"/>
        <n v="4702.84"/>
        <n v="-920.32"/>
        <n v="1564.55"/>
        <n v="2984.56"/>
        <n v="4352.6000000000004"/>
        <n v="1861.57"/>
        <n v="1431.79"/>
        <n v="3515.1"/>
        <n v="-547.15"/>
        <n v="2941.46"/>
        <n v="-1900.12"/>
        <n v="1951.17"/>
        <n v="-770.2"/>
        <n v="-202.11"/>
        <n v="-1844.72"/>
        <n v="1995.59"/>
        <n v="-1875.24"/>
        <n v="-80.59"/>
        <n v="-445.11"/>
        <n v="2882.01"/>
        <n v="-788.01"/>
        <n v="1052.22"/>
        <n v="583.57000000000005"/>
        <n v="-1472.38"/>
        <n v="-1444.24"/>
        <n v="-746.97"/>
        <n v="-1912.71"/>
        <n v="-1714.13"/>
        <n v="-996.13"/>
        <n v="-1735.24"/>
        <n v="-1782.36"/>
        <n v="-288.13"/>
        <n v="-760.63"/>
        <n v="4555.41"/>
        <n v="1864.27"/>
        <n v="705.16"/>
        <n v="2558.2800000000002"/>
        <n v="583.33000000000004"/>
        <n v="2126.6999999999998"/>
        <n v="-409.25"/>
        <n v="546.70000000000005"/>
        <n v="-1708.86"/>
        <n v="-1155.1300000000001"/>
        <n v="-906.36"/>
        <n v="1026.19"/>
        <n v="-1571.91"/>
        <n v="504.44"/>
        <n v="2486.2199999999998"/>
        <n v="-397.17"/>
        <n v="-1558.38"/>
        <n v="1902.31"/>
        <n v="-330.31"/>
        <n v="369.23"/>
        <n v="2516.86"/>
        <n v="2267.1999999999998"/>
        <n v="-270.42"/>
        <n v="1807.47"/>
        <n v="-1404.46"/>
        <n v="-1628.38"/>
        <n v="-1593.21"/>
        <n v="3100.79"/>
        <n v="-759.38"/>
        <n v="-818.52"/>
        <n v="-1003.28"/>
        <n v="3683.5"/>
        <n v="-1336.12"/>
        <n v="142.47999999999999"/>
        <n v="-225.03"/>
        <n v="-1959.72"/>
        <n v="-459.97"/>
        <n v="1518.16"/>
        <n v="-1278.1199999999999"/>
        <n v="-1956.42"/>
        <n v="-1816.11"/>
        <n v="-1309.5"/>
        <n v="-316.43"/>
        <n v="4239.59"/>
        <n v="-497.55"/>
        <n v="-1978.21"/>
        <n v="-1691.11"/>
        <n v="3238.48"/>
        <n v="2318.9699999999998"/>
        <n v="-683.66"/>
        <n v="-1309.76"/>
        <n v="-988.94"/>
        <n v="3981.75"/>
        <n v="4727.49"/>
        <n v="4557.5600000000004"/>
        <n v="-402.15"/>
        <n v="1210.2"/>
        <n v="256.32"/>
        <n v="-1493.77"/>
        <n v="-1946.64"/>
        <n v="3890.34"/>
        <n v="-1085.95"/>
        <n v="-1425.4"/>
        <n v="-910.93"/>
        <n v="-973.12"/>
        <n v="3221.92"/>
        <n v="4508.8599999999997"/>
        <n v="882.66"/>
        <n v="-432.35"/>
        <n v="1578.7"/>
        <n v="-880.83"/>
        <n v="1378.62"/>
        <n v="1884.23"/>
        <n v="-398.06"/>
        <n v="-1030.76"/>
        <n v="-1713"/>
        <n v="3214.89"/>
        <n v="284.06"/>
        <n v="3835.49"/>
        <n v="-357.85"/>
        <n v="1435.58"/>
        <n v="-163.47999999999999"/>
        <n v="-1586.3"/>
        <n v="1071.1300000000001"/>
        <n v="-1888.6"/>
        <n v="-1396.76"/>
        <n v="458.3"/>
        <n v="-1873.98"/>
        <n v="550.03"/>
        <n v="-1300.8599999999999"/>
        <n v="-509.12"/>
        <n v="-1328.19"/>
        <n v="2455.5100000000002"/>
        <n v="723.85"/>
        <n v="544.42999999999995"/>
        <n v="-1812.2"/>
        <n v="-1323.46"/>
        <n v="-254.62"/>
        <n v="-1198.8900000000001"/>
        <n v="-556.48"/>
        <n v="3204.3"/>
        <n v="-322.5"/>
        <n v="-916.19"/>
        <n v="-202.58"/>
        <n v="4558.3900000000003"/>
        <n v="-962.74"/>
        <n v="-996.08"/>
        <n v="-1399.67"/>
        <n v="1644.76"/>
        <n v="-1049.23"/>
        <n v="-1655.29"/>
        <n v="-1402.31"/>
        <n v="-833.9"/>
        <n v="3759.18"/>
        <n v="-67.150000000000006"/>
        <n v="-1138.3599999999999"/>
        <n v="-1356.38"/>
        <n v="-1770.21"/>
        <n v="-1240.48"/>
        <n v="-1870.74"/>
        <n v="-1295.49"/>
        <n v="-403.44"/>
        <n v="298.58"/>
        <n v="2967.77"/>
        <n v="322.85000000000002"/>
        <n v="-1178.57"/>
        <n v="-572.52"/>
        <n v="1038.25"/>
        <n v="-54.75"/>
        <n v="-229.78"/>
        <n v="-1195.8599999999999"/>
        <n v="183.89"/>
        <n v="-786.38"/>
        <n v="-352.55"/>
        <n v="-1814.7"/>
        <n v="4099.41"/>
        <n v="1953.74"/>
        <n v="-242.28"/>
        <n v="3335.43"/>
        <n v="-831.33"/>
        <n v="406.59"/>
        <n v="-1813.03"/>
        <n v="2019.11"/>
        <n v="-1278.3800000000001"/>
        <n v="2058.58"/>
        <n v="-1453.63"/>
        <n v="2233.0500000000002"/>
        <n v="-836.69"/>
        <n v="2173.0100000000002"/>
        <n v="3592.24"/>
        <n v="-412.97"/>
        <n v="-732.61"/>
        <n v="2538.6999999999998"/>
        <n v="-436.55"/>
        <n v="-1687.08"/>
        <n v="-1337.28"/>
        <n v="2049.4499999999998"/>
        <n v="760.5"/>
        <n v="-239.34"/>
        <n v="-882.43"/>
        <n v="4016.46"/>
        <n v="-1217.1199999999999"/>
        <n v="396.28"/>
        <n v="-682.65"/>
        <n v="-959.31"/>
        <n v="-431.95"/>
        <n v="-274.33"/>
        <n v="4439.8900000000003"/>
        <n v="1093.95"/>
        <n v="-900.67"/>
        <n v="2284.31"/>
        <n v="-1994.11"/>
        <n v="-286.3"/>
        <n v="-1069.23"/>
        <n v="-901.69"/>
        <n v="-1692.4"/>
        <n v="4894.3999999999996"/>
        <n v="-535.66999999999996"/>
        <n v="-1153.45"/>
        <n v="2523.88"/>
        <n v="-621.37"/>
        <n v="-991.7"/>
        <n v="-1727.08"/>
        <n v="-1518.91"/>
        <n v="1266.3499999999999"/>
        <n v="3886.29"/>
        <n v="-584.9"/>
        <n v="-1212.48"/>
        <n v="-1084.73"/>
        <n v="-1218.47"/>
        <n v="-134.03"/>
        <n v="-1961.58"/>
        <n v="-320.36"/>
        <n v="-727.24"/>
        <n v="-334.7"/>
        <n v="-620.16999999999996"/>
        <n v="2933.41"/>
        <n v="2103.91"/>
        <n v="-626.96"/>
        <n v="3001.97"/>
        <n v="-1130.18"/>
        <n v="-1772.72"/>
        <n v="-152.83000000000001"/>
        <n v="-954.94"/>
        <n v="4418.1899999999996"/>
        <n v="-1814.27"/>
        <n v="815.4"/>
        <n v="-290.05"/>
        <n v="-1726.68"/>
        <n v="2724.33"/>
        <n v="517.76"/>
        <n v="-1718.84"/>
        <n v="3902.53"/>
        <n v="-820.59"/>
        <n v="-933.21"/>
        <n v="581.76"/>
        <n v="2858.3"/>
        <n v="1469.73"/>
        <n v="4440.72"/>
        <n v="-1972.41"/>
        <n v="841.52"/>
        <n v="-316.14999999999998"/>
        <n v="-475.92"/>
        <n v="-1283.6099999999999"/>
        <n v="242.31"/>
        <n v="-309.44"/>
        <n v="-1158.3800000000001"/>
        <n v="1546.54"/>
        <n v="4731.97"/>
        <n v="-825.81"/>
        <n v="-811.62"/>
        <n v="2374.8200000000002"/>
        <n v="383.06"/>
        <n v="3219.96"/>
        <n v="1105.3800000000001"/>
        <n v="-600.28"/>
        <n v="1634.89"/>
        <n v="2484.3000000000002"/>
        <n v="2824.53"/>
        <n v="-269.73"/>
        <n v="-500.85"/>
        <n v="2600.9699999999998"/>
        <n v="-1457.86"/>
        <n v="1378.84"/>
        <n v="-1891.86"/>
        <n v="1330.12"/>
        <n v="695.86"/>
        <n v="-1628.31"/>
        <n v="4939.1400000000003"/>
        <n v="-1884.45"/>
        <n v="2294.84"/>
        <n v="-701.24"/>
        <n v="1406.7"/>
        <n v="-187.59"/>
        <n v="1358.12"/>
        <n v="-695.83"/>
        <n v="-200.78"/>
        <n v="2848.57"/>
        <n v="-185.51"/>
        <n v="-935.9"/>
        <n v="-1358.9"/>
        <n v="-1242.6500000000001"/>
        <n v="1524.63"/>
        <n v="1391.91"/>
        <n v="3506.68"/>
        <n v="-1331.89"/>
        <n v="-674.31"/>
        <n v="2570.4299999999998"/>
        <n v="1312.61"/>
        <n v="-1101.82"/>
        <n v="143.81"/>
        <n v="838.04"/>
        <n v="-1626.01"/>
        <n v="-1394.34"/>
        <n v="1022.63"/>
        <n v="-1757.53"/>
        <n v="1866.82"/>
        <n v="-1791.42"/>
        <n v="-1809.92"/>
        <n v="212.06"/>
        <n v="-227.05"/>
        <n v="3603.35"/>
        <n v="-185.67"/>
        <n v="4699.12"/>
        <n v="-1352.97"/>
        <n v="-936.7"/>
        <n v="3050.31"/>
        <n v="-574.09"/>
        <n v="3214.18"/>
        <n v="-1415.06"/>
        <n v="3142.85"/>
        <n v="-981.35"/>
        <n v="2967.52"/>
        <n v="3250.84"/>
        <n v="2026.45"/>
        <n v="-1199.5999999999999"/>
        <n v="-816.81"/>
        <n v="4074.11"/>
        <n v="720.36"/>
        <n v="-1279.52"/>
        <n v="-1249.06"/>
        <n v="4456.47"/>
        <n v="3830.15"/>
        <n v="4835.12"/>
        <n v="-1165.1300000000001"/>
        <n v="112.08"/>
        <n v="3589.18"/>
        <n v="1841.13"/>
        <n v="-1321.13"/>
        <n v="-501.83"/>
        <n v="-233.68"/>
        <n v="4225.68"/>
        <n v="-315.85000000000002"/>
        <n v="-1999.52"/>
        <n v="-770.08"/>
        <n v="4953.53"/>
        <n v="1360.16"/>
        <n v="-475.84"/>
        <n v="-1211.1500000000001"/>
        <n v="2327.23"/>
        <n v="-237.68"/>
        <n v="-1902.83"/>
        <n v="2447.1"/>
        <n v="-520.39"/>
        <n v="-1329.55"/>
        <n v="-1991.48"/>
        <n v="-637.88"/>
        <n v="175.56"/>
        <n v="-282.05"/>
        <n v="-1993.37"/>
        <n v="-294.74"/>
        <n v="763.55"/>
        <n v="2502.91"/>
        <n v="-468.89"/>
        <n v="-810.8"/>
        <n v="-1345.83"/>
        <n v="4443.21"/>
        <n v="-780.61"/>
        <n v="2988.59"/>
        <n v="-1463.55"/>
        <n v="790.68"/>
        <n v="3083.05"/>
        <n v="-473.43"/>
        <n v="4614.12"/>
        <n v="-1506.71"/>
        <n v="-874.3"/>
        <n v="-770.81"/>
        <n v="-916.64"/>
        <n v="-1378.77"/>
        <n v="-1403.4"/>
        <n v="-710.78"/>
        <n v="2077.61"/>
        <n v="2075.2600000000002"/>
        <n v="-955.82"/>
        <n v="-1924.14"/>
        <n v="4238.9799999999996"/>
        <n v="-1471.95"/>
        <n v="1269.44"/>
        <n v="-97.3"/>
        <n v="-557.66"/>
        <n v="-1380.55"/>
        <n v="-606.16"/>
        <n v="-1885.28"/>
        <n v="-1731.77"/>
        <n v="-394.02"/>
        <n v="687.07"/>
        <n v="4603.0200000000004"/>
        <n v="-675.05"/>
        <n v="-1487.83"/>
        <n v="-792.43"/>
        <n v="1819.9"/>
        <n v="-1966.73"/>
        <n v="1355.21"/>
        <n v="4992.45"/>
        <n v="-1949.81"/>
        <n v="-733.3"/>
        <n v="-1405.39"/>
        <n v="599.19000000000005"/>
        <n v="872.03"/>
        <n v="3873.21"/>
        <n v="-122.84"/>
        <n v="1039.28"/>
        <n v="1214.51"/>
        <n v="-1318.81"/>
        <n v="3395.3"/>
        <n v="-1554.18"/>
        <n v="4613.7"/>
        <n v="-803.03"/>
        <n v="-1564.19"/>
        <n v="-1942.89"/>
        <n v="4122.6000000000004"/>
        <n v="3139.71"/>
        <n v="-168.07"/>
        <n v="2067.23"/>
        <n v="-364.93"/>
        <n v="-488.16"/>
        <n v="-506.43"/>
        <n v="-517.6"/>
        <n v="-846.47"/>
        <n v="998.83"/>
        <n v="-714.9"/>
        <n v="1049.58"/>
        <n v="-1962.1"/>
        <n v="-773.23"/>
        <n v="-485.53"/>
        <n v="586.21"/>
        <n v="1624.21"/>
        <n v="-680.82"/>
        <n v="-167.34"/>
        <n v="1929.16"/>
        <n v="-400.54"/>
        <n v="1657.49"/>
        <n v="1718.15"/>
        <n v="3216.06"/>
        <n v="3406.43"/>
        <n v="-1047.53"/>
        <n v="-129.62"/>
        <n v="2334.75"/>
        <n v="-1023.61"/>
        <n v="-182.89"/>
        <n v="-229.97"/>
        <n v="-1443.86"/>
        <n v="1270.57"/>
        <n v="1310.5899999999999"/>
        <n v="3868.62"/>
        <n v="138.43"/>
        <n v="-1749.68"/>
        <n v="4955.21"/>
        <n v="-1030.07"/>
        <n v="-1552.9"/>
        <n v="-1837.1"/>
        <n v="3838.99"/>
        <n v="-1204.07"/>
        <n v="-1122.26"/>
        <n v="-633.59"/>
        <n v="4074.33"/>
        <n v="-340.22"/>
        <n v="-1891.61"/>
        <n v="-1998.5"/>
        <n v="2567.37"/>
        <n v="-1097.98"/>
        <n v="-443.66"/>
        <n v="-225.89"/>
        <n v="-90.95"/>
        <n v="4806.1400000000003"/>
        <n v="2397.21"/>
        <n v="1164.68"/>
        <n v="4994.2"/>
        <n v="127.25"/>
        <n v="-1383.8"/>
        <n v="4604.16"/>
        <n v="4835.3"/>
        <n v="1057.72"/>
        <n v="-1394.77"/>
        <n v="-803.08"/>
        <n v="-500.5"/>
        <n v="-413.05"/>
        <n v="-1752.32"/>
        <n v="1556.95"/>
        <n v="-1162.76"/>
        <n v="3293.95"/>
        <n v="-949.79"/>
        <n v="536.59"/>
        <n v="352.44"/>
        <n v="-479.39"/>
        <n v="-875.44"/>
        <n v="-726.79"/>
        <n v="3492.12"/>
        <n v="-868.34"/>
        <n v="1610.63"/>
        <n v="-1429.61"/>
        <n v="-918.99"/>
        <n v="-189.23"/>
        <n v="4553.74"/>
        <n v="224.69"/>
        <n v="-1447.98"/>
        <n v="-1846.98"/>
        <n v="-1709.33"/>
        <n v="4210.6499999999996"/>
        <n v="-1733.89"/>
        <n v="4741"/>
        <n v="-1800.94"/>
        <n v="-1648.82"/>
        <n v="174.57"/>
        <n v="-302.02999999999997"/>
        <n v="-226.75"/>
        <n v="3167.06"/>
        <n v="-1135.3699999999999"/>
        <n v="-418.07"/>
        <n v="3400.48"/>
        <n v="-67.56"/>
        <n v="2980.92"/>
        <n v="-1093.1300000000001"/>
        <n v="3048.03"/>
        <n v="-1020.63"/>
        <n v="-1162.8900000000001"/>
        <n v="-783.53"/>
        <n v="3125.16"/>
        <n v="-1578.71"/>
        <n v="4453.8"/>
        <n v="4929.5200000000004"/>
        <n v="-537.51"/>
        <n v="-554.87"/>
        <n v="4941.29"/>
        <n v="-1427.31"/>
        <n v="1063.56"/>
        <n v="-665.12"/>
        <n v="185.76"/>
        <n v="278.45999999999998"/>
        <n v="4294.84"/>
        <n v="-1675.83"/>
        <n v="-658.13"/>
        <n v="-1615.35"/>
        <n v="4040.21"/>
        <n v="1080.5"/>
        <n v="-1674.78"/>
        <n v="-959.69"/>
        <n v="-1883.44"/>
        <n v="1071.33"/>
        <n v="3543.57"/>
        <n v="-489.81"/>
        <n v="-505.72"/>
        <n v="-178.76"/>
        <n v="-495.06"/>
        <n v="309.72000000000003"/>
        <n v="-1106.6600000000001"/>
        <n v="4204.9399999999996"/>
        <n v="-850.43"/>
        <n v="4145.32"/>
        <n v="-1312.14"/>
        <n v="-1270.1400000000001"/>
        <n v="-1891.12"/>
        <n v="4859.24"/>
        <n v="2711.83"/>
        <n v="-648.23"/>
        <n v="3468.1"/>
        <n v="252.83"/>
        <n v="-1268.1099999999999"/>
        <n v="-574.22"/>
        <n v="-406.62"/>
        <n v="4055.84"/>
        <n v="3804.94"/>
        <n v="2037.61"/>
        <n v="-1702.53"/>
        <n v="829.97"/>
        <n v="4946.1000000000004"/>
        <n v="2736.74"/>
        <n v="-1372.85"/>
        <n v="-1842.13"/>
        <n v="4447.99"/>
        <n v="758.28"/>
        <n v="934.01"/>
        <n v="-1161.7"/>
        <n v="-1276.22"/>
        <n v="-383.71"/>
        <n v="3468.9"/>
        <n v="-1158.8"/>
        <n v="2396.8000000000002"/>
        <n v="2827.95"/>
        <n v="-1359.89"/>
        <n v="663.19"/>
        <n v="-1878.74"/>
        <n v="-741.28"/>
        <n v="1824.31"/>
        <n v="4296.04"/>
        <n v="-1969.36"/>
        <n v="-980.89"/>
        <n v="-618.26"/>
        <n v="-665.47"/>
        <n v="-982.03"/>
        <n v="-339.89"/>
        <n v="-535.34"/>
        <n v="-1582.13"/>
        <n v="-350.21"/>
        <n v="-889.68"/>
        <n v="-1155.53"/>
        <n v="827.97"/>
        <n v="2525.69"/>
        <n v="-1395.73"/>
        <n v="1888.44"/>
        <n v="718.52"/>
        <n v="-378.77"/>
        <n v="-1317.88"/>
        <n v="-636.6"/>
        <n v="4170.5"/>
        <n v="1923.84"/>
        <n v="-736.29"/>
        <n v="4712.88"/>
        <n v="2946.82"/>
        <n v="-1985.74"/>
        <n v="-1835.61"/>
        <n v="-509.51"/>
        <n v="573.51"/>
        <n v="3740.72"/>
        <n v="-1930.33"/>
        <n v="-1936.61"/>
        <n v="3625.02"/>
        <n v="3348.1"/>
        <n v="-760.59"/>
        <n v="3208.4"/>
        <n v="-420.76"/>
        <n v="-1497.64"/>
        <n v="3033.61"/>
        <n v="1502.06"/>
        <n v="-532.65"/>
        <n v="4109.07"/>
        <n v="3235.61"/>
        <n v="-1836.46"/>
        <n v="-1120.92"/>
        <n v="4622.21"/>
        <n v="-1067.19"/>
        <n v="-1712.89"/>
        <n v="-857.16"/>
        <n v="1913.45"/>
        <n v="-1307.6099999999999"/>
        <n v="1128.51"/>
        <n v="1933.41"/>
        <n v="-203.77"/>
        <n v="3874.96"/>
        <n v="-369.39"/>
        <n v="4685.3599999999997"/>
        <n v="-1614.34"/>
        <n v="-1072.1199999999999"/>
        <n v="-889.83"/>
        <n v="174.81"/>
        <n v="3155.54"/>
        <n v="1925.54"/>
        <n v="-1203.3399999999999"/>
        <n v="-1776.59"/>
        <n v="-1588.81"/>
        <n v="-1229.26"/>
        <n v="3867.59"/>
        <n v="-615.80999999999995"/>
        <n v="-1182.17"/>
        <n v="4084.9"/>
        <n v="2694.28"/>
        <n v="3550.01"/>
        <n v="2395.19"/>
        <n v="-1009.87"/>
        <n v="-1792.26"/>
        <n v="-1834.84"/>
        <n v="4316.42"/>
        <n v="-427.92"/>
        <n v="881.32"/>
        <n v="-896.81"/>
        <n v="-1292.1400000000001"/>
        <n v="-1720"/>
        <n v="-210.81"/>
        <n v="3145.99"/>
        <n v="4897.22"/>
        <n v="-1035.58"/>
        <n v="-883.62"/>
        <n v="1908.36"/>
        <n v="145.24"/>
        <n v="527.38"/>
        <n v="3715.39"/>
        <n v="-870.5"/>
        <n v="-1992.58"/>
        <n v="-1466.95"/>
        <n v="-480.18"/>
        <n v="4296.88"/>
        <n v="-123.85"/>
        <n v="-1528.6"/>
        <n v="-1408.83"/>
        <n v="-472.82"/>
        <n v="-826.92"/>
        <n v="-882.2"/>
        <n v="-1244.05"/>
        <n v="2017.86"/>
        <n v="-1845.02"/>
        <n v="1184.05"/>
        <n v="-1165.1400000000001"/>
        <n v="-641.08000000000004"/>
        <n v="-194.16"/>
        <n v="-262.33999999999997"/>
        <n v="-1269.67"/>
        <n v="1736.08"/>
        <n v="-418.98"/>
        <n v="-1106.24"/>
        <n v="3037.2"/>
        <n v="4063.27"/>
        <n v="-1920.87"/>
        <n v="-1167.74"/>
        <n v="-686.31"/>
        <n v="1294.23"/>
        <n v="-1657.22"/>
        <n v="677.29"/>
        <n v="-1765.08"/>
        <n v="3407.83"/>
        <n v="-543.41"/>
        <n v="-408.27"/>
        <n v="1300.21"/>
        <n v="-1326.8"/>
        <n v="2057.71"/>
        <n v="-1959.6"/>
        <n v="-1047.3399999999999"/>
        <n v="3260.6"/>
        <n v="-1149.3599999999999"/>
        <n v="1766.14"/>
        <n v="-1403.79"/>
        <n v="4061.44"/>
        <n v="-1472.53"/>
        <n v="4153.5600000000004"/>
        <n v="1559.52"/>
        <n v="-1478.02"/>
        <n v="-423.96"/>
        <n v="1027.73"/>
        <n v="1661.02"/>
        <n v="1263.17"/>
        <n v="2207.1799999999998"/>
        <n v="3799.96"/>
        <n v="-1292.8800000000001"/>
        <n v="-154.07"/>
        <n v="-1751.78"/>
        <n v="635.34"/>
        <n v="-534.29"/>
        <n v="-1212.18"/>
        <n v="-1830.4"/>
        <n v="1032.3800000000001"/>
        <n v="2620.3200000000002"/>
        <n v="4016.77"/>
        <n v="-575"/>
        <n v="-692.19"/>
        <n v="129.38999999999999"/>
        <n v="-739.61"/>
        <n v="1931.62"/>
        <n v="-624.64"/>
        <n v="724.9"/>
        <n v="-630.79"/>
        <n v="-808.72"/>
        <n v="1092.32"/>
        <n v="-1433.85"/>
        <n v="902.75"/>
        <n v="-1012.66"/>
        <n v="-1143.22"/>
        <n v="3892.69"/>
        <n v="-649.45000000000005"/>
        <n v="1422.91"/>
        <n v="1269.95"/>
        <n v="4047.23"/>
        <n v="-546.9"/>
        <n v="652.36"/>
        <n v="1963.74"/>
        <n v="1521.92"/>
        <n v="3858.51"/>
        <n v="4500.74"/>
        <n v="-678.18"/>
        <n v="-1306.92"/>
        <n v="1899.18"/>
        <n v="4785.2299999999996"/>
        <n v="2005.29"/>
        <n v="-1255.1099999999999"/>
        <n v="-816.6"/>
        <n v="1623.32"/>
        <n v="-770.91"/>
        <n v="3597.73"/>
        <n v="-468"/>
        <n v="-1093.3800000000001"/>
        <n v="1791.26"/>
        <n v="2175.02"/>
        <n v="-1574.77"/>
        <n v="-1527.19"/>
        <n v="-235.69"/>
        <n v="1732.54"/>
        <n v="2626.2"/>
        <n v="-1253"/>
        <n v="-698.8"/>
        <n v="1651.12"/>
        <n v="4999.53"/>
        <n v="-600.07000000000005"/>
        <n v="-1136.96"/>
        <n v="3007.82"/>
        <n v="2023.01"/>
        <n v="3884.34"/>
        <n v="225.78"/>
        <n v="2518.37"/>
        <n v="-847.09"/>
        <n v="-121.29"/>
        <n v="-1357.35"/>
        <n v="1658.15"/>
        <n v="-759.41"/>
        <n v="4703.2"/>
        <n v="528.16999999999996"/>
        <n v="4978.6499999999996"/>
        <n v="-912.48"/>
        <n v="3719.23"/>
        <n v="-136.12"/>
        <n v="-501.66"/>
        <n v="4477.99"/>
        <n v="-310.49"/>
        <n v="-1687.77"/>
        <n v="3606.68"/>
        <n v="-1726.93"/>
        <n v="4091.1"/>
        <n v="-1712.78"/>
        <n v="4088.16"/>
        <n v="-1941.5"/>
        <n v="-1945.41"/>
        <n v="-1421.11"/>
        <n v="-289.94"/>
        <n v="-1061.21"/>
        <n v="2682.77"/>
        <n v="250.7"/>
        <n v="-1995.64"/>
        <n v="-1268.68"/>
        <n v="-1700.66"/>
        <n v="-335.24"/>
        <n v="-705.25"/>
        <n v="-1859.77"/>
        <n v="-1672.52"/>
        <n v="-692.89"/>
        <n v="-324.08"/>
        <n v="-1164.05"/>
        <n v="778.57"/>
        <n v="-670.62"/>
        <n v="-887.17"/>
        <n v="-680.13"/>
        <n v="841.83"/>
        <n v="302.97000000000003"/>
        <n v="-80.23"/>
        <n v="-338.61"/>
        <n v="-1098.3699999999999"/>
        <n v="2290.62"/>
        <n v="-1294.49"/>
        <n v="-877.51"/>
        <n v="2987.63"/>
        <n v="-1925.26"/>
        <n v="1216.3499999999999"/>
        <n v="-1553.28"/>
        <n v="1122.51"/>
        <n v="-1893.28"/>
        <n v="-1667.55"/>
        <n v="-1448.96"/>
        <n v="-292.83999999999997"/>
        <n v="-1746.92"/>
        <n v="-870.1"/>
        <n v="-1451.54"/>
        <n v="905.45"/>
        <n v="-435.57"/>
        <n v="1129.92"/>
        <n v="-956.25"/>
        <n v="-1866.55"/>
        <n v="-1920.83"/>
        <n v="4953.79"/>
        <n v="-1790.29"/>
        <n v="523.59"/>
        <n v="-200.91"/>
        <n v="-219.39"/>
        <n v="-1274.73"/>
        <n v="-692.56"/>
        <n v="-1914.11"/>
        <n v="-1033.2"/>
        <n v="2648.51"/>
        <n v="737.9"/>
        <n v="-323.47000000000003"/>
        <n v="-728.68"/>
        <n v="-1625.93"/>
        <n v="166.02"/>
        <n v="-510"/>
        <n v="1743.21"/>
        <n v="-652.48"/>
        <n v="-710.38"/>
        <n v="4569.3500000000004"/>
        <n v="-1247.49"/>
        <n v="-153.35"/>
        <n v="432.36"/>
        <n v="-283.95999999999998"/>
        <n v="-1915.58"/>
        <n v="-1583.41"/>
        <n v="4316.26"/>
        <n v="887.28"/>
        <n v="1446.64"/>
        <n v="-794.56"/>
        <n v="1094.51"/>
        <n v="1492.82"/>
        <n v="1521.98"/>
        <n v="-597.86"/>
        <n v="-106.18"/>
        <n v="-446.48"/>
        <n v="-405.28"/>
        <n v="-1418.69"/>
        <n v="-622.67999999999995"/>
        <n v="-568.46"/>
        <n v="-544.71"/>
        <n v="-1849.24"/>
        <n v="-499.11"/>
        <n v="-288.41000000000003"/>
        <n v="4589.42"/>
        <n v="4897.2299999999996"/>
        <n v="4365.5600000000004"/>
        <n v="-1569.69"/>
        <n v="-1592.97"/>
        <n v="871.59"/>
        <n v="-585.89"/>
        <n v="-1221.74"/>
        <n v="4982.43"/>
        <n v="-1723.01"/>
        <n v="-1741.23"/>
        <n v="-1055.53"/>
        <n v="-349.69"/>
        <n v="1886.23"/>
        <n v="-552.91"/>
        <n v="258.08"/>
        <n v="-1370.81"/>
        <n v="-1669.15"/>
        <n v="-1711.71"/>
        <n v="-520.70000000000005"/>
        <n v="-501.53"/>
        <n v="-283.45"/>
        <n v="3079.85"/>
        <n v="-316.08"/>
        <n v="-1517.3"/>
        <n v="-1863.66"/>
        <n v="-146.04"/>
        <n v="-701.14"/>
        <n v="-1033.6199999999999"/>
        <n v="-652.77"/>
        <n v="2202.71"/>
        <n v="-1252.73"/>
        <n v="-1422.61"/>
        <n v="-729.53"/>
        <n v="-1561.21"/>
        <n v="3774.32"/>
        <n v="-503.88"/>
        <n v="2344.2199999999998"/>
        <n v="-1283.57"/>
        <n v="1964.79"/>
        <n v="3387.63"/>
        <n v="-1756.28"/>
        <n v="-938.88"/>
        <n v="994.95"/>
        <n v="-1619.31"/>
        <n v="2332.9299999999998"/>
        <n v="-335.2"/>
        <n v="-1838.96"/>
        <n v="2599.65"/>
        <n v="-801.83"/>
        <n v="-54.12"/>
        <n v="-326.83"/>
        <n v="-1868.89"/>
        <n v="-1572.8"/>
        <n v="-284.08"/>
        <n v="2962.29"/>
        <n v="1937.71"/>
        <n v="166.31"/>
        <n v="1137.06"/>
        <n v="993.38"/>
        <n v="-1915.74"/>
        <n v="-1850.88"/>
        <n v="4525.68"/>
        <n v="-854.45"/>
        <n v="-198.43"/>
        <n v="-1818.32"/>
        <n v="2638.4"/>
        <n v="2791.71"/>
        <n v="-726.03"/>
        <n v="-1370.59"/>
        <n v="-263.16000000000003"/>
        <n v="-1336.28"/>
        <n v="-1661.05"/>
        <n v="2221.86"/>
        <n v="4064.87"/>
        <n v="-564.04"/>
        <n v="2394.69"/>
        <n v="4484.1899999999996"/>
        <n v="1838.71"/>
        <n v="-407.55"/>
        <n v="1239.76"/>
        <n v="-721.91"/>
        <n v="-1506.81"/>
        <n v="3376.73"/>
        <n v="-1023.13"/>
        <n v="-1885.62"/>
        <n v="955.35"/>
        <n v="-1735.63"/>
        <n v="-1311.61"/>
        <n v="3124.09"/>
        <n v="-1453.46"/>
        <n v="-502.87"/>
        <n v="-845.04"/>
        <n v="2650.78"/>
        <n v="3701"/>
        <n v="-866.51"/>
        <n v="-1517.29"/>
        <n v="-58.18"/>
        <n v="944.88"/>
        <n v="-394.98"/>
        <n v="-1322.13"/>
        <n v="-780.7"/>
        <n v="-1051.1600000000001"/>
        <n v="3466.47"/>
        <n v="2900.85"/>
        <n v="-852.05"/>
        <n v="-1137.76"/>
        <n v="-1927.94"/>
        <n v="2609.17"/>
        <n v="-1813.3"/>
        <n v="2658.68"/>
        <n v="4776.24"/>
        <n v="-839.33"/>
        <n v="-961.76"/>
        <n v="1071.52"/>
        <n v="-512.01"/>
        <n v="876.89"/>
        <n v="214.94"/>
        <n v="-318.63"/>
        <n v="-1505.25"/>
        <n v="-1165.8499999999999"/>
        <n v="-424.86"/>
        <n v="-1626.39"/>
        <n v="-559.39"/>
        <n v="-1234.21"/>
        <n v="-704.55"/>
        <n v="118.67"/>
        <n v="1819.43"/>
        <n v="-1104.31"/>
        <n v="-698.67"/>
        <n v="3256.52"/>
        <n v="-415.73"/>
        <n v="-798.68"/>
        <n v="-829.83"/>
        <n v="-247.03"/>
        <n v="-688.11"/>
        <n v="-1196.93"/>
        <n v="2003.64"/>
        <n v="1233.1300000000001"/>
        <n v="767.31"/>
        <n v="-719.33"/>
        <n v="2016.99"/>
        <n v="4719.37"/>
        <n v="4523.09"/>
        <n v="354.88"/>
        <m/>
      </sharedItems>
    </cacheField>
    <cacheField name="Months (TxnDate)" numFmtId="0" databaseField="0">
      <fieldGroup base="1">
        <rangePr groupBy="months" startDate="2023-01-01T00:00:00" endDate="2025-07-01T00:00:00"/>
        <groupItems count="14">
          <s v="&lt;1/1/2023"/>
          <s v="Jan"/>
          <s v="Feb"/>
          <s v="Mar"/>
          <s v="Apr"/>
          <s v="May"/>
          <s v="Jun"/>
          <s v="Jul"/>
          <s v="Aug"/>
          <s v="Sep"/>
          <s v="Oct"/>
          <s v="Nov"/>
          <s v="Dec"/>
          <s v="&gt;7/1/2025"/>
        </groupItems>
      </fieldGroup>
    </cacheField>
    <cacheField name="Quarters (TxnDate)" numFmtId="0" databaseField="0">
      <fieldGroup base="1">
        <rangePr groupBy="quarters" startDate="2023-01-01T00:00:00" endDate="2025-07-01T00:00:00"/>
        <groupItems count="6">
          <s v="&lt;1/1/2023"/>
          <s v="Qtr1"/>
          <s v="Qtr2"/>
          <s v="Qtr3"/>
          <s v="Qtr4"/>
          <s v="&gt;7/1/2025"/>
        </groupItems>
      </fieldGroup>
    </cacheField>
    <cacheField name="Years (TxnDate)" numFmtId="0" databaseField="0">
      <fieldGroup base="1">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pivotCacheId="189199279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23.941022685183" createdVersion="8" refreshedVersion="8" minRefreshableVersion="3" recordCount="49" xr:uid="{E0D60522-0F4A-46A1-AA64-20DD1EECF679}">
  <cacheSource type="worksheet">
    <worksheetSource ref="A1:H1048576" sheet="BUDGETFORECAST"/>
  </cacheSource>
  <cacheFields count="8">
    <cacheField name="FiscalYear" numFmtId="0">
      <sharedItems containsString="0" containsBlank="1" containsNumber="1" containsInteger="1" minValue="2024" maxValue="2025" count="3">
        <n v="2024"/>
        <n v="2025"/>
        <m/>
      </sharedItems>
    </cacheField>
    <cacheField name="Dept" numFmtId="0">
      <sharedItems containsBlank="1" count="7">
        <s v="Finance"/>
        <s v="HR"/>
        <s v="IT"/>
        <s v="Sales"/>
        <s v="Marketing"/>
        <s v="Operations"/>
        <m/>
      </sharedItems>
    </cacheField>
    <cacheField name="Quarter" numFmtId="0">
      <sharedItems containsString="0" containsBlank="1" containsNumber="1" containsInteger="1" minValue="1" maxValue="4"/>
    </cacheField>
    <cacheField name="BudgetUSD" numFmtId="0">
      <sharedItems containsString="0" containsBlank="1" containsNumber="1" minValue="21211.21" maxValue="146937.60999999999"/>
    </cacheField>
    <cacheField name="ForecastUSD" numFmtId="0">
      <sharedItems containsString="0" containsBlank="1" containsNumber="1" minValue="22362.69" maxValue="142175.37"/>
    </cacheField>
    <cacheField name="ActualUSD" numFmtId="0">
      <sharedItems containsString="0" containsBlank="1" containsNumber="1" minValue="22368.41" maxValue="147123.70000000001"/>
    </cacheField>
    <cacheField name="VarianceUSD" numFmtId="0">
      <sharedItems containsString="0" containsBlank="1" containsNumber="1" minValue="-21609.34" maxValue="14507.63"/>
    </cacheField>
    <cacheField name="Not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25.059861921298" createdVersion="8" refreshedVersion="8" minRefreshableVersion="3" recordCount="2001" xr:uid="{45D67D1C-DCDD-4A80-878F-5F200AD93261}">
  <cacheSource type="worksheet">
    <worksheetSource ref="A1:M1048576" sheet="ACTUAL VS BUDGET"/>
  </cacheSource>
  <cacheFields count="13">
    <cacheField name="GLID" numFmtId="0">
      <sharedItems containsBlank="1"/>
    </cacheField>
    <cacheField name="TxnDate" numFmtId="0">
      <sharedItems containsNonDate="0" containsDate="1" containsString="0" containsBlank="1" minDate="2023-01-01T00:00:00" maxDate="2025-07-01T00:00:00"/>
    </cacheField>
    <cacheField name="AccountNumber" numFmtId="0">
      <sharedItems containsString="0" containsBlank="1" containsNumber="1" containsInteger="1" minValue="4000" maxValue="6000"/>
    </cacheField>
    <cacheField name="AccountName" numFmtId="0">
      <sharedItems containsBlank="1" count="6">
        <s v="Sales Revenue"/>
        <s v="COGS"/>
        <s v="Payroll Expense"/>
        <s v="Travel Expense"/>
        <s v="Online Sales"/>
        <m/>
      </sharedItems>
    </cacheField>
    <cacheField name="Debit" numFmtId="0">
      <sharedItems containsString="0" containsBlank="1" containsNumber="1" minValue="0" maxValue="1999.52"/>
    </cacheField>
    <cacheField name="Credit" numFmtId="0">
      <sharedItems containsString="0" containsBlank="1" containsNumber="1" minValue="0" maxValue="4999.53"/>
    </cacheField>
    <cacheField name="Dept" numFmtId="0">
      <sharedItems containsBlank="1" count="7">
        <s v="Sales"/>
        <s v="HR"/>
        <s v="IT"/>
        <s v="Marketing"/>
        <s v="Finance"/>
        <s v="Operations"/>
        <m/>
      </sharedItems>
    </cacheField>
    <cacheField name="CostCenter" numFmtId="0">
      <sharedItems containsBlank="1"/>
    </cacheField>
    <cacheField name="Description" numFmtId="0">
      <sharedItems containsBlank="1"/>
    </cacheField>
    <cacheField name="Currency" numFmtId="0">
      <sharedItems containsBlank="1"/>
    </cacheField>
    <cacheField name="YearMonth" numFmtId="0">
      <sharedItems containsBlank="1"/>
    </cacheField>
    <cacheField name="ActualAmount" numFmtId="0">
      <sharedItems containsString="0" containsBlank="1" containsNumber="1" minValue="-1999.52" maxValue="4999.53"/>
    </cacheField>
    <cacheField name="BudgetUSD" numFmtId="0">
      <sharedItems containsString="0" containsBlank="1" containsNumber="1" minValue="21211.21" maxValue="146937.60999999999"/>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26.014274189816" createdVersion="8" refreshedVersion="8" minRefreshableVersion="3" recordCount="2001" xr:uid="{71C30F52-49D2-4FCB-ABB2-F5D173DC3231}">
  <cacheSource type="worksheet">
    <worksheetSource ref="A1:P1048576" sheet="ACTUAL VS BUDGET"/>
  </cacheSource>
  <cacheFields count="19">
    <cacheField name="GLID" numFmtId="0">
      <sharedItems containsBlank="1"/>
    </cacheField>
    <cacheField name="TxnDate" numFmtId="0">
      <sharedItems containsNonDate="0" containsDate="1" containsString="0" containsBlank="1" minDate="2023-01-01T00:00:00" maxDate="2025-07-01T00:00:00" count="816">
        <d v="2024-05-05T00:00:00"/>
        <d v="2024-06-23T00:00:00"/>
        <d v="2025-01-09T00:00:00"/>
        <d v="2023-09-30T00:00:00"/>
        <d v="2023-08-03T00:00:00"/>
        <d v="2025-05-11T00:00:00"/>
        <d v="2023-08-04T00:00:00"/>
        <d v="2023-12-22T00:00:00"/>
        <d v="2024-04-30T00:00:00"/>
        <d v="2023-04-13T00:00:00"/>
        <d v="2023-11-20T00:00:00"/>
        <d v="2024-11-12T00:00:00"/>
        <d v="2024-05-25T00:00:00"/>
        <d v="2024-02-22T00:00:00"/>
        <d v="2025-04-29T00:00:00"/>
        <d v="2023-04-02T00:00:00"/>
        <d v="2025-03-06T00:00:00"/>
        <d v="2024-11-09T00:00:00"/>
        <d v="2023-01-27T00:00:00"/>
        <d v="2024-09-02T00:00:00"/>
        <d v="2024-03-28T00:00:00"/>
        <d v="2023-07-01T00:00:00"/>
        <d v="2024-05-29T00:00:00"/>
        <d v="2023-03-22T00:00:00"/>
        <d v="2023-04-09T00:00:00"/>
        <d v="2025-05-25T00:00:00"/>
        <d v="2024-11-14T00:00:00"/>
        <d v="2025-06-12T00:00:00"/>
        <d v="2025-03-19T00:00:00"/>
        <d v="2024-03-26T00:00:00"/>
        <d v="2024-01-07T00:00:00"/>
        <d v="2024-05-04T00:00:00"/>
        <d v="2023-01-15T00:00:00"/>
        <d v="2023-11-17T00:00:00"/>
        <d v="2024-07-28T00:00:00"/>
        <d v="2024-05-13T00:00:00"/>
        <d v="2025-04-20T00:00:00"/>
        <d v="2023-06-19T00:00:00"/>
        <d v="2025-01-03T00:00:00"/>
        <d v="2024-02-03T00:00:00"/>
        <d v="2024-12-22T00:00:00"/>
        <d v="2023-09-27T00:00:00"/>
        <d v="2023-02-08T00:00:00"/>
        <d v="2023-03-15T00:00:00"/>
        <d v="2024-08-28T00:00:00"/>
        <d v="2024-03-19T00:00:00"/>
        <d v="2023-01-25T00:00:00"/>
        <d v="2024-03-08T00:00:00"/>
        <d v="2023-03-14T00:00:00"/>
        <d v="2024-09-18T00:00:00"/>
        <d v="2024-10-26T00:00:00"/>
        <d v="2025-06-09T00:00:00"/>
        <d v="2023-11-19T00:00:00"/>
        <d v="2024-04-26T00:00:00"/>
        <d v="2024-11-02T00:00:00"/>
        <d v="2023-04-25T00:00:00"/>
        <d v="2023-12-19T00:00:00"/>
        <d v="2024-09-11T00:00:00"/>
        <d v="2024-02-02T00:00:00"/>
        <d v="2024-06-22T00:00:00"/>
        <d v="2023-09-16T00:00:00"/>
        <d v="2024-08-25T00:00:00"/>
        <d v="2023-09-03T00:00:00"/>
        <d v="2023-02-27T00:00:00"/>
        <d v="2023-10-15T00:00:00"/>
        <d v="2025-05-01T00:00:00"/>
        <d v="2025-06-23T00:00:00"/>
        <d v="2025-06-18T00:00:00"/>
        <d v="2024-05-18T00:00:00"/>
        <d v="2025-05-04T00:00:00"/>
        <d v="2024-02-21T00:00:00"/>
        <d v="2025-02-02T00:00:00"/>
        <d v="2024-09-16T00:00:00"/>
        <d v="2025-04-04T00:00:00"/>
        <d v="2023-03-27T00:00:00"/>
        <d v="2025-03-26T00:00:00"/>
        <d v="2023-03-16T00:00:00"/>
        <d v="2025-05-22T00:00:00"/>
        <d v="2023-12-24T00:00:00"/>
        <d v="2023-10-23T00:00:00"/>
        <d v="2023-12-31T00:00:00"/>
        <d v="2023-10-22T00:00:00"/>
        <d v="2025-02-21T00:00:00"/>
        <d v="2024-11-22T00:00:00"/>
        <d v="2023-12-15T00:00:00"/>
        <d v="2023-07-28T00:00:00"/>
        <d v="2024-04-14T00:00:00"/>
        <d v="2024-11-24T00:00:00"/>
        <d v="2024-05-12T00:00:00"/>
        <d v="2023-10-16T00:00:00"/>
        <d v="2023-10-12T00:00:00"/>
        <d v="2025-05-12T00:00:00"/>
        <d v="2023-02-15T00:00:00"/>
        <d v="2023-01-09T00:00:00"/>
        <d v="2025-01-10T00:00:00"/>
        <d v="2024-07-05T00:00:00"/>
        <d v="2024-10-07T00:00:00"/>
        <d v="2023-09-01T00:00:00"/>
        <d v="2023-08-24T00:00:00"/>
        <d v="2023-06-30T00:00:00"/>
        <d v="2025-06-15T00:00:00"/>
        <d v="2024-01-28T00:00:00"/>
        <d v="2024-03-04T00:00:00"/>
        <d v="2025-02-14T00:00:00"/>
        <d v="2023-06-25T00:00:00"/>
        <d v="2024-03-30T00:00:00"/>
        <d v="2024-09-10T00:00:00"/>
        <d v="2023-10-28T00:00:00"/>
        <d v="2025-04-15T00:00:00"/>
        <d v="2025-01-12T00:00:00"/>
        <d v="2024-11-30T00:00:00"/>
        <d v="2025-01-24T00:00:00"/>
        <d v="2023-07-21T00:00:00"/>
        <d v="2024-02-23T00:00:00"/>
        <d v="2024-08-06T00:00:00"/>
        <d v="2023-11-30T00:00:00"/>
        <d v="2023-12-16T00:00:00"/>
        <d v="2023-02-05T00:00:00"/>
        <d v="2025-01-14T00:00:00"/>
        <d v="2023-09-05T00:00:00"/>
        <d v="2025-02-22T00:00:00"/>
        <d v="2024-08-31T00:00:00"/>
        <d v="2023-09-08T00:00:00"/>
        <d v="2024-10-17T00:00:00"/>
        <d v="2025-01-04T00:00:00"/>
        <d v="2024-09-23T00:00:00"/>
        <d v="2025-06-24T00:00:00"/>
        <d v="2023-12-25T00:00:00"/>
        <d v="2023-08-09T00:00:00"/>
        <d v="2024-06-18T00:00:00"/>
        <d v="2023-04-30T00:00:00"/>
        <d v="2023-06-03T00:00:00"/>
        <d v="2023-05-22T00:00:00"/>
        <d v="2024-06-25T00:00:00"/>
        <d v="2024-03-01T00:00:00"/>
        <d v="2025-01-11T00:00:00"/>
        <d v="2025-02-18T00:00:00"/>
        <d v="2024-03-17T00:00:00"/>
        <d v="2025-06-03T00:00:00"/>
        <d v="2024-10-11T00:00:00"/>
        <d v="2025-06-14T00:00:00"/>
        <d v="2023-07-09T00:00:00"/>
        <d v="2023-04-19T00:00:00"/>
        <d v="2023-04-21T00:00:00"/>
        <d v="2023-01-29T00:00:00"/>
        <d v="2025-06-20T00:00:00"/>
        <d v="2023-12-09T00:00:00"/>
        <d v="2025-02-17T00:00:00"/>
        <d v="2024-12-21T00:00:00"/>
        <d v="2025-02-26T00:00:00"/>
        <d v="2024-07-17T00:00:00"/>
        <d v="2024-06-04T00:00:00"/>
        <d v="2023-11-22T00:00:00"/>
        <d v="2024-05-06T00:00:00"/>
        <d v="2023-09-13T00:00:00"/>
        <d v="2023-01-17T00:00:00"/>
        <d v="2024-09-29T00:00:00"/>
        <d v="2024-04-02T00:00:00"/>
        <d v="2024-07-16T00:00:00"/>
        <d v="2025-03-13T00:00:00"/>
        <d v="2024-08-22T00:00:00"/>
        <d v="2024-02-08T00:00:00"/>
        <d v="2024-08-07T00:00:00"/>
        <d v="2025-06-08T00:00:00"/>
        <d v="2023-04-20T00:00:00"/>
        <d v="2025-04-23T00:00:00"/>
        <d v="2023-01-10T00:00:00"/>
        <d v="2023-09-18T00:00:00"/>
        <d v="2023-05-23T00:00:00"/>
        <d v="2024-12-09T00:00:00"/>
        <d v="2023-03-20T00:00:00"/>
        <d v="2024-11-01T00:00:00"/>
        <d v="2023-02-06T00:00:00"/>
        <d v="2025-06-30T00:00:00"/>
        <d v="2024-08-18T00:00:00"/>
        <d v="2023-02-13T00:00:00"/>
        <d v="2024-01-15T00:00:00"/>
        <d v="2023-02-12T00:00:00"/>
        <d v="2023-03-12T00:00:00"/>
        <d v="2024-09-14T00:00:00"/>
        <d v="2024-02-25T00:00:00"/>
        <d v="2023-01-28T00:00:00"/>
        <d v="2024-09-03T00:00:00"/>
        <d v="2023-08-18T00:00:00"/>
        <d v="2024-09-13T00:00:00"/>
        <d v="2025-03-23T00:00:00"/>
        <d v="2023-08-21T00:00:00"/>
        <d v="2023-11-29T00:00:00"/>
        <d v="2025-02-19T00:00:00"/>
        <d v="2023-08-14T00:00:00"/>
        <d v="2024-01-18T00:00:00"/>
        <d v="2023-11-01T00:00:00"/>
        <d v="2024-02-12T00:00:00"/>
        <d v="2025-03-07T00:00:00"/>
        <d v="2024-12-10T00:00:00"/>
        <d v="2024-05-17T00:00:00"/>
        <d v="2023-11-21T00:00:00"/>
        <d v="2024-03-16T00:00:00"/>
        <d v="2023-04-11T00:00:00"/>
        <d v="2023-12-20T00:00:00"/>
        <d v="2024-11-11T00:00:00"/>
        <d v="2025-05-02T00:00:00"/>
        <d v="2023-08-10T00:00:00"/>
        <d v="2025-02-16T00:00:00"/>
        <d v="2024-01-03T00:00:00"/>
        <d v="2023-08-12T00:00:00"/>
        <d v="2023-07-14T00:00:00"/>
        <d v="2024-04-15T00:00:00"/>
        <d v="2024-10-21T00:00:00"/>
        <d v="2023-01-24T00:00:00"/>
        <d v="2024-08-30T00:00:00"/>
        <d v="2023-07-06T00:00:00"/>
        <d v="2025-02-24T00:00:00"/>
        <d v="2023-03-26T00:00:00"/>
        <d v="2023-01-14T00:00:00"/>
        <d v="2023-05-14T00:00:00"/>
        <d v="2025-03-09T00:00:00"/>
        <d v="2024-07-22T00:00:00"/>
        <d v="2023-11-04T00:00:00"/>
        <d v="2025-06-16T00:00:00"/>
        <d v="2024-06-12T00:00:00"/>
        <d v="2025-03-27T00:00:00"/>
        <d v="2024-07-02T00:00:00"/>
        <d v="2023-07-08T00:00:00"/>
        <d v="2024-06-08T00:00:00"/>
        <d v="2025-04-21T00:00:00"/>
        <d v="2023-01-22T00:00:00"/>
        <d v="2024-11-26T00:00:00"/>
        <d v="2025-04-18T00:00:00"/>
        <d v="2024-05-02T00:00:00"/>
        <d v="2024-03-05T00:00:00"/>
        <d v="2023-06-04T00:00:00"/>
        <d v="2023-07-31T00:00:00"/>
        <d v="2024-02-26T00:00:00"/>
        <d v="2025-02-09T00:00:00"/>
        <d v="2024-01-09T00:00:00"/>
        <d v="2025-01-06T00:00:00"/>
        <d v="2023-10-21T00:00:00"/>
        <d v="2025-05-27T00:00:00"/>
        <d v="2023-09-22T00:00:00"/>
        <d v="2024-02-16T00:00:00"/>
        <d v="2024-02-10T00:00:00"/>
        <d v="2023-06-14T00:00:00"/>
        <d v="2023-11-24T00:00:00"/>
        <d v="2023-08-07T00:00:00"/>
        <d v="2024-04-07T00:00:00"/>
        <d v="2023-05-06T00:00:00"/>
        <d v="2024-01-25T00:00:00"/>
        <d v="2025-02-06T00:00:00"/>
        <d v="2025-04-28T00:00:00"/>
        <d v="2025-01-05T00:00:00"/>
        <d v="2023-04-15T00:00:00"/>
        <d v="2025-01-28T00:00:00"/>
        <d v="2025-06-25T00:00:00"/>
        <d v="2024-04-01T00:00:00"/>
        <d v="2025-04-30T00:00:00"/>
        <d v="2024-05-10T00:00:00"/>
        <d v="2024-02-29T00:00:00"/>
        <d v="2025-01-22T00:00:00"/>
        <d v="2023-12-08T00:00:00"/>
        <d v="2024-11-29T00:00:00"/>
        <d v="2024-09-20T00:00:00"/>
        <d v="2024-01-17T00:00:00"/>
        <d v="2023-10-10T00:00:00"/>
        <d v="2024-10-02T00:00:00"/>
        <d v="2024-07-31T00:00:00"/>
        <d v="2024-04-03T00:00:00"/>
        <d v="2023-01-23T00:00:00"/>
        <d v="2023-03-04T00:00:00"/>
        <d v="2024-05-30T00:00:00"/>
        <d v="2024-10-01T00:00:00"/>
        <d v="2024-02-04T00:00:00"/>
        <d v="2025-05-19T00:00:00"/>
        <d v="2025-06-21T00:00:00"/>
        <d v="2023-07-11T00:00:00"/>
        <d v="2023-12-03T00:00:00"/>
        <d v="2024-01-10T00:00:00"/>
        <d v="2024-02-18T00:00:00"/>
        <d v="2023-04-07T00:00:00"/>
        <d v="2024-01-26T00:00:00"/>
        <d v="2024-08-13T00:00:00"/>
        <d v="2023-11-13T00:00:00"/>
        <d v="2024-02-06T00:00:00"/>
        <d v="2024-05-15T00:00:00"/>
        <d v="2025-05-06T00:00:00"/>
        <d v="2023-11-08T00:00:00"/>
        <d v="2024-10-05T00:00:00"/>
        <d v="2023-11-02T00:00:00"/>
        <d v="2023-02-19T00:00:00"/>
        <d v="2024-11-03T00:00:00"/>
        <d v="2024-09-19T00:00:00"/>
        <d v="2023-10-04T00:00:00"/>
        <d v="2024-12-11T00:00:00"/>
        <d v="2024-01-20T00:00:00"/>
        <d v="2023-05-04T00:00:00"/>
        <d v="2024-10-15T00:00:00"/>
        <d v="2023-10-13T00:00:00"/>
        <d v="2024-08-02T00:00:00"/>
        <d v="2023-09-04T00:00:00"/>
        <d v="2023-09-14T00:00:00"/>
        <d v="2023-04-14T00:00:00"/>
        <d v="2024-08-17T00:00:00"/>
        <d v="2025-02-27T00:00:00"/>
        <d v="2025-05-24T00:00:00"/>
        <d v="2024-01-02T00:00:00"/>
        <d v="2024-08-21T00:00:00"/>
        <d v="2025-05-29T00:00:00"/>
        <d v="2024-06-01T00:00:00"/>
        <d v="2024-08-01T00:00:00"/>
        <d v="2024-01-22T00:00:00"/>
        <d v="2025-04-14T00:00:00"/>
        <d v="2023-01-08T00:00:00"/>
        <d v="2024-02-27T00:00:00"/>
        <d v="2023-01-04T00:00:00"/>
        <d v="2025-03-02T00:00:00"/>
        <d v="2023-01-19T00:00:00"/>
        <d v="2024-10-09T00:00:00"/>
        <d v="2024-03-12T00:00:00"/>
        <d v="2025-05-08T00:00:00"/>
        <d v="2025-02-11T00:00:00"/>
        <d v="2023-11-16T00:00:00"/>
        <d v="2023-07-03T00:00:00"/>
        <d v="2023-01-30T00:00:00"/>
        <d v="2023-04-26T00:00:00"/>
        <d v="2023-02-09T00:00:00"/>
        <d v="2023-05-12T00:00:00"/>
        <d v="2025-05-15T00:00:00"/>
        <d v="2024-08-24T00:00:00"/>
        <d v="2023-08-26T00:00:00"/>
        <d v="2023-11-03T00:00:00"/>
        <d v="2023-10-05T00:00:00"/>
        <d v="2023-08-08T00:00:00"/>
        <d v="2023-02-26T00:00:00"/>
        <d v="2023-01-31T00:00:00"/>
        <d v="2024-07-20T00:00:00"/>
        <d v="2023-02-28T00:00:00"/>
        <d v="2025-01-27T00:00:00"/>
        <d v="2024-05-20T00:00:00"/>
        <d v="2023-05-09T00:00:00"/>
        <d v="2024-04-08T00:00:00"/>
        <d v="2024-05-21T00:00:00"/>
        <d v="2023-11-12T00:00:00"/>
        <d v="2023-08-29T00:00:00"/>
        <d v="2024-08-09T00:00:00"/>
        <d v="2023-07-13T00:00:00"/>
        <d v="2024-02-11T00:00:00"/>
        <d v="2025-03-29T00:00:00"/>
        <d v="2023-07-07T00:00:00"/>
        <d v="2024-02-14T00:00:00"/>
        <d v="2024-11-15T00:00:00"/>
        <d v="2024-02-19T00:00:00"/>
        <d v="2023-12-07T00:00:00"/>
        <d v="2025-02-07T00:00:00"/>
        <d v="2024-07-23T00:00:00"/>
        <d v="2023-01-06T00:00:00"/>
        <d v="2024-01-29T00:00:00"/>
        <d v="2023-01-21T00:00:00"/>
        <d v="2024-12-28T00:00:00"/>
        <d v="2024-06-24T00:00:00"/>
        <d v="2025-01-31T00:00:00"/>
        <d v="2024-09-17T00:00:00"/>
        <d v="2023-10-09T00:00:00"/>
        <d v="2023-11-26T00:00:00"/>
        <d v="2023-02-07T00:00:00"/>
        <d v="2024-05-31T00:00:00"/>
        <d v="2024-09-06T00:00:00"/>
        <d v="2023-02-20T00:00:00"/>
        <d v="2024-05-27T00:00:00"/>
        <d v="2025-05-21T00:00:00"/>
        <d v="2023-02-17T00:00:00"/>
        <d v="2024-10-18T00:00:00"/>
        <d v="2023-12-01T00:00:00"/>
        <d v="2024-12-18T00:00:00"/>
        <d v="2024-07-21T00:00:00"/>
        <d v="2023-12-06T00:00:00"/>
        <d v="2023-10-03T00:00:00"/>
        <d v="2023-06-23T00:00:00"/>
        <d v="2025-01-18T00:00:00"/>
        <d v="2023-08-01T00:00:00"/>
        <d v="2024-08-14T00:00:00"/>
        <d v="2023-07-25T00:00:00"/>
        <d v="2024-09-24T00:00:00"/>
        <d v="2025-03-25T00:00:00"/>
        <d v="2024-05-03T00:00:00"/>
        <d v="2023-11-10T00:00:00"/>
        <d v="2024-11-06T00:00:00"/>
        <d v="2023-06-28T00:00:00"/>
        <d v="2023-08-22T00:00:00"/>
        <d v="2024-01-04T00:00:00"/>
        <d v="2023-03-02T00:00:00"/>
        <d v="2023-01-07T00:00:00"/>
        <d v="2023-08-27T00:00:00"/>
        <d v="2024-09-12T00:00:00"/>
        <d v="2024-10-06T00:00:00"/>
        <d v="2024-12-06T00:00:00"/>
        <d v="2025-05-13T00:00:00"/>
        <d v="2023-09-19T00:00:00"/>
        <d v="2024-03-15T00:00:00"/>
        <d v="2023-01-16T00:00:00"/>
        <d v="2023-12-27T00:00:00"/>
        <d v="2024-05-23T00:00:00"/>
        <d v="2025-05-09T00:00:00"/>
        <d v="2025-03-14T00:00:00"/>
        <d v="2023-09-21T00:00:00"/>
        <d v="2025-05-20T00:00:00"/>
        <d v="2025-01-30T00:00:00"/>
        <d v="2025-01-13T00:00:00"/>
        <d v="2024-12-04T00:00:00"/>
        <d v="2023-05-02T00:00:00"/>
        <d v="2023-05-31T00:00:00"/>
        <d v="2024-11-04T00:00:00"/>
        <d v="2024-09-01T00:00:00"/>
        <d v="2024-10-12T00:00:00"/>
        <d v="2024-02-05T00:00:00"/>
        <d v="2023-02-25T00:00:00"/>
        <d v="2024-10-08T00:00:00"/>
        <d v="2024-06-13T00:00:00"/>
        <d v="2024-12-02T00:00:00"/>
        <d v="2024-12-05T00:00:00"/>
        <d v="2025-03-04T00:00:00"/>
        <d v="2024-08-20T00:00:00"/>
        <d v="2024-10-29T00:00:00"/>
        <d v="2023-12-12T00:00:00"/>
        <d v="2025-06-06T00:00:00"/>
        <d v="2023-08-23T00:00:00"/>
        <d v="2023-05-24T00:00:00"/>
        <d v="2024-10-22T00:00:00"/>
        <d v="2023-12-02T00:00:00"/>
        <d v="2023-10-06T00:00:00"/>
        <d v="2025-05-05T00:00:00"/>
        <d v="2025-04-10T00:00:00"/>
        <d v="2023-03-07T00:00:00"/>
        <d v="2025-05-18T00:00:00"/>
        <d v="2023-12-18T00:00:00"/>
        <d v="2023-10-31T00:00:00"/>
        <d v="2023-03-03T00:00:00"/>
        <d v="2023-12-11T00:00:00"/>
        <d v="2024-07-19T00:00:00"/>
        <d v="2023-06-26T00:00:00"/>
        <d v="2025-03-01T00:00:00"/>
        <d v="2025-04-25T00:00:00"/>
        <d v="2025-02-03T00:00:00"/>
        <d v="2023-05-13T00:00:00"/>
        <d v="2023-09-25T00:00:00"/>
        <d v="2023-03-21T00:00:00"/>
        <d v="2023-10-25T00:00:00"/>
        <d v="2024-10-19T00:00:00"/>
        <d v="2025-03-20T00:00:00"/>
        <d v="2023-04-06T00:00:00"/>
        <d v="2024-08-05T00:00:00"/>
        <d v="2025-02-08T00:00:00"/>
        <d v="2024-10-30T00:00:00"/>
        <d v="2025-06-01T00:00:00"/>
        <d v="2024-06-27T00:00:00"/>
        <d v="2023-02-22T00:00:00"/>
        <d v="2023-06-27T00:00:00"/>
        <d v="2024-08-19T00:00:00"/>
        <d v="2024-10-24T00:00:00"/>
        <d v="2023-03-08T00:00:00"/>
        <d v="2023-11-23T00:00:00"/>
        <d v="2024-08-23T00:00:00"/>
        <d v="2023-01-01T00:00:00"/>
        <d v="2024-12-12T00:00:00"/>
        <d v="2024-04-06T00:00:00"/>
        <d v="2023-08-05T00:00:00"/>
        <d v="2024-05-26T00:00:00"/>
        <d v="2024-06-20T00:00:00"/>
        <d v="2024-10-04T00:00:00"/>
        <d v="2025-03-08T00:00:00"/>
        <d v="2023-10-24T00:00:00"/>
        <d v="2024-04-20T00:00:00"/>
        <d v="2023-06-22T00:00:00"/>
        <d v="2023-05-15T00:00:00"/>
        <d v="2023-08-11T00:00:00"/>
        <d v="2024-12-20T00:00:00"/>
        <d v="2025-02-28T00:00:00"/>
        <d v="2024-01-08T00:00:00"/>
        <d v="2024-11-17T00:00:00"/>
        <d v="2024-03-14T00:00:00"/>
        <d v="2025-03-17T00:00:00"/>
        <d v="2024-05-11T00:00:00"/>
        <d v="2024-12-08T00:00:00"/>
        <d v="2023-10-27T00:00:00"/>
        <d v="2024-03-18T00:00:00"/>
        <d v="2024-07-01T00:00:00"/>
        <d v="2023-12-04T00:00:00"/>
        <d v="2025-01-15T00:00:00"/>
        <d v="2024-01-12T00:00:00"/>
        <d v="2024-12-30T00:00:00"/>
        <d v="2025-06-19T00:00:00"/>
        <d v="2024-03-11T00:00:00"/>
        <d v="2025-05-26T00:00:00"/>
        <d v="2024-10-23T00:00:00"/>
        <d v="2025-04-05T00:00:00"/>
        <d v="2024-07-03T00:00:00"/>
        <d v="2025-02-01T00:00:00"/>
        <d v="2024-12-15T00:00:00"/>
        <d v="2025-02-12T00:00:00"/>
        <d v="2025-04-09T00:00:00"/>
        <d v="2025-06-13T00:00:00"/>
        <d v="2024-11-19T00:00:00"/>
        <d v="2024-06-07T00:00:00"/>
        <d v="2024-09-05T00:00:00"/>
        <d v="2024-09-08T00:00:00"/>
        <d v="2025-05-17T00:00:00"/>
        <d v="2024-06-02T00:00:00"/>
        <d v="2024-04-21T00:00:00"/>
        <d v="2024-03-29T00:00:00"/>
        <d v="2023-12-13T00:00:00"/>
        <d v="2025-04-07T00:00:00"/>
        <d v="2024-10-13T00:00:00"/>
        <d v="2023-04-03T00:00:00"/>
        <d v="2024-02-28T00:00:00"/>
        <d v="2025-03-24T00:00:00"/>
        <d v="2024-08-29T00:00:00"/>
        <d v="2024-11-13T00:00:00"/>
        <d v="2023-01-03T00:00:00"/>
        <d v="2025-05-23T00:00:00"/>
        <d v="2024-11-28T00:00:00"/>
        <d v="2023-08-28T00:00:00"/>
        <d v="2024-04-18T00:00:00"/>
        <d v="2024-06-29T00:00:00"/>
        <d v="2024-04-04T00:00:00"/>
        <d v="2024-06-03T00:00:00"/>
        <d v="2024-05-09T00:00:00"/>
        <d v="2023-03-31T00:00:00"/>
        <d v="2024-01-21T00:00:00"/>
        <d v="2024-03-27T00:00:00"/>
        <d v="2023-03-23T00:00:00"/>
        <d v="2024-08-12T00:00:00"/>
        <d v="2025-03-31T00:00:00"/>
        <d v="2023-06-05T00:00:00"/>
        <d v="2023-05-10T00:00:00"/>
        <d v="2023-10-01T00:00:00"/>
        <d v="2024-07-12T00:00:00"/>
        <d v="2023-10-30T00:00:00"/>
        <d v="2023-09-12T00:00:00"/>
        <d v="2025-04-17T00:00:00"/>
        <d v="2024-03-25T00:00:00"/>
        <d v="2023-05-21T00:00:00"/>
        <d v="2023-04-01T00:00:00"/>
        <d v="2023-07-27T00:00:00"/>
        <d v="2024-02-20T00:00:00"/>
        <d v="2023-09-29T00:00:00"/>
        <d v="2025-06-28T00:00:00"/>
        <d v="2024-07-25T00:00:00"/>
        <d v="2024-05-07T00:00:00"/>
        <d v="2023-11-11T00:00:00"/>
        <d v="2023-10-19T00:00:00"/>
        <d v="2023-04-17T00:00:00"/>
        <d v="2024-06-05T00:00:00"/>
        <d v="2023-04-22T00:00:00"/>
        <d v="2024-04-25T00:00:00"/>
        <d v="2025-05-30T00:00:00"/>
        <d v="2025-04-22T00:00:00"/>
        <d v="2024-04-05T00:00:00"/>
        <d v="2024-07-18T00:00:00"/>
        <d v="2024-08-26T00:00:00"/>
        <d v="2023-04-28T00:00:00"/>
        <d v="2024-09-21T00:00:00"/>
        <d v="2023-07-30T00:00:00"/>
        <d v="2025-04-24T00:00:00"/>
        <d v="2025-01-21T00:00:00"/>
        <d v="2023-06-18T00:00:00"/>
        <d v="2023-12-10T00:00:00"/>
        <d v="2024-07-06T00:00:00"/>
        <d v="2024-02-01T00:00:00"/>
        <d v="2023-12-28T00:00:00"/>
        <d v="2024-12-17T00:00:00"/>
        <d v="2024-11-05T00:00:00"/>
        <d v="2025-06-22T00:00:00"/>
        <d v="2023-05-08T00:00:00"/>
        <d v="2024-09-25T00:00:00"/>
        <d v="2024-12-24T00:00:00"/>
        <d v="2024-11-08T00:00:00"/>
        <d v="2024-05-28T00:00:00"/>
        <d v="2024-03-22T00:00:00"/>
        <d v="2025-02-15T00:00:00"/>
        <d v="2025-01-26T00:00:00"/>
        <d v="2024-04-17T00:00:00"/>
        <d v="2023-11-18T00:00:00"/>
        <d v="2024-12-16T00:00:00"/>
        <d v="2023-01-20T00:00:00"/>
        <d v="2023-09-26T00:00:00"/>
        <d v="2023-07-24T00:00:00"/>
        <d v="2023-04-18T00:00:00"/>
        <d v="2023-06-21T00:00:00"/>
        <d v="2025-02-25T00:00:00"/>
        <d v="2025-06-04T00:00:00"/>
        <d v="2024-07-13T00:00:00"/>
        <d v="2023-07-29T00:00:00"/>
        <d v="2023-06-15T00:00:00"/>
        <d v="2023-05-03T00:00:00"/>
        <d v="2024-12-03T00:00:00"/>
        <d v="2025-01-01T00:00:00"/>
        <d v="2023-07-19T00:00:00"/>
        <d v="2024-10-10T00:00:00"/>
        <d v="2024-07-29T00:00:00"/>
        <d v="2023-07-23T00:00:00"/>
        <d v="2023-07-20T00:00:00"/>
        <d v="2024-12-29T00:00:00"/>
        <d v="2023-02-01T00:00:00"/>
        <d v="2025-02-13T00:00:00"/>
        <d v="2024-05-08T00:00:00"/>
        <d v="2024-06-28T00:00:00"/>
        <d v="2024-04-28T00:00:00"/>
        <d v="2023-06-24T00:00:00"/>
        <d v="2023-11-25T00:00:00"/>
        <d v="2023-06-10T00:00:00"/>
        <d v="2024-04-24T00:00:00"/>
        <d v="2025-03-05T00:00:00"/>
        <d v="2024-07-26T00:00:00"/>
        <d v="2023-07-10T00:00:00"/>
        <d v="2024-04-10T00:00:00"/>
        <d v="2024-03-20T00:00:00"/>
        <d v="2023-06-16T00:00:00"/>
        <d v="2024-03-13T00:00:00"/>
        <d v="2023-11-06T00:00:00"/>
        <d v="2024-08-04T00:00:00"/>
        <d v="2023-11-14T00:00:00"/>
        <d v="2023-02-11T00:00:00"/>
        <d v="2025-06-05T00:00:00"/>
        <d v="2024-06-16T00:00:00"/>
        <d v="2023-08-06T00:00:00"/>
        <d v="2025-05-14T00:00:00"/>
        <d v="2023-09-06T00:00:00"/>
        <d v="2024-01-24T00:00:00"/>
        <d v="2024-06-19T00:00:00"/>
        <d v="2024-12-07T00:00:00"/>
        <d v="2025-01-23T00:00:00"/>
        <d v="2023-10-14T00:00:00"/>
        <d v="2024-03-09T00:00:00"/>
        <d v="2023-05-26T00:00:00"/>
        <d v="2023-04-16T00:00:00"/>
        <d v="2023-05-20T00:00:00"/>
        <d v="2024-01-23T00:00:00"/>
        <d v="2024-06-11T00:00:00"/>
        <d v="2023-10-29T00:00:00"/>
        <d v="2024-04-19T00:00:00"/>
        <d v="2024-07-24T00:00:00"/>
        <d v="2025-02-20T00:00:00"/>
        <d v="2023-06-17T00:00:00"/>
        <d v="2025-05-16T00:00:00"/>
        <d v="2024-05-22T00:00:00"/>
        <d v="2023-01-02T00:00:00"/>
        <d v="2023-10-20T00:00:00"/>
        <d v="2024-09-04T00:00:00"/>
        <d v="2023-07-15T00:00:00"/>
        <d v="2023-04-23T00:00:00"/>
        <d v="2024-09-09T00:00:00"/>
        <d v="2024-11-18T00:00:00"/>
        <d v="2023-06-06T00:00:00"/>
        <d v="2023-12-30T00:00:00"/>
        <d v="2024-08-08T00:00:00"/>
        <d v="2023-10-17T00:00:00"/>
        <d v="2024-04-23T00:00:00"/>
        <d v="2023-12-14T00:00:00"/>
        <d v="2023-05-11T00:00:00"/>
        <d v="2023-04-05T00:00:00"/>
        <d v="2024-07-07T00:00:00"/>
        <d v="2023-08-17T00:00:00"/>
        <d v="2024-06-14T00:00:00"/>
        <d v="2024-01-01T00:00:00"/>
        <d v="2024-01-05T00:00:00"/>
        <d v="2023-03-05T00:00:00"/>
        <d v="2024-06-09T00:00:00"/>
        <d v="2024-09-30T00:00:00"/>
        <d v="2023-03-19T00:00:00"/>
        <d v="2024-12-01T00:00:00"/>
        <d v="2024-09-26T00:00:00"/>
        <d v="2025-02-04T00:00:00"/>
        <d v="2023-05-18T00:00:00"/>
        <d v="2024-08-11T00:00:00"/>
        <d v="2024-01-06T00:00:00"/>
        <d v="2023-06-07T00:00:00"/>
        <d v="2024-04-12T00:00:00"/>
        <d v="2024-06-15T00:00:00"/>
        <d v="2023-09-28T00:00:00"/>
        <d v="2023-12-21T00:00:00"/>
        <d v="2024-04-29T00:00:00"/>
        <d v="2024-06-06T00:00:00"/>
        <d v="2024-07-10T00:00:00"/>
        <d v="2024-04-13T00:00:00"/>
        <d v="2025-05-07T00:00:00"/>
        <d v="2023-02-10T00:00:00"/>
        <d v="2023-12-29T00:00:00"/>
        <d v="2023-04-29T00:00:00"/>
        <d v="2024-03-06T00:00:00"/>
        <d v="2024-03-03T00:00:00"/>
        <d v="2024-03-21T00:00:00"/>
        <d v="2024-09-15T00:00:00"/>
        <d v="2023-04-24T00:00:00"/>
        <d v="2024-01-19T00:00:00"/>
        <d v="2024-10-20T00:00:00"/>
        <d v="2024-04-16T00:00:00"/>
        <d v="2023-06-13T00:00:00"/>
        <d v="2024-08-27T00:00:00"/>
        <d v="2023-01-12T00:00:00"/>
        <d v="2025-06-26T00:00:00"/>
        <d v="2023-06-29T00:00:00"/>
        <d v="2024-01-30T00:00:00"/>
        <d v="2024-03-31T00:00:00"/>
        <d v="2023-09-02T00:00:00"/>
        <d v="2023-03-01T00:00:00"/>
        <d v="2024-03-23T00:00:00"/>
        <d v="2024-11-27T00:00:00"/>
        <d v="2023-10-02T00:00:00"/>
        <d v="2023-05-16T00:00:00"/>
        <d v="2025-06-27T00:00:00"/>
        <d v="2025-02-10T00:00:00"/>
        <d v="2025-04-12T00:00:00"/>
        <d v="2025-01-20T00:00:00"/>
        <d v="2024-09-27T00:00:00"/>
        <d v="2024-11-23T00:00:00"/>
        <d v="2023-02-18T00:00:00"/>
        <d v="2025-06-29T00:00:00"/>
        <d v="2025-03-28T00:00:00"/>
        <d v="2023-06-12T00:00:00"/>
        <d v="2023-05-19T00:00:00"/>
        <d v="2023-08-20T00:00:00"/>
        <d v="2024-04-09T00:00:00"/>
        <d v="2023-10-11T00:00:00"/>
        <d v="2023-03-24T00:00:00"/>
        <d v="2023-11-27T00:00:00"/>
        <d v="2025-04-03T00:00:00"/>
        <d v="2023-08-31T00:00:00"/>
        <d v="2023-10-18T00:00:00"/>
        <d v="2024-11-25T00:00:00"/>
        <d v="2024-01-13T00:00:00"/>
        <d v="2023-06-11T00:00:00"/>
        <d v="2024-07-11T00:00:00"/>
        <d v="2025-01-19T00:00:00"/>
        <d v="2023-03-13T00:00:00"/>
        <d v="2025-06-10T00:00:00"/>
        <d v="2024-08-15T00:00:00"/>
        <d v="2024-05-19T00:00:00"/>
        <d v="2024-12-23T00:00:00"/>
        <d v="2023-05-01T00:00:00"/>
        <d v="2024-02-15T00:00:00"/>
        <d v="2025-03-16T00:00:00"/>
        <d v="2023-12-17T00:00:00"/>
        <d v="2023-02-24T00:00:00"/>
        <d v="2025-01-16T00:00:00"/>
        <d v="2024-01-14T00:00:00"/>
        <d v="2025-03-22T00:00:00"/>
        <d v="2024-03-24T00:00:00"/>
        <d v="2023-11-05T00:00:00"/>
        <d v="2024-06-10T00:00:00"/>
        <d v="2025-01-25T00:00:00"/>
        <d v="2024-10-27T00:00:00"/>
        <d v="2023-01-13T00:00:00"/>
        <d v="2024-12-27T00:00:00"/>
        <d v="2025-04-08T00:00:00"/>
        <d v="2023-05-25T00:00:00"/>
        <d v="2023-05-27T00:00:00"/>
        <d v="2024-06-21T00:00:00"/>
        <d v="2025-05-31T00:00:00"/>
        <d v="2023-04-12T00:00:00"/>
        <d v="2024-11-16T00:00:00"/>
        <d v="2023-08-13T00:00:00"/>
        <d v="2023-02-02T00:00:00"/>
        <d v="2023-03-28T00:00:00"/>
        <d v="2023-03-25T00:00:00"/>
        <d v="2023-01-26T00:00:00"/>
        <d v="2024-01-11T00:00:00"/>
        <d v="2023-05-29T00:00:00"/>
        <d v="2023-04-10T00:00:00"/>
        <d v="2023-03-09T00:00:00"/>
        <d v="2024-07-30T00:00:00"/>
        <d v="2024-04-27T00:00:00"/>
        <d v="2024-02-09T00:00:00"/>
        <d v="2024-12-31T00:00:00"/>
        <d v="2023-09-23T00:00:00"/>
        <d v="2023-03-30T00:00:00"/>
        <d v="2023-07-26T00:00:00"/>
        <d v="2025-04-13T00:00:00"/>
        <d v="2025-01-17T00:00:00"/>
        <d v="2024-07-14T00:00:00"/>
        <d v="2024-10-25T00:00:00"/>
        <d v="2025-01-07T00:00:00"/>
        <d v="2024-09-22T00:00:00"/>
        <d v="2023-05-05T00:00:00"/>
        <d v="2023-02-23T00:00:00"/>
        <d v="2024-09-07T00:00:00"/>
        <d v="2024-05-01T00:00:00"/>
        <d v="2023-03-29T00:00:00"/>
        <d v="2024-01-31T00:00:00"/>
        <d v="2024-03-07T00:00:00"/>
        <d v="2024-01-27T00:00:00"/>
        <d v="2023-11-15T00:00:00"/>
        <d v="2025-03-12T00:00:00"/>
        <d v="2025-06-07T00:00:00"/>
        <d v="2024-11-07T00:00:00"/>
        <d v="2024-07-15T00:00:00"/>
        <d v="2024-10-31T00:00:00"/>
        <d v="2025-02-23T00:00:00"/>
        <d v="2024-12-25T00:00:00"/>
        <d v="2023-02-21T00:00:00"/>
        <d v="2024-06-17T00:00:00"/>
        <d v="2024-12-19T00:00:00"/>
        <d v="2024-11-21T00:00:00"/>
        <d v="2023-10-26T00:00:00"/>
        <d v="2025-05-10T00:00:00"/>
        <d v="2025-06-02T00:00:00"/>
        <d v="2024-07-08T00:00:00"/>
        <d v="2025-04-06T00:00:00"/>
        <d v="2023-08-15T00:00:00"/>
        <d v="2023-02-16T00:00:00"/>
        <d v="2023-03-18T00:00:00"/>
        <d v="2023-07-12T00:00:00"/>
        <d v="2024-01-16T00:00:00"/>
        <d v="2023-12-05T00:00:00"/>
        <d v="2023-06-20T00:00:00"/>
        <d v="2023-09-11T00:00:00"/>
        <d v="2024-10-16T00:00:00"/>
        <m/>
      </sharedItems>
      <fieldGroup par="18"/>
    </cacheField>
    <cacheField name="AccountNumber" numFmtId="0">
      <sharedItems containsString="0" containsBlank="1" containsNumber="1" containsInteger="1" minValue="4000" maxValue="6000"/>
    </cacheField>
    <cacheField name="AccountName" numFmtId="0">
      <sharedItems containsBlank="1" count="6">
        <s v="Sales Revenue"/>
        <s v="COGS"/>
        <s v="Payroll Expense"/>
        <s v="Travel Expense"/>
        <s v="Online Sales"/>
        <m/>
      </sharedItems>
    </cacheField>
    <cacheField name="Debit" numFmtId="0">
      <sharedItems containsString="0" containsBlank="1" containsNumber="1" minValue="0" maxValue="1999.52"/>
    </cacheField>
    <cacheField name="Credit" numFmtId="0">
      <sharedItems containsString="0" containsBlank="1" containsNumber="1" minValue="0" maxValue="4999.53"/>
    </cacheField>
    <cacheField name="Dept" numFmtId="0">
      <sharedItems containsBlank="1" count="7">
        <s v="Sales"/>
        <s v="HR"/>
        <s v="IT"/>
        <s v="Marketing"/>
        <s v="Finance"/>
        <s v="Operations"/>
        <m/>
      </sharedItems>
    </cacheField>
    <cacheField name="CostCenter" numFmtId="0">
      <sharedItems containsBlank="1"/>
    </cacheField>
    <cacheField name="Description" numFmtId="0">
      <sharedItems containsBlank="1"/>
    </cacheField>
    <cacheField name="Currency" numFmtId="0">
      <sharedItems containsBlank="1"/>
    </cacheField>
    <cacheField name="YearMonth" numFmtId="0">
      <sharedItems containsBlank="1"/>
    </cacheField>
    <cacheField name="ActualAmount" numFmtId="0">
      <sharedItems containsString="0" containsBlank="1" containsNumber="1" minValue="-1999.52" maxValue="4999.53"/>
    </cacheField>
    <cacheField name="BudgetUSD" numFmtId="0">
      <sharedItems containsString="0" containsBlank="1" containsNumber="1" minValue="21211.21" maxValue="146937.60999999999"/>
    </cacheField>
    <cacheField name="Variance" numFmtId="0">
      <sharedItems containsString="0" containsBlank="1" containsNumber="1" minValue="-147483.62999999998" maxValue="4999.53"/>
    </cacheField>
    <cacheField name="VARIANCE %" numFmtId="0">
      <sharedItems containsBlank="1" containsMixedTypes="1" containsNumber="1" minValue="-1.0319847316883979" maxValue="-0.90962021918630154"/>
    </cacheField>
    <cacheField name="Material_Flag" numFmtId="0">
      <sharedItems containsBlank="1"/>
    </cacheField>
    <cacheField name="Months (TxnDate)" numFmtId="0" databaseField="0">
      <fieldGroup base="1">
        <rangePr groupBy="months" startDate="2023-01-01T00:00:00" endDate="2025-07-01T00:00:00"/>
        <groupItems count="14">
          <s v="&lt;1/1/2023"/>
          <s v="Jan"/>
          <s v="Feb"/>
          <s v="Mar"/>
          <s v="Apr"/>
          <s v="May"/>
          <s v="Jun"/>
          <s v="Jul"/>
          <s v="Aug"/>
          <s v="Sep"/>
          <s v="Oct"/>
          <s v="Nov"/>
          <s v="Dec"/>
          <s v="&gt;7/1/2025"/>
        </groupItems>
      </fieldGroup>
    </cacheField>
    <cacheField name="Quarters (TxnDate)" numFmtId="0" databaseField="0">
      <fieldGroup base="1">
        <rangePr groupBy="quarters" startDate="2023-01-01T00:00:00" endDate="2025-07-01T00:00:00"/>
        <groupItems count="6">
          <s v="&lt;1/1/2023"/>
          <s v="Qtr1"/>
          <s v="Qtr2"/>
          <s v="Qtr3"/>
          <s v="Qtr4"/>
          <s v="&gt;7/1/2025"/>
        </groupItems>
      </fieldGroup>
    </cacheField>
    <cacheField name="Years (TxnDate)" numFmtId="0" databaseField="0">
      <fieldGroup base="1">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26.019895949074" createdVersion="8" refreshedVersion="8" minRefreshableVersion="3" recordCount="2001" xr:uid="{939726C0-4710-40CD-A6F8-02E78204F36C}">
  <cacheSource type="worksheet">
    <worksheetSource ref="A1:Q1048576" sheet="ACTUAL VS BUDGET"/>
  </cacheSource>
  <cacheFields count="17">
    <cacheField name="GLID" numFmtId="0">
      <sharedItems containsBlank="1"/>
    </cacheField>
    <cacheField name="TxnDate" numFmtId="0">
      <sharedItems containsNonDate="0" containsDate="1" containsString="0" containsBlank="1" minDate="2023-01-01T00:00:00" maxDate="2025-07-01T00:00:00"/>
    </cacheField>
    <cacheField name="AccountNumber" numFmtId="0">
      <sharedItems containsString="0" containsBlank="1" containsNumber="1" containsInteger="1" minValue="4000" maxValue="6000" count="6">
        <n v="4000"/>
        <n v="5000"/>
        <n v="6000"/>
        <n v="5010"/>
        <n v="4010"/>
        <m/>
      </sharedItems>
    </cacheField>
    <cacheField name="AccountName" numFmtId="0">
      <sharedItems containsBlank="1" count="6">
        <s v="Sales Revenue"/>
        <s v="COGS"/>
        <s v="Payroll Expense"/>
        <s v="Travel Expense"/>
        <s v="Online Sales"/>
        <m/>
      </sharedItems>
    </cacheField>
    <cacheField name="Debit" numFmtId="0">
      <sharedItems containsString="0" containsBlank="1" containsNumber="1" minValue="0" maxValue="1999.52"/>
    </cacheField>
    <cacheField name="Credit" numFmtId="0">
      <sharedItems containsString="0" containsBlank="1" containsNumber="1" minValue="0" maxValue="4999.53"/>
    </cacheField>
    <cacheField name="Dept" numFmtId="0">
      <sharedItems containsBlank="1" count="7">
        <s v="Sales"/>
        <s v="HR"/>
        <s v="IT"/>
        <s v="Marketing"/>
        <s v="Finance"/>
        <s v="Operations"/>
        <m/>
      </sharedItems>
    </cacheField>
    <cacheField name="CostCenter" numFmtId="0">
      <sharedItems containsBlank="1" count="6">
        <s v="CC500"/>
        <s v="CC300"/>
        <s v="CC400"/>
        <s v="CC200"/>
        <s v="CC100"/>
        <m/>
      </sharedItems>
    </cacheField>
    <cacheField name="Description" numFmtId="0">
      <sharedItems containsBlank="1"/>
    </cacheField>
    <cacheField name="Currency" numFmtId="0">
      <sharedItems containsBlank="1"/>
    </cacheField>
    <cacheField name="YearMonth" numFmtId="0">
      <sharedItems containsBlank="1" count="31">
        <s v="2024-05"/>
        <s v="2024-06"/>
        <s v="2025-01"/>
        <s v="2023-09"/>
        <s v="2023-08"/>
        <s v="2025-05"/>
        <s v="2023-12"/>
        <s v="2024-04"/>
        <s v="2023-04"/>
        <s v="2023-11"/>
        <s v="2024-11"/>
        <s v="2024-02"/>
        <s v="2025-04"/>
        <s v="2025-03"/>
        <s v="2023-01"/>
        <s v="2024-09"/>
        <s v="2024-03"/>
        <s v="2023-07"/>
        <s v="2023-03"/>
        <s v="2025-06"/>
        <s v="2024-01"/>
        <s v="2024-07"/>
        <s v="2023-06"/>
        <s v="2024-12"/>
        <s v="2023-02"/>
        <s v="2024-08"/>
        <s v="2024-10"/>
        <s v="2023-10"/>
        <s v="2025-02"/>
        <s v="2023-05"/>
        <m/>
      </sharedItems>
    </cacheField>
    <cacheField name="ActualAmount" numFmtId="0">
      <sharedItems containsString="0" containsBlank="1" containsNumber="1" minValue="-1999.52" maxValue="4999.53"/>
    </cacheField>
    <cacheField name="BudgetUSD" numFmtId="0">
      <sharedItems containsString="0" containsBlank="1" containsNumber="1" minValue="21211.21" maxValue="146937.60999999999"/>
    </cacheField>
    <cacheField name="Variance" numFmtId="0">
      <sharedItems containsString="0" containsBlank="1" containsNumber="1" minValue="-147483.62999999998" maxValue="4999.53"/>
    </cacheField>
    <cacheField name="VARIANCE %" numFmtId="0">
      <sharedItems containsBlank="1" containsMixedTypes="1" containsNumber="1" minValue="-1.0319847316883979" maxValue="-0.90962021918630154"/>
    </cacheField>
    <cacheField name="Material_Flag" numFmtId="0">
      <sharedItems containsBlank="1" count="3">
        <s v="Material"/>
        <s v=" "/>
        <m/>
      </sharedItems>
    </cacheField>
    <cacheField name="CLASSIFY PERFORMANCE" numFmtId="0">
      <sharedItems containsBlank="1" count="3">
        <s v="Unfavorable"/>
        <s v="Favorable"/>
        <m/>
      </sharedItems>
    </cacheField>
  </cacheFields>
  <extLst>
    <ext xmlns:x14="http://schemas.microsoft.com/office/spreadsheetml/2009/9/main" uri="{725AE2AE-9491-48be-B2B4-4EB974FC3084}">
      <x14:pivotCacheDefinition pivotCacheId="1346149742"/>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27.924291898147" createdVersion="8" refreshedVersion="8" minRefreshableVersion="3" recordCount="3" xr:uid="{84CC455F-68F4-479A-B883-F669D6E5377E}">
  <cacheSource type="worksheet">
    <worksheetSource name="Table1"/>
  </cacheSource>
  <cacheFields count="5">
    <cacheField name="Metric" numFmtId="0">
      <sharedItems count="3">
        <s v="Revenue"/>
        <s v="Expenses"/>
        <s v="Net Profit"/>
      </sharedItems>
    </cacheField>
    <cacheField name="Actual" numFmtId="0">
      <sharedItems containsSemiMixedTypes="0" containsString="0" containsNumber="1" minValue="-2973843.5600000019" maxValue="3736885.02" count="3">
        <n v="763041.4599999981"/>
        <n v="3736885.02"/>
        <n v="-2973843.5600000019"/>
      </sharedItems>
    </cacheField>
    <cacheField name="Budget" numFmtId="0">
      <sharedItems containsSemiMixedTypes="0" containsString="0" containsNumber="1" minValue="763041.45999999973" maxValue="3736885.0200000005" count="3">
        <n v="3736885.0200000005"/>
        <n v="763041.45999999973"/>
        <n v="2973843.5600000005"/>
      </sharedItems>
    </cacheField>
    <cacheField name="Variance" numFmtId="0">
      <sharedItems containsSemiMixedTypes="0" containsString="0" containsNumber="1" minValue="-5947687.1200000029" maxValue="2973843.5600000005" count="3">
        <n v="-2973843.5600000024"/>
        <n v="2973843.5600000005"/>
        <n v="-5947687.1200000029"/>
      </sharedItems>
    </cacheField>
    <cacheField name="Variance %" numFmtId="0">
      <sharedItems containsSemiMixedTypes="0" containsString="0" containsNumber="1" minValue="-2.0000000000000004" maxValue="3.8973551450271149" count="3">
        <n v="-0.79580815146407746"/>
        <n v="3.8973551450271149"/>
        <n v="-2.0000000000000004"/>
      </sharedItems>
    </cacheField>
  </cacheFields>
  <extLst>
    <ext xmlns:x14="http://schemas.microsoft.com/office/spreadsheetml/2009/9/main" uri="{725AE2AE-9491-48be-B2B4-4EB974FC3084}">
      <x14:pivotCacheDefinition pivotCacheId="1368780163"/>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27.963531018519" backgroundQuery="1" createdVersion="8" refreshedVersion="8" minRefreshableVersion="3" recordCount="0" supportSubquery="1" supportAdvancedDrill="1" xr:uid="{0FD98832-662B-40CE-9B8C-09AD6B370172}">
  <cacheSource type="external" connectionId="1"/>
  <cacheFields count="5">
    <cacheField name="[Measures].[Count of Metric]" caption="Count of Metric" numFmtId="0" hierarchy="7" level="32767"/>
    <cacheField name="[Measures].[Sum of Actual]" caption="Sum of Actual" numFmtId="0" hierarchy="8" level="32767"/>
    <cacheField name="[Measures].[Sum of Budget]" caption="Sum of Budget" numFmtId="0" hierarchy="9" level="32767"/>
    <cacheField name="[Measures].[Sum of Variance %]" caption="Sum of Variance %" numFmtId="0" hierarchy="10" level="32767"/>
    <cacheField name="[Measures].[Sum of Variance]" caption="Sum of Variance" numFmtId="0" hierarchy="11" level="32767"/>
  </cacheFields>
  <cacheHierarchies count="12">
    <cacheHierarchy uniqueName="[Table1].[Metric]" caption="Metric" attribute="1" defaultMemberUniqueName="[Table1].[Metric].[All]" allUniqueName="[Table1].[Metric].[All]" dimensionUniqueName="[Table1]" displayFolder="" count="0" memberValueDatatype="130" unbalanced="0"/>
    <cacheHierarchy uniqueName="[Table1].[Actual]" caption="Actual" attribute="1" defaultMemberUniqueName="[Table1].[Actual].[All]" allUniqueName="[Table1].[Actual].[All]" dimensionUniqueName="[Table1]" displayFolder="" count="0" memberValueDatatype="5" unbalanced="0"/>
    <cacheHierarchy uniqueName="[Table1].[Budget]" caption="Budget" attribute="1" defaultMemberUniqueName="[Table1].[Budget].[All]" allUniqueName="[Table1].[Budget].[All]" dimensionUniqueName="[Table1]" displayFolder="" count="0" memberValueDatatype="5" unbalanced="0"/>
    <cacheHierarchy uniqueName="[Table1].[Variance]" caption="Variance" attribute="1" defaultMemberUniqueName="[Table1].[Variance].[All]" allUniqueName="[Table1].[Variance].[All]" dimensionUniqueName="[Table1]" displayFolder="" count="0" memberValueDatatype="5" unbalanced="0"/>
    <cacheHierarchy uniqueName="[Table1].[Variance %]" caption="Variance %" attribute="1" defaultMemberUniqueName="[Table1].[Variance %].[All]" allUniqueName="[Table1].[Variance %].[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Metric]" caption="Count of Metric"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ctual]" caption="Sum of Actual"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Budget]" caption="Sum of Budget" measure="1" displayFolder="" measureGroup="Table1" count="0" oneField="1" hidden="1">
      <fieldsUsage count="1">
        <fieldUsage x="2"/>
      </fieldsUsage>
      <extLst>
        <ext xmlns:x15="http://schemas.microsoft.com/office/spreadsheetml/2010/11/main" uri="{B97F6D7D-B522-45F9-BDA1-12C45D357490}">
          <x15:cacheHierarchy aggregatedColumn="2"/>
        </ext>
      </extLst>
    </cacheHierarchy>
    <cacheHierarchy uniqueName="[Measures].[Sum of Variance %]" caption="Sum of Variance %" measure="1" displayFolder="" measureGroup="Table1" count="0" oneField="1" hidden="1">
      <fieldsUsage count="1">
        <fieldUsage x="3"/>
      </fieldsUsage>
      <extLst>
        <ext xmlns:x15="http://schemas.microsoft.com/office/spreadsheetml/2010/11/main" uri="{B97F6D7D-B522-45F9-BDA1-12C45D357490}">
          <x15:cacheHierarchy aggregatedColumn="4"/>
        </ext>
      </extLst>
    </cacheHierarchy>
    <cacheHierarchy uniqueName="[Measures].[Sum of Variance]" caption="Sum of Variance" measure="1" displayFolder="" measureGroup="Table1" count="0" oneField="1" hidden="1">
      <fieldsUsage count="1">
        <fieldUsage x="4"/>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1">
  <r>
    <x v="0"/>
    <x v="0"/>
    <x v="0"/>
    <x v="0"/>
    <n v="0"/>
    <n v="2505.15"/>
    <x v="0"/>
    <x v="0"/>
    <s v="AutoPost 0"/>
    <s v="GBP"/>
    <x v="0"/>
    <x v="0"/>
  </r>
  <r>
    <x v="1"/>
    <x v="1"/>
    <x v="1"/>
    <x v="1"/>
    <n v="1184.73"/>
    <n v="0"/>
    <x v="1"/>
    <x v="0"/>
    <s v="AutoPost 1"/>
    <s v="GBP"/>
    <x v="1"/>
    <x v="1"/>
  </r>
  <r>
    <x v="2"/>
    <x v="2"/>
    <x v="1"/>
    <x v="1"/>
    <n v="748.25"/>
    <n v="0"/>
    <x v="2"/>
    <x v="1"/>
    <s v="AutoPost 2"/>
    <s v="EUR"/>
    <x v="2"/>
    <x v="2"/>
  </r>
  <r>
    <x v="3"/>
    <x v="3"/>
    <x v="2"/>
    <x v="2"/>
    <n v="1610.64"/>
    <n v="0"/>
    <x v="0"/>
    <x v="2"/>
    <s v="AutoPost 3"/>
    <s v="AUD"/>
    <x v="3"/>
    <x v="3"/>
  </r>
  <r>
    <x v="4"/>
    <x v="4"/>
    <x v="1"/>
    <x v="1"/>
    <n v="1053.1199999999999"/>
    <n v="0"/>
    <x v="1"/>
    <x v="2"/>
    <s v="AutoPost 4"/>
    <s v="USD"/>
    <x v="4"/>
    <x v="4"/>
  </r>
  <r>
    <x v="5"/>
    <x v="5"/>
    <x v="2"/>
    <x v="2"/>
    <n v="1653.64"/>
    <n v="0"/>
    <x v="3"/>
    <x v="2"/>
    <s v="AutoPost 5"/>
    <s v="USD"/>
    <x v="5"/>
    <x v="5"/>
  </r>
  <r>
    <x v="6"/>
    <x v="6"/>
    <x v="3"/>
    <x v="3"/>
    <n v="899.55"/>
    <n v="0"/>
    <x v="1"/>
    <x v="3"/>
    <s v="AutoPost 6"/>
    <s v="USD"/>
    <x v="4"/>
    <x v="6"/>
  </r>
  <r>
    <x v="7"/>
    <x v="7"/>
    <x v="2"/>
    <x v="2"/>
    <n v="247.27"/>
    <n v="0"/>
    <x v="3"/>
    <x v="0"/>
    <s v="AutoPost 7"/>
    <s v="USD"/>
    <x v="6"/>
    <x v="7"/>
  </r>
  <r>
    <x v="8"/>
    <x v="8"/>
    <x v="1"/>
    <x v="1"/>
    <n v="202.02"/>
    <n v="0"/>
    <x v="4"/>
    <x v="1"/>
    <s v="AutoPost 8"/>
    <s v="GBP"/>
    <x v="7"/>
    <x v="8"/>
  </r>
  <r>
    <x v="9"/>
    <x v="9"/>
    <x v="1"/>
    <x v="1"/>
    <n v="1093.72"/>
    <n v="0"/>
    <x v="1"/>
    <x v="2"/>
    <s v="AutoPost 9"/>
    <s v="USD"/>
    <x v="8"/>
    <x v="9"/>
  </r>
  <r>
    <x v="10"/>
    <x v="10"/>
    <x v="4"/>
    <x v="4"/>
    <n v="0"/>
    <n v="3282.35"/>
    <x v="3"/>
    <x v="4"/>
    <s v="AutoPost 10"/>
    <s v="CAD"/>
    <x v="9"/>
    <x v="10"/>
  </r>
  <r>
    <x v="11"/>
    <x v="11"/>
    <x v="0"/>
    <x v="0"/>
    <n v="0"/>
    <n v="2452.1999999999998"/>
    <x v="3"/>
    <x v="3"/>
    <s v="AutoPost 11"/>
    <s v="EUR"/>
    <x v="10"/>
    <x v="11"/>
  </r>
  <r>
    <x v="12"/>
    <x v="12"/>
    <x v="0"/>
    <x v="0"/>
    <n v="0"/>
    <n v="3490.39"/>
    <x v="3"/>
    <x v="0"/>
    <s v="AutoPost 12"/>
    <s v="CAD"/>
    <x v="0"/>
    <x v="12"/>
  </r>
  <r>
    <x v="13"/>
    <x v="13"/>
    <x v="0"/>
    <x v="0"/>
    <n v="0"/>
    <n v="3379.63"/>
    <x v="0"/>
    <x v="4"/>
    <s v="AutoPost 13"/>
    <s v="CAD"/>
    <x v="11"/>
    <x v="13"/>
  </r>
  <r>
    <x v="14"/>
    <x v="14"/>
    <x v="4"/>
    <x v="4"/>
    <n v="0"/>
    <n v="1490.43"/>
    <x v="0"/>
    <x v="2"/>
    <s v="AutoPost 14"/>
    <s v="GBP"/>
    <x v="12"/>
    <x v="14"/>
  </r>
  <r>
    <x v="15"/>
    <x v="15"/>
    <x v="1"/>
    <x v="1"/>
    <n v="1119.05"/>
    <n v="0"/>
    <x v="1"/>
    <x v="4"/>
    <s v="AutoPost 15"/>
    <s v="AUD"/>
    <x v="8"/>
    <x v="15"/>
  </r>
  <r>
    <x v="16"/>
    <x v="16"/>
    <x v="4"/>
    <x v="4"/>
    <n v="0"/>
    <n v="4006.73"/>
    <x v="0"/>
    <x v="3"/>
    <s v="AutoPost 16"/>
    <s v="EUR"/>
    <x v="13"/>
    <x v="16"/>
  </r>
  <r>
    <x v="17"/>
    <x v="17"/>
    <x v="0"/>
    <x v="0"/>
    <n v="0"/>
    <n v="259.83999999999997"/>
    <x v="5"/>
    <x v="4"/>
    <s v="AutoPost 17"/>
    <s v="AUD"/>
    <x v="10"/>
    <x v="17"/>
  </r>
  <r>
    <x v="18"/>
    <x v="18"/>
    <x v="3"/>
    <x v="3"/>
    <n v="735.45"/>
    <n v="0"/>
    <x v="2"/>
    <x v="4"/>
    <s v="AutoPost 18"/>
    <s v="CAD"/>
    <x v="14"/>
    <x v="18"/>
  </r>
  <r>
    <x v="19"/>
    <x v="19"/>
    <x v="1"/>
    <x v="1"/>
    <n v="154.43"/>
    <n v="0"/>
    <x v="5"/>
    <x v="1"/>
    <s v="AutoPost 19"/>
    <s v="CAD"/>
    <x v="15"/>
    <x v="19"/>
  </r>
  <r>
    <x v="20"/>
    <x v="20"/>
    <x v="2"/>
    <x v="2"/>
    <n v="359.1"/>
    <n v="0"/>
    <x v="2"/>
    <x v="1"/>
    <s v="AutoPost 20"/>
    <s v="CAD"/>
    <x v="16"/>
    <x v="20"/>
  </r>
  <r>
    <x v="21"/>
    <x v="21"/>
    <x v="4"/>
    <x v="4"/>
    <n v="0"/>
    <n v="1632.86"/>
    <x v="2"/>
    <x v="0"/>
    <s v="AutoPost 21"/>
    <s v="CAD"/>
    <x v="17"/>
    <x v="21"/>
  </r>
  <r>
    <x v="22"/>
    <x v="22"/>
    <x v="1"/>
    <x v="1"/>
    <n v="319.7"/>
    <n v="0"/>
    <x v="2"/>
    <x v="0"/>
    <s v="AutoPost 22"/>
    <s v="USD"/>
    <x v="0"/>
    <x v="22"/>
  </r>
  <r>
    <x v="23"/>
    <x v="23"/>
    <x v="1"/>
    <x v="1"/>
    <n v="546.02"/>
    <n v="0"/>
    <x v="2"/>
    <x v="3"/>
    <s v="AutoPost 23"/>
    <s v="CAD"/>
    <x v="18"/>
    <x v="23"/>
  </r>
  <r>
    <x v="24"/>
    <x v="24"/>
    <x v="3"/>
    <x v="3"/>
    <n v="267.04000000000002"/>
    <n v="0"/>
    <x v="1"/>
    <x v="3"/>
    <s v="AutoPost 24"/>
    <s v="AUD"/>
    <x v="8"/>
    <x v="24"/>
  </r>
  <r>
    <x v="25"/>
    <x v="25"/>
    <x v="0"/>
    <x v="0"/>
    <n v="0"/>
    <n v="1650.08"/>
    <x v="2"/>
    <x v="3"/>
    <s v="AutoPost 25"/>
    <s v="USD"/>
    <x v="5"/>
    <x v="25"/>
  </r>
  <r>
    <x v="26"/>
    <x v="26"/>
    <x v="1"/>
    <x v="1"/>
    <n v="115"/>
    <n v="0"/>
    <x v="0"/>
    <x v="4"/>
    <s v="AutoPost 26"/>
    <s v="AUD"/>
    <x v="10"/>
    <x v="26"/>
  </r>
  <r>
    <x v="27"/>
    <x v="27"/>
    <x v="4"/>
    <x v="4"/>
    <n v="0"/>
    <n v="1073.4100000000001"/>
    <x v="0"/>
    <x v="2"/>
    <s v="AutoPost 27"/>
    <s v="AUD"/>
    <x v="19"/>
    <x v="27"/>
  </r>
  <r>
    <x v="28"/>
    <x v="28"/>
    <x v="4"/>
    <x v="4"/>
    <n v="0"/>
    <n v="3466"/>
    <x v="4"/>
    <x v="2"/>
    <s v="AutoPost 28"/>
    <s v="GBP"/>
    <x v="13"/>
    <x v="28"/>
  </r>
  <r>
    <x v="29"/>
    <x v="29"/>
    <x v="3"/>
    <x v="3"/>
    <n v="947.43"/>
    <n v="0"/>
    <x v="0"/>
    <x v="1"/>
    <s v="AutoPost 29"/>
    <s v="CAD"/>
    <x v="16"/>
    <x v="29"/>
  </r>
  <r>
    <x v="30"/>
    <x v="30"/>
    <x v="4"/>
    <x v="4"/>
    <n v="0"/>
    <n v="4495.8900000000003"/>
    <x v="0"/>
    <x v="2"/>
    <s v="AutoPost 30"/>
    <s v="GBP"/>
    <x v="20"/>
    <x v="30"/>
  </r>
  <r>
    <x v="31"/>
    <x v="31"/>
    <x v="1"/>
    <x v="1"/>
    <n v="72.88"/>
    <n v="0"/>
    <x v="0"/>
    <x v="0"/>
    <s v="AutoPost 31"/>
    <s v="CAD"/>
    <x v="0"/>
    <x v="31"/>
  </r>
  <r>
    <x v="32"/>
    <x v="32"/>
    <x v="4"/>
    <x v="4"/>
    <n v="0"/>
    <n v="867.61"/>
    <x v="2"/>
    <x v="0"/>
    <s v="AutoPost 32"/>
    <s v="AUD"/>
    <x v="14"/>
    <x v="32"/>
  </r>
  <r>
    <x v="33"/>
    <x v="33"/>
    <x v="3"/>
    <x v="3"/>
    <n v="1416.83"/>
    <n v="0"/>
    <x v="5"/>
    <x v="0"/>
    <s v="AutoPost 33"/>
    <s v="USD"/>
    <x v="9"/>
    <x v="33"/>
  </r>
  <r>
    <x v="34"/>
    <x v="34"/>
    <x v="3"/>
    <x v="3"/>
    <n v="806.72"/>
    <n v="0"/>
    <x v="0"/>
    <x v="4"/>
    <s v="AutoPost 34"/>
    <s v="AUD"/>
    <x v="21"/>
    <x v="34"/>
  </r>
  <r>
    <x v="35"/>
    <x v="35"/>
    <x v="0"/>
    <x v="0"/>
    <n v="0"/>
    <n v="391.57"/>
    <x v="4"/>
    <x v="3"/>
    <s v="AutoPost 35"/>
    <s v="EUR"/>
    <x v="0"/>
    <x v="35"/>
  </r>
  <r>
    <x v="36"/>
    <x v="36"/>
    <x v="1"/>
    <x v="1"/>
    <n v="248.09"/>
    <n v="0"/>
    <x v="4"/>
    <x v="0"/>
    <s v="AutoPost 36"/>
    <s v="EUR"/>
    <x v="12"/>
    <x v="36"/>
  </r>
  <r>
    <x v="37"/>
    <x v="37"/>
    <x v="3"/>
    <x v="3"/>
    <n v="1469.2"/>
    <n v="0"/>
    <x v="2"/>
    <x v="0"/>
    <s v="AutoPost 37"/>
    <s v="USD"/>
    <x v="22"/>
    <x v="37"/>
  </r>
  <r>
    <x v="38"/>
    <x v="38"/>
    <x v="2"/>
    <x v="2"/>
    <n v="1924.85"/>
    <n v="0"/>
    <x v="4"/>
    <x v="4"/>
    <s v="AutoPost 38"/>
    <s v="EUR"/>
    <x v="2"/>
    <x v="38"/>
  </r>
  <r>
    <x v="39"/>
    <x v="39"/>
    <x v="3"/>
    <x v="3"/>
    <n v="1416.63"/>
    <n v="0"/>
    <x v="2"/>
    <x v="2"/>
    <s v="AutoPost 39"/>
    <s v="CAD"/>
    <x v="11"/>
    <x v="39"/>
  </r>
  <r>
    <x v="40"/>
    <x v="40"/>
    <x v="2"/>
    <x v="2"/>
    <n v="358.23"/>
    <n v="0"/>
    <x v="0"/>
    <x v="2"/>
    <s v="AutoPost 40"/>
    <s v="AUD"/>
    <x v="23"/>
    <x v="40"/>
  </r>
  <r>
    <x v="41"/>
    <x v="41"/>
    <x v="3"/>
    <x v="3"/>
    <n v="1647.4"/>
    <n v="0"/>
    <x v="1"/>
    <x v="4"/>
    <s v="AutoPost 41"/>
    <s v="EUR"/>
    <x v="3"/>
    <x v="41"/>
  </r>
  <r>
    <x v="42"/>
    <x v="42"/>
    <x v="1"/>
    <x v="1"/>
    <n v="945.76"/>
    <n v="0"/>
    <x v="3"/>
    <x v="1"/>
    <s v="AutoPost 42"/>
    <s v="AUD"/>
    <x v="24"/>
    <x v="42"/>
  </r>
  <r>
    <x v="43"/>
    <x v="43"/>
    <x v="2"/>
    <x v="2"/>
    <n v="941.14"/>
    <n v="0"/>
    <x v="4"/>
    <x v="2"/>
    <s v="AutoPost 43"/>
    <s v="EUR"/>
    <x v="18"/>
    <x v="43"/>
  </r>
  <r>
    <x v="44"/>
    <x v="44"/>
    <x v="2"/>
    <x v="2"/>
    <n v="142.16"/>
    <n v="0"/>
    <x v="5"/>
    <x v="3"/>
    <s v="AutoPost 44"/>
    <s v="EUR"/>
    <x v="25"/>
    <x v="44"/>
  </r>
  <r>
    <x v="45"/>
    <x v="45"/>
    <x v="4"/>
    <x v="4"/>
    <n v="0"/>
    <n v="1368.77"/>
    <x v="3"/>
    <x v="0"/>
    <s v="AutoPost 45"/>
    <s v="EUR"/>
    <x v="16"/>
    <x v="45"/>
  </r>
  <r>
    <x v="46"/>
    <x v="46"/>
    <x v="0"/>
    <x v="0"/>
    <n v="0"/>
    <n v="2507.52"/>
    <x v="3"/>
    <x v="2"/>
    <s v="AutoPost 46"/>
    <s v="EUR"/>
    <x v="14"/>
    <x v="46"/>
  </r>
  <r>
    <x v="47"/>
    <x v="47"/>
    <x v="0"/>
    <x v="0"/>
    <n v="0"/>
    <n v="1744.89"/>
    <x v="4"/>
    <x v="2"/>
    <s v="AutoPost 47"/>
    <s v="USD"/>
    <x v="16"/>
    <x v="47"/>
  </r>
  <r>
    <x v="48"/>
    <x v="5"/>
    <x v="2"/>
    <x v="2"/>
    <n v="1408.09"/>
    <n v="0"/>
    <x v="2"/>
    <x v="2"/>
    <s v="AutoPost 48"/>
    <s v="CAD"/>
    <x v="5"/>
    <x v="48"/>
  </r>
  <r>
    <x v="49"/>
    <x v="48"/>
    <x v="2"/>
    <x v="2"/>
    <n v="480.19"/>
    <n v="0"/>
    <x v="3"/>
    <x v="4"/>
    <s v="AutoPost 49"/>
    <s v="EUR"/>
    <x v="18"/>
    <x v="49"/>
  </r>
  <r>
    <x v="50"/>
    <x v="49"/>
    <x v="1"/>
    <x v="1"/>
    <n v="1444.62"/>
    <n v="0"/>
    <x v="3"/>
    <x v="4"/>
    <s v="AutoPost 50"/>
    <s v="CAD"/>
    <x v="15"/>
    <x v="50"/>
  </r>
  <r>
    <x v="51"/>
    <x v="50"/>
    <x v="0"/>
    <x v="0"/>
    <n v="0"/>
    <n v="4456.24"/>
    <x v="1"/>
    <x v="2"/>
    <s v="AutoPost 51"/>
    <s v="CAD"/>
    <x v="26"/>
    <x v="51"/>
  </r>
  <r>
    <x v="52"/>
    <x v="51"/>
    <x v="0"/>
    <x v="0"/>
    <n v="0"/>
    <n v="4800.28"/>
    <x v="5"/>
    <x v="2"/>
    <s v="AutoPost 52"/>
    <s v="CAD"/>
    <x v="19"/>
    <x v="52"/>
  </r>
  <r>
    <x v="53"/>
    <x v="52"/>
    <x v="1"/>
    <x v="1"/>
    <n v="425.12"/>
    <n v="0"/>
    <x v="3"/>
    <x v="0"/>
    <s v="AutoPost 53"/>
    <s v="AUD"/>
    <x v="9"/>
    <x v="53"/>
  </r>
  <r>
    <x v="54"/>
    <x v="53"/>
    <x v="2"/>
    <x v="2"/>
    <n v="1830.18"/>
    <n v="0"/>
    <x v="4"/>
    <x v="0"/>
    <s v="AutoPost 54"/>
    <s v="EUR"/>
    <x v="7"/>
    <x v="54"/>
  </r>
  <r>
    <x v="55"/>
    <x v="54"/>
    <x v="0"/>
    <x v="0"/>
    <n v="0"/>
    <n v="4128.6400000000003"/>
    <x v="0"/>
    <x v="4"/>
    <s v="AutoPost 55"/>
    <s v="AUD"/>
    <x v="10"/>
    <x v="55"/>
  </r>
  <r>
    <x v="56"/>
    <x v="55"/>
    <x v="1"/>
    <x v="1"/>
    <n v="609.79999999999995"/>
    <n v="0"/>
    <x v="1"/>
    <x v="1"/>
    <s v="AutoPost 56"/>
    <s v="CAD"/>
    <x v="8"/>
    <x v="56"/>
  </r>
  <r>
    <x v="57"/>
    <x v="56"/>
    <x v="3"/>
    <x v="3"/>
    <n v="279.32"/>
    <n v="0"/>
    <x v="3"/>
    <x v="2"/>
    <s v="AutoPost 57"/>
    <s v="USD"/>
    <x v="6"/>
    <x v="57"/>
  </r>
  <r>
    <x v="58"/>
    <x v="57"/>
    <x v="4"/>
    <x v="4"/>
    <n v="0"/>
    <n v="1790.31"/>
    <x v="4"/>
    <x v="0"/>
    <s v="AutoPost 58"/>
    <s v="CAD"/>
    <x v="15"/>
    <x v="58"/>
  </r>
  <r>
    <x v="59"/>
    <x v="58"/>
    <x v="3"/>
    <x v="3"/>
    <n v="1635.65"/>
    <n v="0"/>
    <x v="1"/>
    <x v="2"/>
    <s v="AutoPost 59"/>
    <s v="CAD"/>
    <x v="11"/>
    <x v="59"/>
  </r>
  <r>
    <x v="60"/>
    <x v="8"/>
    <x v="0"/>
    <x v="0"/>
    <n v="0"/>
    <n v="3300.5"/>
    <x v="4"/>
    <x v="2"/>
    <s v="AutoPost 60"/>
    <s v="USD"/>
    <x v="7"/>
    <x v="60"/>
  </r>
  <r>
    <x v="61"/>
    <x v="59"/>
    <x v="2"/>
    <x v="2"/>
    <n v="1704.76"/>
    <n v="0"/>
    <x v="3"/>
    <x v="1"/>
    <s v="AutoPost 61"/>
    <s v="AUD"/>
    <x v="1"/>
    <x v="61"/>
  </r>
  <r>
    <x v="62"/>
    <x v="60"/>
    <x v="3"/>
    <x v="3"/>
    <n v="145.25"/>
    <n v="0"/>
    <x v="2"/>
    <x v="1"/>
    <s v="AutoPost 62"/>
    <s v="EUR"/>
    <x v="3"/>
    <x v="62"/>
  </r>
  <r>
    <x v="63"/>
    <x v="61"/>
    <x v="2"/>
    <x v="2"/>
    <n v="1423.44"/>
    <n v="0"/>
    <x v="3"/>
    <x v="1"/>
    <s v="AutoPost 63"/>
    <s v="EUR"/>
    <x v="25"/>
    <x v="63"/>
  </r>
  <r>
    <x v="64"/>
    <x v="62"/>
    <x v="3"/>
    <x v="3"/>
    <n v="793.01"/>
    <n v="0"/>
    <x v="2"/>
    <x v="4"/>
    <s v="AutoPost 64"/>
    <s v="CAD"/>
    <x v="3"/>
    <x v="64"/>
  </r>
  <r>
    <x v="65"/>
    <x v="63"/>
    <x v="4"/>
    <x v="4"/>
    <n v="0"/>
    <n v="2977.78"/>
    <x v="3"/>
    <x v="1"/>
    <s v="AutoPost 65"/>
    <s v="USD"/>
    <x v="24"/>
    <x v="65"/>
  </r>
  <r>
    <x v="66"/>
    <x v="64"/>
    <x v="3"/>
    <x v="3"/>
    <n v="1212.6500000000001"/>
    <n v="0"/>
    <x v="5"/>
    <x v="0"/>
    <s v="AutoPost 66"/>
    <s v="EUR"/>
    <x v="27"/>
    <x v="66"/>
  </r>
  <r>
    <x v="67"/>
    <x v="65"/>
    <x v="0"/>
    <x v="0"/>
    <n v="0"/>
    <n v="1204.96"/>
    <x v="5"/>
    <x v="1"/>
    <s v="AutoPost 67"/>
    <s v="GBP"/>
    <x v="5"/>
    <x v="67"/>
  </r>
  <r>
    <x v="68"/>
    <x v="66"/>
    <x v="3"/>
    <x v="3"/>
    <n v="1735.7"/>
    <n v="0"/>
    <x v="3"/>
    <x v="4"/>
    <s v="AutoPost 68"/>
    <s v="USD"/>
    <x v="19"/>
    <x v="68"/>
  </r>
  <r>
    <x v="69"/>
    <x v="67"/>
    <x v="2"/>
    <x v="2"/>
    <n v="1095.32"/>
    <n v="0"/>
    <x v="4"/>
    <x v="0"/>
    <s v="AutoPost 69"/>
    <s v="AUD"/>
    <x v="19"/>
    <x v="69"/>
  </r>
  <r>
    <x v="70"/>
    <x v="68"/>
    <x v="2"/>
    <x v="2"/>
    <n v="553.17999999999995"/>
    <n v="0"/>
    <x v="2"/>
    <x v="1"/>
    <s v="AutoPost 70"/>
    <s v="USD"/>
    <x v="0"/>
    <x v="70"/>
  </r>
  <r>
    <x v="71"/>
    <x v="69"/>
    <x v="0"/>
    <x v="0"/>
    <n v="0"/>
    <n v="2434.5500000000002"/>
    <x v="4"/>
    <x v="1"/>
    <s v="AutoPost 71"/>
    <s v="CAD"/>
    <x v="5"/>
    <x v="71"/>
  </r>
  <r>
    <x v="72"/>
    <x v="70"/>
    <x v="1"/>
    <x v="1"/>
    <n v="156.53"/>
    <n v="0"/>
    <x v="4"/>
    <x v="0"/>
    <s v="AutoPost 72"/>
    <s v="USD"/>
    <x v="11"/>
    <x v="72"/>
  </r>
  <r>
    <x v="73"/>
    <x v="71"/>
    <x v="2"/>
    <x v="2"/>
    <n v="1231.32"/>
    <n v="0"/>
    <x v="1"/>
    <x v="3"/>
    <s v="AutoPost 73"/>
    <s v="GBP"/>
    <x v="28"/>
    <x v="73"/>
  </r>
  <r>
    <x v="74"/>
    <x v="72"/>
    <x v="3"/>
    <x v="3"/>
    <n v="1844.88"/>
    <n v="0"/>
    <x v="0"/>
    <x v="4"/>
    <s v="AutoPost 74"/>
    <s v="AUD"/>
    <x v="15"/>
    <x v="74"/>
  </r>
  <r>
    <x v="75"/>
    <x v="73"/>
    <x v="3"/>
    <x v="3"/>
    <n v="1368.26"/>
    <n v="0"/>
    <x v="4"/>
    <x v="0"/>
    <s v="AutoPost 75"/>
    <s v="GBP"/>
    <x v="12"/>
    <x v="75"/>
  </r>
  <r>
    <x v="76"/>
    <x v="12"/>
    <x v="0"/>
    <x v="0"/>
    <n v="0"/>
    <n v="2609.56"/>
    <x v="0"/>
    <x v="2"/>
    <s v="AutoPost 76"/>
    <s v="GBP"/>
    <x v="0"/>
    <x v="76"/>
  </r>
  <r>
    <x v="77"/>
    <x v="74"/>
    <x v="2"/>
    <x v="2"/>
    <n v="1420.84"/>
    <n v="0"/>
    <x v="2"/>
    <x v="2"/>
    <s v="AutoPost 77"/>
    <s v="AUD"/>
    <x v="18"/>
    <x v="77"/>
  </r>
  <r>
    <x v="78"/>
    <x v="75"/>
    <x v="1"/>
    <x v="1"/>
    <n v="1671.57"/>
    <n v="0"/>
    <x v="4"/>
    <x v="1"/>
    <s v="AutoPost 78"/>
    <s v="GBP"/>
    <x v="13"/>
    <x v="78"/>
  </r>
  <r>
    <x v="79"/>
    <x v="76"/>
    <x v="2"/>
    <x v="2"/>
    <n v="498.83"/>
    <n v="0"/>
    <x v="5"/>
    <x v="1"/>
    <s v="AutoPost 79"/>
    <s v="AUD"/>
    <x v="18"/>
    <x v="79"/>
  </r>
  <r>
    <x v="80"/>
    <x v="77"/>
    <x v="3"/>
    <x v="3"/>
    <n v="1528.9"/>
    <n v="0"/>
    <x v="0"/>
    <x v="3"/>
    <s v="AutoPost 80"/>
    <s v="USD"/>
    <x v="5"/>
    <x v="80"/>
  </r>
  <r>
    <x v="81"/>
    <x v="62"/>
    <x v="0"/>
    <x v="0"/>
    <n v="0"/>
    <n v="4706.6099999999997"/>
    <x v="2"/>
    <x v="1"/>
    <s v="AutoPost 81"/>
    <s v="EUR"/>
    <x v="3"/>
    <x v="81"/>
  </r>
  <r>
    <x v="82"/>
    <x v="78"/>
    <x v="3"/>
    <x v="3"/>
    <n v="1105.6300000000001"/>
    <n v="0"/>
    <x v="0"/>
    <x v="1"/>
    <s v="AutoPost 82"/>
    <s v="AUD"/>
    <x v="6"/>
    <x v="82"/>
  </r>
  <r>
    <x v="83"/>
    <x v="79"/>
    <x v="4"/>
    <x v="4"/>
    <n v="0"/>
    <n v="3399.04"/>
    <x v="2"/>
    <x v="3"/>
    <s v="AutoPost 83"/>
    <s v="AUD"/>
    <x v="27"/>
    <x v="83"/>
  </r>
  <r>
    <x v="84"/>
    <x v="80"/>
    <x v="3"/>
    <x v="3"/>
    <n v="1163.98"/>
    <n v="0"/>
    <x v="0"/>
    <x v="4"/>
    <s v="AutoPost 84"/>
    <s v="GBP"/>
    <x v="6"/>
    <x v="84"/>
  </r>
  <r>
    <x v="85"/>
    <x v="81"/>
    <x v="0"/>
    <x v="0"/>
    <n v="0"/>
    <n v="3532.66"/>
    <x v="2"/>
    <x v="1"/>
    <s v="AutoPost 85"/>
    <s v="USD"/>
    <x v="27"/>
    <x v="85"/>
  </r>
  <r>
    <x v="86"/>
    <x v="82"/>
    <x v="3"/>
    <x v="3"/>
    <n v="1395.59"/>
    <n v="0"/>
    <x v="1"/>
    <x v="4"/>
    <s v="AutoPost 86"/>
    <s v="USD"/>
    <x v="28"/>
    <x v="86"/>
  </r>
  <r>
    <x v="87"/>
    <x v="83"/>
    <x v="1"/>
    <x v="1"/>
    <n v="1441.07"/>
    <n v="0"/>
    <x v="4"/>
    <x v="4"/>
    <s v="AutoPost 87"/>
    <s v="CAD"/>
    <x v="10"/>
    <x v="87"/>
  </r>
  <r>
    <x v="88"/>
    <x v="84"/>
    <x v="4"/>
    <x v="4"/>
    <n v="0"/>
    <n v="3845.76"/>
    <x v="0"/>
    <x v="0"/>
    <s v="AutoPost 88"/>
    <s v="USD"/>
    <x v="6"/>
    <x v="88"/>
  </r>
  <r>
    <x v="89"/>
    <x v="85"/>
    <x v="2"/>
    <x v="2"/>
    <n v="1448.69"/>
    <n v="0"/>
    <x v="3"/>
    <x v="1"/>
    <s v="AutoPost 89"/>
    <s v="CAD"/>
    <x v="17"/>
    <x v="89"/>
  </r>
  <r>
    <x v="90"/>
    <x v="86"/>
    <x v="1"/>
    <x v="1"/>
    <n v="74.5"/>
    <n v="0"/>
    <x v="2"/>
    <x v="0"/>
    <s v="AutoPost 90"/>
    <s v="GBP"/>
    <x v="7"/>
    <x v="90"/>
  </r>
  <r>
    <x v="91"/>
    <x v="87"/>
    <x v="0"/>
    <x v="0"/>
    <n v="0"/>
    <n v="1071.73"/>
    <x v="5"/>
    <x v="2"/>
    <s v="AutoPost 91"/>
    <s v="USD"/>
    <x v="10"/>
    <x v="91"/>
  </r>
  <r>
    <x v="92"/>
    <x v="82"/>
    <x v="1"/>
    <x v="1"/>
    <n v="1875.56"/>
    <n v="0"/>
    <x v="4"/>
    <x v="1"/>
    <s v="AutoPost 92"/>
    <s v="GBP"/>
    <x v="28"/>
    <x v="92"/>
  </r>
  <r>
    <x v="93"/>
    <x v="88"/>
    <x v="2"/>
    <x v="2"/>
    <n v="1449.67"/>
    <n v="0"/>
    <x v="0"/>
    <x v="3"/>
    <s v="AutoPost 93"/>
    <s v="USD"/>
    <x v="0"/>
    <x v="93"/>
  </r>
  <r>
    <x v="94"/>
    <x v="89"/>
    <x v="1"/>
    <x v="1"/>
    <n v="1782.21"/>
    <n v="0"/>
    <x v="5"/>
    <x v="0"/>
    <s v="AutoPost 94"/>
    <s v="AUD"/>
    <x v="27"/>
    <x v="94"/>
  </r>
  <r>
    <x v="95"/>
    <x v="55"/>
    <x v="4"/>
    <x v="4"/>
    <n v="0"/>
    <n v="4889.25"/>
    <x v="5"/>
    <x v="1"/>
    <s v="AutoPost 95"/>
    <s v="AUD"/>
    <x v="8"/>
    <x v="95"/>
  </r>
  <r>
    <x v="96"/>
    <x v="90"/>
    <x v="2"/>
    <x v="2"/>
    <n v="1101.33"/>
    <n v="0"/>
    <x v="0"/>
    <x v="0"/>
    <s v="AutoPost 96"/>
    <s v="GBP"/>
    <x v="27"/>
    <x v="96"/>
  </r>
  <r>
    <x v="97"/>
    <x v="91"/>
    <x v="3"/>
    <x v="3"/>
    <n v="121.65"/>
    <n v="0"/>
    <x v="1"/>
    <x v="3"/>
    <s v="AutoPost 97"/>
    <s v="USD"/>
    <x v="5"/>
    <x v="97"/>
  </r>
  <r>
    <x v="98"/>
    <x v="92"/>
    <x v="3"/>
    <x v="3"/>
    <n v="137.87"/>
    <n v="0"/>
    <x v="0"/>
    <x v="0"/>
    <s v="AutoPost 98"/>
    <s v="AUD"/>
    <x v="24"/>
    <x v="98"/>
  </r>
  <r>
    <x v="99"/>
    <x v="93"/>
    <x v="0"/>
    <x v="0"/>
    <n v="0"/>
    <n v="792.94"/>
    <x v="4"/>
    <x v="2"/>
    <s v="AutoPost 99"/>
    <s v="CAD"/>
    <x v="14"/>
    <x v="99"/>
  </r>
  <r>
    <x v="100"/>
    <x v="94"/>
    <x v="4"/>
    <x v="4"/>
    <n v="0"/>
    <n v="1346.1"/>
    <x v="1"/>
    <x v="1"/>
    <s v="AutoPost 100"/>
    <s v="USD"/>
    <x v="2"/>
    <x v="100"/>
  </r>
  <r>
    <x v="101"/>
    <x v="95"/>
    <x v="4"/>
    <x v="4"/>
    <n v="0"/>
    <n v="961.26"/>
    <x v="5"/>
    <x v="1"/>
    <s v="AutoPost 101"/>
    <s v="CAD"/>
    <x v="21"/>
    <x v="101"/>
  </r>
  <r>
    <x v="102"/>
    <x v="96"/>
    <x v="1"/>
    <x v="1"/>
    <n v="421.91"/>
    <n v="0"/>
    <x v="5"/>
    <x v="1"/>
    <s v="AutoPost 102"/>
    <s v="EUR"/>
    <x v="26"/>
    <x v="102"/>
  </r>
  <r>
    <x v="103"/>
    <x v="77"/>
    <x v="0"/>
    <x v="0"/>
    <n v="0"/>
    <n v="1902.45"/>
    <x v="2"/>
    <x v="0"/>
    <s v="AutoPost 103"/>
    <s v="GBP"/>
    <x v="5"/>
    <x v="103"/>
  </r>
  <r>
    <x v="104"/>
    <x v="97"/>
    <x v="2"/>
    <x v="2"/>
    <n v="764.96"/>
    <n v="0"/>
    <x v="4"/>
    <x v="3"/>
    <s v="AutoPost 104"/>
    <s v="USD"/>
    <x v="3"/>
    <x v="104"/>
  </r>
  <r>
    <x v="105"/>
    <x v="98"/>
    <x v="0"/>
    <x v="0"/>
    <n v="0"/>
    <n v="734.03"/>
    <x v="0"/>
    <x v="4"/>
    <s v="AutoPost 105"/>
    <s v="EUR"/>
    <x v="4"/>
    <x v="105"/>
  </r>
  <r>
    <x v="106"/>
    <x v="99"/>
    <x v="1"/>
    <x v="1"/>
    <n v="1157.81"/>
    <n v="0"/>
    <x v="3"/>
    <x v="2"/>
    <s v="AutoPost 106"/>
    <s v="AUD"/>
    <x v="22"/>
    <x v="106"/>
  </r>
  <r>
    <x v="107"/>
    <x v="100"/>
    <x v="3"/>
    <x v="3"/>
    <n v="1552.29"/>
    <n v="0"/>
    <x v="4"/>
    <x v="2"/>
    <s v="AutoPost 107"/>
    <s v="GBP"/>
    <x v="19"/>
    <x v="107"/>
  </r>
  <r>
    <x v="108"/>
    <x v="101"/>
    <x v="2"/>
    <x v="2"/>
    <n v="1400.69"/>
    <n v="0"/>
    <x v="1"/>
    <x v="2"/>
    <s v="AutoPost 108"/>
    <s v="GBP"/>
    <x v="20"/>
    <x v="108"/>
  </r>
  <r>
    <x v="109"/>
    <x v="102"/>
    <x v="3"/>
    <x v="3"/>
    <n v="1548.81"/>
    <n v="0"/>
    <x v="5"/>
    <x v="4"/>
    <s v="AutoPost 109"/>
    <s v="AUD"/>
    <x v="16"/>
    <x v="109"/>
  </r>
  <r>
    <x v="110"/>
    <x v="103"/>
    <x v="2"/>
    <x v="2"/>
    <n v="1166.95"/>
    <n v="0"/>
    <x v="0"/>
    <x v="4"/>
    <s v="AutoPost 110"/>
    <s v="GBP"/>
    <x v="28"/>
    <x v="110"/>
  </r>
  <r>
    <x v="111"/>
    <x v="104"/>
    <x v="0"/>
    <x v="0"/>
    <n v="0"/>
    <n v="3630.78"/>
    <x v="4"/>
    <x v="1"/>
    <s v="AutoPost 111"/>
    <s v="CAD"/>
    <x v="22"/>
    <x v="111"/>
  </r>
  <r>
    <x v="112"/>
    <x v="105"/>
    <x v="0"/>
    <x v="0"/>
    <n v="0"/>
    <n v="1148.97"/>
    <x v="1"/>
    <x v="4"/>
    <s v="AutoPost 112"/>
    <s v="CAD"/>
    <x v="16"/>
    <x v="112"/>
  </r>
  <r>
    <x v="113"/>
    <x v="106"/>
    <x v="0"/>
    <x v="0"/>
    <n v="0"/>
    <n v="1826.98"/>
    <x v="4"/>
    <x v="3"/>
    <s v="AutoPost 113"/>
    <s v="AUD"/>
    <x v="15"/>
    <x v="113"/>
  </r>
  <r>
    <x v="114"/>
    <x v="107"/>
    <x v="3"/>
    <x v="3"/>
    <n v="464.27"/>
    <n v="0"/>
    <x v="4"/>
    <x v="0"/>
    <s v="AutoPost 114"/>
    <s v="USD"/>
    <x v="27"/>
    <x v="114"/>
  </r>
  <r>
    <x v="115"/>
    <x v="108"/>
    <x v="3"/>
    <x v="3"/>
    <n v="325.08999999999997"/>
    <n v="0"/>
    <x v="4"/>
    <x v="2"/>
    <s v="AutoPost 115"/>
    <s v="USD"/>
    <x v="12"/>
    <x v="115"/>
  </r>
  <r>
    <x v="116"/>
    <x v="9"/>
    <x v="0"/>
    <x v="0"/>
    <n v="0"/>
    <n v="3674.13"/>
    <x v="1"/>
    <x v="4"/>
    <s v="AutoPost 116"/>
    <s v="CAD"/>
    <x v="8"/>
    <x v="116"/>
  </r>
  <r>
    <x v="117"/>
    <x v="97"/>
    <x v="4"/>
    <x v="4"/>
    <n v="0"/>
    <n v="2578.4299999999998"/>
    <x v="4"/>
    <x v="1"/>
    <s v="AutoPost 117"/>
    <s v="GBP"/>
    <x v="3"/>
    <x v="117"/>
  </r>
  <r>
    <x v="118"/>
    <x v="109"/>
    <x v="2"/>
    <x v="2"/>
    <n v="523.80999999999995"/>
    <n v="0"/>
    <x v="3"/>
    <x v="0"/>
    <s v="AutoPost 118"/>
    <s v="AUD"/>
    <x v="2"/>
    <x v="118"/>
  </r>
  <r>
    <x v="119"/>
    <x v="110"/>
    <x v="3"/>
    <x v="3"/>
    <n v="1120.46"/>
    <n v="0"/>
    <x v="4"/>
    <x v="1"/>
    <s v="AutoPost 119"/>
    <s v="AUD"/>
    <x v="10"/>
    <x v="119"/>
  </r>
  <r>
    <x v="120"/>
    <x v="43"/>
    <x v="1"/>
    <x v="1"/>
    <n v="547.59"/>
    <n v="0"/>
    <x v="2"/>
    <x v="0"/>
    <s v="AutoPost 120"/>
    <s v="AUD"/>
    <x v="18"/>
    <x v="120"/>
  </r>
  <r>
    <x v="121"/>
    <x v="111"/>
    <x v="4"/>
    <x v="4"/>
    <n v="0"/>
    <n v="2032.52"/>
    <x v="5"/>
    <x v="2"/>
    <s v="AutoPost 121"/>
    <s v="CAD"/>
    <x v="2"/>
    <x v="121"/>
  </r>
  <r>
    <x v="122"/>
    <x v="112"/>
    <x v="2"/>
    <x v="2"/>
    <n v="1405.18"/>
    <n v="0"/>
    <x v="5"/>
    <x v="1"/>
    <s v="AutoPost 122"/>
    <s v="GBP"/>
    <x v="17"/>
    <x v="122"/>
  </r>
  <r>
    <x v="123"/>
    <x v="113"/>
    <x v="1"/>
    <x v="1"/>
    <n v="150.66999999999999"/>
    <n v="0"/>
    <x v="3"/>
    <x v="0"/>
    <s v="AutoPost 123"/>
    <s v="CAD"/>
    <x v="11"/>
    <x v="123"/>
  </r>
  <r>
    <x v="124"/>
    <x v="114"/>
    <x v="4"/>
    <x v="4"/>
    <n v="0"/>
    <n v="902.67"/>
    <x v="2"/>
    <x v="1"/>
    <s v="AutoPost 124"/>
    <s v="CAD"/>
    <x v="25"/>
    <x v="124"/>
  </r>
  <r>
    <x v="125"/>
    <x v="115"/>
    <x v="0"/>
    <x v="0"/>
    <n v="0"/>
    <n v="160.09"/>
    <x v="4"/>
    <x v="0"/>
    <s v="AutoPost 125"/>
    <s v="CAD"/>
    <x v="9"/>
    <x v="125"/>
  </r>
  <r>
    <x v="126"/>
    <x v="116"/>
    <x v="3"/>
    <x v="3"/>
    <n v="367.4"/>
    <n v="0"/>
    <x v="2"/>
    <x v="0"/>
    <s v="AutoPost 126"/>
    <s v="AUD"/>
    <x v="6"/>
    <x v="126"/>
  </r>
  <r>
    <x v="127"/>
    <x v="117"/>
    <x v="0"/>
    <x v="0"/>
    <n v="0"/>
    <n v="4964.84"/>
    <x v="1"/>
    <x v="0"/>
    <s v="AutoPost 127"/>
    <s v="GBP"/>
    <x v="24"/>
    <x v="127"/>
  </r>
  <r>
    <x v="128"/>
    <x v="108"/>
    <x v="3"/>
    <x v="3"/>
    <n v="925"/>
    <n v="0"/>
    <x v="0"/>
    <x v="0"/>
    <s v="AutoPost 128"/>
    <s v="EUR"/>
    <x v="12"/>
    <x v="128"/>
  </r>
  <r>
    <x v="129"/>
    <x v="118"/>
    <x v="1"/>
    <x v="1"/>
    <n v="1697.34"/>
    <n v="0"/>
    <x v="2"/>
    <x v="0"/>
    <s v="AutoPost 129"/>
    <s v="EUR"/>
    <x v="2"/>
    <x v="129"/>
  </r>
  <r>
    <x v="130"/>
    <x v="119"/>
    <x v="1"/>
    <x v="1"/>
    <n v="308.37"/>
    <n v="0"/>
    <x v="5"/>
    <x v="0"/>
    <s v="AutoPost 130"/>
    <s v="CAD"/>
    <x v="3"/>
    <x v="130"/>
  </r>
  <r>
    <x v="131"/>
    <x v="95"/>
    <x v="1"/>
    <x v="1"/>
    <n v="1304.32"/>
    <n v="0"/>
    <x v="5"/>
    <x v="2"/>
    <s v="AutoPost 131"/>
    <s v="USD"/>
    <x v="21"/>
    <x v="131"/>
  </r>
  <r>
    <x v="132"/>
    <x v="102"/>
    <x v="4"/>
    <x v="4"/>
    <n v="0"/>
    <n v="3993.88"/>
    <x v="2"/>
    <x v="4"/>
    <s v="AutoPost 132"/>
    <s v="AUD"/>
    <x v="16"/>
    <x v="132"/>
  </r>
  <r>
    <x v="133"/>
    <x v="120"/>
    <x v="0"/>
    <x v="0"/>
    <n v="0"/>
    <n v="703.6"/>
    <x v="3"/>
    <x v="4"/>
    <s v="AutoPost 133"/>
    <s v="GBP"/>
    <x v="28"/>
    <x v="133"/>
  </r>
  <r>
    <x v="134"/>
    <x v="121"/>
    <x v="3"/>
    <x v="3"/>
    <n v="355.53"/>
    <n v="0"/>
    <x v="3"/>
    <x v="2"/>
    <s v="AutoPost 134"/>
    <s v="EUR"/>
    <x v="25"/>
    <x v="134"/>
  </r>
  <r>
    <x v="135"/>
    <x v="19"/>
    <x v="1"/>
    <x v="1"/>
    <n v="1915.19"/>
    <n v="0"/>
    <x v="1"/>
    <x v="1"/>
    <s v="AutoPost 135"/>
    <s v="USD"/>
    <x v="15"/>
    <x v="135"/>
  </r>
  <r>
    <x v="136"/>
    <x v="122"/>
    <x v="4"/>
    <x v="4"/>
    <n v="0"/>
    <n v="877.66"/>
    <x v="1"/>
    <x v="1"/>
    <s v="AutoPost 136"/>
    <s v="AUD"/>
    <x v="3"/>
    <x v="136"/>
  </r>
  <r>
    <x v="137"/>
    <x v="123"/>
    <x v="4"/>
    <x v="4"/>
    <n v="0"/>
    <n v="2719.49"/>
    <x v="3"/>
    <x v="1"/>
    <s v="AutoPost 137"/>
    <s v="USD"/>
    <x v="26"/>
    <x v="137"/>
  </r>
  <r>
    <x v="138"/>
    <x v="124"/>
    <x v="3"/>
    <x v="3"/>
    <n v="1695.8"/>
    <n v="0"/>
    <x v="1"/>
    <x v="4"/>
    <s v="AutoPost 138"/>
    <s v="EUR"/>
    <x v="2"/>
    <x v="138"/>
  </r>
  <r>
    <x v="139"/>
    <x v="125"/>
    <x v="2"/>
    <x v="2"/>
    <n v="1304.8399999999999"/>
    <n v="0"/>
    <x v="1"/>
    <x v="4"/>
    <s v="AutoPost 139"/>
    <s v="AUD"/>
    <x v="15"/>
    <x v="139"/>
  </r>
  <r>
    <x v="140"/>
    <x v="126"/>
    <x v="0"/>
    <x v="0"/>
    <n v="0"/>
    <n v="708.58"/>
    <x v="2"/>
    <x v="3"/>
    <s v="AutoPost 140"/>
    <s v="GBP"/>
    <x v="19"/>
    <x v="140"/>
  </r>
  <r>
    <x v="141"/>
    <x v="127"/>
    <x v="3"/>
    <x v="3"/>
    <n v="1650.46"/>
    <n v="0"/>
    <x v="3"/>
    <x v="4"/>
    <s v="AutoPost 141"/>
    <s v="CAD"/>
    <x v="6"/>
    <x v="141"/>
  </r>
  <r>
    <x v="142"/>
    <x v="128"/>
    <x v="4"/>
    <x v="4"/>
    <n v="0"/>
    <n v="1112.1600000000001"/>
    <x v="4"/>
    <x v="3"/>
    <s v="AutoPost 142"/>
    <s v="CAD"/>
    <x v="4"/>
    <x v="142"/>
  </r>
  <r>
    <x v="143"/>
    <x v="129"/>
    <x v="0"/>
    <x v="0"/>
    <n v="0"/>
    <n v="3711.83"/>
    <x v="0"/>
    <x v="2"/>
    <s v="AutoPost 143"/>
    <s v="CAD"/>
    <x v="1"/>
    <x v="143"/>
  </r>
  <r>
    <x v="144"/>
    <x v="130"/>
    <x v="1"/>
    <x v="1"/>
    <n v="715.32"/>
    <n v="0"/>
    <x v="3"/>
    <x v="1"/>
    <s v="AutoPost 144"/>
    <s v="GBP"/>
    <x v="8"/>
    <x v="144"/>
  </r>
  <r>
    <x v="145"/>
    <x v="131"/>
    <x v="2"/>
    <x v="2"/>
    <n v="1366.61"/>
    <n v="0"/>
    <x v="1"/>
    <x v="3"/>
    <s v="AutoPost 145"/>
    <s v="USD"/>
    <x v="22"/>
    <x v="145"/>
  </r>
  <r>
    <x v="146"/>
    <x v="132"/>
    <x v="1"/>
    <x v="1"/>
    <n v="1091.43"/>
    <n v="0"/>
    <x v="2"/>
    <x v="3"/>
    <s v="AutoPost 146"/>
    <s v="CAD"/>
    <x v="29"/>
    <x v="146"/>
  </r>
  <r>
    <x v="147"/>
    <x v="133"/>
    <x v="0"/>
    <x v="0"/>
    <n v="0"/>
    <n v="1164.3499999999999"/>
    <x v="5"/>
    <x v="3"/>
    <s v="AutoPost 147"/>
    <s v="GBP"/>
    <x v="1"/>
    <x v="147"/>
  </r>
  <r>
    <x v="148"/>
    <x v="134"/>
    <x v="3"/>
    <x v="3"/>
    <n v="1139.5"/>
    <n v="0"/>
    <x v="5"/>
    <x v="3"/>
    <s v="AutoPost 148"/>
    <s v="AUD"/>
    <x v="16"/>
    <x v="148"/>
  </r>
  <r>
    <x v="149"/>
    <x v="135"/>
    <x v="0"/>
    <x v="0"/>
    <n v="0"/>
    <n v="338.86"/>
    <x v="4"/>
    <x v="2"/>
    <s v="AutoPost 149"/>
    <s v="USD"/>
    <x v="2"/>
    <x v="149"/>
  </r>
  <r>
    <x v="150"/>
    <x v="136"/>
    <x v="1"/>
    <x v="1"/>
    <n v="1379.51"/>
    <n v="0"/>
    <x v="1"/>
    <x v="2"/>
    <s v="AutoPost 150"/>
    <s v="USD"/>
    <x v="28"/>
    <x v="150"/>
  </r>
  <r>
    <x v="151"/>
    <x v="137"/>
    <x v="4"/>
    <x v="4"/>
    <n v="0"/>
    <n v="978.34"/>
    <x v="3"/>
    <x v="1"/>
    <s v="AutoPost 151"/>
    <s v="AUD"/>
    <x v="16"/>
    <x v="151"/>
  </r>
  <r>
    <x v="152"/>
    <x v="138"/>
    <x v="2"/>
    <x v="2"/>
    <n v="1490.29"/>
    <n v="0"/>
    <x v="0"/>
    <x v="1"/>
    <s v="AutoPost 152"/>
    <s v="EUR"/>
    <x v="19"/>
    <x v="152"/>
  </r>
  <r>
    <x v="153"/>
    <x v="139"/>
    <x v="3"/>
    <x v="3"/>
    <n v="1515.7"/>
    <n v="0"/>
    <x v="5"/>
    <x v="2"/>
    <s v="AutoPost 153"/>
    <s v="USD"/>
    <x v="26"/>
    <x v="153"/>
  </r>
  <r>
    <x v="154"/>
    <x v="140"/>
    <x v="0"/>
    <x v="0"/>
    <n v="0"/>
    <n v="1736.2"/>
    <x v="5"/>
    <x v="2"/>
    <s v="AutoPost 154"/>
    <s v="GBP"/>
    <x v="19"/>
    <x v="154"/>
  </r>
  <r>
    <x v="155"/>
    <x v="141"/>
    <x v="2"/>
    <x v="2"/>
    <n v="1711.43"/>
    <n v="0"/>
    <x v="4"/>
    <x v="2"/>
    <s v="AutoPost 155"/>
    <s v="CAD"/>
    <x v="17"/>
    <x v="155"/>
  </r>
  <r>
    <x v="156"/>
    <x v="142"/>
    <x v="2"/>
    <x v="2"/>
    <n v="511.34"/>
    <n v="0"/>
    <x v="3"/>
    <x v="3"/>
    <s v="AutoPost 156"/>
    <s v="GBP"/>
    <x v="8"/>
    <x v="156"/>
  </r>
  <r>
    <x v="157"/>
    <x v="143"/>
    <x v="0"/>
    <x v="0"/>
    <n v="0"/>
    <n v="4520.9799999999996"/>
    <x v="0"/>
    <x v="2"/>
    <s v="AutoPost 157"/>
    <s v="AUD"/>
    <x v="8"/>
    <x v="157"/>
  </r>
  <r>
    <x v="158"/>
    <x v="144"/>
    <x v="1"/>
    <x v="1"/>
    <n v="1483.66"/>
    <n v="0"/>
    <x v="2"/>
    <x v="3"/>
    <s v="AutoPost 158"/>
    <s v="AUD"/>
    <x v="14"/>
    <x v="158"/>
  </r>
  <r>
    <x v="159"/>
    <x v="145"/>
    <x v="3"/>
    <x v="3"/>
    <n v="571.01"/>
    <n v="0"/>
    <x v="4"/>
    <x v="1"/>
    <s v="AutoPost 159"/>
    <s v="EUR"/>
    <x v="19"/>
    <x v="159"/>
  </r>
  <r>
    <x v="160"/>
    <x v="146"/>
    <x v="2"/>
    <x v="2"/>
    <n v="1556.44"/>
    <n v="0"/>
    <x v="5"/>
    <x v="2"/>
    <s v="AutoPost 160"/>
    <s v="USD"/>
    <x v="6"/>
    <x v="160"/>
  </r>
  <r>
    <x v="161"/>
    <x v="147"/>
    <x v="0"/>
    <x v="0"/>
    <n v="0"/>
    <n v="2614.6799999999998"/>
    <x v="1"/>
    <x v="4"/>
    <s v="AutoPost 161"/>
    <s v="AUD"/>
    <x v="28"/>
    <x v="161"/>
  </r>
  <r>
    <x v="162"/>
    <x v="148"/>
    <x v="0"/>
    <x v="0"/>
    <n v="0"/>
    <n v="3901.69"/>
    <x v="5"/>
    <x v="4"/>
    <s v="AutoPost 162"/>
    <s v="EUR"/>
    <x v="23"/>
    <x v="162"/>
  </r>
  <r>
    <x v="163"/>
    <x v="149"/>
    <x v="4"/>
    <x v="4"/>
    <n v="0"/>
    <n v="1890.76"/>
    <x v="1"/>
    <x v="3"/>
    <s v="AutoPost 163"/>
    <s v="CAD"/>
    <x v="28"/>
    <x v="163"/>
  </r>
  <r>
    <x v="164"/>
    <x v="150"/>
    <x v="4"/>
    <x v="4"/>
    <n v="0"/>
    <n v="1829.98"/>
    <x v="1"/>
    <x v="4"/>
    <s v="AutoPost 164"/>
    <s v="CAD"/>
    <x v="21"/>
    <x v="164"/>
  </r>
  <r>
    <x v="165"/>
    <x v="151"/>
    <x v="0"/>
    <x v="0"/>
    <n v="0"/>
    <n v="1161.94"/>
    <x v="4"/>
    <x v="1"/>
    <s v="AutoPost 165"/>
    <s v="EUR"/>
    <x v="1"/>
    <x v="165"/>
  </r>
  <r>
    <x v="166"/>
    <x v="152"/>
    <x v="2"/>
    <x v="2"/>
    <n v="1114.08"/>
    <n v="0"/>
    <x v="0"/>
    <x v="4"/>
    <s v="AutoPost 166"/>
    <s v="EUR"/>
    <x v="9"/>
    <x v="166"/>
  </r>
  <r>
    <x v="167"/>
    <x v="153"/>
    <x v="4"/>
    <x v="4"/>
    <n v="0"/>
    <n v="859.97"/>
    <x v="0"/>
    <x v="4"/>
    <s v="AutoPost 167"/>
    <s v="EUR"/>
    <x v="0"/>
    <x v="167"/>
  </r>
  <r>
    <x v="168"/>
    <x v="154"/>
    <x v="1"/>
    <x v="1"/>
    <n v="1369.63"/>
    <n v="0"/>
    <x v="0"/>
    <x v="4"/>
    <s v="AutoPost 168"/>
    <s v="USD"/>
    <x v="3"/>
    <x v="168"/>
  </r>
  <r>
    <x v="169"/>
    <x v="155"/>
    <x v="2"/>
    <x v="2"/>
    <n v="1174.4100000000001"/>
    <n v="0"/>
    <x v="0"/>
    <x v="0"/>
    <s v="AutoPost 169"/>
    <s v="AUD"/>
    <x v="14"/>
    <x v="169"/>
  </r>
  <r>
    <x v="170"/>
    <x v="156"/>
    <x v="3"/>
    <x v="3"/>
    <n v="605.78"/>
    <n v="0"/>
    <x v="3"/>
    <x v="3"/>
    <s v="AutoPost 170"/>
    <s v="EUR"/>
    <x v="15"/>
    <x v="170"/>
  </r>
  <r>
    <x v="171"/>
    <x v="157"/>
    <x v="1"/>
    <x v="1"/>
    <n v="60.93"/>
    <n v="0"/>
    <x v="4"/>
    <x v="2"/>
    <s v="AutoPost 171"/>
    <s v="AUD"/>
    <x v="7"/>
    <x v="171"/>
  </r>
  <r>
    <x v="172"/>
    <x v="158"/>
    <x v="3"/>
    <x v="3"/>
    <n v="210.91"/>
    <n v="0"/>
    <x v="2"/>
    <x v="2"/>
    <s v="AutoPost 172"/>
    <s v="EUR"/>
    <x v="21"/>
    <x v="172"/>
  </r>
  <r>
    <x v="173"/>
    <x v="159"/>
    <x v="3"/>
    <x v="3"/>
    <n v="763.11"/>
    <n v="0"/>
    <x v="4"/>
    <x v="4"/>
    <s v="AutoPost 173"/>
    <s v="EUR"/>
    <x v="13"/>
    <x v="173"/>
  </r>
  <r>
    <x v="174"/>
    <x v="160"/>
    <x v="1"/>
    <x v="1"/>
    <n v="858.91"/>
    <n v="0"/>
    <x v="3"/>
    <x v="2"/>
    <s v="AutoPost 174"/>
    <s v="EUR"/>
    <x v="25"/>
    <x v="174"/>
  </r>
  <r>
    <x v="175"/>
    <x v="161"/>
    <x v="3"/>
    <x v="3"/>
    <n v="1330.42"/>
    <n v="0"/>
    <x v="0"/>
    <x v="1"/>
    <s v="AutoPost 175"/>
    <s v="USD"/>
    <x v="11"/>
    <x v="175"/>
  </r>
  <r>
    <x v="176"/>
    <x v="162"/>
    <x v="0"/>
    <x v="0"/>
    <n v="0"/>
    <n v="1750.45"/>
    <x v="1"/>
    <x v="2"/>
    <s v="AutoPost 176"/>
    <s v="USD"/>
    <x v="25"/>
    <x v="176"/>
  </r>
  <r>
    <x v="177"/>
    <x v="146"/>
    <x v="0"/>
    <x v="0"/>
    <n v="0"/>
    <n v="335.99"/>
    <x v="2"/>
    <x v="0"/>
    <s v="AutoPost 177"/>
    <s v="GBP"/>
    <x v="6"/>
    <x v="177"/>
  </r>
  <r>
    <x v="178"/>
    <x v="163"/>
    <x v="2"/>
    <x v="2"/>
    <n v="1783.05"/>
    <n v="0"/>
    <x v="2"/>
    <x v="3"/>
    <s v="AutoPost 178"/>
    <s v="USD"/>
    <x v="19"/>
    <x v="178"/>
  </r>
  <r>
    <x v="179"/>
    <x v="164"/>
    <x v="3"/>
    <x v="3"/>
    <n v="278.89"/>
    <n v="0"/>
    <x v="0"/>
    <x v="2"/>
    <s v="AutoPost 179"/>
    <s v="CAD"/>
    <x v="8"/>
    <x v="179"/>
  </r>
  <r>
    <x v="180"/>
    <x v="165"/>
    <x v="4"/>
    <x v="4"/>
    <n v="0"/>
    <n v="4714.1099999999997"/>
    <x v="0"/>
    <x v="0"/>
    <s v="AutoPost 180"/>
    <s v="GBP"/>
    <x v="12"/>
    <x v="180"/>
  </r>
  <r>
    <x v="181"/>
    <x v="166"/>
    <x v="3"/>
    <x v="3"/>
    <n v="782.32"/>
    <n v="0"/>
    <x v="3"/>
    <x v="4"/>
    <s v="AutoPost 181"/>
    <s v="USD"/>
    <x v="14"/>
    <x v="181"/>
  </r>
  <r>
    <x v="182"/>
    <x v="106"/>
    <x v="1"/>
    <x v="1"/>
    <n v="209.01"/>
    <n v="0"/>
    <x v="3"/>
    <x v="3"/>
    <s v="AutoPost 182"/>
    <s v="GBP"/>
    <x v="15"/>
    <x v="182"/>
  </r>
  <r>
    <x v="183"/>
    <x v="134"/>
    <x v="1"/>
    <x v="1"/>
    <n v="449.54"/>
    <n v="0"/>
    <x v="5"/>
    <x v="4"/>
    <s v="AutoPost 183"/>
    <s v="EUR"/>
    <x v="16"/>
    <x v="183"/>
  </r>
  <r>
    <x v="184"/>
    <x v="167"/>
    <x v="2"/>
    <x v="2"/>
    <n v="1740.12"/>
    <n v="0"/>
    <x v="3"/>
    <x v="4"/>
    <s v="AutoPost 184"/>
    <s v="AUD"/>
    <x v="3"/>
    <x v="184"/>
  </r>
  <r>
    <x v="185"/>
    <x v="168"/>
    <x v="1"/>
    <x v="1"/>
    <n v="1625.69"/>
    <n v="0"/>
    <x v="3"/>
    <x v="1"/>
    <s v="AutoPost 185"/>
    <s v="GBP"/>
    <x v="29"/>
    <x v="185"/>
  </r>
  <r>
    <x v="186"/>
    <x v="169"/>
    <x v="1"/>
    <x v="1"/>
    <n v="586.76"/>
    <n v="0"/>
    <x v="4"/>
    <x v="2"/>
    <s v="AutoPost 186"/>
    <s v="AUD"/>
    <x v="23"/>
    <x v="186"/>
  </r>
  <r>
    <x v="187"/>
    <x v="170"/>
    <x v="0"/>
    <x v="0"/>
    <n v="0"/>
    <n v="2824.84"/>
    <x v="3"/>
    <x v="4"/>
    <s v="AutoPost 187"/>
    <s v="GBP"/>
    <x v="18"/>
    <x v="187"/>
  </r>
  <r>
    <x v="188"/>
    <x v="171"/>
    <x v="0"/>
    <x v="0"/>
    <n v="0"/>
    <n v="1046.78"/>
    <x v="3"/>
    <x v="0"/>
    <s v="AutoPost 188"/>
    <s v="AUD"/>
    <x v="10"/>
    <x v="188"/>
  </r>
  <r>
    <x v="189"/>
    <x v="172"/>
    <x v="4"/>
    <x v="4"/>
    <n v="0"/>
    <n v="3930.36"/>
    <x v="0"/>
    <x v="1"/>
    <s v="AutoPost 189"/>
    <s v="GBP"/>
    <x v="24"/>
    <x v="189"/>
  </r>
  <r>
    <x v="190"/>
    <x v="57"/>
    <x v="0"/>
    <x v="0"/>
    <n v="0"/>
    <n v="2772.6"/>
    <x v="4"/>
    <x v="3"/>
    <s v="AutoPost 190"/>
    <s v="AUD"/>
    <x v="15"/>
    <x v="190"/>
  </r>
  <r>
    <x v="191"/>
    <x v="173"/>
    <x v="1"/>
    <x v="1"/>
    <n v="1409.16"/>
    <n v="0"/>
    <x v="2"/>
    <x v="0"/>
    <s v="AutoPost 191"/>
    <s v="EUR"/>
    <x v="19"/>
    <x v="191"/>
  </r>
  <r>
    <x v="192"/>
    <x v="116"/>
    <x v="0"/>
    <x v="0"/>
    <n v="0"/>
    <n v="1470.69"/>
    <x v="2"/>
    <x v="1"/>
    <s v="AutoPost 192"/>
    <s v="GBP"/>
    <x v="6"/>
    <x v="192"/>
  </r>
  <r>
    <x v="193"/>
    <x v="174"/>
    <x v="4"/>
    <x v="4"/>
    <n v="0"/>
    <n v="3549.99"/>
    <x v="0"/>
    <x v="4"/>
    <s v="AutoPost 193"/>
    <s v="EUR"/>
    <x v="25"/>
    <x v="193"/>
  </r>
  <r>
    <x v="194"/>
    <x v="144"/>
    <x v="0"/>
    <x v="0"/>
    <n v="0"/>
    <n v="2371.4"/>
    <x v="3"/>
    <x v="3"/>
    <s v="AutoPost 194"/>
    <s v="CAD"/>
    <x v="14"/>
    <x v="194"/>
  </r>
  <r>
    <x v="195"/>
    <x v="175"/>
    <x v="2"/>
    <x v="2"/>
    <n v="1869.71"/>
    <n v="0"/>
    <x v="1"/>
    <x v="2"/>
    <s v="AutoPost 195"/>
    <s v="AUD"/>
    <x v="24"/>
    <x v="195"/>
  </r>
  <r>
    <x v="196"/>
    <x v="176"/>
    <x v="1"/>
    <x v="1"/>
    <n v="1812.22"/>
    <n v="0"/>
    <x v="3"/>
    <x v="3"/>
    <s v="AutoPost 196"/>
    <s v="CAD"/>
    <x v="20"/>
    <x v="196"/>
  </r>
  <r>
    <x v="197"/>
    <x v="177"/>
    <x v="1"/>
    <x v="1"/>
    <n v="218.2"/>
    <n v="0"/>
    <x v="5"/>
    <x v="0"/>
    <s v="AutoPost 197"/>
    <s v="GBP"/>
    <x v="24"/>
    <x v="197"/>
  </r>
  <r>
    <x v="198"/>
    <x v="178"/>
    <x v="4"/>
    <x v="4"/>
    <n v="0"/>
    <n v="965.46"/>
    <x v="2"/>
    <x v="4"/>
    <s v="AutoPost 198"/>
    <s v="AUD"/>
    <x v="18"/>
    <x v="198"/>
  </r>
  <r>
    <x v="199"/>
    <x v="179"/>
    <x v="0"/>
    <x v="0"/>
    <n v="0"/>
    <n v="321.5"/>
    <x v="2"/>
    <x v="4"/>
    <s v="AutoPost 199"/>
    <s v="AUD"/>
    <x v="15"/>
    <x v="199"/>
  </r>
  <r>
    <x v="200"/>
    <x v="180"/>
    <x v="2"/>
    <x v="2"/>
    <n v="763.01"/>
    <n v="0"/>
    <x v="1"/>
    <x v="4"/>
    <s v="AutoPost 200"/>
    <s v="GBP"/>
    <x v="11"/>
    <x v="200"/>
  </r>
  <r>
    <x v="201"/>
    <x v="181"/>
    <x v="4"/>
    <x v="4"/>
    <n v="0"/>
    <n v="2497.61"/>
    <x v="2"/>
    <x v="2"/>
    <s v="AutoPost 201"/>
    <s v="USD"/>
    <x v="14"/>
    <x v="201"/>
  </r>
  <r>
    <x v="202"/>
    <x v="182"/>
    <x v="0"/>
    <x v="0"/>
    <n v="0"/>
    <n v="4299.82"/>
    <x v="0"/>
    <x v="3"/>
    <s v="AutoPost 202"/>
    <s v="CAD"/>
    <x v="15"/>
    <x v="202"/>
  </r>
  <r>
    <x v="203"/>
    <x v="50"/>
    <x v="2"/>
    <x v="2"/>
    <n v="492.26"/>
    <n v="0"/>
    <x v="0"/>
    <x v="2"/>
    <s v="AutoPost 203"/>
    <s v="USD"/>
    <x v="26"/>
    <x v="203"/>
  </r>
  <r>
    <x v="204"/>
    <x v="183"/>
    <x v="0"/>
    <x v="0"/>
    <n v="0"/>
    <n v="4036.79"/>
    <x v="2"/>
    <x v="0"/>
    <s v="AutoPost 204"/>
    <s v="EUR"/>
    <x v="4"/>
    <x v="204"/>
  </r>
  <r>
    <x v="205"/>
    <x v="184"/>
    <x v="4"/>
    <x v="4"/>
    <n v="0"/>
    <n v="3885.84"/>
    <x v="2"/>
    <x v="1"/>
    <s v="AutoPost 205"/>
    <s v="GBP"/>
    <x v="15"/>
    <x v="205"/>
  </r>
  <r>
    <x v="206"/>
    <x v="42"/>
    <x v="2"/>
    <x v="2"/>
    <n v="1161.43"/>
    <n v="0"/>
    <x v="2"/>
    <x v="0"/>
    <s v="AutoPost 206"/>
    <s v="GBP"/>
    <x v="24"/>
    <x v="206"/>
  </r>
  <r>
    <x v="207"/>
    <x v="73"/>
    <x v="0"/>
    <x v="0"/>
    <n v="0"/>
    <n v="4478.0600000000004"/>
    <x v="1"/>
    <x v="3"/>
    <s v="AutoPost 207"/>
    <s v="AUD"/>
    <x v="12"/>
    <x v="207"/>
  </r>
  <r>
    <x v="208"/>
    <x v="185"/>
    <x v="2"/>
    <x v="2"/>
    <n v="169.1"/>
    <n v="0"/>
    <x v="5"/>
    <x v="0"/>
    <s v="AutoPost 208"/>
    <s v="CAD"/>
    <x v="13"/>
    <x v="208"/>
  </r>
  <r>
    <x v="209"/>
    <x v="154"/>
    <x v="1"/>
    <x v="1"/>
    <n v="1138.92"/>
    <n v="0"/>
    <x v="1"/>
    <x v="4"/>
    <s v="AutoPost 209"/>
    <s v="AUD"/>
    <x v="3"/>
    <x v="209"/>
  </r>
  <r>
    <x v="210"/>
    <x v="186"/>
    <x v="4"/>
    <x v="4"/>
    <n v="0"/>
    <n v="3750.39"/>
    <x v="4"/>
    <x v="1"/>
    <s v="AutoPost 210"/>
    <s v="CAD"/>
    <x v="4"/>
    <x v="210"/>
  </r>
  <r>
    <x v="211"/>
    <x v="187"/>
    <x v="3"/>
    <x v="3"/>
    <n v="1619.58"/>
    <n v="0"/>
    <x v="0"/>
    <x v="2"/>
    <s v="AutoPost 211"/>
    <s v="USD"/>
    <x v="9"/>
    <x v="211"/>
  </r>
  <r>
    <x v="212"/>
    <x v="11"/>
    <x v="4"/>
    <x v="4"/>
    <n v="0"/>
    <n v="668.17"/>
    <x v="0"/>
    <x v="2"/>
    <s v="AutoPost 212"/>
    <s v="CAD"/>
    <x v="10"/>
    <x v="212"/>
  </r>
  <r>
    <x v="213"/>
    <x v="188"/>
    <x v="1"/>
    <x v="1"/>
    <n v="1003.8"/>
    <n v="0"/>
    <x v="3"/>
    <x v="4"/>
    <s v="AutoPost 213"/>
    <s v="AUD"/>
    <x v="28"/>
    <x v="213"/>
  </r>
  <r>
    <x v="214"/>
    <x v="189"/>
    <x v="4"/>
    <x v="4"/>
    <n v="0"/>
    <n v="1941.69"/>
    <x v="0"/>
    <x v="3"/>
    <s v="AutoPost 214"/>
    <s v="EUR"/>
    <x v="4"/>
    <x v="214"/>
  </r>
  <r>
    <x v="215"/>
    <x v="190"/>
    <x v="3"/>
    <x v="3"/>
    <n v="521.33000000000004"/>
    <n v="0"/>
    <x v="4"/>
    <x v="4"/>
    <s v="AutoPost 215"/>
    <s v="AUD"/>
    <x v="20"/>
    <x v="215"/>
  </r>
  <r>
    <x v="216"/>
    <x v="153"/>
    <x v="3"/>
    <x v="3"/>
    <n v="1612.68"/>
    <n v="0"/>
    <x v="0"/>
    <x v="0"/>
    <s v="AutoPost 216"/>
    <s v="AUD"/>
    <x v="0"/>
    <x v="216"/>
  </r>
  <r>
    <x v="217"/>
    <x v="191"/>
    <x v="1"/>
    <x v="1"/>
    <n v="1386.6"/>
    <n v="0"/>
    <x v="2"/>
    <x v="4"/>
    <s v="AutoPost 217"/>
    <s v="USD"/>
    <x v="9"/>
    <x v="217"/>
  </r>
  <r>
    <x v="218"/>
    <x v="192"/>
    <x v="3"/>
    <x v="3"/>
    <n v="1060.0999999999999"/>
    <n v="0"/>
    <x v="5"/>
    <x v="4"/>
    <s v="AutoPost 218"/>
    <s v="EUR"/>
    <x v="11"/>
    <x v="218"/>
  </r>
  <r>
    <x v="219"/>
    <x v="193"/>
    <x v="1"/>
    <x v="1"/>
    <n v="558.04"/>
    <n v="0"/>
    <x v="2"/>
    <x v="1"/>
    <s v="AutoPost 219"/>
    <s v="AUD"/>
    <x v="13"/>
    <x v="219"/>
  </r>
  <r>
    <x v="220"/>
    <x v="194"/>
    <x v="0"/>
    <x v="0"/>
    <n v="0"/>
    <n v="345.31"/>
    <x v="0"/>
    <x v="3"/>
    <s v="AutoPost 220"/>
    <s v="AUD"/>
    <x v="23"/>
    <x v="220"/>
  </r>
  <r>
    <x v="221"/>
    <x v="195"/>
    <x v="4"/>
    <x v="4"/>
    <n v="0"/>
    <n v="1449.49"/>
    <x v="0"/>
    <x v="3"/>
    <s v="AutoPost 221"/>
    <s v="EUR"/>
    <x v="0"/>
    <x v="221"/>
  </r>
  <r>
    <x v="222"/>
    <x v="196"/>
    <x v="2"/>
    <x v="2"/>
    <n v="491.91"/>
    <n v="0"/>
    <x v="0"/>
    <x v="0"/>
    <s v="AutoPost 222"/>
    <s v="USD"/>
    <x v="9"/>
    <x v="222"/>
  </r>
  <r>
    <x v="223"/>
    <x v="197"/>
    <x v="1"/>
    <x v="1"/>
    <n v="1439"/>
    <n v="0"/>
    <x v="5"/>
    <x v="1"/>
    <s v="AutoPost 223"/>
    <s v="AUD"/>
    <x v="16"/>
    <x v="223"/>
  </r>
  <r>
    <x v="224"/>
    <x v="198"/>
    <x v="2"/>
    <x v="2"/>
    <n v="858.22"/>
    <n v="0"/>
    <x v="0"/>
    <x v="1"/>
    <s v="AutoPost 224"/>
    <s v="GBP"/>
    <x v="8"/>
    <x v="224"/>
  </r>
  <r>
    <x v="225"/>
    <x v="199"/>
    <x v="4"/>
    <x v="4"/>
    <n v="0"/>
    <n v="4850.6400000000003"/>
    <x v="5"/>
    <x v="1"/>
    <s v="AutoPost 225"/>
    <s v="GBP"/>
    <x v="6"/>
    <x v="225"/>
  </r>
  <r>
    <x v="226"/>
    <x v="200"/>
    <x v="2"/>
    <x v="2"/>
    <n v="103.53"/>
    <n v="0"/>
    <x v="2"/>
    <x v="2"/>
    <s v="AutoPost 226"/>
    <s v="CAD"/>
    <x v="10"/>
    <x v="226"/>
  </r>
  <r>
    <x v="227"/>
    <x v="201"/>
    <x v="4"/>
    <x v="4"/>
    <n v="0"/>
    <n v="4048.34"/>
    <x v="4"/>
    <x v="1"/>
    <s v="AutoPost 227"/>
    <s v="GBP"/>
    <x v="5"/>
    <x v="227"/>
  </r>
  <r>
    <x v="228"/>
    <x v="140"/>
    <x v="3"/>
    <x v="3"/>
    <n v="581.82000000000005"/>
    <n v="0"/>
    <x v="3"/>
    <x v="3"/>
    <s v="AutoPost 228"/>
    <s v="USD"/>
    <x v="19"/>
    <x v="228"/>
  </r>
  <r>
    <x v="229"/>
    <x v="202"/>
    <x v="2"/>
    <x v="2"/>
    <n v="539.15"/>
    <n v="0"/>
    <x v="2"/>
    <x v="0"/>
    <s v="AutoPost 229"/>
    <s v="USD"/>
    <x v="4"/>
    <x v="229"/>
  </r>
  <r>
    <x v="230"/>
    <x v="203"/>
    <x v="0"/>
    <x v="0"/>
    <n v="0"/>
    <n v="2862.93"/>
    <x v="1"/>
    <x v="0"/>
    <s v="AutoPost 230"/>
    <s v="EUR"/>
    <x v="28"/>
    <x v="230"/>
  </r>
  <r>
    <x v="231"/>
    <x v="204"/>
    <x v="4"/>
    <x v="4"/>
    <n v="0"/>
    <n v="3938.51"/>
    <x v="3"/>
    <x v="3"/>
    <s v="AutoPost 231"/>
    <s v="GBP"/>
    <x v="20"/>
    <x v="231"/>
  </r>
  <r>
    <x v="232"/>
    <x v="205"/>
    <x v="3"/>
    <x v="3"/>
    <n v="871.28"/>
    <n v="0"/>
    <x v="2"/>
    <x v="1"/>
    <s v="AutoPost 232"/>
    <s v="CAD"/>
    <x v="4"/>
    <x v="232"/>
  </r>
  <r>
    <x v="233"/>
    <x v="206"/>
    <x v="1"/>
    <x v="1"/>
    <n v="1527.74"/>
    <n v="0"/>
    <x v="5"/>
    <x v="0"/>
    <s v="AutoPost 233"/>
    <s v="GBP"/>
    <x v="17"/>
    <x v="233"/>
  </r>
  <r>
    <x v="234"/>
    <x v="84"/>
    <x v="0"/>
    <x v="0"/>
    <n v="0"/>
    <n v="1075.51"/>
    <x v="2"/>
    <x v="4"/>
    <s v="AutoPost 234"/>
    <s v="USD"/>
    <x v="6"/>
    <x v="234"/>
  </r>
  <r>
    <x v="235"/>
    <x v="207"/>
    <x v="0"/>
    <x v="0"/>
    <n v="0"/>
    <n v="2361.1799999999998"/>
    <x v="2"/>
    <x v="4"/>
    <s v="AutoPost 235"/>
    <s v="USD"/>
    <x v="7"/>
    <x v="235"/>
  </r>
  <r>
    <x v="236"/>
    <x v="208"/>
    <x v="3"/>
    <x v="3"/>
    <n v="151.34"/>
    <n v="0"/>
    <x v="3"/>
    <x v="0"/>
    <s v="AutoPost 236"/>
    <s v="AUD"/>
    <x v="26"/>
    <x v="236"/>
  </r>
  <r>
    <x v="237"/>
    <x v="209"/>
    <x v="4"/>
    <x v="4"/>
    <n v="0"/>
    <n v="1299.3699999999999"/>
    <x v="3"/>
    <x v="1"/>
    <s v="AutoPost 237"/>
    <s v="USD"/>
    <x v="14"/>
    <x v="237"/>
  </r>
  <r>
    <x v="238"/>
    <x v="210"/>
    <x v="1"/>
    <x v="1"/>
    <n v="118.21"/>
    <n v="0"/>
    <x v="2"/>
    <x v="1"/>
    <s v="AutoPost 238"/>
    <s v="EUR"/>
    <x v="25"/>
    <x v="238"/>
  </r>
  <r>
    <x v="239"/>
    <x v="211"/>
    <x v="0"/>
    <x v="0"/>
    <n v="0"/>
    <n v="4864.04"/>
    <x v="1"/>
    <x v="0"/>
    <s v="AutoPost 239"/>
    <s v="GBP"/>
    <x v="17"/>
    <x v="239"/>
  </r>
  <r>
    <x v="240"/>
    <x v="212"/>
    <x v="0"/>
    <x v="0"/>
    <n v="0"/>
    <n v="4495.32"/>
    <x v="4"/>
    <x v="3"/>
    <s v="AutoPost 240"/>
    <s v="GBP"/>
    <x v="28"/>
    <x v="240"/>
  </r>
  <r>
    <x v="241"/>
    <x v="213"/>
    <x v="2"/>
    <x v="2"/>
    <n v="1121.29"/>
    <n v="0"/>
    <x v="2"/>
    <x v="4"/>
    <s v="AutoPost 241"/>
    <s v="EUR"/>
    <x v="18"/>
    <x v="241"/>
  </r>
  <r>
    <x v="242"/>
    <x v="214"/>
    <x v="2"/>
    <x v="2"/>
    <n v="908.7"/>
    <n v="0"/>
    <x v="1"/>
    <x v="4"/>
    <s v="AutoPost 242"/>
    <s v="EUR"/>
    <x v="14"/>
    <x v="242"/>
  </r>
  <r>
    <x v="243"/>
    <x v="215"/>
    <x v="4"/>
    <x v="4"/>
    <n v="0"/>
    <n v="3760.55"/>
    <x v="2"/>
    <x v="1"/>
    <s v="AutoPost 243"/>
    <s v="AUD"/>
    <x v="29"/>
    <x v="243"/>
  </r>
  <r>
    <x v="244"/>
    <x v="216"/>
    <x v="1"/>
    <x v="1"/>
    <n v="86.6"/>
    <n v="0"/>
    <x v="0"/>
    <x v="1"/>
    <s v="AutoPost 244"/>
    <s v="GBP"/>
    <x v="13"/>
    <x v="244"/>
  </r>
  <r>
    <x v="245"/>
    <x v="217"/>
    <x v="4"/>
    <x v="4"/>
    <n v="0"/>
    <n v="4264.16"/>
    <x v="1"/>
    <x v="1"/>
    <s v="AutoPost 245"/>
    <s v="GBP"/>
    <x v="21"/>
    <x v="245"/>
  </r>
  <r>
    <x v="246"/>
    <x v="218"/>
    <x v="4"/>
    <x v="4"/>
    <n v="0"/>
    <n v="4005.6"/>
    <x v="0"/>
    <x v="3"/>
    <s v="AutoPost 246"/>
    <s v="USD"/>
    <x v="9"/>
    <x v="246"/>
  </r>
  <r>
    <x v="247"/>
    <x v="219"/>
    <x v="1"/>
    <x v="1"/>
    <n v="736.75"/>
    <n v="0"/>
    <x v="3"/>
    <x v="3"/>
    <s v="AutoPost 247"/>
    <s v="EUR"/>
    <x v="19"/>
    <x v="247"/>
  </r>
  <r>
    <x v="248"/>
    <x v="220"/>
    <x v="4"/>
    <x v="4"/>
    <n v="0"/>
    <n v="4679.5"/>
    <x v="1"/>
    <x v="0"/>
    <s v="AutoPost 248"/>
    <s v="AUD"/>
    <x v="1"/>
    <x v="248"/>
  </r>
  <r>
    <x v="249"/>
    <x v="221"/>
    <x v="3"/>
    <x v="3"/>
    <n v="1226.52"/>
    <n v="0"/>
    <x v="5"/>
    <x v="3"/>
    <s v="AutoPost 249"/>
    <s v="USD"/>
    <x v="13"/>
    <x v="249"/>
  </r>
  <r>
    <x v="250"/>
    <x v="222"/>
    <x v="0"/>
    <x v="0"/>
    <n v="0"/>
    <n v="2655.25"/>
    <x v="1"/>
    <x v="0"/>
    <s v="AutoPost 250"/>
    <s v="USD"/>
    <x v="21"/>
    <x v="250"/>
  </r>
  <r>
    <x v="251"/>
    <x v="223"/>
    <x v="0"/>
    <x v="0"/>
    <n v="0"/>
    <n v="889.23"/>
    <x v="2"/>
    <x v="2"/>
    <s v="AutoPost 251"/>
    <s v="CAD"/>
    <x v="17"/>
    <x v="251"/>
  </r>
  <r>
    <x v="252"/>
    <x v="224"/>
    <x v="2"/>
    <x v="2"/>
    <n v="734.75"/>
    <n v="0"/>
    <x v="3"/>
    <x v="3"/>
    <s v="AutoPost 252"/>
    <s v="GBP"/>
    <x v="1"/>
    <x v="252"/>
  </r>
  <r>
    <x v="253"/>
    <x v="225"/>
    <x v="2"/>
    <x v="2"/>
    <n v="1799.36"/>
    <n v="0"/>
    <x v="4"/>
    <x v="2"/>
    <s v="AutoPost 253"/>
    <s v="CAD"/>
    <x v="12"/>
    <x v="253"/>
  </r>
  <r>
    <x v="254"/>
    <x v="226"/>
    <x v="2"/>
    <x v="2"/>
    <n v="950.03"/>
    <n v="0"/>
    <x v="3"/>
    <x v="3"/>
    <s v="AutoPost 254"/>
    <s v="EUR"/>
    <x v="14"/>
    <x v="254"/>
  </r>
  <r>
    <x v="255"/>
    <x v="227"/>
    <x v="0"/>
    <x v="0"/>
    <n v="0"/>
    <n v="1523.43"/>
    <x v="4"/>
    <x v="0"/>
    <s v="AutoPost 255"/>
    <s v="GBP"/>
    <x v="10"/>
    <x v="255"/>
  </r>
  <r>
    <x v="256"/>
    <x v="228"/>
    <x v="0"/>
    <x v="0"/>
    <n v="0"/>
    <n v="2725.09"/>
    <x v="4"/>
    <x v="0"/>
    <s v="AutoPost 256"/>
    <s v="GBP"/>
    <x v="12"/>
    <x v="256"/>
  </r>
  <r>
    <x v="257"/>
    <x v="229"/>
    <x v="2"/>
    <x v="2"/>
    <n v="1186.77"/>
    <n v="0"/>
    <x v="1"/>
    <x v="3"/>
    <s v="AutoPost 257"/>
    <s v="USD"/>
    <x v="0"/>
    <x v="257"/>
  </r>
  <r>
    <x v="258"/>
    <x v="230"/>
    <x v="4"/>
    <x v="4"/>
    <n v="0"/>
    <n v="3404.96"/>
    <x v="0"/>
    <x v="0"/>
    <s v="AutoPost 258"/>
    <s v="AUD"/>
    <x v="16"/>
    <x v="258"/>
  </r>
  <r>
    <x v="259"/>
    <x v="231"/>
    <x v="3"/>
    <x v="3"/>
    <n v="436.8"/>
    <n v="0"/>
    <x v="1"/>
    <x v="3"/>
    <s v="AutoPost 259"/>
    <s v="AUD"/>
    <x v="22"/>
    <x v="259"/>
  </r>
  <r>
    <x v="260"/>
    <x v="232"/>
    <x v="1"/>
    <x v="1"/>
    <n v="1095.1300000000001"/>
    <n v="0"/>
    <x v="1"/>
    <x v="4"/>
    <s v="AutoPost 260"/>
    <s v="GBP"/>
    <x v="17"/>
    <x v="260"/>
  </r>
  <r>
    <x v="261"/>
    <x v="233"/>
    <x v="3"/>
    <x v="3"/>
    <n v="393.67"/>
    <n v="0"/>
    <x v="3"/>
    <x v="2"/>
    <s v="AutoPost 261"/>
    <s v="AUD"/>
    <x v="11"/>
    <x v="261"/>
  </r>
  <r>
    <x v="262"/>
    <x v="234"/>
    <x v="0"/>
    <x v="0"/>
    <n v="0"/>
    <n v="799.77"/>
    <x v="5"/>
    <x v="1"/>
    <s v="AutoPost 262"/>
    <s v="GBP"/>
    <x v="28"/>
    <x v="262"/>
  </r>
  <r>
    <x v="263"/>
    <x v="235"/>
    <x v="0"/>
    <x v="0"/>
    <n v="0"/>
    <n v="4354.13"/>
    <x v="3"/>
    <x v="2"/>
    <s v="AutoPost 263"/>
    <s v="EUR"/>
    <x v="20"/>
    <x v="263"/>
  </r>
  <r>
    <x v="264"/>
    <x v="236"/>
    <x v="1"/>
    <x v="1"/>
    <n v="1157.8"/>
    <n v="0"/>
    <x v="0"/>
    <x v="0"/>
    <s v="AutoPost 264"/>
    <s v="CAD"/>
    <x v="2"/>
    <x v="264"/>
  </r>
  <r>
    <x v="265"/>
    <x v="237"/>
    <x v="0"/>
    <x v="0"/>
    <n v="0"/>
    <n v="2597.25"/>
    <x v="5"/>
    <x v="0"/>
    <s v="AutoPost 265"/>
    <s v="AUD"/>
    <x v="27"/>
    <x v="265"/>
  </r>
  <r>
    <x v="266"/>
    <x v="238"/>
    <x v="1"/>
    <x v="1"/>
    <n v="1343.21"/>
    <n v="0"/>
    <x v="3"/>
    <x v="3"/>
    <s v="AutoPost 266"/>
    <s v="EUR"/>
    <x v="5"/>
    <x v="266"/>
  </r>
  <r>
    <x v="267"/>
    <x v="239"/>
    <x v="3"/>
    <x v="3"/>
    <n v="1498.82"/>
    <n v="0"/>
    <x v="1"/>
    <x v="4"/>
    <s v="AutoPost 267"/>
    <s v="EUR"/>
    <x v="3"/>
    <x v="267"/>
  </r>
  <r>
    <x v="268"/>
    <x v="240"/>
    <x v="0"/>
    <x v="0"/>
    <n v="0"/>
    <n v="4728.58"/>
    <x v="3"/>
    <x v="2"/>
    <s v="AutoPost 268"/>
    <s v="AUD"/>
    <x v="11"/>
    <x v="268"/>
  </r>
  <r>
    <x v="269"/>
    <x v="241"/>
    <x v="4"/>
    <x v="4"/>
    <n v="0"/>
    <n v="3612.83"/>
    <x v="5"/>
    <x v="4"/>
    <s v="AutoPost 269"/>
    <s v="EUR"/>
    <x v="11"/>
    <x v="269"/>
  </r>
  <r>
    <x v="270"/>
    <x v="242"/>
    <x v="4"/>
    <x v="4"/>
    <n v="0"/>
    <n v="4506.28"/>
    <x v="3"/>
    <x v="1"/>
    <s v="AutoPost 270"/>
    <s v="EUR"/>
    <x v="22"/>
    <x v="270"/>
  </r>
  <r>
    <x v="271"/>
    <x v="243"/>
    <x v="3"/>
    <x v="3"/>
    <n v="1000.3"/>
    <n v="0"/>
    <x v="5"/>
    <x v="4"/>
    <s v="AutoPost 271"/>
    <s v="CAD"/>
    <x v="9"/>
    <x v="271"/>
  </r>
  <r>
    <x v="272"/>
    <x v="244"/>
    <x v="1"/>
    <x v="1"/>
    <n v="991.08"/>
    <n v="0"/>
    <x v="4"/>
    <x v="1"/>
    <s v="AutoPost 272"/>
    <s v="CAD"/>
    <x v="4"/>
    <x v="272"/>
  </r>
  <r>
    <x v="273"/>
    <x v="245"/>
    <x v="1"/>
    <x v="1"/>
    <n v="1499.52"/>
    <n v="0"/>
    <x v="4"/>
    <x v="0"/>
    <s v="AutoPost 273"/>
    <s v="AUD"/>
    <x v="7"/>
    <x v="273"/>
  </r>
  <r>
    <x v="274"/>
    <x v="246"/>
    <x v="4"/>
    <x v="4"/>
    <n v="0"/>
    <n v="1203.8"/>
    <x v="4"/>
    <x v="0"/>
    <s v="AutoPost 274"/>
    <s v="GBP"/>
    <x v="29"/>
    <x v="274"/>
  </r>
  <r>
    <x v="275"/>
    <x v="247"/>
    <x v="0"/>
    <x v="0"/>
    <n v="0"/>
    <n v="656.25"/>
    <x v="3"/>
    <x v="3"/>
    <s v="AutoPost 275"/>
    <s v="AUD"/>
    <x v="20"/>
    <x v="275"/>
  </r>
  <r>
    <x v="276"/>
    <x v="248"/>
    <x v="1"/>
    <x v="1"/>
    <n v="620.29999999999995"/>
    <n v="0"/>
    <x v="1"/>
    <x v="4"/>
    <s v="AutoPost 276"/>
    <s v="CAD"/>
    <x v="28"/>
    <x v="276"/>
  </r>
  <r>
    <x v="277"/>
    <x v="249"/>
    <x v="2"/>
    <x v="2"/>
    <n v="85.24"/>
    <n v="0"/>
    <x v="4"/>
    <x v="3"/>
    <s v="AutoPost 277"/>
    <s v="CAD"/>
    <x v="12"/>
    <x v="277"/>
  </r>
  <r>
    <x v="278"/>
    <x v="119"/>
    <x v="3"/>
    <x v="3"/>
    <n v="628.62"/>
    <n v="0"/>
    <x v="1"/>
    <x v="3"/>
    <s v="AutoPost 278"/>
    <s v="AUD"/>
    <x v="3"/>
    <x v="278"/>
  </r>
  <r>
    <x v="279"/>
    <x v="24"/>
    <x v="0"/>
    <x v="0"/>
    <n v="0"/>
    <n v="1358.19"/>
    <x v="3"/>
    <x v="2"/>
    <s v="AutoPost 279"/>
    <s v="GBP"/>
    <x v="8"/>
    <x v="279"/>
  </r>
  <r>
    <x v="280"/>
    <x v="222"/>
    <x v="4"/>
    <x v="4"/>
    <n v="0"/>
    <n v="2329.64"/>
    <x v="4"/>
    <x v="2"/>
    <s v="AutoPost 280"/>
    <s v="USD"/>
    <x v="21"/>
    <x v="280"/>
  </r>
  <r>
    <x v="281"/>
    <x v="250"/>
    <x v="2"/>
    <x v="2"/>
    <n v="1039.56"/>
    <n v="0"/>
    <x v="0"/>
    <x v="3"/>
    <s v="AutoPost 281"/>
    <s v="CAD"/>
    <x v="2"/>
    <x v="281"/>
  </r>
  <r>
    <x v="282"/>
    <x v="43"/>
    <x v="3"/>
    <x v="3"/>
    <n v="1441.17"/>
    <n v="0"/>
    <x v="1"/>
    <x v="2"/>
    <s v="AutoPost 282"/>
    <s v="CAD"/>
    <x v="18"/>
    <x v="282"/>
  </r>
  <r>
    <x v="283"/>
    <x v="251"/>
    <x v="0"/>
    <x v="0"/>
    <n v="0"/>
    <n v="873.53"/>
    <x v="2"/>
    <x v="3"/>
    <s v="AutoPost 283"/>
    <s v="EUR"/>
    <x v="8"/>
    <x v="283"/>
  </r>
  <r>
    <x v="284"/>
    <x v="252"/>
    <x v="0"/>
    <x v="0"/>
    <n v="0"/>
    <n v="1932.35"/>
    <x v="0"/>
    <x v="2"/>
    <s v="AutoPost 284"/>
    <s v="AUD"/>
    <x v="2"/>
    <x v="284"/>
  </r>
  <r>
    <x v="285"/>
    <x v="253"/>
    <x v="1"/>
    <x v="1"/>
    <n v="1733.12"/>
    <n v="0"/>
    <x v="0"/>
    <x v="0"/>
    <s v="AutoPost 285"/>
    <s v="CAD"/>
    <x v="19"/>
    <x v="285"/>
  </r>
  <r>
    <x v="286"/>
    <x v="227"/>
    <x v="0"/>
    <x v="0"/>
    <n v="0"/>
    <n v="3004.12"/>
    <x v="0"/>
    <x v="3"/>
    <s v="AutoPost 286"/>
    <s v="EUR"/>
    <x v="10"/>
    <x v="286"/>
  </r>
  <r>
    <x v="287"/>
    <x v="254"/>
    <x v="3"/>
    <x v="3"/>
    <n v="1521.85"/>
    <n v="0"/>
    <x v="2"/>
    <x v="4"/>
    <s v="AutoPost 287"/>
    <s v="AUD"/>
    <x v="7"/>
    <x v="287"/>
  </r>
  <r>
    <x v="288"/>
    <x v="212"/>
    <x v="1"/>
    <x v="1"/>
    <n v="1486.16"/>
    <n v="0"/>
    <x v="3"/>
    <x v="0"/>
    <s v="AutoPost 288"/>
    <s v="AUD"/>
    <x v="28"/>
    <x v="288"/>
  </r>
  <r>
    <x v="289"/>
    <x v="255"/>
    <x v="1"/>
    <x v="1"/>
    <n v="1308.19"/>
    <n v="0"/>
    <x v="0"/>
    <x v="2"/>
    <s v="AutoPost 289"/>
    <s v="USD"/>
    <x v="12"/>
    <x v="289"/>
  </r>
  <r>
    <x v="290"/>
    <x v="71"/>
    <x v="1"/>
    <x v="1"/>
    <n v="1765.16"/>
    <n v="0"/>
    <x v="3"/>
    <x v="3"/>
    <s v="AutoPost 290"/>
    <s v="AUD"/>
    <x v="28"/>
    <x v="290"/>
  </r>
  <r>
    <x v="291"/>
    <x v="256"/>
    <x v="3"/>
    <x v="3"/>
    <n v="842.35"/>
    <n v="0"/>
    <x v="3"/>
    <x v="3"/>
    <s v="AutoPost 291"/>
    <s v="USD"/>
    <x v="0"/>
    <x v="291"/>
  </r>
  <r>
    <x v="292"/>
    <x v="257"/>
    <x v="3"/>
    <x v="3"/>
    <n v="788.28"/>
    <n v="0"/>
    <x v="1"/>
    <x v="0"/>
    <s v="AutoPost 292"/>
    <s v="EUR"/>
    <x v="11"/>
    <x v="292"/>
  </r>
  <r>
    <x v="293"/>
    <x v="121"/>
    <x v="0"/>
    <x v="0"/>
    <n v="0"/>
    <n v="239.94"/>
    <x v="4"/>
    <x v="3"/>
    <s v="AutoPost 293"/>
    <s v="EUR"/>
    <x v="25"/>
    <x v="293"/>
  </r>
  <r>
    <x v="294"/>
    <x v="258"/>
    <x v="0"/>
    <x v="0"/>
    <n v="0"/>
    <n v="4378.1899999999996"/>
    <x v="3"/>
    <x v="2"/>
    <s v="AutoPost 294"/>
    <s v="EUR"/>
    <x v="2"/>
    <x v="294"/>
  </r>
  <r>
    <x v="295"/>
    <x v="259"/>
    <x v="2"/>
    <x v="2"/>
    <n v="1116.99"/>
    <n v="0"/>
    <x v="0"/>
    <x v="0"/>
    <s v="AutoPost 295"/>
    <s v="AUD"/>
    <x v="6"/>
    <x v="295"/>
  </r>
  <r>
    <x v="296"/>
    <x v="146"/>
    <x v="3"/>
    <x v="3"/>
    <n v="1902.75"/>
    <n v="0"/>
    <x v="4"/>
    <x v="2"/>
    <s v="AutoPost 296"/>
    <s v="GBP"/>
    <x v="6"/>
    <x v="296"/>
  </r>
  <r>
    <x v="297"/>
    <x v="260"/>
    <x v="3"/>
    <x v="3"/>
    <n v="275.93"/>
    <n v="0"/>
    <x v="1"/>
    <x v="1"/>
    <s v="AutoPost 297"/>
    <s v="USD"/>
    <x v="10"/>
    <x v="297"/>
  </r>
  <r>
    <x v="298"/>
    <x v="261"/>
    <x v="2"/>
    <x v="2"/>
    <n v="1761.1"/>
    <n v="0"/>
    <x v="3"/>
    <x v="2"/>
    <s v="AutoPost 298"/>
    <s v="AUD"/>
    <x v="15"/>
    <x v="298"/>
  </r>
  <r>
    <x v="299"/>
    <x v="262"/>
    <x v="4"/>
    <x v="4"/>
    <n v="0"/>
    <n v="4260.88"/>
    <x v="1"/>
    <x v="3"/>
    <s v="AutoPost 299"/>
    <s v="USD"/>
    <x v="20"/>
    <x v="299"/>
  </r>
  <r>
    <x v="300"/>
    <x v="263"/>
    <x v="0"/>
    <x v="0"/>
    <n v="0"/>
    <n v="1229.46"/>
    <x v="3"/>
    <x v="0"/>
    <s v="AutoPost 300"/>
    <s v="CAD"/>
    <x v="27"/>
    <x v="300"/>
  </r>
  <r>
    <x v="301"/>
    <x v="11"/>
    <x v="1"/>
    <x v="1"/>
    <n v="1804.04"/>
    <n v="0"/>
    <x v="1"/>
    <x v="3"/>
    <s v="AutoPost 301"/>
    <s v="GBP"/>
    <x v="10"/>
    <x v="301"/>
  </r>
  <r>
    <x v="302"/>
    <x v="264"/>
    <x v="1"/>
    <x v="1"/>
    <n v="1637.96"/>
    <n v="0"/>
    <x v="1"/>
    <x v="0"/>
    <s v="AutoPost 302"/>
    <s v="AUD"/>
    <x v="26"/>
    <x v="302"/>
  </r>
  <r>
    <x v="303"/>
    <x v="265"/>
    <x v="0"/>
    <x v="0"/>
    <n v="0"/>
    <n v="1400.77"/>
    <x v="0"/>
    <x v="3"/>
    <s v="AutoPost 303"/>
    <s v="EUR"/>
    <x v="21"/>
    <x v="303"/>
  </r>
  <r>
    <x v="304"/>
    <x v="159"/>
    <x v="3"/>
    <x v="3"/>
    <n v="1010.88"/>
    <n v="0"/>
    <x v="0"/>
    <x v="2"/>
    <s v="AutoPost 304"/>
    <s v="AUD"/>
    <x v="13"/>
    <x v="304"/>
  </r>
  <r>
    <x v="305"/>
    <x v="266"/>
    <x v="0"/>
    <x v="0"/>
    <n v="0"/>
    <n v="1059.18"/>
    <x v="2"/>
    <x v="2"/>
    <s v="AutoPost 305"/>
    <s v="USD"/>
    <x v="7"/>
    <x v="305"/>
  </r>
  <r>
    <x v="306"/>
    <x v="189"/>
    <x v="4"/>
    <x v="4"/>
    <n v="0"/>
    <n v="951.38"/>
    <x v="0"/>
    <x v="0"/>
    <s v="AutoPost 306"/>
    <s v="GBP"/>
    <x v="4"/>
    <x v="306"/>
  </r>
  <r>
    <x v="307"/>
    <x v="267"/>
    <x v="0"/>
    <x v="0"/>
    <n v="0"/>
    <n v="2648.82"/>
    <x v="5"/>
    <x v="3"/>
    <s v="AutoPost 307"/>
    <s v="GBP"/>
    <x v="14"/>
    <x v="307"/>
  </r>
  <r>
    <x v="308"/>
    <x v="268"/>
    <x v="4"/>
    <x v="4"/>
    <n v="0"/>
    <n v="2008.6"/>
    <x v="4"/>
    <x v="2"/>
    <s v="AutoPost 308"/>
    <s v="USD"/>
    <x v="18"/>
    <x v="308"/>
  </r>
  <r>
    <x v="309"/>
    <x v="269"/>
    <x v="2"/>
    <x v="2"/>
    <n v="1604.44"/>
    <n v="0"/>
    <x v="2"/>
    <x v="0"/>
    <s v="AutoPost 309"/>
    <s v="CAD"/>
    <x v="0"/>
    <x v="309"/>
  </r>
  <r>
    <x v="310"/>
    <x v="270"/>
    <x v="3"/>
    <x v="3"/>
    <n v="350.19"/>
    <n v="0"/>
    <x v="4"/>
    <x v="0"/>
    <s v="AutoPost 310"/>
    <s v="GBP"/>
    <x v="26"/>
    <x v="310"/>
  </r>
  <r>
    <x v="311"/>
    <x v="271"/>
    <x v="1"/>
    <x v="1"/>
    <n v="547.95000000000005"/>
    <n v="0"/>
    <x v="4"/>
    <x v="0"/>
    <s v="AutoPost 311"/>
    <s v="GBP"/>
    <x v="11"/>
    <x v="311"/>
  </r>
  <r>
    <x v="312"/>
    <x v="272"/>
    <x v="0"/>
    <x v="0"/>
    <n v="0"/>
    <n v="561.46"/>
    <x v="4"/>
    <x v="4"/>
    <s v="AutoPost 312"/>
    <s v="GBP"/>
    <x v="5"/>
    <x v="312"/>
  </r>
  <r>
    <x v="313"/>
    <x v="205"/>
    <x v="2"/>
    <x v="2"/>
    <n v="737.29"/>
    <n v="0"/>
    <x v="0"/>
    <x v="4"/>
    <s v="AutoPost 313"/>
    <s v="AUD"/>
    <x v="4"/>
    <x v="313"/>
  </r>
  <r>
    <x v="314"/>
    <x v="273"/>
    <x v="4"/>
    <x v="4"/>
    <n v="0"/>
    <n v="963.96"/>
    <x v="2"/>
    <x v="2"/>
    <s v="AutoPost 314"/>
    <s v="GBP"/>
    <x v="19"/>
    <x v="314"/>
  </r>
  <r>
    <x v="315"/>
    <x v="274"/>
    <x v="3"/>
    <x v="3"/>
    <n v="1233.1600000000001"/>
    <n v="0"/>
    <x v="0"/>
    <x v="4"/>
    <s v="AutoPost 315"/>
    <s v="USD"/>
    <x v="17"/>
    <x v="315"/>
  </r>
  <r>
    <x v="316"/>
    <x v="275"/>
    <x v="0"/>
    <x v="0"/>
    <n v="0"/>
    <n v="1228"/>
    <x v="4"/>
    <x v="0"/>
    <s v="AutoPost 316"/>
    <s v="USD"/>
    <x v="6"/>
    <x v="316"/>
  </r>
  <r>
    <x v="317"/>
    <x v="155"/>
    <x v="0"/>
    <x v="0"/>
    <n v="0"/>
    <n v="1067.1500000000001"/>
    <x v="0"/>
    <x v="2"/>
    <s v="AutoPost 317"/>
    <s v="CAD"/>
    <x v="14"/>
    <x v="317"/>
  </r>
  <r>
    <x v="318"/>
    <x v="276"/>
    <x v="4"/>
    <x v="4"/>
    <n v="0"/>
    <n v="1167.53"/>
    <x v="1"/>
    <x v="1"/>
    <s v="AutoPost 318"/>
    <s v="AUD"/>
    <x v="20"/>
    <x v="318"/>
  </r>
  <r>
    <x v="319"/>
    <x v="277"/>
    <x v="3"/>
    <x v="3"/>
    <n v="1808.37"/>
    <n v="0"/>
    <x v="4"/>
    <x v="2"/>
    <s v="AutoPost 319"/>
    <s v="CAD"/>
    <x v="11"/>
    <x v="319"/>
  </r>
  <r>
    <x v="320"/>
    <x v="31"/>
    <x v="0"/>
    <x v="0"/>
    <n v="0"/>
    <n v="3683.59"/>
    <x v="1"/>
    <x v="3"/>
    <s v="AutoPost 320"/>
    <s v="CAD"/>
    <x v="0"/>
    <x v="320"/>
  </r>
  <r>
    <x v="321"/>
    <x v="278"/>
    <x v="4"/>
    <x v="4"/>
    <n v="0"/>
    <n v="2268.92"/>
    <x v="4"/>
    <x v="0"/>
    <s v="AutoPost 321"/>
    <s v="GBP"/>
    <x v="8"/>
    <x v="321"/>
  </r>
  <r>
    <x v="322"/>
    <x v="279"/>
    <x v="2"/>
    <x v="2"/>
    <n v="791.64"/>
    <n v="0"/>
    <x v="4"/>
    <x v="3"/>
    <s v="AutoPost 322"/>
    <s v="CAD"/>
    <x v="20"/>
    <x v="322"/>
  </r>
  <r>
    <x v="323"/>
    <x v="280"/>
    <x v="0"/>
    <x v="0"/>
    <n v="0"/>
    <n v="381.77"/>
    <x v="5"/>
    <x v="4"/>
    <s v="AutoPost 323"/>
    <s v="GBP"/>
    <x v="25"/>
    <x v="323"/>
  </r>
  <r>
    <x v="324"/>
    <x v="92"/>
    <x v="2"/>
    <x v="2"/>
    <n v="603.09"/>
    <n v="0"/>
    <x v="2"/>
    <x v="3"/>
    <s v="AutoPost 324"/>
    <s v="USD"/>
    <x v="24"/>
    <x v="324"/>
  </r>
  <r>
    <x v="325"/>
    <x v="196"/>
    <x v="1"/>
    <x v="1"/>
    <n v="76.959999999999994"/>
    <n v="0"/>
    <x v="4"/>
    <x v="2"/>
    <s v="AutoPost 325"/>
    <s v="GBP"/>
    <x v="9"/>
    <x v="325"/>
  </r>
  <r>
    <x v="326"/>
    <x v="281"/>
    <x v="2"/>
    <x v="2"/>
    <n v="870.26"/>
    <n v="0"/>
    <x v="5"/>
    <x v="2"/>
    <s v="AutoPost 326"/>
    <s v="CAD"/>
    <x v="9"/>
    <x v="326"/>
  </r>
  <r>
    <x v="327"/>
    <x v="282"/>
    <x v="0"/>
    <x v="0"/>
    <n v="0"/>
    <n v="195.85"/>
    <x v="5"/>
    <x v="1"/>
    <s v="AutoPost 327"/>
    <s v="AUD"/>
    <x v="11"/>
    <x v="327"/>
  </r>
  <r>
    <x v="328"/>
    <x v="283"/>
    <x v="0"/>
    <x v="0"/>
    <n v="0"/>
    <n v="3924.16"/>
    <x v="4"/>
    <x v="0"/>
    <s v="AutoPost 328"/>
    <s v="AUD"/>
    <x v="0"/>
    <x v="328"/>
  </r>
  <r>
    <x v="329"/>
    <x v="284"/>
    <x v="3"/>
    <x v="3"/>
    <n v="745.46"/>
    <n v="0"/>
    <x v="4"/>
    <x v="0"/>
    <s v="AutoPost 329"/>
    <s v="EUR"/>
    <x v="5"/>
    <x v="329"/>
  </r>
  <r>
    <x v="330"/>
    <x v="285"/>
    <x v="0"/>
    <x v="0"/>
    <n v="0"/>
    <n v="2579.5"/>
    <x v="0"/>
    <x v="1"/>
    <s v="AutoPost 330"/>
    <s v="EUR"/>
    <x v="9"/>
    <x v="330"/>
  </r>
  <r>
    <x v="331"/>
    <x v="286"/>
    <x v="1"/>
    <x v="1"/>
    <n v="1763.39"/>
    <n v="0"/>
    <x v="4"/>
    <x v="4"/>
    <s v="AutoPost 331"/>
    <s v="USD"/>
    <x v="26"/>
    <x v="331"/>
  </r>
  <r>
    <x v="332"/>
    <x v="270"/>
    <x v="1"/>
    <x v="1"/>
    <n v="957.72"/>
    <n v="0"/>
    <x v="4"/>
    <x v="2"/>
    <s v="AutoPost 332"/>
    <s v="EUR"/>
    <x v="26"/>
    <x v="332"/>
  </r>
  <r>
    <x v="333"/>
    <x v="41"/>
    <x v="0"/>
    <x v="0"/>
    <n v="0"/>
    <n v="312.52"/>
    <x v="0"/>
    <x v="2"/>
    <s v="AutoPost 333"/>
    <s v="USD"/>
    <x v="3"/>
    <x v="333"/>
  </r>
  <r>
    <x v="334"/>
    <x v="287"/>
    <x v="4"/>
    <x v="4"/>
    <n v="0"/>
    <n v="4032.89"/>
    <x v="1"/>
    <x v="1"/>
    <s v="AutoPost 334"/>
    <s v="GBP"/>
    <x v="9"/>
    <x v="334"/>
  </r>
  <r>
    <x v="335"/>
    <x v="247"/>
    <x v="1"/>
    <x v="1"/>
    <n v="822.42"/>
    <n v="0"/>
    <x v="4"/>
    <x v="2"/>
    <s v="AutoPost 335"/>
    <s v="USD"/>
    <x v="20"/>
    <x v="335"/>
  </r>
  <r>
    <x v="336"/>
    <x v="288"/>
    <x v="4"/>
    <x v="4"/>
    <n v="0"/>
    <n v="2096.4299999999998"/>
    <x v="3"/>
    <x v="4"/>
    <s v="AutoPost 336"/>
    <s v="EUR"/>
    <x v="24"/>
    <x v="336"/>
  </r>
  <r>
    <x v="337"/>
    <x v="289"/>
    <x v="0"/>
    <x v="0"/>
    <n v="0"/>
    <n v="2254.64"/>
    <x v="3"/>
    <x v="0"/>
    <s v="AutoPost 337"/>
    <s v="EUR"/>
    <x v="10"/>
    <x v="337"/>
  </r>
  <r>
    <x v="338"/>
    <x v="290"/>
    <x v="3"/>
    <x v="3"/>
    <n v="1898.13"/>
    <n v="0"/>
    <x v="5"/>
    <x v="3"/>
    <s v="AutoPost 338"/>
    <s v="AUD"/>
    <x v="15"/>
    <x v="338"/>
  </r>
  <r>
    <x v="339"/>
    <x v="291"/>
    <x v="1"/>
    <x v="1"/>
    <n v="92.89"/>
    <n v="0"/>
    <x v="2"/>
    <x v="4"/>
    <s v="AutoPost 339"/>
    <s v="EUR"/>
    <x v="27"/>
    <x v="339"/>
  </r>
  <r>
    <x v="340"/>
    <x v="292"/>
    <x v="1"/>
    <x v="1"/>
    <n v="192.59"/>
    <n v="0"/>
    <x v="2"/>
    <x v="2"/>
    <s v="AutoPost 340"/>
    <s v="EUR"/>
    <x v="23"/>
    <x v="340"/>
  </r>
  <r>
    <x v="341"/>
    <x v="293"/>
    <x v="0"/>
    <x v="0"/>
    <n v="0"/>
    <n v="1924.88"/>
    <x v="5"/>
    <x v="4"/>
    <s v="AutoPost 341"/>
    <s v="CAD"/>
    <x v="20"/>
    <x v="341"/>
  </r>
  <r>
    <x v="342"/>
    <x v="294"/>
    <x v="1"/>
    <x v="1"/>
    <n v="1161.96"/>
    <n v="0"/>
    <x v="1"/>
    <x v="4"/>
    <s v="AutoPost 342"/>
    <s v="GBP"/>
    <x v="29"/>
    <x v="342"/>
  </r>
  <r>
    <x v="343"/>
    <x v="295"/>
    <x v="3"/>
    <x v="3"/>
    <n v="1693.2"/>
    <n v="0"/>
    <x v="2"/>
    <x v="1"/>
    <s v="AutoPost 343"/>
    <s v="EUR"/>
    <x v="26"/>
    <x v="343"/>
  </r>
  <r>
    <x v="344"/>
    <x v="296"/>
    <x v="4"/>
    <x v="4"/>
    <n v="0"/>
    <n v="535.42999999999995"/>
    <x v="0"/>
    <x v="1"/>
    <s v="AutoPost 344"/>
    <s v="GBP"/>
    <x v="27"/>
    <x v="344"/>
  </r>
  <r>
    <x v="345"/>
    <x v="297"/>
    <x v="1"/>
    <x v="1"/>
    <n v="449.09"/>
    <n v="0"/>
    <x v="3"/>
    <x v="4"/>
    <s v="AutoPost 345"/>
    <s v="GBP"/>
    <x v="25"/>
    <x v="345"/>
  </r>
  <r>
    <x v="346"/>
    <x v="298"/>
    <x v="3"/>
    <x v="3"/>
    <n v="938.21"/>
    <n v="0"/>
    <x v="1"/>
    <x v="4"/>
    <s v="AutoPost 346"/>
    <s v="GBP"/>
    <x v="3"/>
    <x v="346"/>
  </r>
  <r>
    <x v="347"/>
    <x v="103"/>
    <x v="3"/>
    <x v="3"/>
    <n v="131.84"/>
    <n v="0"/>
    <x v="5"/>
    <x v="3"/>
    <s v="AutoPost 347"/>
    <s v="EUR"/>
    <x v="28"/>
    <x v="347"/>
  </r>
  <r>
    <x v="348"/>
    <x v="299"/>
    <x v="0"/>
    <x v="0"/>
    <n v="0"/>
    <n v="3658.34"/>
    <x v="2"/>
    <x v="1"/>
    <s v="AutoPost 348"/>
    <s v="AUD"/>
    <x v="3"/>
    <x v="348"/>
  </r>
  <r>
    <x v="349"/>
    <x v="300"/>
    <x v="1"/>
    <x v="1"/>
    <n v="509.89"/>
    <n v="0"/>
    <x v="1"/>
    <x v="0"/>
    <s v="AutoPost 349"/>
    <s v="EUR"/>
    <x v="8"/>
    <x v="349"/>
  </r>
  <r>
    <x v="350"/>
    <x v="301"/>
    <x v="1"/>
    <x v="1"/>
    <n v="697.58"/>
    <n v="0"/>
    <x v="2"/>
    <x v="3"/>
    <s v="AutoPost 350"/>
    <s v="CAD"/>
    <x v="25"/>
    <x v="350"/>
  </r>
  <r>
    <x v="351"/>
    <x v="123"/>
    <x v="3"/>
    <x v="3"/>
    <n v="1580.47"/>
    <n v="0"/>
    <x v="4"/>
    <x v="4"/>
    <s v="AutoPost 351"/>
    <s v="AUD"/>
    <x v="26"/>
    <x v="351"/>
  </r>
  <r>
    <x v="352"/>
    <x v="262"/>
    <x v="1"/>
    <x v="1"/>
    <n v="1567.36"/>
    <n v="0"/>
    <x v="4"/>
    <x v="1"/>
    <s v="AutoPost 352"/>
    <s v="EUR"/>
    <x v="20"/>
    <x v="352"/>
  </r>
  <r>
    <x v="353"/>
    <x v="302"/>
    <x v="3"/>
    <x v="3"/>
    <n v="443.79"/>
    <n v="0"/>
    <x v="1"/>
    <x v="2"/>
    <s v="AutoPost 353"/>
    <s v="AUD"/>
    <x v="28"/>
    <x v="353"/>
  </r>
  <r>
    <x v="354"/>
    <x v="287"/>
    <x v="3"/>
    <x v="3"/>
    <n v="889.34"/>
    <n v="0"/>
    <x v="2"/>
    <x v="0"/>
    <s v="AutoPost 354"/>
    <s v="USD"/>
    <x v="9"/>
    <x v="354"/>
  </r>
  <r>
    <x v="355"/>
    <x v="303"/>
    <x v="4"/>
    <x v="4"/>
    <n v="0"/>
    <n v="2239.96"/>
    <x v="4"/>
    <x v="0"/>
    <s v="AutoPost 355"/>
    <s v="USD"/>
    <x v="5"/>
    <x v="355"/>
  </r>
  <r>
    <x v="356"/>
    <x v="304"/>
    <x v="3"/>
    <x v="3"/>
    <n v="1291.24"/>
    <n v="0"/>
    <x v="4"/>
    <x v="2"/>
    <s v="AutoPost 356"/>
    <s v="AUD"/>
    <x v="20"/>
    <x v="356"/>
  </r>
  <r>
    <x v="357"/>
    <x v="4"/>
    <x v="3"/>
    <x v="3"/>
    <n v="397.07"/>
    <n v="0"/>
    <x v="4"/>
    <x v="1"/>
    <s v="AutoPost 357"/>
    <s v="CAD"/>
    <x v="4"/>
    <x v="357"/>
  </r>
  <r>
    <x v="358"/>
    <x v="305"/>
    <x v="2"/>
    <x v="2"/>
    <n v="803.21"/>
    <n v="0"/>
    <x v="0"/>
    <x v="4"/>
    <s v="AutoPost 358"/>
    <s v="AUD"/>
    <x v="25"/>
    <x v="358"/>
  </r>
  <r>
    <x v="359"/>
    <x v="129"/>
    <x v="0"/>
    <x v="0"/>
    <n v="0"/>
    <n v="1032.8399999999999"/>
    <x v="2"/>
    <x v="3"/>
    <s v="AutoPost 359"/>
    <s v="CAD"/>
    <x v="1"/>
    <x v="359"/>
  </r>
  <r>
    <x v="360"/>
    <x v="306"/>
    <x v="2"/>
    <x v="2"/>
    <n v="1071.7"/>
    <n v="0"/>
    <x v="3"/>
    <x v="3"/>
    <s v="AutoPost 360"/>
    <s v="USD"/>
    <x v="5"/>
    <x v="360"/>
  </r>
  <r>
    <x v="361"/>
    <x v="307"/>
    <x v="1"/>
    <x v="1"/>
    <n v="842.82"/>
    <n v="0"/>
    <x v="2"/>
    <x v="3"/>
    <s v="AutoPost 361"/>
    <s v="GBP"/>
    <x v="1"/>
    <x v="361"/>
  </r>
  <r>
    <x v="362"/>
    <x v="308"/>
    <x v="3"/>
    <x v="3"/>
    <n v="1375.81"/>
    <n v="0"/>
    <x v="0"/>
    <x v="2"/>
    <s v="AutoPost 362"/>
    <s v="CAD"/>
    <x v="25"/>
    <x v="362"/>
  </r>
  <r>
    <x v="363"/>
    <x v="309"/>
    <x v="0"/>
    <x v="0"/>
    <n v="0"/>
    <n v="4517.55"/>
    <x v="2"/>
    <x v="2"/>
    <s v="AutoPost 363"/>
    <s v="CAD"/>
    <x v="20"/>
    <x v="363"/>
  </r>
  <r>
    <x v="364"/>
    <x v="169"/>
    <x v="3"/>
    <x v="3"/>
    <n v="837.89"/>
    <n v="0"/>
    <x v="1"/>
    <x v="2"/>
    <s v="AutoPost 364"/>
    <s v="EUR"/>
    <x v="23"/>
    <x v="364"/>
  </r>
  <r>
    <x v="365"/>
    <x v="48"/>
    <x v="3"/>
    <x v="3"/>
    <n v="426.78"/>
    <n v="0"/>
    <x v="0"/>
    <x v="2"/>
    <s v="AutoPost 365"/>
    <s v="CAD"/>
    <x v="18"/>
    <x v="365"/>
  </r>
  <r>
    <x v="366"/>
    <x v="310"/>
    <x v="2"/>
    <x v="2"/>
    <n v="999.72"/>
    <n v="0"/>
    <x v="5"/>
    <x v="1"/>
    <s v="AutoPost 366"/>
    <s v="EUR"/>
    <x v="12"/>
    <x v="366"/>
  </r>
  <r>
    <x v="367"/>
    <x v="278"/>
    <x v="1"/>
    <x v="1"/>
    <n v="74.209999999999994"/>
    <n v="0"/>
    <x v="3"/>
    <x v="4"/>
    <s v="AutoPost 367"/>
    <s v="CAD"/>
    <x v="8"/>
    <x v="367"/>
  </r>
  <r>
    <x v="368"/>
    <x v="311"/>
    <x v="0"/>
    <x v="0"/>
    <n v="0"/>
    <n v="1158.73"/>
    <x v="5"/>
    <x v="0"/>
    <s v="AutoPost 368"/>
    <s v="EUR"/>
    <x v="14"/>
    <x v="368"/>
  </r>
  <r>
    <x v="369"/>
    <x v="154"/>
    <x v="2"/>
    <x v="2"/>
    <n v="1129.06"/>
    <n v="0"/>
    <x v="5"/>
    <x v="2"/>
    <s v="AutoPost 369"/>
    <s v="EUR"/>
    <x v="3"/>
    <x v="369"/>
  </r>
  <r>
    <x v="370"/>
    <x v="312"/>
    <x v="3"/>
    <x v="3"/>
    <n v="1450.58"/>
    <n v="0"/>
    <x v="2"/>
    <x v="2"/>
    <s v="AutoPost 370"/>
    <s v="USD"/>
    <x v="11"/>
    <x v="370"/>
  </r>
  <r>
    <x v="371"/>
    <x v="313"/>
    <x v="2"/>
    <x v="2"/>
    <n v="820.46"/>
    <n v="0"/>
    <x v="4"/>
    <x v="0"/>
    <s v="AutoPost 371"/>
    <s v="GBP"/>
    <x v="14"/>
    <x v="371"/>
  </r>
  <r>
    <x v="372"/>
    <x v="314"/>
    <x v="1"/>
    <x v="1"/>
    <n v="1027.96"/>
    <n v="0"/>
    <x v="1"/>
    <x v="3"/>
    <s v="AutoPost 372"/>
    <s v="CAD"/>
    <x v="13"/>
    <x v="372"/>
  </r>
  <r>
    <x v="373"/>
    <x v="315"/>
    <x v="0"/>
    <x v="0"/>
    <n v="0"/>
    <n v="2599.69"/>
    <x v="0"/>
    <x v="3"/>
    <s v="AutoPost 373"/>
    <s v="AUD"/>
    <x v="14"/>
    <x v="373"/>
  </r>
  <r>
    <x v="374"/>
    <x v="316"/>
    <x v="3"/>
    <x v="3"/>
    <n v="903.24"/>
    <n v="0"/>
    <x v="2"/>
    <x v="2"/>
    <s v="AutoPost 374"/>
    <s v="EUR"/>
    <x v="26"/>
    <x v="374"/>
  </r>
  <r>
    <x v="375"/>
    <x v="317"/>
    <x v="1"/>
    <x v="1"/>
    <n v="1037.05"/>
    <n v="0"/>
    <x v="0"/>
    <x v="0"/>
    <s v="AutoPost 375"/>
    <s v="EUR"/>
    <x v="16"/>
    <x v="375"/>
  </r>
  <r>
    <x v="376"/>
    <x v="318"/>
    <x v="3"/>
    <x v="3"/>
    <n v="390.22"/>
    <n v="0"/>
    <x v="1"/>
    <x v="3"/>
    <s v="AutoPost 376"/>
    <s v="EUR"/>
    <x v="5"/>
    <x v="376"/>
  </r>
  <r>
    <x v="377"/>
    <x v="319"/>
    <x v="4"/>
    <x v="4"/>
    <n v="0"/>
    <n v="4450.59"/>
    <x v="3"/>
    <x v="4"/>
    <s v="AutoPost 377"/>
    <s v="USD"/>
    <x v="28"/>
    <x v="377"/>
  </r>
  <r>
    <x v="378"/>
    <x v="320"/>
    <x v="2"/>
    <x v="2"/>
    <n v="1836.23"/>
    <n v="0"/>
    <x v="3"/>
    <x v="4"/>
    <s v="AutoPost 378"/>
    <s v="GBP"/>
    <x v="9"/>
    <x v="378"/>
  </r>
  <r>
    <x v="379"/>
    <x v="179"/>
    <x v="2"/>
    <x v="2"/>
    <n v="1033.93"/>
    <n v="0"/>
    <x v="5"/>
    <x v="1"/>
    <s v="AutoPost 379"/>
    <s v="USD"/>
    <x v="15"/>
    <x v="379"/>
  </r>
  <r>
    <x v="380"/>
    <x v="321"/>
    <x v="3"/>
    <x v="3"/>
    <n v="64.73"/>
    <n v="0"/>
    <x v="1"/>
    <x v="3"/>
    <s v="AutoPost 380"/>
    <s v="USD"/>
    <x v="17"/>
    <x v="380"/>
  </r>
  <r>
    <x v="381"/>
    <x v="322"/>
    <x v="3"/>
    <x v="3"/>
    <n v="891.36"/>
    <n v="0"/>
    <x v="3"/>
    <x v="2"/>
    <s v="AutoPost 381"/>
    <s v="EUR"/>
    <x v="14"/>
    <x v="381"/>
  </r>
  <r>
    <x v="382"/>
    <x v="323"/>
    <x v="3"/>
    <x v="3"/>
    <n v="983.92"/>
    <n v="0"/>
    <x v="4"/>
    <x v="3"/>
    <s v="AutoPost 382"/>
    <s v="AUD"/>
    <x v="8"/>
    <x v="382"/>
  </r>
  <r>
    <x v="383"/>
    <x v="324"/>
    <x v="3"/>
    <x v="3"/>
    <n v="412.44"/>
    <n v="0"/>
    <x v="0"/>
    <x v="4"/>
    <s v="AutoPost 383"/>
    <s v="EUR"/>
    <x v="24"/>
    <x v="383"/>
  </r>
  <r>
    <x v="384"/>
    <x v="325"/>
    <x v="4"/>
    <x v="4"/>
    <n v="0"/>
    <n v="2409.8200000000002"/>
    <x v="0"/>
    <x v="0"/>
    <s v="AutoPost 384"/>
    <s v="CAD"/>
    <x v="29"/>
    <x v="384"/>
  </r>
  <r>
    <x v="385"/>
    <x v="326"/>
    <x v="3"/>
    <x v="3"/>
    <n v="1490.61"/>
    <n v="0"/>
    <x v="5"/>
    <x v="0"/>
    <s v="AutoPost 385"/>
    <s v="CAD"/>
    <x v="5"/>
    <x v="385"/>
  </r>
  <r>
    <x v="386"/>
    <x v="327"/>
    <x v="0"/>
    <x v="0"/>
    <n v="0"/>
    <n v="2946.46"/>
    <x v="0"/>
    <x v="2"/>
    <s v="AutoPost 386"/>
    <s v="GBP"/>
    <x v="25"/>
    <x v="386"/>
  </r>
  <r>
    <x v="387"/>
    <x v="184"/>
    <x v="2"/>
    <x v="2"/>
    <n v="542.61"/>
    <n v="0"/>
    <x v="4"/>
    <x v="3"/>
    <s v="AutoPost 387"/>
    <s v="USD"/>
    <x v="15"/>
    <x v="387"/>
  </r>
  <r>
    <x v="388"/>
    <x v="152"/>
    <x v="4"/>
    <x v="4"/>
    <n v="0"/>
    <n v="3453.36"/>
    <x v="0"/>
    <x v="2"/>
    <s v="AutoPost 388"/>
    <s v="EUR"/>
    <x v="9"/>
    <x v="388"/>
  </r>
  <r>
    <x v="389"/>
    <x v="279"/>
    <x v="1"/>
    <x v="1"/>
    <n v="1550.28"/>
    <n v="0"/>
    <x v="1"/>
    <x v="2"/>
    <s v="AutoPost 389"/>
    <s v="GBP"/>
    <x v="20"/>
    <x v="389"/>
  </r>
  <r>
    <x v="390"/>
    <x v="328"/>
    <x v="4"/>
    <x v="4"/>
    <n v="0"/>
    <n v="2348.4"/>
    <x v="5"/>
    <x v="4"/>
    <s v="AutoPost 390"/>
    <s v="CAD"/>
    <x v="4"/>
    <x v="390"/>
  </r>
  <r>
    <x v="391"/>
    <x v="112"/>
    <x v="1"/>
    <x v="1"/>
    <n v="761.57"/>
    <n v="0"/>
    <x v="1"/>
    <x v="0"/>
    <s v="AutoPost 391"/>
    <s v="EUR"/>
    <x v="17"/>
    <x v="391"/>
  </r>
  <r>
    <x v="392"/>
    <x v="329"/>
    <x v="0"/>
    <x v="0"/>
    <n v="0"/>
    <n v="958.3"/>
    <x v="1"/>
    <x v="3"/>
    <s v="AutoPost 392"/>
    <s v="CAD"/>
    <x v="9"/>
    <x v="392"/>
  </r>
  <r>
    <x v="393"/>
    <x v="71"/>
    <x v="1"/>
    <x v="1"/>
    <n v="618.6"/>
    <n v="0"/>
    <x v="4"/>
    <x v="0"/>
    <s v="AutoPost 393"/>
    <s v="USD"/>
    <x v="28"/>
    <x v="393"/>
  </r>
  <r>
    <x v="394"/>
    <x v="330"/>
    <x v="0"/>
    <x v="0"/>
    <n v="0"/>
    <n v="334.65"/>
    <x v="3"/>
    <x v="0"/>
    <s v="AutoPost 394"/>
    <s v="GBP"/>
    <x v="27"/>
    <x v="394"/>
  </r>
  <r>
    <x v="395"/>
    <x v="305"/>
    <x v="1"/>
    <x v="1"/>
    <n v="1922.54"/>
    <n v="0"/>
    <x v="3"/>
    <x v="4"/>
    <s v="AutoPost 395"/>
    <s v="USD"/>
    <x v="25"/>
    <x v="395"/>
  </r>
  <r>
    <x v="396"/>
    <x v="331"/>
    <x v="0"/>
    <x v="0"/>
    <n v="0"/>
    <n v="3519.07"/>
    <x v="1"/>
    <x v="1"/>
    <s v="AutoPost 396"/>
    <s v="AUD"/>
    <x v="4"/>
    <x v="396"/>
  </r>
  <r>
    <x v="397"/>
    <x v="332"/>
    <x v="3"/>
    <x v="3"/>
    <n v="1944.25"/>
    <n v="0"/>
    <x v="1"/>
    <x v="4"/>
    <s v="AutoPost 397"/>
    <s v="CAD"/>
    <x v="24"/>
    <x v="397"/>
  </r>
  <r>
    <x v="398"/>
    <x v="333"/>
    <x v="1"/>
    <x v="1"/>
    <n v="51.54"/>
    <n v="0"/>
    <x v="2"/>
    <x v="2"/>
    <s v="AutoPost 398"/>
    <s v="GBP"/>
    <x v="14"/>
    <x v="398"/>
  </r>
  <r>
    <x v="399"/>
    <x v="160"/>
    <x v="4"/>
    <x v="4"/>
    <n v="0"/>
    <n v="952.59"/>
    <x v="1"/>
    <x v="1"/>
    <s v="AutoPost 399"/>
    <s v="GBP"/>
    <x v="25"/>
    <x v="399"/>
  </r>
  <r>
    <x v="400"/>
    <x v="334"/>
    <x v="3"/>
    <x v="3"/>
    <n v="312.45"/>
    <n v="0"/>
    <x v="1"/>
    <x v="0"/>
    <s v="AutoPost 400"/>
    <s v="GBP"/>
    <x v="21"/>
    <x v="400"/>
  </r>
  <r>
    <x v="401"/>
    <x v="258"/>
    <x v="3"/>
    <x v="3"/>
    <n v="571.80999999999995"/>
    <n v="0"/>
    <x v="3"/>
    <x v="3"/>
    <s v="AutoPost 401"/>
    <s v="EUR"/>
    <x v="2"/>
    <x v="401"/>
  </r>
  <r>
    <x v="402"/>
    <x v="148"/>
    <x v="3"/>
    <x v="3"/>
    <n v="750.55"/>
    <n v="0"/>
    <x v="1"/>
    <x v="2"/>
    <s v="AutoPost 402"/>
    <s v="CAD"/>
    <x v="23"/>
    <x v="402"/>
  </r>
  <r>
    <x v="403"/>
    <x v="335"/>
    <x v="4"/>
    <x v="4"/>
    <n v="0"/>
    <n v="4835.87"/>
    <x v="2"/>
    <x v="0"/>
    <s v="AutoPost 403"/>
    <s v="EUR"/>
    <x v="24"/>
    <x v="403"/>
  </r>
  <r>
    <x v="404"/>
    <x v="336"/>
    <x v="0"/>
    <x v="0"/>
    <n v="0"/>
    <n v="2979.48"/>
    <x v="5"/>
    <x v="0"/>
    <s v="AutoPost 404"/>
    <s v="GBP"/>
    <x v="2"/>
    <x v="404"/>
  </r>
  <r>
    <x v="405"/>
    <x v="337"/>
    <x v="1"/>
    <x v="1"/>
    <n v="1288.94"/>
    <n v="0"/>
    <x v="0"/>
    <x v="0"/>
    <s v="AutoPost 405"/>
    <s v="GBP"/>
    <x v="0"/>
    <x v="405"/>
  </r>
  <r>
    <x v="406"/>
    <x v="338"/>
    <x v="1"/>
    <x v="1"/>
    <n v="578.6"/>
    <n v="0"/>
    <x v="0"/>
    <x v="3"/>
    <s v="AutoPost 406"/>
    <s v="AUD"/>
    <x v="29"/>
    <x v="406"/>
  </r>
  <r>
    <x v="407"/>
    <x v="75"/>
    <x v="1"/>
    <x v="1"/>
    <n v="341.06"/>
    <n v="0"/>
    <x v="5"/>
    <x v="4"/>
    <s v="AutoPost 407"/>
    <s v="AUD"/>
    <x v="13"/>
    <x v="407"/>
  </r>
  <r>
    <x v="408"/>
    <x v="339"/>
    <x v="3"/>
    <x v="3"/>
    <n v="1074.77"/>
    <n v="0"/>
    <x v="1"/>
    <x v="3"/>
    <s v="AutoPost 408"/>
    <s v="EUR"/>
    <x v="7"/>
    <x v="408"/>
  </r>
  <r>
    <x v="409"/>
    <x v="340"/>
    <x v="4"/>
    <x v="4"/>
    <n v="0"/>
    <n v="1025.56"/>
    <x v="1"/>
    <x v="0"/>
    <s v="AutoPost 409"/>
    <s v="GBP"/>
    <x v="0"/>
    <x v="409"/>
  </r>
  <r>
    <x v="410"/>
    <x v="137"/>
    <x v="0"/>
    <x v="0"/>
    <n v="0"/>
    <n v="1148.8499999999999"/>
    <x v="4"/>
    <x v="2"/>
    <s v="AutoPost 410"/>
    <s v="GBP"/>
    <x v="16"/>
    <x v="410"/>
  </r>
  <r>
    <x v="411"/>
    <x v="341"/>
    <x v="1"/>
    <x v="1"/>
    <n v="1644.1"/>
    <n v="0"/>
    <x v="0"/>
    <x v="2"/>
    <s v="AutoPost 411"/>
    <s v="EUR"/>
    <x v="9"/>
    <x v="411"/>
  </r>
  <r>
    <x v="412"/>
    <x v="262"/>
    <x v="4"/>
    <x v="4"/>
    <n v="0"/>
    <n v="3002.11"/>
    <x v="3"/>
    <x v="2"/>
    <s v="AutoPost 412"/>
    <s v="GBP"/>
    <x v="20"/>
    <x v="412"/>
  </r>
  <r>
    <x v="413"/>
    <x v="240"/>
    <x v="3"/>
    <x v="3"/>
    <n v="327.57"/>
    <n v="0"/>
    <x v="1"/>
    <x v="4"/>
    <s v="AutoPost 413"/>
    <s v="EUR"/>
    <x v="11"/>
    <x v="413"/>
  </r>
  <r>
    <x v="414"/>
    <x v="342"/>
    <x v="0"/>
    <x v="0"/>
    <n v="0"/>
    <n v="2146.0700000000002"/>
    <x v="3"/>
    <x v="0"/>
    <s v="AutoPost 414"/>
    <s v="AUD"/>
    <x v="4"/>
    <x v="414"/>
  </r>
  <r>
    <x v="415"/>
    <x v="280"/>
    <x v="0"/>
    <x v="0"/>
    <n v="0"/>
    <n v="811.92"/>
    <x v="1"/>
    <x v="0"/>
    <s v="AutoPost 415"/>
    <s v="AUD"/>
    <x v="25"/>
    <x v="415"/>
  </r>
  <r>
    <x v="416"/>
    <x v="343"/>
    <x v="1"/>
    <x v="1"/>
    <n v="943.91"/>
    <n v="0"/>
    <x v="1"/>
    <x v="3"/>
    <s v="AutoPost 416"/>
    <s v="USD"/>
    <x v="25"/>
    <x v="416"/>
  </r>
  <r>
    <x v="417"/>
    <x v="94"/>
    <x v="1"/>
    <x v="1"/>
    <n v="453.48"/>
    <n v="0"/>
    <x v="0"/>
    <x v="0"/>
    <s v="AutoPost 417"/>
    <s v="USD"/>
    <x v="2"/>
    <x v="417"/>
  </r>
  <r>
    <x v="418"/>
    <x v="344"/>
    <x v="0"/>
    <x v="0"/>
    <n v="0"/>
    <n v="4075.25"/>
    <x v="1"/>
    <x v="1"/>
    <s v="AutoPost 418"/>
    <s v="USD"/>
    <x v="17"/>
    <x v="418"/>
  </r>
  <r>
    <x v="419"/>
    <x v="345"/>
    <x v="0"/>
    <x v="0"/>
    <n v="0"/>
    <n v="4559.4399999999996"/>
    <x v="4"/>
    <x v="4"/>
    <s v="AutoPost 419"/>
    <s v="GBP"/>
    <x v="11"/>
    <x v="419"/>
  </r>
  <r>
    <x v="420"/>
    <x v="346"/>
    <x v="3"/>
    <x v="3"/>
    <n v="50.64"/>
    <n v="0"/>
    <x v="0"/>
    <x v="2"/>
    <s v="AutoPost 420"/>
    <s v="EUR"/>
    <x v="13"/>
    <x v="420"/>
  </r>
  <r>
    <x v="421"/>
    <x v="347"/>
    <x v="1"/>
    <x v="1"/>
    <n v="1277.92"/>
    <n v="0"/>
    <x v="1"/>
    <x v="4"/>
    <s v="AutoPost 421"/>
    <s v="EUR"/>
    <x v="17"/>
    <x v="421"/>
  </r>
  <r>
    <x v="422"/>
    <x v="52"/>
    <x v="3"/>
    <x v="3"/>
    <n v="707.53"/>
    <n v="0"/>
    <x v="1"/>
    <x v="2"/>
    <s v="AutoPost 422"/>
    <s v="USD"/>
    <x v="9"/>
    <x v="422"/>
  </r>
  <r>
    <x v="423"/>
    <x v="348"/>
    <x v="2"/>
    <x v="2"/>
    <n v="356.21"/>
    <n v="0"/>
    <x v="5"/>
    <x v="0"/>
    <s v="AutoPost 423"/>
    <s v="EUR"/>
    <x v="11"/>
    <x v="423"/>
  </r>
  <r>
    <x v="424"/>
    <x v="349"/>
    <x v="3"/>
    <x v="3"/>
    <n v="189.31"/>
    <n v="0"/>
    <x v="1"/>
    <x v="4"/>
    <s v="AutoPost 424"/>
    <s v="EUR"/>
    <x v="10"/>
    <x v="424"/>
  </r>
  <r>
    <x v="425"/>
    <x v="101"/>
    <x v="2"/>
    <x v="2"/>
    <n v="519.61"/>
    <n v="0"/>
    <x v="3"/>
    <x v="1"/>
    <s v="AutoPost 425"/>
    <s v="GBP"/>
    <x v="20"/>
    <x v="425"/>
  </r>
  <r>
    <x v="426"/>
    <x v="350"/>
    <x v="0"/>
    <x v="0"/>
    <n v="0"/>
    <n v="3923.81"/>
    <x v="5"/>
    <x v="2"/>
    <s v="AutoPost 426"/>
    <s v="AUD"/>
    <x v="11"/>
    <x v="426"/>
  </r>
  <r>
    <x v="427"/>
    <x v="107"/>
    <x v="1"/>
    <x v="1"/>
    <n v="171.38"/>
    <n v="0"/>
    <x v="3"/>
    <x v="2"/>
    <s v="AutoPost 427"/>
    <s v="CAD"/>
    <x v="27"/>
    <x v="427"/>
  </r>
  <r>
    <x v="428"/>
    <x v="347"/>
    <x v="1"/>
    <x v="1"/>
    <n v="960.38"/>
    <n v="0"/>
    <x v="3"/>
    <x v="4"/>
    <s v="AutoPost 428"/>
    <s v="EUR"/>
    <x v="17"/>
    <x v="428"/>
  </r>
  <r>
    <x v="429"/>
    <x v="76"/>
    <x v="3"/>
    <x v="3"/>
    <n v="931.96"/>
    <n v="0"/>
    <x v="3"/>
    <x v="4"/>
    <s v="AutoPost 429"/>
    <s v="GBP"/>
    <x v="18"/>
    <x v="429"/>
  </r>
  <r>
    <x v="430"/>
    <x v="351"/>
    <x v="0"/>
    <x v="0"/>
    <n v="0"/>
    <n v="353.32"/>
    <x v="4"/>
    <x v="1"/>
    <s v="AutoPost 430"/>
    <s v="USD"/>
    <x v="6"/>
    <x v="430"/>
  </r>
  <r>
    <x v="431"/>
    <x v="352"/>
    <x v="2"/>
    <x v="2"/>
    <n v="66.08"/>
    <n v="0"/>
    <x v="2"/>
    <x v="3"/>
    <s v="AutoPost 431"/>
    <s v="GBP"/>
    <x v="28"/>
    <x v="431"/>
  </r>
  <r>
    <x v="432"/>
    <x v="353"/>
    <x v="0"/>
    <x v="0"/>
    <n v="0"/>
    <n v="361.74"/>
    <x v="3"/>
    <x v="4"/>
    <s v="AutoPost 432"/>
    <s v="GBP"/>
    <x v="21"/>
    <x v="432"/>
  </r>
  <r>
    <x v="433"/>
    <x v="354"/>
    <x v="2"/>
    <x v="2"/>
    <n v="1392.66"/>
    <n v="0"/>
    <x v="2"/>
    <x v="4"/>
    <s v="AutoPost 433"/>
    <s v="CAD"/>
    <x v="14"/>
    <x v="433"/>
  </r>
  <r>
    <x v="434"/>
    <x v="355"/>
    <x v="0"/>
    <x v="0"/>
    <n v="0"/>
    <n v="4172.26"/>
    <x v="3"/>
    <x v="4"/>
    <s v="AutoPost 434"/>
    <s v="USD"/>
    <x v="20"/>
    <x v="434"/>
  </r>
  <r>
    <x v="435"/>
    <x v="356"/>
    <x v="2"/>
    <x v="2"/>
    <n v="1792.82"/>
    <n v="0"/>
    <x v="0"/>
    <x v="0"/>
    <s v="AutoPost 435"/>
    <s v="GBP"/>
    <x v="14"/>
    <x v="435"/>
  </r>
  <r>
    <x v="436"/>
    <x v="10"/>
    <x v="1"/>
    <x v="1"/>
    <n v="164.54"/>
    <n v="0"/>
    <x v="3"/>
    <x v="2"/>
    <s v="AutoPost 436"/>
    <s v="GBP"/>
    <x v="9"/>
    <x v="436"/>
  </r>
  <r>
    <x v="437"/>
    <x v="349"/>
    <x v="2"/>
    <x v="2"/>
    <n v="217.44"/>
    <n v="0"/>
    <x v="0"/>
    <x v="3"/>
    <s v="AutoPost 437"/>
    <s v="EUR"/>
    <x v="10"/>
    <x v="437"/>
  </r>
  <r>
    <x v="438"/>
    <x v="38"/>
    <x v="2"/>
    <x v="2"/>
    <n v="1899.59"/>
    <n v="0"/>
    <x v="4"/>
    <x v="0"/>
    <s v="AutoPost 438"/>
    <s v="USD"/>
    <x v="2"/>
    <x v="438"/>
  </r>
  <r>
    <x v="439"/>
    <x v="220"/>
    <x v="3"/>
    <x v="3"/>
    <n v="808.94"/>
    <n v="0"/>
    <x v="5"/>
    <x v="1"/>
    <s v="AutoPost 439"/>
    <s v="EUR"/>
    <x v="1"/>
    <x v="439"/>
  </r>
  <r>
    <x v="440"/>
    <x v="344"/>
    <x v="0"/>
    <x v="0"/>
    <n v="0"/>
    <n v="3691.59"/>
    <x v="3"/>
    <x v="0"/>
    <s v="AutoPost 440"/>
    <s v="AUD"/>
    <x v="17"/>
    <x v="440"/>
  </r>
  <r>
    <x v="441"/>
    <x v="357"/>
    <x v="4"/>
    <x v="4"/>
    <n v="0"/>
    <n v="2510.66"/>
    <x v="2"/>
    <x v="4"/>
    <s v="AutoPost 441"/>
    <s v="USD"/>
    <x v="23"/>
    <x v="441"/>
  </r>
  <r>
    <x v="442"/>
    <x v="358"/>
    <x v="0"/>
    <x v="0"/>
    <n v="0"/>
    <n v="1959.12"/>
    <x v="2"/>
    <x v="4"/>
    <s v="AutoPost 442"/>
    <s v="EUR"/>
    <x v="1"/>
    <x v="442"/>
  </r>
  <r>
    <x v="443"/>
    <x v="316"/>
    <x v="3"/>
    <x v="3"/>
    <n v="1541.66"/>
    <n v="0"/>
    <x v="2"/>
    <x v="2"/>
    <s v="AutoPost 443"/>
    <s v="CAD"/>
    <x v="26"/>
    <x v="443"/>
  </r>
  <r>
    <x v="444"/>
    <x v="314"/>
    <x v="3"/>
    <x v="3"/>
    <n v="1240.1400000000001"/>
    <n v="0"/>
    <x v="3"/>
    <x v="0"/>
    <s v="AutoPost 444"/>
    <s v="CAD"/>
    <x v="13"/>
    <x v="444"/>
  </r>
  <r>
    <x v="445"/>
    <x v="359"/>
    <x v="3"/>
    <x v="3"/>
    <n v="889.94"/>
    <n v="0"/>
    <x v="2"/>
    <x v="1"/>
    <s v="AutoPost 445"/>
    <s v="AUD"/>
    <x v="2"/>
    <x v="445"/>
  </r>
  <r>
    <x v="446"/>
    <x v="219"/>
    <x v="1"/>
    <x v="1"/>
    <n v="1562.72"/>
    <n v="0"/>
    <x v="2"/>
    <x v="4"/>
    <s v="AutoPost 446"/>
    <s v="EUR"/>
    <x v="19"/>
    <x v="446"/>
  </r>
  <r>
    <x v="447"/>
    <x v="360"/>
    <x v="2"/>
    <x v="2"/>
    <n v="1182.8"/>
    <n v="0"/>
    <x v="1"/>
    <x v="3"/>
    <s v="AutoPost 447"/>
    <s v="EUR"/>
    <x v="15"/>
    <x v="447"/>
  </r>
  <r>
    <x v="448"/>
    <x v="122"/>
    <x v="2"/>
    <x v="2"/>
    <n v="489.72"/>
    <n v="0"/>
    <x v="4"/>
    <x v="4"/>
    <s v="AutoPost 448"/>
    <s v="CAD"/>
    <x v="3"/>
    <x v="448"/>
  </r>
  <r>
    <x v="449"/>
    <x v="23"/>
    <x v="2"/>
    <x v="2"/>
    <n v="1003.21"/>
    <n v="0"/>
    <x v="3"/>
    <x v="3"/>
    <s v="AutoPost 449"/>
    <s v="EUR"/>
    <x v="18"/>
    <x v="449"/>
  </r>
  <r>
    <x v="450"/>
    <x v="361"/>
    <x v="0"/>
    <x v="0"/>
    <n v="0"/>
    <n v="1571.79"/>
    <x v="5"/>
    <x v="4"/>
    <s v="AutoPost 450"/>
    <s v="AUD"/>
    <x v="27"/>
    <x v="450"/>
  </r>
  <r>
    <x v="451"/>
    <x v="51"/>
    <x v="2"/>
    <x v="2"/>
    <n v="1413.19"/>
    <n v="0"/>
    <x v="4"/>
    <x v="0"/>
    <s v="AutoPost 451"/>
    <s v="AUD"/>
    <x v="19"/>
    <x v="451"/>
  </r>
  <r>
    <x v="452"/>
    <x v="362"/>
    <x v="2"/>
    <x v="2"/>
    <n v="819.5"/>
    <n v="0"/>
    <x v="2"/>
    <x v="2"/>
    <s v="AutoPost 452"/>
    <s v="GBP"/>
    <x v="9"/>
    <x v="452"/>
  </r>
  <r>
    <x v="453"/>
    <x v="363"/>
    <x v="4"/>
    <x v="4"/>
    <n v="0"/>
    <n v="1428.23"/>
    <x v="1"/>
    <x v="3"/>
    <s v="AutoPost 453"/>
    <s v="USD"/>
    <x v="24"/>
    <x v="453"/>
  </r>
  <r>
    <x v="454"/>
    <x v="93"/>
    <x v="0"/>
    <x v="0"/>
    <n v="0"/>
    <n v="1859.84"/>
    <x v="0"/>
    <x v="3"/>
    <s v="AutoPost 454"/>
    <s v="EUR"/>
    <x v="14"/>
    <x v="454"/>
  </r>
  <r>
    <x v="455"/>
    <x v="364"/>
    <x v="3"/>
    <x v="3"/>
    <n v="1060.6500000000001"/>
    <n v="0"/>
    <x v="1"/>
    <x v="4"/>
    <s v="AutoPost 455"/>
    <s v="USD"/>
    <x v="0"/>
    <x v="455"/>
  </r>
  <r>
    <x v="456"/>
    <x v="110"/>
    <x v="2"/>
    <x v="2"/>
    <n v="493.78"/>
    <n v="0"/>
    <x v="3"/>
    <x v="1"/>
    <s v="AutoPost 456"/>
    <s v="EUR"/>
    <x v="10"/>
    <x v="456"/>
  </r>
  <r>
    <x v="457"/>
    <x v="364"/>
    <x v="3"/>
    <x v="3"/>
    <n v="911.05"/>
    <n v="0"/>
    <x v="3"/>
    <x v="2"/>
    <s v="AutoPost 457"/>
    <s v="USD"/>
    <x v="0"/>
    <x v="457"/>
  </r>
  <r>
    <x v="458"/>
    <x v="365"/>
    <x v="4"/>
    <x v="4"/>
    <n v="0"/>
    <n v="855.46"/>
    <x v="3"/>
    <x v="0"/>
    <s v="AutoPost 458"/>
    <s v="GBP"/>
    <x v="15"/>
    <x v="458"/>
  </r>
  <r>
    <x v="459"/>
    <x v="154"/>
    <x v="1"/>
    <x v="1"/>
    <n v="1218.8900000000001"/>
    <n v="0"/>
    <x v="3"/>
    <x v="3"/>
    <s v="AutoPost 459"/>
    <s v="USD"/>
    <x v="3"/>
    <x v="459"/>
  </r>
  <r>
    <x v="460"/>
    <x v="366"/>
    <x v="2"/>
    <x v="2"/>
    <n v="670.27"/>
    <n v="0"/>
    <x v="3"/>
    <x v="4"/>
    <s v="AutoPost 460"/>
    <s v="USD"/>
    <x v="24"/>
    <x v="460"/>
  </r>
  <r>
    <x v="461"/>
    <x v="367"/>
    <x v="3"/>
    <x v="3"/>
    <n v="579"/>
    <n v="0"/>
    <x v="4"/>
    <x v="2"/>
    <s v="AutoPost 461"/>
    <s v="GBP"/>
    <x v="0"/>
    <x v="461"/>
  </r>
  <r>
    <x v="462"/>
    <x v="50"/>
    <x v="4"/>
    <x v="4"/>
    <n v="0"/>
    <n v="1322.5"/>
    <x v="1"/>
    <x v="0"/>
    <s v="AutoPost 462"/>
    <s v="GBP"/>
    <x v="26"/>
    <x v="462"/>
  </r>
  <r>
    <x v="463"/>
    <x v="94"/>
    <x v="3"/>
    <x v="3"/>
    <n v="1920.52"/>
    <n v="0"/>
    <x v="0"/>
    <x v="1"/>
    <s v="AutoPost 463"/>
    <s v="EUR"/>
    <x v="2"/>
    <x v="463"/>
  </r>
  <r>
    <x v="464"/>
    <x v="130"/>
    <x v="2"/>
    <x v="2"/>
    <n v="417.54"/>
    <n v="0"/>
    <x v="3"/>
    <x v="1"/>
    <s v="AutoPost 464"/>
    <s v="CAD"/>
    <x v="8"/>
    <x v="464"/>
  </r>
  <r>
    <x v="465"/>
    <x v="368"/>
    <x v="1"/>
    <x v="1"/>
    <n v="1832.61"/>
    <n v="0"/>
    <x v="3"/>
    <x v="0"/>
    <s v="AutoPost 465"/>
    <s v="CAD"/>
    <x v="5"/>
    <x v="465"/>
  </r>
  <r>
    <x v="466"/>
    <x v="369"/>
    <x v="0"/>
    <x v="0"/>
    <n v="0"/>
    <n v="1225.02"/>
    <x v="5"/>
    <x v="3"/>
    <s v="AutoPost 466"/>
    <s v="EUR"/>
    <x v="24"/>
    <x v="466"/>
  </r>
  <r>
    <x v="467"/>
    <x v="370"/>
    <x v="1"/>
    <x v="1"/>
    <n v="973.97"/>
    <n v="0"/>
    <x v="4"/>
    <x v="0"/>
    <s v="AutoPost 467"/>
    <s v="GBP"/>
    <x v="26"/>
    <x v="467"/>
  </r>
  <r>
    <x v="468"/>
    <x v="101"/>
    <x v="2"/>
    <x v="2"/>
    <n v="525.5"/>
    <n v="0"/>
    <x v="5"/>
    <x v="3"/>
    <s v="AutoPost 468"/>
    <s v="EUR"/>
    <x v="20"/>
    <x v="468"/>
  </r>
  <r>
    <x v="469"/>
    <x v="79"/>
    <x v="1"/>
    <x v="1"/>
    <n v="805.56"/>
    <n v="0"/>
    <x v="0"/>
    <x v="2"/>
    <s v="AutoPost 469"/>
    <s v="CAD"/>
    <x v="27"/>
    <x v="469"/>
  </r>
  <r>
    <x v="470"/>
    <x v="371"/>
    <x v="2"/>
    <x v="2"/>
    <n v="1466.97"/>
    <n v="0"/>
    <x v="1"/>
    <x v="3"/>
    <s v="AutoPost 470"/>
    <s v="AUD"/>
    <x v="6"/>
    <x v="470"/>
  </r>
  <r>
    <x v="471"/>
    <x v="372"/>
    <x v="4"/>
    <x v="4"/>
    <n v="0"/>
    <n v="4734.3599999999997"/>
    <x v="0"/>
    <x v="2"/>
    <s v="AutoPost 471"/>
    <s v="AUD"/>
    <x v="23"/>
    <x v="471"/>
  </r>
  <r>
    <x v="472"/>
    <x v="239"/>
    <x v="4"/>
    <x v="4"/>
    <n v="0"/>
    <n v="1668.4"/>
    <x v="4"/>
    <x v="4"/>
    <s v="AutoPost 472"/>
    <s v="USD"/>
    <x v="3"/>
    <x v="472"/>
  </r>
  <r>
    <x v="473"/>
    <x v="116"/>
    <x v="4"/>
    <x v="4"/>
    <n v="0"/>
    <n v="4991.26"/>
    <x v="3"/>
    <x v="3"/>
    <s v="AutoPost 473"/>
    <s v="USD"/>
    <x v="6"/>
    <x v="473"/>
  </r>
  <r>
    <x v="474"/>
    <x v="250"/>
    <x v="2"/>
    <x v="2"/>
    <n v="445.53"/>
    <n v="0"/>
    <x v="2"/>
    <x v="4"/>
    <s v="AutoPost 474"/>
    <s v="GBP"/>
    <x v="2"/>
    <x v="474"/>
  </r>
  <r>
    <x v="475"/>
    <x v="373"/>
    <x v="2"/>
    <x v="2"/>
    <n v="1464.99"/>
    <n v="0"/>
    <x v="3"/>
    <x v="4"/>
    <s v="AutoPost 475"/>
    <s v="EUR"/>
    <x v="21"/>
    <x v="475"/>
  </r>
  <r>
    <x v="476"/>
    <x v="374"/>
    <x v="4"/>
    <x v="4"/>
    <n v="0"/>
    <n v="1422.45"/>
    <x v="1"/>
    <x v="0"/>
    <s v="AutoPost 476"/>
    <s v="EUR"/>
    <x v="6"/>
    <x v="476"/>
  </r>
  <r>
    <x v="477"/>
    <x v="370"/>
    <x v="4"/>
    <x v="4"/>
    <n v="0"/>
    <n v="2350.1999999999998"/>
    <x v="1"/>
    <x v="0"/>
    <s v="AutoPost 477"/>
    <s v="AUD"/>
    <x v="26"/>
    <x v="477"/>
  </r>
  <r>
    <x v="478"/>
    <x v="239"/>
    <x v="2"/>
    <x v="2"/>
    <n v="1559.89"/>
    <n v="0"/>
    <x v="1"/>
    <x v="2"/>
    <s v="AutoPost 478"/>
    <s v="AUD"/>
    <x v="3"/>
    <x v="478"/>
  </r>
  <r>
    <x v="479"/>
    <x v="208"/>
    <x v="3"/>
    <x v="3"/>
    <n v="1570.96"/>
    <n v="0"/>
    <x v="0"/>
    <x v="0"/>
    <s v="AutoPost 479"/>
    <s v="USD"/>
    <x v="26"/>
    <x v="479"/>
  </r>
  <r>
    <x v="480"/>
    <x v="375"/>
    <x v="0"/>
    <x v="0"/>
    <n v="0"/>
    <n v="3947.32"/>
    <x v="0"/>
    <x v="2"/>
    <s v="AutoPost 480"/>
    <s v="GBP"/>
    <x v="27"/>
    <x v="480"/>
  </r>
  <r>
    <x v="481"/>
    <x v="289"/>
    <x v="2"/>
    <x v="2"/>
    <n v="1467.92"/>
    <n v="0"/>
    <x v="0"/>
    <x v="1"/>
    <s v="AutoPost 481"/>
    <s v="USD"/>
    <x v="10"/>
    <x v="481"/>
  </r>
  <r>
    <x v="482"/>
    <x v="376"/>
    <x v="1"/>
    <x v="1"/>
    <n v="1843.54"/>
    <n v="0"/>
    <x v="4"/>
    <x v="0"/>
    <s v="AutoPost 482"/>
    <s v="GBP"/>
    <x v="22"/>
    <x v="482"/>
  </r>
  <r>
    <x v="483"/>
    <x v="108"/>
    <x v="3"/>
    <x v="3"/>
    <n v="134.56"/>
    <n v="0"/>
    <x v="0"/>
    <x v="4"/>
    <s v="AutoPost 483"/>
    <s v="EUR"/>
    <x v="12"/>
    <x v="483"/>
  </r>
  <r>
    <x v="484"/>
    <x v="377"/>
    <x v="0"/>
    <x v="0"/>
    <n v="0"/>
    <n v="1712.94"/>
    <x v="4"/>
    <x v="0"/>
    <s v="AutoPost 484"/>
    <s v="EUR"/>
    <x v="2"/>
    <x v="484"/>
  </r>
  <r>
    <x v="485"/>
    <x v="378"/>
    <x v="3"/>
    <x v="3"/>
    <n v="551.23"/>
    <n v="0"/>
    <x v="5"/>
    <x v="3"/>
    <s v="AutoPost 485"/>
    <s v="GBP"/>
    <x v="4"/>
    <x v="485"/>
  </r>
  <r>
    <x v="486"/>
    <x v="379"/>
    <x v="0"/>
    <x v="0"/>
    <n v="0"/>
    <n v="588.37"/>
    <x v="0"/>
    <x v="2"/>
    <s v="AutoPost 486"/>
    <s v="GBP"/>
    <x v="25"/>
    <x v="486"/>
  </r>
  <r>
    <x v="487"/>
    <x v="114"/>
    <x v="2"/>
    <x v="2"/>
    <n v="134.5"/>
    <n v="0"/>
    <x v="4"/>
    <x v="0"/>
    <s v="AutoPost 487"/>
    <s v="CAD"/>
    <x v="25"/>
    <x v="487"/>
  </r>
  <r>
    <x v="488"/>
    <x v="26"/>
    <x v="1"/>
    <x v="1"/>
    <n v="630.03"/>
    <n v="0"/>
    <x v="4"/>
    <x v="3"/>
    <s v="AutoPost 488"/>
    <s v="CAD"/>
    <x v="10"/>
    <x v="488"/>
  </r>
  <r>
    <x v="489"/>
    <x v="380"/>
    <x v="2"/>
    <x v="2"/>
    <n v="1840.05"/>
    <n v="0"/>
    <x v="0"/>
    <x v="0"/>
    <s v="AutoPost 489"/>
    <s v="AUD"/>
    <x v="17"/>
    <x v="489"/>
  </r>
  <r>
    <x v="490"/>
    <x v="164"/>
    <x v="1"/>
    <x v="1"/>
    <n v="1943.87"/>
    <n v="0"/>
    <x v="3"/>
    <x v="4"/>
    <s v="AutoPost 490"/>
    <s v="AUD"/>
    <x v="8"/>
    <x v="490"/>
  </r>
  <r>
    <x v="491"/>
    <x v="381"/>
    <x v="0"/>
    <x v="0"/>
    <n v="0"/>
    <n v="2322.15"/>
    <x v="0"/>
    <x v="2"/>
    <s v="AutoPost 491"/>
    <s v="USD"/>
    <x v="15"/>
    <x v="491"/>
  </r>
  <r>
    <x v="492"/>
    <x v="382"/>
    <x v="0"/>
    <x v="0"/>
    <n v="0"/>
    <n v="1615.42"/>
    <x v="3"/>
    <x v="1"/>
    <s v="AutoPost 492"/>
    <s v="CAD"/>
    <x v="13"/>
    <x v="492"/>
  </r>
  <r>
    <x v="493"/>
    <x v="383"/>
    <x v="4"/>
    <x v="4"/>
    <n v="0"/>
    <n v="3274.24"/>
    <x v="1"/>
    <x v="4"/>
    <s v="AutoPost 493"/>
    <s v="CAD"/>
    <x v="0"/>
    <x v="493"/>
  </r>
  <r>
    <x v="494"/>
    <x v="384"/>
    <x v="3"/>
    <x v="3"/>
    <n v="293.63"/>
    <n v="0"/>
    <x v="3"/>
    <x v="1"/>
    <s v="AutoPost 494"/>
    <s v="CAD"/>
    <x v="9"/>
    <x v="494"/>
  </r>
  <r>
    <x v="495"/>
    <x v="92"/>
    <x v="0"/>
    <x v="0"/>
    <n v="0"/>
    <n v="2924.19"/>
    <x v="4"/>
    <x v="3"/>
    <s v="AutoPost 495"/>
    <s v="USD"/>
    <x v="24"/>
    <x v="495"/>
  </r>
  <r>
    <x v="496"/>
    <x v="385"/>
    <x v="1"/>
    <x v="1"/>
    <n v="630.34"/>
    <n v="0"/>
    <x v="0"/>
    <x v="0"/>
    <s v="AutoPost 496"/>
    <s v="USD"/>
    <x v="10"/>
    <x v="496"/>
  </r>
  <r>
    <x v="497"/>
    <x v="348"/>
    <x v="0"/>
    <x v="0"/>
    <n v="0"/>
    <n v="2794.59"/>
    <x v="1"/>
    <x v="3"/>
    <s v="AutoPost 497"/>
    <s v="EUR"/>
    <x v="11"/>
    <x v="497"/>
  </r>
  <r>
    <x v="498"/>
    <x v="154"/>
    <x v="1"/>
    <x v="1"/>
    <n v="276.86"/>
    <n v="0"/>
    <x v="3"/>
    <x v="2"/>
    <s v="AutoPost 498"/>
    <s v="USD"/>
    <x v="3"/>
    <x v="498"/>
  </r>
  <r>
    <x v="499"/>
    <x v="211"/>
    <x v="1"/>
    <x v="1"/>
    <n v="1358.2"/>
    <n v="0"/>
    <x v="0"/>
    <x v="3"/>
    <s v="AutoPost 499"/>
    <s v="GBP"/>
    <x v="17"/>
    <x v="499"/>
  </r>
  <r>
    <x v="500"/>
    <x v="53"/>
    <x v="3"/>
    <x v="3"/>
    <n v="701.01"/>
    <n v="0"/>
    <x v="3"/>
    <x v="4"/>
    <s v="AutoPost 500"/>
    <s v="GBP"/>
    <x v="7"/>
    <x v="500"/>
  </r>
  <r>
    <x v="501"/>
    <x v="139"/>
    <x v="0"/>
    <x v="0"/>
    <n v="0"/>
    <n v="3951.26"/>
    <x v="4"/>
    <x v="0"/>
    <s v="AutoPost 501"/>
    <s v="AUD"/>
    <x v="26"/>
    <x v="501"/>
  </r>
  <r>
    <x v="502"/>
    <x v="386"/>
    <x v="0"/>
    <x v="0"/>
    <n v="0"/>
    <n v="1521.81"/>
    <x v="3"/>
    <x v="3"/>
    <s v="AutoPost 502"/>
    <s v="EUR"/>
    <x v="22"/>
    <x v="502"/>
  </r>
  <r>
    <x v="503"/>
    <x v="387"/>
    <x v="3"/>
    <x v="3"/>
    <n v="402.01"/>
    <n v="0"/>
    <x v="3"/>
    <x v="0"/>
    <s v="AutoPost 503"/>
    <s v="EUR"/>
    <x v="4"/>
    <x v="503"/>
  </r>
  <r>
    <x v="504"/>
    <x v="192"/>
    <x v="1"/>
    <x v="1"/>
    <n v="610.08000000000004"/>
    <n v="0"/>
    <x v="0"/>
    <x v="4"/>
    <s v="AutoPost 504"/>
    <s v="CAD"/>
    <x v="11"/>
    <x v="504"/>
  </r>
  <r>
    <x v="505"/>
    <x v="388"/>
    <x v="0"/>
    <x v="0"/>
    <n v="0"/>
    <n v="4713.8999999999996"/>
    <x v="1"/>
    <x v="4"/>
    <s v="AutoPost 505"/>
    <s v="EUR"/>
    <x v="20"/>
    <x v="505"/>
  </r>
  <r>
    <x v="506"/>
    <x v="389"/>
    <x v="2"/>
    <x v="2"/>
    <n v="1547.67"/>
    <n v="0"/>
    <x v="0"/>
    <x v="0"/>
    <s v="AutoPost 506"/>
    <s v="EUR"/>
    <x v="18"/>
    <x v="506"/>
  </r>
  <r>
    <x v="507"/>
    <x v="42"/>
    <x v="4"/>
    <x v="4"/>
    <n v="0"/>
    <n v="3002.52"/>
    <x v="1"/>
    <x v="4"/>
    <s v="AutoPost 507"/>
    <s v="CAD"/>
    <x v="24"/>
    <x v="507"/>
  </r>
  <r>
    <x v="508"/>
    <x v="154"/>
    <x v="2"/>
    <x v="2"/>
    <n v="1295.97"/>
    <n v="0"/>
    <x v="1"/>
    <x v="1"/>
    <s v="AutoPost 508"/>
    <s v="GBP"/>
    <x v="3"/>
    <x v="508"/>
  </r>
  <r>
    <x v="509"/>
    <x v="148"/>
    <x v="3"/>
    <x v="3"/>
    <n v="1648.77"/>
    <n v="0"/>
    <x v="5"/>
    <x v="4"/>
    <s v="AutoPost 509"/>
    <s v="CAD"/>
    <x v="23"/>
    <x v="509"/>
  </r>
  <r>
    <x v="510"/>
    <x v="390"/>
    <x v="4"/>
    <x v="4"/>
    <n v="0"/>
    <n v="1351.35"/>
    <x v="1"/>
    <x v="0"/>
    <s v="AutoPost 510"/>
    <s v="EUR"/>
    <x v="14"/>
    <x v="510"/>
  </r>
  <r>
    <x v="511"/>
    <x v="2"/>
    <x v="4"/>
    <x v="4"/>
    <n v="0"/>
    <n v="1986.96"/>
    <x v="5"/>
    <x v="4"/>
    <s v="AutoPost 511"/>
    <s v="EUR"/>
    <x v="2"/>
    <x v="511"/>
  </r>
  <r>
    <x v="512"/>
    <x v="391"/>
    <x v="3"/>
    <x v="3"/>
    <n v="1723.41"/>
    <n v="0"/>
    <x v="0"/>
    <x v="4"/>
    <s v="AutoPost 512"/>
    <s v="EUR"/>
    <x v="4"/>
    <x v="512"/>
  </r>
  <r>
    <x v="513"/>
    <x v="23"/>
    <x v="4"/>
    <x v="4"/>
    <n v="0"/>
    <n v="386.09"/>
    <x v="3"/>
    <x v="2"/>
    <s v="AutoPost 513"/>
    <s v="AUD"/>
    <x v="18"/>
    <x v="513"/>
  </r>
  <r>
    <x v="514"/>
    <x v="392"/>
    <x v="0"/>
    <x v="0"/>
    <n v="0"/>
    <n v="2180.11"/>
    <x v="1"/>
    <x v="2"/>
    <s v="AutoPost 514"/>
    <s v="EUR"/>
    <x v="15"/>
    <x v="514"/>
  </r>
  <r>
    <x v="515"/>
    <x v="290"/>
    <x v="2"/>
    <x v="2"/>
    <n v="1283.72"/>
    <n v="0"/>
    <x v="0"/>
    <x v="3"/>
    <s v="AutoPost 515"/>
    <s v="AUD"/>
    <x v="15"/>
    <x v="515"/>
  </r>
  <r>
    <x v="516"/>
    <x v="318"/>
    <x v="2"/>
    <x v="2"/>
    <n v="1809.13"/>
    <n v="0"/>
    <x v="3"/>
    <x v="4"/>
    <s v="AutoPost 516"/>
    <s v="CAD"/>
    <x v="5"/>
    <x v="516"/>
  </r>
  <r>
    <x v="517"/>
    <x v="185"/>
    <x v="1"/>
    <x v="1"/>
    <n v="1785.9"/>
    <n v="0"/>
    <x v="4"/>
    <x v="0"/>
    <s v="AutoPost 517"/>
    <s v="AUD"/>
    <x v="13"/>
    <x v="517"/>
  </r>
  <r>
    <x v="518"/>
    <x v="56"/>
    <x v="4"/>
    <x v="4"/>
    <n v="0"/>
    <n v="4808.83"/>
    <x v="5"/>
    <x v="4"/>
    <s v="AutoPost 518"/>
    <s v="USD"/>
    <x v="6"/>
    <x v="518"/>
  </r>
  <r>
    <x v="519"/>
    <x v="393"/>
    <x v="1"/>
    <x v="1"/>
    <n v="922.15"/>
    <n v="0"/>
    <x v="3"/>
    <x v="3"/>
    <s v="AutoPost 519"/>
    <s v="USD"/>
    <x v="26"/>
    <x v="519"/>
  </r>
  <r>
    <x v="520"/>
    <x v="394"/>
    <x v="0"/>
    <x v="0"/>
    <n v="0"/>
    <n v="2754.43"/>
    <x v="0"/>
    <x v="4"/>
    <s v="AutoPost 520"/>
    <s v="USD"/>
    <x v="23"/>
    <x v="520"/>
  </r>
  <r>
    <x v="521"/>
    <x v="395"/>
    <x v="0"/>
    <x v="0"/>
    <n v="0"/>
    <n v="2370.2800000000002"/>
    <x v="1"/>
    <x v="3"/>
    <s v="AutoPost 521"/>
    <s v="AUD"/>
    <x v="5"/>
    <x v="521"/>
  </r>
  <r>
    <x v="522"/>
    <x v="396"/>
    <x v="1"/>
    <x v="1"/>
    <n v="649.98"/>
    <n v="0"/>
    <x v="2"/>
    <x v="3"/>
    <s v="AutoPost 522"/>
    <s v="EUR"/>
    <x v="3"/>
    <x v="522"/>
  </r>
  <r>
    <x v="523"/>
    <x v="22"/>
    <x v="4"/>
    <x v="4"/>
    <n v="0"/>
    <n v="402.69"/>
    <x v="3"/>
    <x v="3"/>
    <s v="AutoPost 523"/>
    <s v="EUR"/>
    <x v="0"/>
    <x v="523"/>
  </r>
  <r>
    <x v="524"/>
    <x v="10"/>
    <x v="2"/>
    <x v="2"/>
    <n v="154.30000000000001"/>
    <n v="0"/>
    <x v="3"/>
    <x v="0"/>
    <s v="AutoPost 524"/>
    <s v="GBP"/>
    <x v="9"/>
    <x v="524"/>
  </r>
  <r>
    <x v="525"/>
    <x v="397"/>
    <x v="0"/>
    <x v="0"/>
    <n v="0"/>
    <n v="3155.19"/>
    <x v="4"/>
    <x v="0"/>
    <s v="AutoPost 525"/>
    <s v="EUR"/>
    <x v="16"/>
    <x v="525"/>
  </r>
  <r>
    <x v="526"/>
    <x v="398"/>
    <x v="2"/>
    <x v="2"/>
    <n v="1455.97"/>
    <n v="0"/>
    <x v="3"/>
    <x v="2"/>
    <s v="AutoPost 526"/>
    <s v="USD"/>
    <x v="14"/>
    <x v="526"/>
  </r>
  <r>
    <x v="527"/>
    <x v="399"/>
    <x v="1"/>
    <x v="1"/>
    <n v="133.86000000000001"/>
    <n v="0"/>
    <x v="5"/>
    <x v="3"/>
    <s v="AutoPost 527"/>
    <s v="EUR"/>
    <x v="6"/>
    <x v="527"/>
  </r>
  <r>
    <x v="528"/>
    <x v="400"/>
    <x v="1"/>
    <x v="1"/>
    <n v="928.81"/>
    <n v="0"/>
    <x v="5"/>
    <x v="1"/>
    <s v="AutoPost 528"/>
    <s v="AUD"/>
    <x v="0"/>
    <x v="528"/>
  </r>
  <r>
    <x v="529"/>
    <x v="198"/>
    <x v="4"/>
    <x v="4"/>
    <n v="0"/>
    <n v="4936.62"/>
    <x v="2"/>
    <x v="2"/>
    <s v="AutoPost 529"/>
    <s v="GBP"/>
    <x v="8"/>
    <x v="529"/>
  </r>
  <r>
    <x v="530"/>
    <x v="400"/>
    <x v="2"/>
    <x v="2"/>
    <n v="1152.7"/>
    <n v="0"/>
    <x v="0"/>
    <x v="1"/>
    <s v="AutoPost 530"/>
    <s v="EUR"/>
    <x v="0"/>
    <x v="530"/>
  </r>
  <r>
    <x v="531"/>
    <x v="372"/>
    <x v="3"/>
    <x v="3"/>
    <n v="1793.92"/>
    <n v="0"/>
    <x v="4"/>
    <x v="4"/>
    <s v="AutoPost 531"/>
    <s v="AUD"/>
    <x v="23"/>
    <x v="531"/>
  </r>
  <r>
    <x v="532"/>
    <x v="133"/>
    <x v="1"/>
    <x v="1"/>
    <n v="1022.78"/>
    <n v="0"/>
    <x v="0"/>
    <x v="0"/>
    <s v="AutoPost 532"/>
    <s v="USD"/>
    <x v="1"/>
    <x v="532"/>
  </r>
  <r>
    <x v="533"/>
    <x v="250"/>
    <x v="0"/>
    <x v="0"/>
    <n v="0"/>
    <n v="1831.2"/>
    <x v="3"/>
    <x v="4"/>
    <s v="AutoPost 533"/>
    <s v="EUR"/>
    <x v="2"/>
    <x v="533"/>
  </r>
  <r>
    <x v="534"/>
    <x v="401"/>
    <x v="0"/>
    <x v="0"/>
    <n v="0"/>
    <n v="1273.25"/>
    <x v="3"/>
    <x v="3"/>
    <s v="AutoPost 534"/>
    <s v="EUR"/>
    <x v="5"/>
    <x v="534"/>
  </r>
  <r>
    <x v="535"/>
    <x v="64"/>
    <x v="4"/>
    <x v="4"/>
    <n v="0"/>
    <n v="3620.97"/>
    <x v="4"/>
    <x v="4"/>
    <s v="AutoPost 535"/>
    <s v="GBP"/>
    <x v="27"/>
    <x v="535"/>
  </r>
  <r>
    <x v="536"/>
    <x v="224"/>
    <x v="0"/>
    <x v="0"/>
    <n v="0"/>
    <n v="2592.4299999999998"/>
    <x v="3"/>
    <x v="0"/>
    <s v="AutoPost 536"/>
    <s v="EUR"/>
    <x v="1"/>
    <x v="536"/>
  </r>
  <r>
    <x v="537"/>
    <x v="402"/>
    <x v="1"/>
    <x v="1"/>
    <n v="1683.82"/>
    <n v="0"/>
    <x v="3"/>
    <x v="2"/>
    <s v="AutoPost 537"/>
    <s v="AUD"/>
    <x v="13"/>
    <x v="537"/>
  </r>
  <r>
    <x v="538"/>
    <x v="403"/>
    <x v="3"/>
    <x v="3"/>
    <n v="1735.98"/>
    <n v="0"/>
    <x v="0"/>
    <x v="0"/>
    <s v="AutoPost 538"/>
    <s v="AUD"/>
    <x v="3"/>
    <x v="538"/>
  </r>
  <r>
    <x v="539"/>
    <x v="404"/>
    <x v="0"/>
    <x v="0"/>
    <n v="0"/>
    <n v="3791.55"/>
    <x v="4"/>
    <x v="2"/>
    <s v="AutoPost 539"/>
    <s v="EUR"/>
    <x v="5"/>
    <x v="539"/>
  </r>
  <r>
    <x v="540"/>
    <x v="405"/>
    <x v="4"/>
    <x v="4"/>
    <n v="0"/>
    <n v="2119.27"/>
    <x v="0"/>
    <x v="0"/>
    <s v="AutoPost 540"/>
    <s v="USD"/>
    <x v="2"/>
    <x v="540"/>
  </r>
  <r>
    <x v="541"/>
    <x v="208"/>
    <x v="4"/>
    <x v="4"/>
    <n v="0"/>
    <n v="3802.31"/>
    <x v="3"/>
    <x v="2"/>
    <s v="AutoPost 541"/>
    <s v="CAD"/>
    <x v="26"/>
    <x v="541"/>
  </r>
  <r>
    <x v="542"/>
    <x v="406"/>
    <x v="4"/>
    <x v="4"/>
    <n v="0"/>
    <n v="1414.25"/>
    <x v="0"/>
    <x v="3"/>
    <s v="AutoPost 542"/>
    <s v="USD"/>
    <x v="2"/>
    <x v="542"/>
  </r>
  <r>
    <x v="543"/>
    <x v="407"/>
    <x v="0"/>
    <x v="0"/>
    <n v="0"/>
    <n v="1404.17"/>
    <x v="2"/>
    <x v="0"/>
    <s v="AutoPost 543"/>
    <s v="AUD"/>
    <x v="23"/>
    <x v="543"/>
  </r>
  <r>
    <x v="544"/>
    <x v="408"/>
    <x v="4"/>
    <x v="4"/>
    <n v="0"/>
    <n v="3160.15"/>
    <x v="4"/>
    <x v="2"/>
    <s v="AutoPost 544"/>
    <s v="CAD"/>
    <x v="29"/>
    <x v="544"/>
  </r>
  <r>
    <x v="545"/>
    <x v="409"/>
    <x v="2"/>
    <x v="2"/>
    <n v="344.52"/>
    <n v="0"/>
    <x v="4"/>
    <x v="2"/>
    <s v="AutoPost 545"/>
    <s v="AUD"/>
    <x v="29"/>
    <x v="545"/>
  </r>
  <r>
    <x v="546"/>
    <x v="360"/>
    <x v="2"/>
    <x v="2"/>
    <n v="846.89"/>
    <n v="0"/>
    <x v="3"/>
    <x v="3"/>
    <s v="AutoPost 546"/>
    <s v="GBP"/>
    <x v="15"/>
    <x v="546"/>
  </r>
  <r>
    <x v="547"/>
    <x v="306"/>
    <x v="3"/>
    <x v="3"/>
    <n v="1316.39"/>
    <n v="0"/>
    <x v="4"/>
    <x v="4"/>
    <s v="AutoPost 547"/>
    <s v="CAD"/>
    <x v="5"/>
    <x v="547"/>
  </r>
  <r>
    <x v="548"/>
    <x v="410"/>
    <x v="3"/>
    <x v="3"/>
    <n v="1731.71"/>
    <n v="0"/>
    <x v="0"/>
    <x v="2"/>
    <s v="AutoPost 548"/>
    <s v="GBP"/>
    <x v="10"/>
    <x v="548"/>
  </r>
  <r>
    <x v="549"/>
    <x v="340"/>
    <x v="1"/>
    <x v="1"/>
    <n v="1683.19"/>
    <n v="0"/>
    <x v="4"/>
    <x v="2"/>
    <s v="AutoPost 549"/>
    <s v="USD"/>
    <x v="0"/>
    <x v="549"/>
  </r>
  <r>
    <x v="550"/>
    <x v="411"/>
    <x v="2"/>
    <x v="2"/>
    <n v="225.82"/>
    <n v="0"/>
    <x v="3"/>
    <x v="2"/>
    <s v="AutoPost 550"/>
    <s v="GBP"/>
    <x v="15"/>
    <x v="550"/>
  </r>
  <r>
    <x v="551"/>
    <x v="294"/>
    <x v="0"/>
    <x v="0"/>
    <n v="0"/>
    <n v="3218.47"/>
    <x v="2"/>
    <x v="2"/>
    <s v="AutoPost 551"/>
    <s v="AUD"/>
    <x v="29"/>
    <x v="551"/>
  </r>
  <r>
    <x v="552"/>
    <x v="154"/>
    <x v="4"/>
    <x v="4"/>
    <n v="0"/>
    <n v="489.03"/>
    <x v="2"/>
    <x v="0"/>
    <s v="AutoPost 552"/>
    <s v="CAD"/>
    <x v="3"/>
    <x v="552"/>
  </r>
  <r>
    <x v="553"/>
    <x v="27"/>
    <x v="3"/>
    <x v="3"/>
    <n v="558.76"/>
    <n v="0"/>
    <x v="2"/>
    <x v="3"/>
    <s v="AutoPost 553"/>
    <s v="USD"/>
    <x v="19"/>
    <x v="553"/>
  </r>
  <r>
    <x v="554"/>
    <x v="267"/>
    <x v="0"/>
    <x v="0"/>
    <n v="0"/>
    <n v="3368.07"/>
    <x v="3"/>
    <x v="1"/>
    <s v="AutoPost 554"/>
    <s v="GBP"/>
    <x v="14"/>
    <x v="554"/>
  </r>
  <r>
    <x v="555"/>
    <x v="82"/>
    <x v="1"/>
    <x v="1"/>
    <n v="1354.74"/>
    <n v="0"/>
    <x v="1"/>
    <x v="0"/>
    <s v="AutoPost 555"/>
    <s v="CAD"/>
    <x v="28"/>
    <x v="555"/>
  </r>
  <r>
    <x v="556"/>
    <x v="412"/>
    <x v="3"/>
    <x v="3"/>
    <n v="421.39"/>
    <n v="0"/>
    <x v="4"/>
    <x v="2"/>
    <s v="AutoPost 556"/>
    <s v="USD"/>
    <x v="26"/>
    <x v="556"/>
  </r>
  <r>
    <x v="557"/>
    <x v="413"/>
    <x v="3"/>
    <x v="3"/>
    <n v="618.39"/>
    <n v="0"/>
    <x v="1"/>
    <x v="2"/>
    <s v="AutoPost 557"/>
    <s v="GBP"/>
    <x v="11"/>
    <x v="557"/>
  </r>
  <r>
    <x v="558"/>
    <x v="14"/>
    <x v="2"/>
    <x v="2"/>
    <n v="1649.25"/>
    <n v="0"/>
    <x v="3"/>
    <x v="1"/>
    <s v="AutoPost 558"/>
    <s v="AUD"/>
    <x v="12"/>
    <x v="558"/>
  </r>
  <r>
    <x v="559"/>
    <x v="120"/>
    <x v="0"/>
    <x v="0"/>
    <n v="0"/>
    <n v="3741.45"/>
    <x v="3"/>
    <x v="3"/>
    <s v="AutoPost 559"/>
    <s v="GBP"/>
    <x v="28"/>
    <x v="559"/>
  </r>
  <r>
    <x v="560"/>
    <x v="414"/>
    <x v="0"/>
    <x v="0"/>
    <n v="0"/>
    <n v="3563.43"/>
    <x v="1"/>
    <x v="4"/>
    <s v="AutoPost 560"/>
    <s v="USD"/>
    <x v="24"/>
    <x v="560"/>
  </r>
  <r>
    <x v="561"/>
    <x v="87"/>
    <x v="2"/>
    <x v="2"/>
    <n v="1010.12"/>
    <n v="0"/>
    <x v="1"/>
    <x v="2"/>
    <s v="AutoPost 561"/>
    <s v="USD"/>
    <x v="10"/>
    <x v="561"/>
  </r>
  <r>
    <x v="562"/>
    <x v="284"/>
    <x v="0"/>
    <x v="0"/>
    <n v="0"/>
    <n v="4926.55"/>
    <x v="2"/>
    <x v="3"/>
    <s v="AutoPost 562"/>
    <s v="USD"/>
    <x v="5"/>
    <x v="562"/>
  </r>
  <r>
    <x v="563"/>
    <x v="86"/>
    <x v="0"/>
    <x v="0"/>
    <n v="0"/>
    <n v="3762.76"/>
    <x v="5"/>
    <x v="4"/>
    <s v="AutoPost 563"/>
    <s v="USD"/>
    <x v="7"/>
    <x v="563"/>
  </r>
  <r>
    <x v="564"/>
    <x v="391"/>
    <x v="3"/>
    <x v="3"/>
    <n v="372.65"/>
    <n v="0"/>
    <x v="1"/>
    <x v="4"/>
    <s v="AutoPost 564"/>
    <s v="AUD"/>
    <x v="4"/>
    <x v="564"/>
  </r>
  <r>
    <x v="565"/>
    <x v="415"/>
    <x v="3"/>
    <x v="3"/>
    <n v="1040.76"/>
    <n v="0"/>
    <x v="4"/>
    <x v="2"/>
    <s v="AutoPost 565"/>
    <s v="GBP"/>
    <x v="26"/>
    <x v="565"/>
  </r>
  <r>
    <x v="566"/>
    <x v="260"/>
    <x v="3"/>
    <x v="3"/>
    <n v="1458.37"/>
    <n v="0"/>
    <x v="2"/>
    <x v="0"/>
    <s v="AutoPost 566"/>
    <s v="AUD"/>
    <x v="10"/>
    <x v="566"/>
  </r>
  <r>
    <x v="567"/>
    <x v="416"/>
    <x v="4"/>
    <x v="4"/>
    <n v="0"/>
    <n v="529.02"/>
    <x v="4"/>
    <x v="3"/>
    <s v="AutoPost 567"/>
    <s v="GBP"/>
    <x v="1"/>
    <x v="567"/>
  </r>
  <r>
    <x v="568"/>
    <x v="417"/>
    <x v="4"/>
    <x v="4"/>
    <n v="0"/>
    <n v="4167.67"/>
    <x v="4"/>
    <x v="1"/>
    <s v="AutoPost 568"/>
    <s v="USD"/>
    <x v="23"/>
    <x v="568"/>
  </r>
  <r>
    <x v="569"/>
    <x v="408"/>
    <x v="3"/>
    <x v="3"/>
    <n v="1788.83"/>
    <n v="0"/>
    <x v="2"/>
    <x v="0"/>
    <s v="AutoPost 569"/>
    <s v="EUR"/>
    <x v="29"/>
    <x v="569"/>
  </r>
  <r>
    <x v="570"/>
    <x v="418"/>
    <x v="3"/>
    <x v="3"/>
    <n v="929.85"/>
    <n v="0"/>
    <x v="2"/>
    <x v="2"/>
    <s v="AutoPost 570"/>
    <s v="USD"/>
    <x v="23"/>
    <x v="570"/>
  </r>
  <r>
    <x v="571"/>
    <x v="102"/>
    <x v="0"/>
    <x v="0"/>
    <n v="0"/>
    <n v="3706.89"/>
    <x v="2"/>
    <x v="2"/>
    <s v="AutoPost 571"/>
    <s v="CAD"/>
    <x v="16"/>
    <x v="571"/>
  </r>
  <r>
    <x v="572"/>
    <x v="419"/>
    <x v="0"/>
    <x v="0"/>
    <n v="0"/>
    <n v="4692.96"/>
    <x v="2"/>
    <x v="4"/>
    <s v="AutoPost 572"/>
    <s v="CAD"/>
    <x v="13"/>
    <x v="572"/>
  </r>
  <r>
    <x v="573"/>
    <x v="420"/>
    <x v="2"/>
    <x v="2"/>
    <n v="179.56"/>
    <n v="0"/>
    <x v="4"/>
    <x v="0"/>
    <s v="AutoPost 573"/>
    <s v="GBP"/>
    <x v="25"/>
    <x v="573"/>
  </r>
  <r>
    <x v="574"/>
    <x v="421"/>
    <x v="3"/>
    <x v="3"/>
    <n v="649.71"/>
    <n v="0"/>
    <x v="0"/>
    <x v="2"/>
    <s v="AutoPost 574"/>
    <s v="GBP"/>
    <x v="26"/>
    <x v="574"/>
  </r>
  <r>
    <x v="575"/>
    <x v="422"/>
    <x v="4"/>
    <x v="4"/>
    <n v="0"/>
    <n v="3347.45"/>
    <x v="0"/>
    <x v="0"/>
    <s v="AutoPost 575"/>
    <s v="USD"/>
    <x v="6"/>
    <x v="575"/>
  </r>
  <r>
    <x v="576"/>
    <x v="423"/>
    <x v="4"/>
    <x v="4"/>
    <n v="0"/>
    <n v="2584"/>
    <x v="1"/>
    <x v="3"/>
    <s v="AutoPost 576"/>
    <s v="EUR"/>
    <x v="19"/>
    <x v="576"/>
  </r>
  <r>
    <x v="577"/>
    <x v="424"/>
    <x v="0"/>
    <x v="0"/>
    <n v="0"/>
    <n v="4254.54"/>
    <x v="3"/>
    <x v="1"/>
    <s v="AutoPost 577"/>
    <s v="CAD"/>
    <x v="4"/>
    <x v="577"/>
  </r>
  <r>
    <x v="578"/>
    <x v="417"/>
    <x v="0"/>
    <x v="0"/>
    <n v="0"/>
    <n v="1301.08"/>
    <x v="2"/>
    <x v="3"/>
    <s v="AutoPost 578"/>
    <s v="GBP"/>
    <x v="23"/>
    <x v="578"/>
  </r>
  <r>
    <x v="579"/>
    <x v="425"/>
    <x v="4"/>
    <x v="4"/>
    <n v="0"/>
    <n v="1565.18"/>
    <x v="1"/>
    <x v="2"/>
    <s v="AutoPost 579"/>
    <s v="USD"/>
    <x v="29"/>
    <x v="579"/>
  </r>
  <r>
    <x v="580"/>
    <x v="273"/>
    <x v="1"/>
    <x v="1"/>
    <n v="69.31"/>
    <n v="0"/>
    <x v="0"/>
    <x v="4"/>
    <s v="AutoPost 580"/>
    <s v="USD"/>
    <x v="19"/>
    <x v="580"/>
  </r>
  <r>
    <x v="581"/>
    <x v="426"/>
    <x v="1"/>
    <x v="1"/>
    <n v="1752.75"/>
    <n v="0"/>
    <x v="1"/>
    <x v="0"/>
    <s v="AutoPost 581"/>
    <s v="CAD"/>
    <x v="26"/>
    <x v="581"/>
  </r>
  <r>
    <x v="582"/>
    <x v="361"/>
    <x v="4"/>
    <x v="4"/>
    <n v="0"/>
    <n v="759.16"/>
    <x v="5"/>
    <x v="2"/>
    <s v="AutoPost 582"/>
    <s v="CAD"/>
    <x v="27"/>
    <x v="582"/>
  </r>
  <r>
    <x v="583"/>
    <x v="427"/>
    <x v="2"/>
    <x v="2"/>
    <n v="350.75"/>
    <n v="0"/>
    <x v="4"/>
    <x v="2"/>
    <s v="AutoPost 583"/>
    <s v="CAD"/>
    <x v="6"/>
    <x v="583"/>
  </r>
  <r>
    <x v="584"/>
    <x v="257"/>
    <x v="2"/>
    <x v="2"/>
    <n v="1991.12"/>
    <n v="0"/>
    <x v="2"/>
    <x v="4"/>
    <s v="AutoPost 584"/>
    <s v="AUD"/>
    <x v="11"/>
    <x v="584"/>
  </r>
  <r>
    <x v="585"/>
    <x v="338"/>
    <x v="1"/>
    <x v="1"/>
    <n v="661.12"/>
    <n v="0"/>
    <x v="1"/>
    <x v="4"/>
    <s v="AutoPost 585"/>
    <s v="CAD"/>
    <x v="29"/>
    <x v="585"/>
  </r>
  <r>
    <x v="586"/>
    <x v="428"/>
    <x v="3"/>
    <x v="3"/>
    <n v="1109.8599999999999"/>
    <n v="0"/>
    <x v="5"/>
    <x v="0"/>
    <s v="AutoPost 586"/>
    <s v="EUR"/>
    <x v="27"/>
    <x v="586"/>
  </r>
  <r>
    <x v="587"/>
    <x v="429"/>
    <x v="4"/>
    <x v="4"/>
    <n v="0"/>
    <n v="4533.8"/>
    <x v="5"/>
    <x v="3"/>
    <s v="AutoPost 587"/>
    <s v="CAD"/>
    <x v="5"/>
    <x v="587"/>
  </r>
  <r>
    <x v="588"/>
    <x v="430"/>
    <x v="3"/>
    <x v="3"/>
    <n v="329.57"/>
    <n v="0"/>
    <x v="3"/>
    <x v="4"/>
    <s v="AutoPost 588"/>
    <s v="CAD"/>
    <x v="12"/>
    <x v="588"/>
  </r>
  <r>
    <x v="589"/>
    <x v="431"/>
    <x v="0"/>
    <x v="0"/>
    <n v="0"/>
    <n v="4725.13"/>
    <x v="4"/>
    <x v="0"/>
    <s v="AutoPost 589"/>
    <s v="EUR"/>
    <x v="18"/>
    <x v="589"/>
  </r>
  <r>
    <x v="590"/>
    <x v="206"/>
    <x v="3"/>
    <x v="3"/>
    <n v="206.46"/>
    <n v="0"/>
    <x v="1"/>
    <x v="3"/>
    <s v="AutoPost 590"/>
    <s v="AUD"/>
    <x v="17"/>
    <x v="590"/>
  </r>
  <r>
    <x v="591"/>
    <x v="432"/>
    <x v="2"/>
    <x v="2"/>
    <n v="402.92"/>
    <n v="0"/>
    <x v="5"/>
    <x v="2"/>
    <s v="AutoPost 591"/>
    <s v="GBP"/>
    <x v="5"/>
    <x v="591"/>
  </r>
  <r>
    <x v="592"/>
    <x v="406"/>
    <x v="4"/>
    <x v="4"/>
    <n v="0"/>
    <n v="4295.83"/>
    <x v="2"/>
    <x v="0"/>
    <s v="AutoPost 592"/>
    <s v="GBP"/>
    <x v="2"/>
    <x v="592"/>
  </r>
  <r>
    <x v="593"/>
    <x v="433"/>
    <x v="4"/>
    <x v="4"/>
    <n v="0"/>
    <n v="3237.32"/>
    <x v="4"/>
    <x v="2"/>
    <s v="AutoPost 593"/>
    <s v="GBP"/>
    <x v="6"/>
    <x v="593"/>
  </r>
  <r>
    <x v="594"/>
    <x v="362"/>
    <x v="2"/>
    <x v="2"/>
    <n v="648.30999999999995"/>
    <n v="0"/>
    <x v="4"/>
    <x v="1"/>
    <s v="AutoPost 594"/>
    <s v="GBP"/>
    <x v="9"/>
    <x v="594"/>
  </r>
  <r>
    <x v="595"/>
    <x v="153"/>
    <x v="1"/>
    <x v="1"/>
    <n v="710.64"/>
    <n v="0"/>
    <x v="0"/>
    <x v="0"/>
    <s v="AutoPost 595"/>
    <s v="EUR"/>
    <x v="0"/>
    <x v="595"/>
  </r>
  <r>
    <x v="596"/>
    <x v="434"/>
    <x v="1"/>
    <x v="1"/>
    <n v="309.33999999999997"/>
    <n v="0"/>
    <x v="4"/>
    <x v="1"/>
    <s v="AutoPost 596"/>
    <s v="EUR"/>
    <x v="27"/>
    <x v="596"/>
  </r>
  <r>
    <x v="597"/>
    <x v="435"/>
    <x v="2"/>
    <x v="2"/>
    <n v="1657.7"/>
    <n v="0"/>
    <x v="0"/>
    <x v="1"/>
    <s v="AutoPost 597"/>
    <s v="AUD"/>
    <x v="18"/>
    <x v="597"/>
  </r>
  <r>
    <x v="598"/>
    <x v="436"/>
    <x v="3"/>
    <x v="3"/>
    <n v="1748.81"/>
    <n v="0"/>
    <x v="4"/>
    <x v="0"/>
    <s v="AutoPost 598"/>
    <s v="EUR"/>
    <x v="6"/>
    <x v="598"/>
  </r>
  <r>
    <x v="599"/>
    <x v="437"/>
    <x v="2"/>
    <x v="2"/>
    <n v="278.26"/>
    <n v="0"/>
    <x v="0"/>
    <x v="2"/>
    <s v="AutoPost 599"/>
    <s v="USD"/>
    <x v="21"/>
    <x v="599"/>
  </r>
  <r>
    <x v="600"/>
    <x v="438"/>
    <x v="3"/>
    <x v="3"/>
    <n v="387.61"/>
    <n v="0"/>
    <x v="5"/>
    <x v="2"/>
    <s v="AutoPost 600"/>
    <s v="GBP"/>
    <x v="22"/>
    <x v="600"/>
  </r>
  <r>
    <x v="601"/>
    <x v="439"/>
    <x v="1"/>
    <x v="1"/>
    <n v="930.92"/>
    <n v="0"/>
    <x v="1"/>
    <x v="0"/>
    <s v="AutoPost 601"/>
    <s v="CAD"/>
    <x v="13"/>
    <x v="601"/>
  </r>
  <r>
    <x v="602"/>
    <x v="440"/>
    <x v="1"/>
    <x v="1"/>
    <n v="1231.94"/>
    <n v="0"/>
    <x v="3"/>
    <x v="1"/>
    <s v="AutoPost 602"/>
    <s v="GBP"/>
    <x v="12"/>
    <x v="602"/>
  </r>
  <r>
    <x v="603"/>
    <x v="441"/>
    <x v="3"/>
    <x v="3"/>
    <n v="1911.86"/>
    <n v="0"/>
    <x v="5"/>
    <x v="3"/>
    <s v="AutoPost 603"/>
    <s v="CAD"/>
    <x v="28"/>
    <x v="603"/>
  </r>
  <r>
    <x v="604"/>
    <x v="442"/>
    <x v="4"/>
    <x v="4"/>
    <n v="0"/>
    <n v="1161.8599999999999"/>
    <x v="3"/>
    <x v="2"/>
    <s v="AutoPost 604"/>
    <s v="AUD"/>
    <x v="29"/>
    <x v="604"/>
  </r>
  <r>
    <x v="605"/>
    <x v="443"/>
    <x v="3"/>
    <x v="3"/>
    <n v="622.09"/>
    <n v="0"/>
    <x v="5"/>
    <x v="4"/>
    <s v="AutoPost 605"/>
    <s v="GBP"/>
    <x v="3"/>
    <x v="605"/>
  </r>
  <r>
    <x v="606"/>
    <x v="444"/>
    <x v="2"/>
    <x v="2"/>
    <n v="895.07"/>
    <n v="0"/>
    <x v="5"/>
    <x v="3"/>
    <s v="AutoPost 606"/>
    <s v="USD"/>
    <x v="18"/>
    <x v="606"/>
  </r>
  <r>
    <x v="607"/>
    <x v="192"/>
    <x v="2"/>
    <x v="2"/>
    <n v="1093.48"/>
    <n v="0"/>
    <x v="4"/>
    <x v="1"/>
    <s v="AutoPost 607"/>
    <s v="CAD"/>
    <x v="11"/>
    <x v="607"/>
  </r>
  <r>
    <x v="608"/>
    <x v="445"/>
    <x v="0"/>
    <x v="0"/>
    <n v="0"/>
    <n v="1178.75"/>
    <x v="0"/>
    <x v="4"/>
    <s v="AutoPost 608"/>
    <s v="AUD"/>
    <x v="27"/>
    <x v="608"/>
  </r>
  <r>
    <x v="609"/>
    <x v="446"/>
    <x v="4"/>
    <x v="4"/>
    <n v="0"/>
    <n v="1843.27"/>
    <x v="0"/>
    <x v="1"/>
    <s v="AutoPost 609"/>
    <s v="CAD"/>
    <x v="26"/>
    <x v="609"/>
  </r>
  <r>
    <x v="610"/>
    <x v="133"/>
    <x v="2"/>
    <x v="2"/>
    <n v="1239.45"/>
    <n v="0"/>
    <x v="2"/>
    <x v="1"/>
    <s v="AutoPost 610"/>
    <s v="EUR"/>
    <x v="1"/>
    <x v="610"/>
  </r>
  <r>
    <x v="611"/>
    <x v="155"/>
    <x v="0"/>
    <x v="0"/>
    <n v="0"/>
    <n v="3317.75"/>
    <x v="0"/>
    <x v="1"/>
    <s v="AutoPost 611"/>
    <s v="EUR"/>
    <x v="14"/>
    <x v="611"/>
  </r>
  <r>
    <x v="612"/>
    <x v="447"/>
    <x v="0"/>
    <x v="0"/>
    <n v="0"/>
    <n v="493.21"/>
    <x v="3"/>
    <x v="1"/>
    <s v="AutoPost 612"/>
    <s v="CAD"/>
    <x v="13"/>
    <x v="612"/>
  </r>
  <r>
    <x v="613"/>
    <x v="43"/>
    <x v="2"/>
    <x v="2"/>
    <n v="1638.5"/>
    <n v="0"/>
    <x v="2"/>
    <x v="0"/>
    <s v="AutoPost 613"/>
    <s v="GBP"/>
    <x v="18"/>
    <x v="613"/>
  </r>
  <r>
    <x v="614"/>
    <x v="80"/>
    <x v="0"/>
    <x v="0"/>
    <n v="0"/>
    <n v="1848.61"/>
    <x v="1"/>
    <x v="1"/>
    <s v="AutoPost 614"/>
    <s v="GBP"/>
    <x v="6"/>
    <x v="614"/>
  </r>
  <r>
    <x v="615"/>
    <x v="448"/>
    <x v="3"/>
    <x v="3"/>
    <n v="436.93"/>
    <n v="0"/>
    <x v="1"/>
    <x v="3"/>
    <s v="AutoPost 615"/>
    <s v="CAD"/>
    <x v="8"/>
    <x v="615"/>
  </r>
  <r>
    <x v="616"/>
    <x v="222"/>
    <x v="1"/>
    <x v="1"/>
    <n v="1498.49"/>
    <n v="0"/>
    <x v="1"/>
    <x v="2"/>
    <s v="AutoPost 616"/>
    <s v="USD"/>
    <x v="21"/>
    <x v="616"/>
  </r>
  <r>
    <x v="617"/>
    <x v="69"/>
    <x v="2"/>
    <x v="2"/>
    <n v="1030.46"/>
    <n v="0"/>
    <x v="2"/>
    <x v="0"/>
    <s v="AutoPost 617"/>
    <s v="USD"/>
    <x v="5"/>
    <x v="617"/>
  </r>
  <r>
    <x v="618"/>
    <x v="173"/>
    <x v="4"/>
    <x v="4"/>
    <n v="0"/>
    <n v="2665.08"/>
    <x v="4"/>
    <x v="0"/>
    <s v="AutoPost 618"/>
    <s v="CAD"/>
    <x v="19"/>
    <x v="618"/>
  </r>
  <r>
    <x v="619"/>
    <x v="449"/>
    <x v="3"/>
    <x v="3"/>
    <n v="416.41"/>
    <n v="0"/>
    <x v="3"/>
    <x v="1"/>
    <s v="AutoPost 619"/>
    <s v="CAD"/>
    <x v="25"/>
    <x v="619"/>
  </r>
  <r>
    <x v="620"/>
    <x v="450"/>
    <x v="0"/>
    <x v="0"/>
    <n v="0"/>
    <n v="2058.4"/>
    <x v="2"/>
    <x v="3"/>
    <s v="AutoPost 620"/>
    <s v="GBP"/>
    <x v="28"/>
    <x v="620"/>
  </r>
  <r>
    <x v="621"/>
    <x v="109"/>
    <x v="0"/>
    <x v="0"/>
    <n v="0"/>
    <n v="203.81"/>
    <x v="5"/>
    <x v="0"/>
    <s v="AutoPost 621"/>
    <s v="AUD"/>
    <x v="2"/>
    <x v="621"/>
  </r>
  <r>
    <x v="622"/>
    <x v="451"/>
    <x v="3"/>
    <x v="3"/>
    <n v="1876.28"/>
    <n v="0"/>
    <x v="4"/>
    <x v="2"/>
    <s v="AutoPost 622"/>
    <s v="CAD"/>
    <x v="26"/>
    <x v="622"/>
  </r>
  <r>
    <x v="623"/>
    <x v="375"/>
    <x v="1"/>
    <x v="1"/>
    <n v="1047.55"/>
    <n v="0"/>
    <x v="1"/>
    <x v="2"/>
    <s v="AutoPost 623"/>
    <s v="AUD"/>
    <x v="27"/>
    <x v="623"/>
  </r>
  <r>
    <x v="624"/>
    <x v="155"/>
    <x v="0"/>
    <x v="0"/>
    <n v="0"/>
    <n v="3567.5"/>
    <x v="4"/>
    <x v="3"/>
    <s v="AutoPost 624"/>
    <s v="EUR"/>
    <x v="14"/>
    <x v="624"/>
  </r>
  <r>
    <x v="625"/>
    <x v="240"/>
    <x v="0"/>
    <x v="0"/>
    <n v="0"/>
    <n v="1073.3499999999999"/>
    <x v="1"/>
    <x v="0"/>
    <s v="AutoPost 625"/>
    <s v="CAD"/>
    <x v="11"/>
    <x v="625"/>
  </r>
  <r>
    <x v="626"/>
    <x v="82"/>
    <x v="2"/>
    <x v="2"/>
    <n v="1340.18"/>
    <n v="0"/>
    <x v="0"/>
    <x v="0"/>
    <s v="AutoPost 626"/>
    <s v="USD"/>
    <x v="28"/>
    <x v="626"/>
  </r>
  <r>
    <x v="627"/>
    <x v="197"/>
    <x v="4"/>
    <x v="4"/>
    <n v="0"/>
    <n v="2847.98"/>
    <x v="0"/>
    <x v="4"/>
    <s v="AutoPost 627"/>
    <s v="USD"/>
    <x v="16"/>
    <x v="627"/>
  </r>
  <r>
    <x v="628"/>
    <x v="111"/>
    <x v="1"/>
    <x v="1"/>
    <n v="1084.3800000000001"/>
    <n v="0"/>
    <x v="5"/>
    <x v="0"/>
    <s v="AutoPost 628"/>
    <s v="GBP"/>
    <x v="2"/>
    <x v="628"/>
  </r>
  <r>
    <x v="629"/>
    <x v="452"/>
    <x v="1"/>
    <x v="1"/>
    <n v="1437.11"/>
    <n v="0"/>
    <x v="4"/>
    <x v="3"/>
    <s v="AutoPost 629"/>
    <s v="USD"/>
    <x v="19"/>
    <x v="629"/>
  </r>
  <r>
    <x v="630"/>
    <x v="453"/>
    <x v="0"/>
    <x v="0"/>
    <n v="0"/>
    <n v="4116.3900000000003"/>
    <x v="1"/>
    <x v="4"/>
    <s v="AutoPost 630"/>
    <s v="GBP"/>
    <x v="1"/>
    <x v="630"/>
  </r>
  <r>
    <x v="631"/>
    <x v="454"/>
    <x v="3"/>
    <x v="3"/>
    <n v="1732.79"/>
    <n v="0"/>
    <x v="1"/>
    <x v="2"/>
    <s v="AutoPost 631"/>
    <s v="CAD"/>
    <x v="24"/>
    <x v="631"/>
  </r>
  <r>
    <x v="632"/>
    <x v="30"/>
    <x v="1"/>
    <x v="1"/>
    <n v="1107.71"/>
    <n v="0"/>
    <x v="5"/>
    <x v="1"/>
    <s v="AutoPost 632"/>
    <s v="GBP"/>
    <x v="20"/>
    <x v="632"/>
  </r>
  <r>
    <x v="633"/>
    <x v="244"/>
    <x v="4"/>
    <x v="4"/>
    <n v="0"/>
    <n v="303.27"/>
    <x v="1"/>
    <x v="3"/>
    <s v="AutoPost 633"/>
    <s v="AUD"/>
    <x v="4"/>
    <x v="633"/>
  </r>
  <r>
    <x v="634"/>
    <x v="390"/>
    <x v="1"/>
    <x v="1"/>
    <n v="608.84"/>
    <n v="0"/>
    <x v="5"/>
    <x v="4"/>
    <s v="AutoPost 634"/>
    <s v="AUD"/>
    <x v="14"/>
    <x v="634"/>
  </r>
  <r>
    <x v="635"/>
    <x v="455"/>
    <x v="2"/>
    <x v="2"/>
    <n v="1438.43"/>
    <n v="0"/>
    <x v="1"/>
    <x v="2"/>
    <s v="AutoPost 635"/>
    <s v="CAD"/>
    <x v="22"/>
    <x v="635"/>
  </r>
  <r>
    <x v="636"/>
    <x v="268"/>
    <x v="0"/>
    <x v="0"/>
    <n v="0"/>
    <n v="1141.46"/>
    <x v="4"/>
    <x v="4"/>
    <s v="AutoPost 636"/>
    <s v="EUR"/>
    <x v="18"/>
    <x v="636"/>
  </r>
  <r>
    <x v="637"/>
    <x v="456"/>
    <x v="2"/>
    <x v="2"/>
    <n v="1263.43"/>
    <n v="0"/>
    <x v="4"/>
    <x v="1"/>
    <s v="AutoPost 637"/>
    <s v="CAD"/>
    <x v="25"/>
    <x v="637"/>
  </r>
  <r>
    <x v="638"/>
    <x v="206"/>
    <x v="0"/>
    <x v="0"/>
    <n v="0"/>
    <n v="3107.95"/>
    <x v="1"/>
    <x v="0"/>
    <s v="AutoPost 638"/>
    <s v="GBP"/>
    <x v="17"/>
    <x v="638"/>
  </r>
  <r>
    <x v="639"/>
    <x v="457"/>
    <x v="1"/>
    <x v="1"/>
    <n v="1600.99"/>
    <n v="0"/>
    <x v="4"/>
    <x v="4"/>
    <s v="AutoPost 639"/>
    <s v="CAD"/>
    <x v="26"/>
    <x v="639"/>
  </r>
  <r>
    <x v="640"/>
    <x v="394"/>
    <x v="1"/>
    <x v="1"/>
    <n v="563.6"/>
    <n v="0"/>
    <x v="0"/>
    <x v="3"/>
    <s v="AutoPost 640"/>
    <s v="USD"/>
    <x v="23"/>
    <x v="640"/>
  </r>
  <r>
    <x v="641"/>
    <x v="37"/>
    <x v="1"/>
    <x v="1"/>
    <n v="961.83"/>
    <n v="0"/>
    <x v="3"/>
    <x v="4"/>
    <s v="AutoPost 641"/>
    <s v="GBP"/>
    <x v="22"/>
    <x v="641"/>
  </r>
  <r>
    <x v="642"/>
    <x v="201"/>
    <x v="2"/>
    <x v="2"/>
    <n v="1455.41"/>
    <n v="0"/>
    <x v="4"/>
    <x v="2"/>
    <s v="AutoPost 642"/>
    <s v="USD"/>
    <x v="5"/>
    <x v="642"/>
  </r>
  <r>
    <x v="643"/>
    <x v="322"/>
    <x v="1"/>
    <x v="1"/>
    <n v="1057.3599999999999"/>
    <n v="0"/>
    <x v="0"/>
    <x v="1"/>
    <s v="AutoPost 643"/>
    <s v="USD"/>
    <x v="14"/>
    <x v="643"/>
  </r>
  <r>
    <x v="644"/>
    <x v="337"/>
    <x v="4"/>
    <x v="4"/>
    <n v="0"/>
    <n v="3358.16"/>
    <x v="1"/>
    <x v="4"/>
    <s v="AutoPost 644"/>
    <s v="EUR"/>
    <x v="0"/>
    <x v="644"/>
  </r>
  <r>
    <x v="645"/>
    <x v="338"/>
    <x v="4"/>
    <x v="4"/>
    <n v="0"/>
    <n v="1525.47"/>
    <x v="2"/>
    <x v="3"/>
    <s v="AutoPost 645"/>
    <s v="GBP"/>
    <x v="29"/>
    <x v="645"/>
  </r>
  <r>
    <x v="646"/>
    <x v="458"/>
    <x v="3"/>
    <x v="3"/>
    <n v="707.2"/>
    <n v="0"/>
    <x v="4"/>
    <x v="0"/>
    <s v="AutoPost 646"/>
    <s v="EUR"/>
    <x v="18"/>
    <x v="646"/>
  </r>
  <r>
    <x v="647"/>
    <x v="107"/>
    <x v="2"/>
    <x v="2"/>
    <n v="1209.72"/>
    <n v="0"/>
    <x v="2"/>
    <x v="2"/>
    <s v="AutoPost 647"/>
    <s v="AUD"/>
    <x v="27"/>
    <x v="647"/>
  </r>
  <r>
    <x v="648"/>
    <x v="22"/>
    <x v="1"/>
    <x v="1"/>
    <n v="1696.57"/>
    <n v="0"/>
    <x v="0"/>
    <x v="2"/>
    <s v="AutoPost 648"/>
    <s v="GBP"/>
    <x v="0"/>
    <x v="648"/>
  </r>
  <r>
    <x v="649"/>
    <x v="350"/>
    <x v="0"/>
    <x v="0"/>
    <n v="0"/>
    <n v="2657.38"/>
    <x v="5"/>
    <x v="1"/>
    <s v="AutoPost 649"/>
    <s v="GBP"/>
    <x v="11"/>
    <x v="649"/>
  </r>
  <r>
    <x v="650"/>
    <x v="75"/>
    <x v="0"/>
    <x v="0"/>
    <n v="0"/>
    <n v="4294.0600000000004"/>
    <x v="1"/>
    <x v="3"/>
    <s v="AutoPost 650"/>
    <s v="USD"/>
    <x v="13"/>
    <x v="650"/>
  </r>
  <r>
    <x v="651"/>
    <x v="459"/>
    <x v="0"/>
    <x v="0"/>
    <n v="0"/>
    <n v="451.28"/>
    <x v="4"/>
    <x v="1"/>
    <s v="AutoPost 651"/>
    <s v="USD"/>
    <x v="9"/>
    <x v="651"/>
  </r>
  <r>
    <x v="652"/>
    <x v="460"/>
    <x v="3"/>
    <x v="3"/>
    <n v="1730.45"/>
    <n v="0"/>
    <x v="1"/>
    <x v="3"/>
    <s v="AutoPost 652"/>
    <s v="USD"/>
    <x v="25"/>
    <x v="652"/>
  </r>
  <r>
    <x v="653"/>
    <x v="461"/>
    <x v="0"/>
    <x v="0"/>
    <n v="0"/>
    <n v="4570.1099999999997"/>
    <x v="4"/>
    <x v="4"/>
    <s v="AutoPost 653"/>
    <s v="USD"/>
    <x v="14"/>
    <x v="653"/>
  </r>
  <r>
    <x v="654"/>
    <x v="462"/>
    <x v="3"/>
    <x v="3"/>
    <n v="1200.67"/>
    <n v="0"/>
    <x v="5"/>
    <x v="0"/>
    <s v="AutoPost 654"/>
    <s v="CAD"/>
    <x v="23"/>
    <x v="654"/>
  </r>
  <r>
    <x v="655"/>
    <x v="463"/>
    <x v="1"/>
    <x v="1"/>
    <n v="1429.26"/>
    <n v="0"/>
    <x v="5"/>
    <x v="3"/>
    <s v="AutoPost 655"/>
    <s v="EUR"/>
    <x v="7"/>
    <x v="655"/>
  </r>
  <r>
    <x v="656"/>
    <x v="464"/>
    <x v="3"/>
    <x v="3"/>
    <n v="1489.09"/>
    <n v="0"/>
    <x v="0"/>
    <x v="2"/>
    <s v="AutoPost 656"/>
    <s v="EUR"/>
    <x v="4"/>
    <x v="656"/>
  </r>
  <r>
    <x v="657"/>
    <x v="465"/>
    <x v="0"/>
    <x v="0"/>
    <n v="0"/>
    <n v="1528.95"/>
    <x v="3"/>
    <x v="4"/>
    <s v="AutoPost 657"/>
    <s v="CAD"/>
    <x v="0"/>
    <x v="657"/>
  </r>
  <r>
    <x v="658"/>
    <x v="87"/>
    <x v="4"/>
    <x v="4"/>
    <n v="0"/>
    <n v="4139.3100000000004"/>
    <x v="1"/>
    <x v="1"/>
    <s v="AutoPost 658"/>
    <s v="CAD"/>
    <x v="10"/>
    <x v="658"/>
  </r>
  <r>
    <x v="659"/>
    <x v="466"/>
    <x v="2"/>
    <x v="2"/>
    <n v="1781.01"/>
    <n v="0"/>
    <x v="0"/>
    <x v="4"/>
    <s v="AutoPost 659"/>
    <s v="CAD"/>
    <x v="1"/>
    <x v="659"/>
  </r>
  <r>
    <x v="660"/>
    <x v="396"/>
    <x v="1"/>
    <x v="1"/>
    <n v="1659.6"/>
    <n v="0"/>
    <x v="1"/>
    <x v="3"/>
    <s v="AutoPost 660"/>
    <s v="GBP"/>
    <x v="3"/>
    <x v="660"/>
  </r>
  <r>
    <x v="661"/>
    <x v="255"/>
    <x v="2"/>
    <x v="2"/>
    <n v="1220.3"/>
    <n v="0"/>
    <x v="2"/>
    <x v="1"/>
    <s v="AutoPost 661"/>
    <s v="USD"/>
    <x v="12"/>
    <x v="661"/>
  </r>
  <r>
    <x v="662"/>
    <x v="467"/>
    <x v="1"/>
    <x v="1"/>
    <n v="1327.71"/>
    <n v="0"/>
    <x v="3"/>
    <x v="3"/>
    <s v="AutoPost 662"/>
    <s v="EUR"/>
    <x v="26"/>
    <x v="662"/>
  </r>
  <r>
    <x v="663"/>
    <x v="418"/>
    <x v="1"/>
    <x v="1"/>
    <n v="1760.57"/>
    <n v="0"/>
    <x v="3"/>
    <x v="1"/>
    <s v="AutoPost 663"/>
    <s v="GBP"/>
    <x v="23"/>
    <x v="663"/>
  </r>
  <r>
    <x v="664"/>
    <x v="197"/>
    <x v="2"/>
    <x v="2"/>
    <n v="832.19"/>
    <n v="0"/>
    <x v="2"/>
    <x v="0"/>
    <s v="AutoPost 664"/>
    <s v="AUD"/>
    <x v="16"/>
    <x v="664"/>
  </r>
  <r>
    <x v="665"/>
    <x v="46"/>
    <x v="1"/>
    <x v="1"/>
    <n v="243.79"/>
    <n v="0"/>
    <x v="1"/>
    <x v="2"/>
    <s v="AutoPost 665"/>
    <s v="CAD"/>
    <x v="14"/>
    <x v="665"/>
  </r>
  <r>
    <x v="666"/>
    <x v="165"/>
    <x v="3"/>
    <x v="3"/>
    <n v="560.62"/>
    <n v="0"/>
    <x v="0"/>
    <x v="1"/>
    <s v="AutoPost 666"/>
    <s v="AUD"/>
    <x v="12"/>
    <x v="666"/>
  </r>
  <r>
    <x v="667"/>
    <x v="445"/>
    <x v="4"/>
    <x v="4"/>
    <n v="0"/>
    <n v="4106.57"/>
    <x v="3"/>
    <x v="0"/>
    <s v="AutoPost 667"/>
    <s v="GBP"/>
    <x v="27"/>
    <x v="667"/>
  </r>
  <r>
    <x v="668"/>
    <x v="468"/>
    <x v="3"/>
    <x v="3"/>
    <n v="873.19"/>
    <n v="0"/>
    <x v="2"/>
    <x v="1"/>
    <s v="AutoPost 668"/>
    <s v="GBP"/>
    <x v="13"/>
    <x v="668"/>
  </r>
  <r>
    <x v="669"/>
    <x v="469"/>
    <x v="4"/>
    <x v="4"/>
    <n v="0"/>
    <n v="541.23"/>
    <x v="3"/>
    <x v="2"/>
    <s v="AutoPost 669"/>
    <s v="CAD"/>
    <x v="27"/>
    <x v="669"/>
  </r>
  <r>
    <x v="670"/>
    <x v="470"/>
    <x v="1"/>
    <x v="1"/>
    <n v="793.98"/>
    <n v="0"/>
    <x v="2"/>
    <x v="3"/>
    <s v="AutoPost 670"/>
    <s v="EUR"/>
    <x v="7"/>
    <x v="670"/>
  </r>
  <r>
    <x v="671"/>
    <x v="471"/>
    <x v="3"/>
    <x v="3"/>
    <n v="644.58000000000004"/>
    <n v="0"/>
    <x v="5"/>
    <x v="2"/>
    <s v="AutoPost 671"/>
    <s v="USD"/>
    <x v="22"/>
    <x v="671"/>
  </r>
  <r>
    <x v="672"/>
    <x v="177"/>
    <x v="3"/>
    <x v="3"/>
    <n v="222.19"/>
    <n v="0"/>
    <x v="3"/>
    <x v="3"/>
    <s v="AutoPost 672"/>
    <s v="GBP"/>
    <x v="24"/>
    <x v="672"/>
  </r>
  <r>
    <x v="673"/>
    <x v="105"/>
    <x v="2"/>
    <x v="2"/>
    <n v="296.98"/>
    <n v="0"/>
    <x v="5"/>
    <x v="4"/>
    <s v="AutoPost 673"/>
    <s v="AUD"/>
    <x v="16"/>
    <x v="673"/>
  </r>
  <r>
    <x v="674"/>
    <x v="53"/>
    <x v="3"/>
    <x v="3"/>
    <n v="1919.89"/>
    <n v="0"/>
    <x v="0"/>
    <x v="3"/>
    <s v="AutoPost 674"/>
    <s v="CAD"/>
    <x v="7"/>
    <x v="674"/>
  </r>
  <r>
    <x v="675"/>
    <x v="358"/>
    <x v="4"/>
    <x v="4"/>
    <n v="0"/>
    <n v="3948.96"/>
    <x v="3"/>
    <x v="3"/>
    <s v="AutoPost 675"/>
    <s v="EUR"/>
    <x v="1"/>
    <x v="675"/>
  </r>
  <r>
    <x v="676"/>
    <x v="391"/>
    <x v="0"/>
    <x v="0"/>
    <n v="0"/>
    <n v="1952.91"/>
    <x v="4"/>
    <x v="0"/>
    <s v="AutoPost 676"/>
    <s v="EUR"/>
    <x v="4"/>
    <x v="676"/>
  </r>
  <r>
    <x v="677"/>
    <x v="433"/>
    <x v="0"/>
    <x v="0"/>
    <n v="0"/>
    <n v="4819.25"/>
    <x v="5"/>
    <x v="0"/>
    <s v="AutoPost 677"/>
    <s v="USD"/>
    <x v="6"/>
    <x v="677"/>
  </r>
  <r>
    <x v="678"/>
    <x v="472"/>
    <x v="2"/>
    <x v="2"/>
    <n v="385.69"/>
    <n v="0"/>
    <x v="3"/>
    <x v="4"/>
    <s v="AutoPost 678"/>
    <s v="AUD"/>
    <x v="29"/>
    <x v="678"/>
  </r>
  <r>
    <x v="679"/>
    <x v="267"/>
    <x v="3"/>
    <x v="3"/>
    <n v="269.3"/>
    <n v="0"/>
    <x v="4"/>
    <x v="4"/>
    <s v="AutoPost 679"/>
    <s v="EUR"/>
    <x v="14"/>
    <x v="679"/>
  </r>
  <r>
    <x v="680"/>
    <x v="265"/>
    <x v="4"/>
    <x v="4"/>
    <n v="0"/>
    <n v="4910.29"/>
    <x v="0"/>
    <x v="4"/>
    <s v="AutoPost 680"/>
    <s v="GBP"/>
    <x v="21"/>
    <x v="680"/>
  </r>
  <r>
    <x v="681"/>
    <x v="207"/>
    <x v="4"/>
    <x v="4"/>
    <n v="0"/>
    <n v="2866.16"/>
    <x v="4"/>
    <x v="3"/>
    <s v="AutoPost 681"/>
    <s v="AUD"/>
    <x v="7"/>
    <x v="681"/>
  </r>
  <r>
    <x v="682"/>
    <x v="126"/>
    <x v="3"/>
    <x v="3"/>
    <n v="151.68"/>
    <n v="0"/>
    <x v="2"/>
    <x v="3"/>
    <s v="AutoPost 682"/>
    <s v="AUD"/>
    <x v="19"/>
    <x v="682"/>
  </r>
  <r>
    <x v="683"/>
    <x v="473"/>
    <x v="4"/>
    <x v="4"/>
    <n v="0"/>
    <n v="1246.53"/>
    <x v="2"/>
    <x v="2"/>
    <s v="AutoPost 683"/>
    <s v="USD"/>
    <x v="4"/>
    <x v="683"/>
  </r>
  <r>
    <x v="684"/>
    <x v="474"/>
    <x v="2"/>
    <x v="2"/>
    <n v="1724.65"/>
    <n v="0"/>
    <x v="4"/>
    <x v="0"/>
    <s v="AutoPost 684"/>
    <s v="GBP"/>
    <x v="23"/>
    <x v="684"/>
  </r>
  <r>
    <x v="685"/>
    <x v="475"/>
    <x v="3"/>
    <x v="3"/>
    <n v="1411.99"/>
    <n v="0"/>
    <x v="0"/>
    <x v="3"/>
    <s v="AutoPost 685"/>
    <s v="USD"/>
    <x v="28"/>
    <x v="685"/>
  </r>
  <r>
    <x v="686"/>
    <x v="476"/>
    <x v="3"/>
    <x v="3"/>
    <n v="753.12"/>
    <n v="0"/>
    <x v="4"/>
    <x v="2"/>
    <s v="AutoPost 686"/>
    <s v="USD"/>
    <x v="20"/>
    <x v="686"/>
  </r>
  <r>
    <x v="687"/>
    <x v="477"/>
    <x v="0"/>
    <x v="0"/>
    <n v="0"/>
    <n v="3744.19"/>
    <x v="4"/>
    <x v="4"/>
    <s v="AutoPost 687"/>
    <s v="EUR"/>
    <x v="10"/>
    <x v="687"/>
  </r>
  <r>
    <x v="688"/>
    <x v="478"/>
    <x v="1"/>
    <x v="1"/>
    <n v="906.55"/>
    <n v="0"/>
    <x v="0"/>
    <x v="3"/>
    <s v="AutoPost 688"/>
    <s v="CAD"/>
    <x v="16"/>
    <x v="688"/>
  </r>
  <r>
    <x v="689"/>
    <x v="414"/>
    <x v="3"/>
    <x v="3"/>
    <n v="215.69"/>
    <n v="0"/>
    <x v="2"/>
    <x v="1"/>
    <s v="AutoPost 689"/>
    <s v="AUD"/>
    <x v="24"/>
    <x v="689"/>
  </r>
  <r>
    <x v="690"/>
    <x v="418"/>
    <x v="1"/>
    <x v="1"/>
    <n v="1478.7"/>
    <n v="0"/>
    <x v="1"/>
    <x v="4"/>
    <s v="AutoPost 690"/>
    <s v="AUD"/>
    <x v="23"/>
    <x v="690"/>
  </r>
  <r>
    <x v="691"/>
    <x v="479"/>
    <x v="0"/>
    <x v="0"/>
    <n v="0"/>
    <n v="3502.79"/>
    <x v="5"/>
    <x v="0"/>
    <s v="AutoPost 691"/>
    <s v="GBP"/>
    <x v="13"/>
    <x v="691"/>
  </r>
  <r>
    <x v="692"/>
    <x v="197"/>
    <x v="0"/>
    <x v="0"/>
    <n v="0"/>
    <n v="2828.86"/>
    <x v="0"/>
    <x v="0"/>
    <s v="AutoPost 692"/>
    <s v="USD"/>
    <x v="16"/>
    <x v="692"/>
  </r>
  <r>
    <x v="693"/>
    <x v="24"/>
    <x v="2"/>
    <x v="2"/>
    <n v="130.63999999999999"/>
    <n v="0"/>
    <x v="4"/>
    <x v="0"/>
    <s v="AutoPost 693"/>
    <s v="EUR"/>
    <x v="8"/>
    <x v="693"/>
  </r>
  <r>
    <x v="694"/>
    <x v="480"/>
    <x v="2"/>
    <x v="2"/>
    <n v="1824.18"/>
    <n v="0"/>
    <x v="2"/>
    <x v="1"/>
    <s v="AutoPost 694"/>
    <s v="CAD"/>
    <x v="0"/>
    <x v="694"/>
  </r>
  <r>
    <x v="695"/>
    <x v="481"/>
    <x v="4"/>
    <x v="4"/>
    <n v="0"/>
    <n v="2401.06"/>
    <x v="0"/>
    <x v="0"/>
    <s v="AutoPost 695"/>
    <s v="EUR"/>
    <x v="23"/>
    <x v="695"/>
  </r>
  <r>
    <x v="696"/>
    <x v="482"/>
    <x v="4"/>
    <x v="4"/>
    <n v="0"/>
    <n v="3086.33"/>
    <x v="1"/>
    <x v="2"/>
    <s v="AutoPost 696"/>
    <s v="EUR"/>
    <x v="27"/>
    <x v="696"/>
  </r>
  <r>
    <x v="697"/>
    <x v="111"/>
    <x v="1"/>
    <x v="1"/>
    <n v="1546.69"/>
    <n v="0"/>
    <x v="1"/>
    <x v="3"/>
    <s v="AutoPost 697"/>
    <s v="GBP"/>
    <x v="2"/>
    <x v="697"/>
  </r>
  <r>
    <x v="698"/>
    <x v="483"/>
    <x v="4"/>
    <x v="4"/>
    <n v="0"/>
    <n v="2135.0700000000002"/>
    <x v="2"/>
    <x v="1"/>
    <s v="AutoPost 698"/>
    <s v="USD"/>
    <x v="16"/>
    <x v="698"/>
  </r>
  <r>
    <x v="699"/>
    <x v="300"/>
    <x v="0"/>
    <x v="0"/>
    <n v="0"/>
    <n v="337.27"/>
    <x v="4"/>
    <x v="3"/>
    <s v="AutoPost 699"/>
    <s v="EUR"/>
    <x v="8"/>
    <x v="699"/>
  </r>
  <r>
    <x v="700"/>
    <x v="435"/>
    <x v="4"/>
    <x v="4"/>
    <n v="0"/>
    <n v="4145.3100000000004"/>
    <x v="3"/>
    <x v="4"/>
    <s v="AutoPost 700"/>
    <s v="GBP"/>
    <x v="18"/>
    <x v="700"/>
  </r>
  <r>
    <x v="701"/>
    <x v="52"/>
    <x v="3"/>
    <x v="3"/>
    <n v="322.43"/>
    <n v="0"/>
    <x v="4"/>
    <x v="3"/>
    <s v="AutoPost 701"/>
    <s v="CAD"/>
    <x v="9"/>
    <x v="701"/>
  </r>
  <r>
    <x v="702"/>
    <x v="484"/>
    <x v="2"/>
    <x v="2"/>
    <n v="1350.68"/>
    <n v="0"/>
    <x v="0"/>
    <x v="3"/>
    <s v="AutoPost 702"/>
    <s v="USD"/>
    <x v="21"/>
    <x v="702"/>
  </r>
  <r>
    <x v="703"/>
    <x v="485"/>
    <x v="2"/>
    <x v="2"/>
    <n v="1038.71"/>
    <n v="0"/>
    <x v="2"/>
    <x v="1"/>
    <s v="AutoPost 703"/>
    <s v="EUR"/>
    <x v="6"/>
    <x v="703"/>
  </r>
  <r>
    <x v="704"/>
    <x v="486"/>
    <x v="1"/>
    <x v="1"/>
    <n v="1455.61"/>
    <n v="0"/>
    <x v="2"/>
    <x v="0"/>
    <s v="AutoPost 704"/>
    <s v="EUR"/>
    <x v="2"/>
    <x v="704"/>
  </r>
  <r>
    <x v="705"/>
    <x v="487"/>
    <x v="2"/>
    <x v="2"/>
    <n v="1723.07"/>
    <n v="0"/>
    <x v="5"/>
    <x v="4"/>
    <s v="AutoPost 705"/>
    <s v="GBP"/>
    <x v="20"/>
    <x v="705"/>
  </r>
  <r>
    <x v="706"/>
    <x v="7"/>
    <x v="4"/>
    <x v="4"/>
    <n v="0"/>
    <n v="965.55"/>
    <x v="0"/>
    <x v="1"/>
    <s v="AutoPost 706"/>
    <s v="EUR"/>
    <x v="6"/>
    <x v="706"/>
  </r>
  <r>
    <x v="707"/>
    <x v="488"/>
    <x v="4"/>
    <x v="4"/>
    <n v="0"/>
    <n v="1927.89"/>
    <x v="1"/>
    <x v="0"/>
    <s v="AutoPost 707"/>
    <s v="GBP"/>
    <x v="23"/>
    <x v="707"/>
  </r>
  <r>
    <x v="708"/>
    <x v="489"/>
    <x v="3"/>
    <x v="3"/>
    <n v="1789.3"/>
    <n v="0"/>
    <x v="3"/>
    <x v="4"/>
    <s v="AutoPost 708"/>
    <s v="EUR"/>
    <x v="19"/>
    <x v="708"/>
  </r>
  <r>
    <x v="709"/>
    <x v="490"/>
    <x v="4"/>
    <x v="4"/>
    <n v="0"/>
    <n v="1155.8499999999999"/>
    <x v="4"/>
    <x v="4"/>
    <s v="AutoPost 709"/>
    <s v="CAD"/>
    <x v="16"/>
    <x v="709"/>
  </r>
  <r>
    <x v="710"/>
    <x v="132"/>
    <x v="0"/>
    <x v="0"/>
    <n v="0"/>
    <n v="1701.37"/>
    <x v="3"/>
    <x v="2"/>
    <s v="AutoPost 710"/>
    <s v="USD"/>
    <x v="29"/>
    <x v="710"/>
  </r>
  <r>
    <x v="711"/>
    <x v="491"/>
    <x v="3"/>
    <x v="3"/>
    <n v="706.44"/>
    <n v="0"/>
    <x v="1"/>
    <x v="2"/>
    <s v="AutoPost 711"/>
    <s v="USD"/>
    <x v="5"/>
    <x v="711"/>
  </r>
  <r>
    <x v="712"/>
    <x v="492"/>
    <x v="0"/>
    <x v="0"/>
    <n v="0"/>
    <n v="734.04"/>
    <x v="0"/>
    <x v="4"/>
    <s v="AutoPost 712"/>
    <s v="AUD"/>
    <x v="26"/>
    <x v="712"/>
  </r>
  <r>
    <x v="713"/>
    <x v="493"/>
    <x v="3"/>
    <x v="3"/>
    <n v="1551.77"/>
    <n v="0"/>
    <x v="0"/>
    <x v="2"/>
    <s v="AutoPost 713"/>
    <s v="AUD"/>
    <x v="12"/>
    <x v="713"/>
  </r>
  <r>
    <x v="714"/>
    <x v="137"/>
    <x v="2"/>
    <x v="2"/>
    <n v="176.54"/>
    <n v="0"/>
    <x v="5"/>
    <x v="3"/>
    <s v="AutoPost 714"/>
    <s v="EUR"/>
    <x v="16"/>
    <x v="714"/>
  </r>
  <r>
    <x v="715"/>
    <x v="79"/>
    <x v="4"/>
    <x v="4"/>
    <n v="0"/>
    <n v="1019.92"/>
    <x v="2"/>
    <x v="1"/>
    <s v="AutoPost 715"/>
    <s v="AUD"/>
    <x v="27"/>
    <x v="715"/>
  </r>
  <r>
    <x v="716"/>
    <x v="494"/>
    <x v="2"/>
    <x v="2"/>
    <n v="1858.28"/>
    <n v="0"/>
    <x v="5"/>
    <x v="2"/>
    <s v="AutoPost 716"/>
    <s v="USD"/>
    <x v="21"/>
    <x v="716"/>
  </r>
  <r>
    <x v="717"/>
    <x v="314"/>
    <x v="2"/>
    <x v="2"/>
    <n v="682.74"/>
    <n v="0"/>
    <x v="0"/>
    <x v="3"/>
    <s v="AutoPost 717"/>
    <s v="USD"/>
    <x v="13"/>
    <x v="717"/>
  </r>
  <r>
    <x v="718"/>
    <x v="495"/>
    <x v="2"/>
    <x v="2"/>
    <n v="958.28"/>
    <n v="0"/>
    <x v="3"/>
    <x v="0"/>
    <s v="AutoPost 718"/>
    <s v="USD"/>
    <x v="28"/>
    <x v="718"/>
  </r>
  <r>
    <x v="719"/>
    <x v="496"/>
    <x v="4"/>
    <x v="4"/>
    <n v="0"/>
    <n v="3448.25"/>
    <x v="4"/>
    <x v="4"/>
    <s v="AutoPost 719"/>
    <s v="USD"/>
    <x v="23"/>
    <x v="719"/>
  </r>
  <r>
    <x v="720"/>
    <x v="497"/>
    <x v="1"/>
    <x v="1"/>
    <n v="863.44"/>
    <n v="0"/>
    <x v="3"/>
    <x v="3"/>
    <s v="AutoPost 720"/>
    <s v="USD"/>
    <x v="28"/>
    <x v="720"/>
  </r>
  <r>
    <x v="721"/>
    <x v="389"/>
    <x v="2"/>
    <x v="2"/>
    <n v="1764.03"/>
    <n v="0"/>
    <x v="1"/>
    <x v="0"/>
    <s v="AutoPost 721"/>
    <s v="AUD"/>
    <x v="18"/>
    <x v="721"/>
  </r>
  <r>
    <x v="722"/>
    <x v="394"/>
    <x v="3"/>
    <x v="3"/>
    <n v="1182.72"/>
    <n v="0"/>
    <x v="4"/>
    <x v="4"/>
    <s v="AutoPost 722"/>
    <s v="EUR"/>
    <x v="23"/>
    <x v="722"/>
  </r>
  <r>
    <x v="723"/>
    <x v="498"/>
    <x v="2"/>
    <x v="2"/>
    <n v="1094.9100000000001"/>
    <n v="0"/>
    <x v="1"/>
    <x v="2"/>
    <s v="AutoPost 723"/>
    <s v="GBP"/>
    <x v="12"/>
    <x v="723"/>
  </r>
  <r>
    <x v="724"/>
    <x v="499"/>
    <x v="3"/>
    <x v="3"/>
    <n v="889.16"/>
    <n v="0"/>
    <x v="1"/>
    <x v="4"/>
    <s v="AutoPost 724"/>
    <s v="GBP"/>
    <x v="19"/>
    <x v="724"/>
  </r>
  <r>
    <x v="725"/>
    <x v="269"/>
    <x v="1"/>
    <x v="1"/>
    <n v="1474.83"/>
    <n v="0"/>
    <x v="1"/>
    <x v="3"/>
    <s v="AutoPost 725"/>
    <s v="USD"/>
    <x v="0"/>
    <x v="725"/>
  </r>
  <r>
    <x v="726"/>
    <x v="271"/>
    <x v="1"/>
    <x v="1"/>
    <n v="1846.14"/>
    <n v="0"/>
    <x v="1"/>
    <x v="1"/>
    <s v="AutoPost 726"/>
    <s v="CAD"/>
    <x v="11"/>
    <x v="726"/>
  </r>
  <r>
    <x v="727"/>
    <x v="203"/>
    <x v="0"/>
    <x v="0"/>
    <n v="0"/>
    <n v="4903.1499999999996"/>
    <x v="2"/>
    <x v="2"/>
    <s v="AutoPost 727"/>
    <s v="AUD"/>
    <x v="28"/>
    <x v="727"/>
  </r>
  <r>
    <x v="728"/>
    <x v="500"/>
    <x v="0"/>
    <x v="0"/>
    <n v="0"/>
    <n v="2093.2399999999998"/>
    <x v="5"/>
    <x v="4"/>
    <s v="AutoPost 728"/>
    <s v="AUD"/>
    <x v="10"/>
    <x v="728"/>
  </r>
  <r>
    <x v="729"/>
    <x v="501"/>
    <x v="2"/>
    <x v="2"/>
    <n v="1171.3"/>
    <n v="0"/>
    <x v="0"/>
    <x v="0"/>
    <s v="AutoPost 729"/>
    <s v="CAD"/>
    <x v="1"/>
    <x v="729"/>
  </r>
  <r>
    <x v="730"/>
    <x v="502"/>
    <x v="3"/>
    <x v="3"/>
    <n v="930.25"/>
    <n v="0"/>
    <x v="2"/>
    <x v="0"/>
    <s v="AutoPost 730"/>
    <s v="GBP"/>
    <x v="15"/>
    <x v="730"/>
  </r>
  <r>
    <x v="731"/>
    <x v="503"/>
    <x v="0"/>
    <x v="0"/>
    <n v="0"/>
    <n v="4977.82"/>
    <x v="2"/>
    <x v="2"/>
    <s v="AutoPost 731"/>
    <s v="CAD"/>
    <x v="15"/>
    <x v="731"/>
  </r>
  <r>
    <x v="732"/>
    <x v="131"/>
    <x v="3"/>
    <x v="3"/>
    <n v="1937.34"/>
    <n v="0"/>
    <x v="3"/>
    <x v="4"/>
    <s v="AutoPost 732"/>
    <s v="AUD"/>
    <x v="22"/>
    <x v="732"/>
  </r>
  <r>
    <x v="733"/>
    <x v="504"/>
    <x v="0"/>
    <x v="0"/>
    <n v="0"/>
    <n v="1978.42"/>
    <x v="3"/>
    <x v="4"/>
    <s v="AutoPost 733"/>
    <s v="EUR"/>
    <x v="5"/>
    <x v="733"/>
  </r>
  <r>
    <x v="734"/>
    <x v="505"/>
    <x v="2"/>
    <x v="2"/>
    <n v="678.83"/>
    <n v="0"/>
    <x v="4"/>
    <x v="3"/>
    <s v="AutoPost 734"/>
    <s v="AUD"/>
    <x v="1"/>
    <x v="734"/>
  </r>
  <r>
    <x v="735"/>
    <x v="13"/>
    <x v="4"/>
    <x v="4"/>
    <n v="0"/>
    <n v="463.02"/>
    <x v="5"/>
    <x v="0"/>
    <s v="AutoPost 735"/>
    <s v="GBP"/>
    <x v="11"/>
    <x v="735"/>
  </r>
  <r>
    <x v="736"/>
    <x v="506"/>
    <x v="3"/>
    <x v="3"/>
    <n v="1296.07"/>
    <n v="0"/>
    <x v="1"/>
    <x v="4"/>
    <s v="AutoPost 736"/>
    <s v="AUD"/>
    <x v="7"/>
    <x v="736"/>
  </r>
  <r>
    <x v="737"/>
    <x v="436"/>
    <x v="4"/>
    <x v="4"/>
    <n v="0"/>
    <n v="3270.5"/>
    <x v="0"/>
    <x v="1"/>
    <s v="AutoPost 737"/>
    <s v="EUR"/>
    <x v="6"/>
    <x v="737"/>
  </r>
  <r>
    <x v="738"/>
    <x v="507"/>
    <x v="4"/>
    <x v="4"/>
    <n v="0"/>
    <n v="2188.77"/>
    <x v="4"/>
    <x v="3"/>
    <s v="AutoPost 738"/>
    <s v="CAD"/>
    <x v="16"/>
    <x v="738"/>
  </r>
  <r>
    <x v="739"/>
    <x v="467"/>
    <x v="1"/>
    <x v="1"/>
    <n v="655.77"/>
    <n v="0"/>
    <x v="1"/>
    <x v="4"/>
    <s v="AutoPost 739"/>
    <s v="AUD"/>
    <x v="26"/>
    <x v="739"/>
  </r>
  <r>
    <x v="740"/>
    <x v="420"/>
    <x v="2"/>
    <x v="2"/>
    <n v="407.27"/>
    <n v="0"/>
    <x v="4"/>
    <x v="3"/>
    <s v="AutoPost 740"/>
    <s v="GBP"/>
    <x v="25"/>
    <x v="740"/>
  </r>
  <r>
    <x v="741"/>
    <x v="508"/>
    <x v="3"/>
    <x v="3"/>
    <n v="744.16"/>
    <n v="0"/>
    <x v="1"/>
    <x v="0"/>
    <s v="AutoPost 741"/>
    <s v="GBP"/>
    <x v="6"/>
    <x v="741"/>
  </r>
  <r>
    <x v="742"/>
    <x v="378"/>
    <x v="4"/>
    <x v="4"/>
    <n v="0"/>
    <n v="4474.66"/>
    <x v="1"/>
    <x v="1"/>
    <s v="AutoPost 742"/>
    <s v="GBP"/>
    <x v="4"/>
    <x v="742"/>
  </r>
  <r>
    <x v="743"/>
    <x v="509"/>
    <x v="1"/>
    <x v="1"/>
    <n v="75.27"/>
    <n v="0"/>
    <x v="5"/>
    <x v="2"/>
    <s v="AutoPost 743"/>
    <s v="EUR"/>
    <x v="12"/>
    <x v="743"/>
  </r>
  <r>
    <x v="744"/>
    <x v="236"/>
    <x v="1"/>
    <x v="1"/>
    <n v="1164.26"/>
    <n v="0"/>
    <x v="1"/>
    <x v="2"/>
    <s v="AutoPost 744"/>
    <s v="EUR"/>
    <x v="2"/>
    <x v="744"/>
  </r>
  <r>
    <x v="745"/>
    <x v="435"/>
    <x v="1"/>
    <x v="1"/>
    <n v="937.56"/>
    <n v="0"/>
    <x v="0"/>
    <x v="4"/>
    <s v="AutoPost 745"/>
    <s v="AUD"/>
    <x v="18"/>
    <x v="745"/>
  </r>
  <r>
    <x v="746"/>
    <x v="510"/>
    <x v="4"/>
    <x v="4"/>
    <n v="0"/>
    <n v="4164.95"/>
    <x v="0"/>
    <x v="1"/>
    <s v="AutoPost 746"/>
    <s v="GBP"/>
    <x v="26"/>
    <x v="746"/>
  </r>
  <r>
    <x v="747"/>
    <x v="267"/>
    <x v="0"/>
    <x v="0"/>
    <n v="0"/>
    <n v="2820.1"/>
    <x v="4"/>
    <x v="3"/>
    <s v="AutoPost 747"/>
    <s v="GBP"/>
    <x v="14"/>
    <x v="747"/>
  </r>
  <r>
    <x v="748"/>
    <x v="511"/>
    <x v="0"/>
    <x v="0"/>
    <n v="0"/>
    <n v="2983.93"/>
    <x v="2"/>
    <x v="0"/>
    <s v="AutoPost 748"/>
    <s v="AUD"/>
    <x v="8"/>
    <x v="748"/>
  </r>
  <r>
    <x v="749"/>
    <x v="512"/>
    <x v="1"/>
    <x v="1"/>
    <n v="319.47000000000003"/>
    <n v="0"/>
    <x v="2"/>
    <x v="4"/>
    <s v="AutoPost 749"/>
    <s v="GBP"/>
    <x v="11"/>
    <x v="749"/>
  </r>
  <r>
    <x v="750"/>
    <x v="259"/>
    <x v="0"/>
    <x v="0"/>
    <n v="0"/>
    <n v="1222.08"/>
    <x v="1"/>
    <x v="0"/>
    <s v="AutoPost 750"/>
    <s v="USD"/>
    <x v="6"/>
    <x v="750"/>
  </r>
  <r>
    <x v="751"/>
    <x v="424"/>
    <x v="3"/>
    <x v="3"/>
    <n v="199.77"/>
    <n v="0"/>
    <x v="5"/>
    <x v="1"/>
    <s v="AutoPost 751"/>
    <s v="AUD"/>
    <x v="4"/>
    <x v="751"/>
  </r>
  <r>
    <x v="752"/>
    <x v="333"/>
    <x v="0"/>
    <x v="0"/>
    <n v="0"/>
    <n v="4349.28"/>
    <x v="1"/>
    <x v="1"/>
    <s v="AutoPost 752"/>
    <s v="AUD"/>
    <x v="14"/>
    <x v="752"/>
  </r>
  <r>
    <x v="753"/>
    <x v="103"/>
    <x v="3"/>
    <x v="3"/>
    <n v="1496.23"/>
    <n v="0"/>
    <x v="2"/>
    <x v="4"/>
    <s v="AutoPost 753"/>
    <s v="EUR"/>
    <x v="28"/>
    <x v="753"/>
  </r>
  <r>
    <x v="754"/>
    <x v="120"/>
    <x v="4"/>
    <x v="4"/>
    <n v="0"/>
    <n v="324.7"/>
    <x v="0"/>
    <x v="1"/>
    <s v="AutoPost 754"/>
    <s v="EUR"/>
    <x v="28"/>
    <x v="754"/>
  </r>
  <r>
    <x v="755"/>
    <x v="356"/>
    <x v="1"/>
    <x v="1"/>
    <n v="1504.62"/>
    <n v="0"/>
    <x v="0"/>
    <x v="3"/>
    <s v="AutoPost 755"/>
    <s v="USD"/>
    <x v="14"/>
    <x v="755"/>
  </r>
  <r>
    <x v="756"/>
    <x v="513"/>
    <x v="4"/>
    <x v="4"/>
    <n v="0"/>
    <n v="2507.58"/>
    <x v="5"/>
    <x v="1"/>
    <s v="AutoPost 756"/>
    <s v="AUD"/>
    <x v="13"/>
    <x v="756"/>
  </r>
  <r>
    <x v="757"/>
    <x v="375"/>
    <x v="3"/>
    <x v="3"/>
    <n v="837.65"/>
    <n v="0"/>
    <x v="1"/>
    <x v="3"/>
    <s v="AutoPost 757"/>
    <s v="EUR"/>
    <x v="27"/>
    <x v="757"/>
  </r>
  <r>
    <x v="758"/>
    <x v="514"/>
    <x v="2"/>
    <x v="2"/>
    <n v="787.73"/>
    <n v="0"/>
    <x v="0"/>
    <x v="1"/>
    <s v="AutoPost 758"/>
    <s v="USD"/>
    <x v="25"/>
    <x v="758"/>
  </r>
  <r>
    <x v="759"/>
    <x v="515"/>
    <x v="2"/>
    <x v="2"/>
    <n v="910.72"/>
    <n v="0"/>
    <x v="3"/>
    <x v="0"/>
    <s v="AutoPost 759"/>
    <s v="AUD"/>
    <x v="10"/>
    <x v="759"/>
  </r>
  <r>
    <x v="760"/>
    <x v="516"/>
    <x v="3"/>
    <x v="3"/>
    <n v="1362.52"/>
    <n v="0"/>
    <x v="3"/>
    <x v="0"/>
    <s v="AutoPost 760"/>
    <s v="USD"/>
    <x v="14"/>
    <x v="760"/>
  </r>
  <r>
    <x v="761"/>
    <x v="124"/>
    <x v="1"/>
    <x v="1"/>
    <n v="1261.48"/>
    <n v="0"/>
    <x v="3"/>
    <x v="1"/>
    <s v="AutoPost 761"/>
    <s v="USD"/>
    <x v="2"/>
    <x v="761"/>
  </r>
  <r>
    <x v="762"/>
    <x v="100"/>
    <x v="4"/>
    <x v="4"/>
    <n v="0"/>
    <n v="3519.33"/>
    <x v="4"/>
    <x v="2"/>
    <s v="AutoPost 762"/>
    <s v="GBP"/>
    <x v="19"/>
    <x v="762"/>
  </r>
  <r>
    <x v="763"/>
    <x v="136"/>
    <x v="1"/>
    <x v="1"/>
    <n v="1425.68"/>
    <n v="0"/>
    <x v="2"/>
    <x v="1"/>
    <s v="AutoPost 763"/>
    <s v="USD"/>
    <x v="28"/>
    <x v="763"/>
  </r>
  <r>
    <x v="764"/>
    <x v="437"/>
    <x v="4"/>
    <x v="4"/>
    <n v="0"/>
    <n v="4831.59"/>
    <x v="5"/>
    <x v="4"/>
    <s v="AutoPost 764"/>
    <s v="CAD"/>
    <x v="21"/>
    <x v="764"/>
  </r>
  <r>
    <x v="765"/>
    <x v="307"/>
    <x v="4"/>
    <x v="4"/>
    <n v="0"/>
    <n v="3282.7"/>
    <x v="4"/>
    <x v="0"/>
    <s v="AutoPost 765"/>
    <s v="AUD"/>
    <x v="1"/>
    <x v="765"/>
  </r>
  <r>
    <x v="766"/>
    <x v="517"/>
    <x v="1"/>
    <x v="1"/>
    <n v="1789.76"/>
    <n v="0"/>
    <x v="2"/>
    <x v="2"/>
    <s v="AutoPost 766"/>
    <s v="AUD"/>
    <x v="5"/>
    <x v="766"/>
  </r>
  <r>
    <x v="767"/>
    <x v="431"/>
    <x v="1"/>
    <x v="1"/>
    <n v="1557.62"/>
    <n v="0"/>
    <x v="4"/>
    <x v="3"/>
    <s v="AutoPost 767"/>
    <s v="EUR"/>
    <x v="18"/>
    <x v="767"/>
  </r>
  <r>
    <x v="768"/>
    <x v="419"/>
    <x v="0"/>
    <x v="0"/>
    <n v="0"/>
    <n v="4262.2299999999996"/>
    <x v="5"/>
    <x v="1"/>
    <s v="AutoPost 768"/>
    <s v="EUR"/>
    <x v="13"/>
    <x v="768"/>
  </r>
  <r>
    <x v="769"/>
    <x v="505"/>
    <x v="1"/>
    <x v="1"/>
    <n v="1754.04"/>
    <n v="0"/>
    <x v="3"/>
    <x v="3"/>
    <s v="AutoPost 769"/>
    <s v="EUR"/>
    <x v="1"/>
    <x v="769"/>
  </r>
  <r>
    <x v="770"/>
    <x v="518"/>
    <x v="3"/>
    <x v="3"/>
    <n v="604.27"/>
    <n v="0"/>
    <x v="5"/>
    <x v="3"/>
    <s v="AutoPost 770"/>
    <s v="EUR"/>
    <x v="10"/>
    <x v="770"/>
  </r>
  <r>
    <x v="771"/>
    <x v="393"/>
    <x v="3"/>
    <x v="3"/>
    <n v="788.46"/>
    <n v="0"/>
    <x v="4"/>
    <x v="3"/>
    <s v="AutoPost 771"/>
    <s v="CAD"/>
    <x v="26"/>
    <x v="771"/>
  </r>
  <r>
    <x v="772"/>
    <x v="519"/>
    <x v="0"/>
    <x v="0"/>
    <n v="0"/>
    <n v="1493.92"/>
    <x v="1"/>
    <x v="1"/>
    <s v="AutoPost 772"/>
    <s v="USD"/>
    <x v="4"/>
    <x v="772"/>
  </r>
  <r>
    <x v="773"/>
    <x v="480"/>
    <x v="1"/>
    <x v="1"/>
    <n v="588.44000000000005"/>
    <n v="0"/>
    <x v="3"/>
    <x v="1"/>
    <s v="AutoPost 773"/>
    <s v="CAD"/>
    <x v="0"/>
    <x v="773"/>
  </r>
  <r>
    <x v="774"/>
    <x v="182"/>
    <x v="1"/>
    <x v="1"/>
    <n v="1078.52"/>
    <n v="0"/>
    <x v="3"/>
    <x v="1"/>
    <s v="AutoPost 774"/>
    <s v="AUD"/>
    <x v="15"/>
    <x v="774"/>
  </r>
  <r>
    <x v="775"/>
    <x v="520"/>
    <x v="4"/>
    <x v="4"/>
    <n v="0"/>
    <n v="4324.54"/>
    <x v="2"/>
    <x v="0"/>
    <s v="AutoPost 775"/>
    <s v="EUR"/>
    <x v="7"/>
    <x v="775"/>
  </r>
  <r>
    <x v="776"/>
    <x v="521"/>
    <x v="4"/>
    <x v="4"/>
    <n v="0"/>
    <n v="2300.21"/>
    <x v="4"/>
    <x v="1"/>
    <s v="AutoPost 776"/>
    <s v="GBP"/>
    <x v="1"/>
    <x v="776"/>
  </r>
  <r>
    <x v="777"/>
    <x v="97"/>
    <x v="2"/>
    <x v="2"/>
    <n v="446.19"/>
    <n v="0"/>
    <x v="5"/>
    <x v="3"/>
    <s v="AutoPost 777"/>
    <s v="GBP"/>
    <x v="3"/>
    <x v="777"/>
  </r>
  <r>
    <x v="778"/>
    <x v="197"/>
    <x v="0"/>
    <x v="0"/>
    <n v="0"/>
    <n v="1518.24"/>
    <x v="3"/>
    <x v="3"/>
    <s v="AutoPost 778"/>
    <s v="AUD"/>
    <x v="16"/>
    <x v="778"/>
  </r>
  <r>
    <x v="779"/>
    <x v="522"/>
    <x v="2"/>
    <x v="2"/>
    <n v="1385.02"/>
    <n v="0"/>
    <x v="3"/>
    <x v="3"/>
    <s v="AutoPost 779"/>
    <s v="AUD"/>
    <x v="7"/>
    <x v="779"/>
  </r>
  <r>
    <x v="780"/>
    <x v="523"/>
    <x v="2"/>
    <x v="2"/>
    <n v="1887.31"/>
    <n v="0"/>
    <x v="3"/>
    <x v="0"/>
    <s v="AutoPost 780"/>
    <s v="GBP"/>
    <x v="1"/>
    <x v="780"/>
  </r>
  <r>
    <x v="781"/>
    <x v="327"/>
    <x v="0"/>
    <x v="0"/>
    <n v="0"/>
    <n v="4476.07"/>
    <x v="5"/>
    <x v="3"/>
    <s v="AutoPost 781"/>
    <s v="AUD"/>
    <x v="25"/>
    <x v="781"/>
  </r>
  <r>
    <x v="782"/>
    <x v="524"/>
    <x v="2"/>
    <x v="2"/>
    <n v="170.41"/>
    <n v="0"/>
    <x v="5"/>
    <x v="3"/>
    <s v="AutoPost 782"/>
    <s v="USD"/>
    <x v="0"/>
    <x v="782"/>
  </r>
  <r>
    <x v="783"/>
    <x v="525"/>
    <x v="3"/>
    <x v="3"/>
    <n v="1650.02"/>
    <n v="0"/>
    <x v="5"/>
    <x v="2"/>
    <s v="AutoPost 783"/>
    <s v="GBP"/>
    <x v="18"/>
    <x v="783"/>
  </r>
  <r>
    <x v="784"/>
    <x v="67"/>
    <x v="4"/>
    <x v="4"/>
    <n v="0"/>
    <n v="3235.44"/>
    <x v="0"/>
    <x v="0"/>
    <s v="AutoPost 784"/>
    <s v="AUD"/>
    <x v="19"/>
    <x v="784"/>
  </r>
  <r>
    <x v="785"/>
    <x v="526"/>
    <x v="1"/>
    <x v="1"/>
    <n v="459.65"/>
    <n v="0"/>
    <x v="0"/>
    <x v="0"/>
    <s v="AutoPost 785"/>
    <s v="CAD"/>
    <x v="20"/>
    <x v="785"/>
  </r>
  <r>
    <x v="786"/>
    <x v="482"/>
    <x v="3"/>
    <x v="3"/>
    <n v="882.11"/>
    <n v="0"/>
    <x v="5"/>
    <x v="3"/>
    <s v="AutoPost 786"/>
    <s v="CAD"/>
    <x v="27"/>
    <x v="786"/>
  </r>
  <r>
    <x v="787"/>
    <x v="171"/>
    <x v="2"/>
    <x v="2"/>
    <n v="1023.17"/>
    <n v="0"/>
    <x v="5"/>
    <x v="3"/>
    <s v="AutoPost 787"/>
    <s v="GBP"/>
    <x v="10"/>
    <x v="787"/>
  </r>
  <r>
    <x v="788"/>
    <x v="527"/>
    <x v="3"/>
    <x v="3"/>
    <n v="510.05"/>
    <n v="0"/>
    <x v="3"/>
    <x v="0"/>
    <s v="AutoPost 788"/>
    <s v="CAD"/>
    <x v="16"/>
    <x v="788"/>
  </r>
  <r>
    <x v="789"/>
    <x v="528"/>
    <x v="4"/>
    <x v="4"/>
    <n v="0"/>
    <n v="3848.25"/>
    <x v="0"/>
    <x v="1"/>
    <s v="AutoPost 789"/>
    <s v="AUD"/>
    <x v="18"/>
    <x v="789"/>
  </r>
  <r>
    <x v="790"/>
    <x v="245"/>
    <x v="1"/>
    <x v="1"/>
    <n v="315.25"/>
    <n v="0"/>
    <x v="3"/>
    <x v="3"/>
    <s v="AutoPost 790"/>
    <s v="AUD"/>
    <x v="7"/>
    <x v="790"/>
  </r>
  <r>
    <x v="791"/>
    <x v="266"/>
    <x v="4"/>
    <x v="4"/>
    <n v="0"/>
    <n v="4030.96"/>
    <x v="5"/>
    <x v="1"/>
    <s v="AutoPost 791"/>
    <s v="USD"/>
    <x v="7"/>
    <x v="791"/>
  </r>
  <r>
    <x v="792"/>
    <x v="42"/>
    <x v="0"/>
    <x v="0"/>
    <n v="0"/>
    <n v="1965.39"/>
    <x v="3"/>
    <x v="1"/>
    <s v="AutoPost 792"/>
    <s v="CAD"/>
    <x v="24"/>
    <x v="792"/>
  </r>
  <r>
    <x v="793"/>
    <x v="529"/>
    <x v="4"/>
    <x v="4"/>
    <n v="0"/>
    <n v="3170.84"/>
    <x v="4"/>
    <x v="4"/>
    <s v="AutoPost 793"/>
    <s v="USD"/>
    <x v="25"/>
    <x v="793"/>
  </r>
  <r>
    <x v="794"/>
    <x v="207"/>
    <x v="4"/>
    <x v="4"/>
    <n v="0"/>
    <n v="3010.78"/>
    <x v="3"/>
    <x v="1"/>
    <s v="AutoPost 794"/>
    <s v="USD"/>
    <x v="7"/>
    <x v="794"/>
  </r>
  <r>
    <x v="795"/>
    <x v="530"/>
    <x v="2"/>
    <x v="2"/>
    <n v="1953.3"/>
    <n v="0"/>
    <x v="4"/>
    <x v="1"/>
    <s v="AutoPost 795"/>
    <s v="CAD"/>
    <x v="13"/>
    <x v="795"/>
  </r>
  <r>
    <x v="796"/>
    <x v="373"/>
    <x v="3"/>
    <x v="3"/>
    <n v="1420.92"/>
    <n v="0"/>
    <x v="4"/>
    <x v="0"/>
    <s v="AutoPost 796"/>
    <s v="AUD"/>
    <x v="21"/>
    <x v="796"/>
  </r>
  <r>
    <x v="797"/>
    <x v="204"/>
    <x v="2"/>
    <x v="2"/>
    <n v="203.96"/>
    <n v="0"/>
    <x v="5"/>
    <x v="2"/>
    <s v="AutoPost 797"/>
    <s v="USD"/>
    <x v="20"/>
    <x v="797"/>
  </r>
  <r>
    <x v="798"/>
    <x v="531"/>
    <x v="4"/>
    <x v="4"/>
    <n v="0"/>
    <n v="2860.2"/>
    <x v="3"/>
    <x v="1"/>
    <s v="AutoPost 798"/>
    <s v="CAD"/>
    <x v="22"/>
    <x v="798"/>
  </r>
  <r>
    <x v="799"/>
    <x v="186"/>
    <x v="3"/>
    <x v="3"/>
    <n v="1363.92"/>
    <n v="0"/>
    <x v="5"/>
    <x v="1"/>
    <s v="AutoPost 799"/>
    <s v="CAD"/>
    <x v="4"/>
    <x v="799"/>
  </r>
  <r>
    <x v="800"/>
    <x v="487"/>
    <x v="0"/>
    <x v="0"/>
    <n v="0"/>
    <n v="4449.82"/>
    <x v="3"/>
    <x v="1"/>
    <s v="AutoPost 800"/>
    <s v="CAD"/>
    <x v="20"/>
    <x v="800"/>
  </r>
  <r>
    <x v="801"/>
    <x v="532"/>
    <x v="3"/>
    <x v="3"/>
    <n v="256.63"/>
    <n v="0"/>
    <x v="3"/>
    <x v="3"/>
    <s v="AutoPost 801"/>
    <s v="AUD"/>
    <x v="29"/>
    <x v="801"/>
  </r>
  <r>
    <x v="802"/>
    <x v="265"/>
    <x v="0"/>
    <x v="0"/>
    <n v="0"/>
    <n v="303.74"/>
    <x v="0"/>
    <x v="3"/>
    <s v="AutoPost 802"/>
    <s v="EUR"/>
    <x v="21"/>
    <x v="802"/>
  </r>
  <r>
    <x v="803"/>
    <x v="410"/>
    <x v="1"/>
    <x v="1"/>
    <n v="1181.69"/>
    <n v="0"/>
    <x v="0"/>
    <x v="4"/>
    <s v="AutoPost 803"/>
    <s v="GBP"/>
    <x v="10"/>
    <x v="803"/>
  </r>
  <r>
    <x v="804"/>
    <x v="533"/>
    <x v="4"/>
    <x v="4"/>
    <n v="0"/>
    <n v="2568.02"/>
    <x v="5"/>
    <x v="0"/>
    <s v="AutoPost 804"/>
    <s v="AUD"/>
    <x v="27"/>
    <x v="804"/>
  </r>
  <r>
    <x v="805"/>
    <x v="263"/>
    <x v="1"/>
    <x v="1"/>
    <n v="1567.28"/>
    <n v="0"/>
    <x v="3"/>
    <x v="4"/>
    <s v="AutoPost 805"/>
    <s v="AUD"/>
    <x v="27"/>
    <x v="805"/>
  </r>
  <r>
    <x v="806"/>
    <x v="440"/>
    <x v="4"/>
    <x v="4"/>
    <n v="0"/>
    <n v="1614.33"/>
    <x v="0"/>
    <x v="3"/>
    <s v="AutoPost 806"/>
    <s v="GBP"/>
    <x v="12"/>
    <x v="806"/>
  </r>
  <r>
    <x v="807"/>
    <x v="534"/>
    <x v="2"/>
    <x v="2"/>
    <n v="335.31"/>
    <n v="0"/>
    <x v="0"/>
    <x v="0"/>
    <s v="AutoPost 807"/>
    <s v="GBP"/>
    <x v="21"/>
    <x v="807"/>
  </r>
  <r>
    <x v="808"/>
    <x v="126"/>
    <x v="3"/>
    <x v="3"/>
    <n v="1491.54"/>
    <n v="0"/>
    <x v="3"/>
    <x v="4"/>
    <s v="AutoPost 808"/>
    <s v="USD"/>
    <x v="19"/>
    <x v="808"/>
  </r>
  <r>
    <x v="809"/>
    <x v="319"/>
    <x v="4"/>
    <x v="4"/>
    <n v="0"/>
    <n v="2809.76"/>
    <x v="4"/>
    <x v="1"/>
    <s v="AutoPost 809"/>
    <s v="USD"/>
    <x v="28"/>
    <x v="809"/>
  </r>
  <r>
    <x v="810"/>
    <x v="535"/>
    <x v="0"/>
    <x v="0"/>
    <n v="0"/>
    <n v="460.23"/>
    <x v="2"/>
    <x v="3"/>
    <s v="AutoPost 810"/>
    <s v="USD"/>
    <x v="27"/>
    <x v="810"/>
  </r>
  <r>
    <x v="811"/>
    <x v="536"/>
    <x v="4"/>
    <x v="4"/>
    <n v="0"/>
    <n v="2788.91"/>
    <x v="5"/>
    <x v="3"/>
    <s v="AutoPost 811"/>
    <s v="GBP"/>
    <x v="3"/>
    <x v="811"/>
  </r>
  <r>
    <x v="812"/>
    <x v="249"/>
    <x v="2"/>
    <x v="2"/>
    <n v="695.92"/>
    <n v="0"/>
    <x v="1"/>
    <x v="2"/>
    <s v="AutoPost 812"/>
    <s v="GBP"/>
    <x v="12"/>
    <x v="812"/>
  </r>
  <r>
    <x v="813"/>
    <x v="537"/>
    <x v="3"/>
    <x v="3"/>
    <n v="1845.75"/>
    <n v="0"/>
    <x v="0"/>
    <x v="3"/>
    <s v="AutoPost 813"/>
    <s v="GBP"/>
    <x v="12"/>
    <x v="813"/>
  </r>
  <r>
    <x v="814"/>
    <x v="405"/>
    <x v="1"/>
    <x v="1"/>
    <n v="892.42"/>
    <n v="0"/>
    <x v="4"/>
    <x v="0"/>
    <s v="AutoPost 814"/>
    <s v="CAD"/>
    <x v="2"/>
    <x v="814"/>
  </r>
  <r>
    <x v="815"/>
    <x v="97"/>
    <x v="3"/>
    <x v="3"/>
    <n v="1024.68"/>
    <n v="0"/>
    <x v="1"/>
    <x v="0"/>
    <s v="AutoPost 815"/>
    <s v="GBP"/>
    <x v="3"/>
    <x v="815"/>
  </r>
  <r>
    <x v="816"/>
    <x v="191"/>
    <x v="2"/>
    <x v="2"/>
    <n v="927.04"/>
    <n v="0"/>
    <x v="3"/>
    <x v="3"/>
    <s v="AutoPost 816"/>
    <s v="CAD"/>
    <x v="9"/>
    <x v="816"/>
  </r>
  <r>
    <x v="817"/>
    <x v="538"/>
    <x v="0"/>
    <x v="0"/>
    <n v="0"/>
    <n v="3540.18"/>
    <x v="3"/>
    <x v="0"/>
    <s v="AutoPost 817"/>
    <s v="CAD"/>
    <x v="16"/>
    <x v="817"/>
  </r>
  <r>
    <x v="818"/>
    <x v="169"/>
    <x v="4"/>
    <x v="4"/>
    <n v="0"/>
    <n v="4254.72"/>
    <x v="2"/>
    <x v="0"/>
    <s v="AutoPost 818"/>
    <s v="GBP"/>
    <x v="23"/>
    <x v="818"/>
  </r>
  <r>
    <x v="819"/>
    <x v="90"/>
    <x v="3"/>
    <x v="3"/>
    <n v="1013.65"/>
    <n v="0"/>
    <x v="0"/>
    <x v="3"/>
    <s v="AutoPost 819"/>
    <s v="AUD"/>
    <x v="27"/>
    <x v="819"/>
  </r>
  <r>
    <x v="820"/>
    <x v="539"/>
    <x v="4"/>
    <x v="4"/>
    <n v="0"/>
    <n v="2994.63"/>
    <x v="2"/>
    <x v="3"/>
    <s v="AutoPost 820"/>
    <s v="USD"/>
    <x v="29"/>
    <x v="820"/>
  </r>
  <r>
    <x v="821"/>
    <x v="167"/>
    <x v="0"/>
    <x v="0"/>
    <n v="0"/>
    <n v="4094.14"/>
    <x v="4"/>
    <x v="0"/>
    <s v="AutoPost 821"/>
    <s v="USD"/>
    <x v="3"/>
    <x v="821"/>
  </r>
  <r>
    <x v="822"/>
    <x v="119"/>
    <x v="2"/>
    <x v="2"/>
    <n v="784.89"/>
    <n v="0"/>
    <x v="1"/>
    <x v="1"/>
    <s v="AutoPost 822"/>
    <s v="AUD"/>
    <x v="3"/>
    <x v="822"/>
  </r>
  <r>
    <x v="823"/>
    <x v="82"/>
    <x v="1"/>
    <x v="1"/>
    <n v="219.41"/>
    <n v="0"/>
    <x v="2"/>
    <x v="0"/>
    <s v="AutoPost 823"/>
    <s v="AUD"/>
    <x v="28"/>
    <x v="823"/>
  </r>
  <r>
    <x v="824"/>
    <x v="72"/>
    <x v="0"/>
    <x v="0"/>
    <n v="0"/>
    <n v="1558.82"/>
    <x v="4"/>
    <x v="3"/>
    <s v="AutoPost 824"/>
    <s v="EUR"/>
    <x v="15"/>
    <x v="824"/>
  </r>
  <r>
    <x v="825"/>
    <x v="319"/>
    <x v="2"/>
    <x v="2"/>
    <n v="723.9"/>
    <n v="0"/>
    <x v="2"/>
    <x v="2"/>
    <s v="AutoPost 825"/>
    <s v="CAD"/>
    <x v="28"/>
    <x v="825"/>
  </r>
  <r>
    <x v="826"/>
    <x v="477"/>
    <x v="4"/>
    <x v="4"/>
    <n v="0"/>
    <n v="2447.66"/>
    <x v="5"/>
    <x v="1"/>
    <s v="AutoPost 826"/>
    <s v="AUD"/>
    <x v="10"/>
    <x v="826"/>
  </r>
  <r>
    <x v="827"/>
    <x v="525"/>
    <x v="0"/>
    <x v="0"/>
    <n v="0"/>
    <n v="1067.43"/>
    <x v="5"/>
    <x v="0"/>
    <s v="AutoPost 827"/>
    <s v="EUR"/>
    <x v="18"/>
    <x v="827"/>
  </r>
  <r>
    <x v="828"/>
    <x v="132"/>
    <x v="3"/>
    <x v="3"/>
    <n v="977.48"/>
    <n v="0"/>
    <x v="1"/>
    <x v="3"/>
    <s v="AutoPost 828"/>
    <s v="AUD"/>
    <x v="29"/>
    <x v="828"/>
  </r>
  <r>
    <x v="829"/>
    <x v="402"/>
    <x v="2"/>
    <x v="2"/>
    <n v="1331.39"/>
    <n v="0"/>
    <x v="0"/>
    <x v="0"/>
    <s v="AutoPost 829"/>
    <s v="USD"/>
    <x v="13"/>
    <x v="829"/>
  </r>
  <r>
    <x v="830"/>
    <x v="540"/>
    <x v="4"/>
    <x v="4"/>
    <n v="0"/>
    <n v="4756.54"/>
    <x v="1"/>
    <x v="2"/>
    <s v="AutoPost 830"/>
    <s v="EUR"/>
    <x v="8"/>
    <x v="830"/>
  </r>
  <r>
    <x v="831"/>
    <x v="541"/>
    <x v="1"/>
    <x v="1"/>
    <n v="543"/>
    <n v="0"/>
    <x v="2"/>
    <x v="1"/>
    <s v="AutoPost 831"/>
    <s v="USD"/>
    <x v="17"/>
    <x v="831"/>
  </r>
  <r>
    <x v="832"/>
    <x v="336"/>
    <x v="3"/>
    <x v="3"/>
    <n v="635.02"/>
    <n v="0"/>
    <x v="3"/>
    <x v="2"/>
    <s v="AutoPost 832"/>
    <s v="CAD"/>
    <x v="2"/>
    <x v="832"/>
  </r>
  <r>
    <x v="833"/>
    <x v="542"/>
    <x v="2"/>
    <x v="2"/>
    <n v="1114.53"/>
    <n v="0"/>
    <x v="3"/>
    <x v="1"/>
    <s v="AutoPost 833"/>
    <s v="AUD"/>
    <x v="11"/>
    <x v="833"/>
  </r>
  <r>
    <x v="834"/>
    <x v="110"/>
    <x v="0"/>
    <x v="0"/>
    <n v="0"/>
    <n v="1484.62"/>
    <x v="3"/>
    <x v="3"/>
    <s v="AutoPost 834"/>
    <s v="GBP"/>
    <x v="10"/>
    <x v="834"/>
  </r>
  <r>
    <x v="835"/>
    <x v="308"/>
    <x v="2"/>
    <x v="2"/>
    <n v="742.51"/>
    <n v="0"/>
    <x v="4"/>
    <x v="2"/>
    <s v="AutoPost 835"/>
    <s v="GBP"/>
    <x v="25"/>
    <x v="835"/>
  </r>
  <r>
    <x v="836"/>
    <x v="59"/>
    <x v="0"/>
    <x v="0"/>
    <n v="0"/>
    <n v="3933.89"/>
    <x v="1"/>
    <x v="3"/>
    <s v="AutoPost 836"/>
    <s v="CAD"/>
    <x v="1"/>
    <x v="836"/>
  </r>
  <r>
    <x v="837"/>
    <x v="45"/>
    <x v="4"/>
    <x v="4"/>
    <n v="0"/>
    <n v="4092.61"/>
    <x v="5"/>
    <x v="2"/>
    <s v="AutoPost 837"/>
    <s v="EUR"/>
    <x v="16"/>
    <x v="837"/>
  </r>
  <r>
    <x v="838"/>
    <x v="543"/>
    <x v="4"/>
    <x v="4"/>
    <n v="0"/>
    <n v="4772.83"/>
    <x v="3"/>
    <x v="2"/>
    <s v="AutoPost 838"/>
    <s v="USD"/>
    <x v="3"/>
    <x v="838"/>
  </r>
  <r>
    <x v="839"/>
    <x v="544"/>
    <x v="3"/>
    <x v="3"/>
    <n v="1965.5"/>
    <n v="0"/>
    <x v="3"/>
    <x v="2"/>
    <s v="AutoPost 839"/>
    <s v="USD"/>
    <x v="19"/>
    <x v="839"/>
  </r>
  <r>
    <x v="840"/>
    <x v="545"/>
    <x v="2"/>
    <x v="2"/>
    <n v="1386.65"/>
    <n v="0"/>
    <x v="4"/>
    <x v="1"/>
    <s v="AutoPost 840"/>
    <s v="USD"/>
    <x v="21"/>
    <x v="840"/>
  </r>
  <r>
    <x v="841"/>
    <x v="246"/>
    <x v="4"/>
    <x v="4"/>
    <n v="0"/>
    <n v="872.06"/>
    <x v="1"/>
    <x v="0"/>
    <s v="AutoPost 841"/>
    <s v="GBP"/>
    <x v="29"/>
    <x v="841"/>
  </r>
  <r>
    <x v="842"/>
    <x v="316"/>
    <x v="3"/>
    <x v="3"/>
    <n v="1801.16"/>
    <n v="0"/>
    <x v="5"/>
    <x v="4"/>
    <s v="AutoPost 842"/>
    <s v="EUR"/>
    <x v="26"/>
    <x v="842"/>
  </r>
  <r>
    <x v="843"/>
    <x v="531"/>
    <x v="3"/>
    <x v="3"/>
    <n v="1990.94"/>
    <n v="0"/>
    <x v="3"/>
    <x v="4"/>
    <s v="AutoPost 843"/>
    <s v="AUD"/>
    <x v="22"/>
    <x v="843"/>
  </r>
  <r>
    <x v="844"/>
    <x v="182"/>
    <x v="0"/>
    <x v="0"/>
    <n v="0"/>
    <n v="1372.78"/>
    <x v="1"/>
    <x v="2"/>
    <s v="AutoPost 844"/>
    <s v="AUD"/>
    <x v="15"/>
    <x v="844"/>
  </r>
  <r>
    <x v="845"/>
    <x v="360"/>
    <x v="1"/>
    <x v="1"/>
    <n v="1600.28"/>
    <n v="0"/>
    <x v="1"/>
    <x v="2"/>
    <s v="AutoPost 845"/>
    <s v="USD"/>
    <x v="15"/>
    <x v="845"/>
  </r>
  <r>
    <x v="846"/>
    <x v="546"/>
    <x v="3"/>
    <x v="3"/>
    <n v="618.05999999999995"/>
    <n v="0"/>
    <x v="4"/>
    <x v="0"/>
    <s v="AutoPost 846"/>
    <s v="CAD"/>
    <x v="0"/>
    <x v="846"/>
  </r>
  <r>
    <x v="847"/>
    <x v="31"/>
    <x v="0"/>
    <x v="0"/>
    <n v="0"/>
    <n v="3150.6"/>
    <x v="3"/>
    <x v="3"/>
    <s v="AutoPost 847"/>
    <s v="USD"/>
    <x v="0"/>
    <x v="847"/>
  </r>
  <r>
    <x v="848"/>
    <x v="509"/>
    <x v="2"/>
    <x v="2"/>
    <n v="1288.25"/>
    <n v="0"/>
    <x v="2"/>
    <x v="1"/>
    <s v="AutoPost 848"/>
    <s v="EUR"/>
    <x v="12"/>
    <x v="848"/>
  </r>
  <r>
    <x v="849"/>
    <x v="217"/>
    <x v="3"/>
    <x v="3"/>
    <n v="1629.27"/>
    <n v="0"/>
    <x v="5"/>
    <x v="3"/>
    <s v="AutoPost 849"/>
    <s v="CAD"/>
    <x v="21"/>
    <x v="849"/>
  </r>
  <r>
    <x v="850"/>
    <x v="405"/>
    <x v="1"/>
    <x v="1"/>
    <n v="436.4"/>
    <n v="0"/>
    <x v="0"/>
    <x v="4"/>
    <s v="AutoPost 850"/>
    <s v="USD"/>
    <x v="2"/>
    <x v="850"/>
  </r>
  <r>
    <x v="851"/>
    <x v="547"/>
    <x v="3"/>
    <x v="3"/>
    <n v="186.27"/>
    <n v="0"/>
    <x v="1"/>
    <x v="2"/>
    <s v="AutoPost 851"/>
    <s v="AUD"/>
    <x v="9"/>
    <x v="851"/>
  </r>
  <r>
    <x v="852"/>
    <x v="548"/>
    <x v="0"/>
    <x v="0"/>
    <n v="0"/>
    <n v="3025.08"/>
    <x v="3"/>
    <x v="4"/>
    <s v="AutoPost 852"/>
    <s v="AUD"/>
    <x v="27"/>
    <x v="852"/>
  </r>
  <r>
    <x v="853"/>
    <x v="155"/>
    <x v="1"/>
    <x v="1"/>
    <n v="793.16"/>
    <n v="0"/>
    <x v="4"/>
    <x v="3"/>
    <s v="AutoPost 853"/>
    <s v="USD"/>
    <x v="14"/>
    <x v="853"/>
  </r>
  <r>
    <x v="854"/>
    <x v="549"/>
    <x v="3"/>
    <x v="3"/>
    <n v="1753.87"/>
    <n v="0"/>
    <x v="5"/>
    <x v="2"/>
    <s v="AutoPost 854"/>
    <s v="AUD"/>
    <x v="8"/>
    <x v="854"/>
  </r>
  <r>
    <x v="855"/>
    <x v="550"/>
    <x v="0"/>
    <x v="0"/>
    <n v="0"/>
    <n v="915.77"/>
    <x v="0"/>
    <x v="1"/>
    <s v="AutoPost 855"/>
    <s v="AUD"/>
    <x v="1"/>
    <x v="855"/>
  </r>
  <r>
    <x v="856"/>
    <x v="551"/>
    <x v="1"/>
    <x v="1"/>
    <n v="1083.5899999999999"/>
    <n v="0"/>
    <x v="0"/>
    <x v="1"/>
    <s v="AutoPost 856"/>
    <s v="USD"/>
    <x v="8"/>
    <x v="856"/>
  </r>
  <r>
    <x v="857"/>
    <x v="201"/>
    <x v="4"/>
    <x v="4"/>
    <n v="0"/>
    <n v="889.07"/>
    <x v="0"/>
    <x v="3"/>
    <s v="AutoPost 857"/>
    <s v="EUR"/>
    <x v="5"/>
    <x v="857"/>
  </r>
  <r>
    <x v="858"/>
    <x v="552"/>
    <x v="2"/>
    <x v="2"/>
    <n v="1620.36"/>
    <n v="0"/>
    <x v="0"/>
    <x v="2"/>
    <s v="AutoPost 858"/>
    <s v="EUR"/>
    <x v="7"/>
    <x v="858"/>
  </r>
  <r>
    <x v="859"/>
    <x v="553"/>
    <x v="0"/>
    <x v="0"/>
    <n v="0"/>
    <n v="549.91999999999996"/>
    <x v="4"/>
    <x v="1"/>
    <s v="AutoPost 859"/>
    <s v="GBP"/>
    <x v="5"/>
    <x v="859"/>
  </r>
  <r>
    <x v="860"/>
    <x v="554"/>
    <x v="4"/>
    <x v="4"/>
    <n v="0"/>
    <n v="4103.1000000000004"/>
    <x v="2"/>
    <x v="2"/>
    <s v="AutoPost 860"/>
    <s v="USD"/>
    <x v="12"/>
    <x v="860"/>
  </r>
  <r>
    <x v="861"/>
    <x v="364"/>
    <x v="3"/>
    <x v="3"/>
    <n v="316.45"/>
    <n v="0"/>
    <x v="4"/>
    <x v="3"/>
    <s v="AutoPost 861"/>
    <s v="USD"/>
    <x v="0"/>
    <x v="861"/>
  </r>
  <r>
    <x v="862"/>
    <x v="555"/>
    <x v="2"/>
    <x v="2"/>
    <n v="1384.87"/>
    <n v="0"/>
    <x v="1"/>
    <x v="3"/>
    <s v="AutoPost 862"/>
    <s v="AUD"/>
    <x v="7"/>
    <x v="862"/>
  </r>
  <r>
    <x v="863"/>
    <x v="523"/>
    <x v="2"/>
    <x v="2"/>
    <n v="932.11"/>
    <n v="0"/>
    <x v="2"/>
    <x v="0"/>
    <s v="AutoPost 863"/>
    <s v="GBP"/>
    <x v="1"/>
    <x v="863"/>
  </r>
  <r>
    <x v="864"/>
    <x v="556"/>
    <x v="0"/>
    <x v="0"/>
    <n v="0"/>
    <n v="2355.54"/>
    <x v="5"/>
    <x v="2"/>
    <s v="AutoPost 864"/>
    <s v="CAD"/>
    <x v="21"/>
    <x v="864"/>
  </r>
  <r>
    <x v="865"/>
    <x v="557"/>
    <x v="1"/>
    <x v="1"/>
    <n v="1327.52"/>
    <n v="0"/>
    <x v="5"/>
    <x v="2"/>
    <s v="AutoPost 865"/>
    <s v="USD"/>
    <x v="25"/>
    <x v="865"/>
  </r>
  <r>
    <x v="866"/>
    <x v="558"/>
    <x v="2"/>
    <x v="2"/>
    <n v="77.790000000000006"/>
    <n v="0"/>
    <x v="3"/>
    <x v="3"/>
    <s v="AutoPost 866"/>
    <s v="USD"/>
    <x v="8"/>
    <x v="866"/>
  </r>
  <r>
    <x v="867"/>
    <x v="498"/>
    <x v="0"/>
    <x v="0"/>
    <n v="0"/>
    <n v="2100.39"/>
    <x v="2"/>
    <x v="2"/>
    <s v="AutoPost 867"/>
    <s v="GBP"/>
    <x v="12"/>
    <x v="867"/>
  </r>
  <r>
    <x v="868"/>
    <x v="559"/>
    <x v="3"/>
    <x v="3"/>
    <n v="882.8"/>
    <n v="0"/>
    <x v="5"/>
    <x v="2"/>
    <s v="AutoPost 868"/>
    <s v="AUD"/>
    <x v="15"/>
    <x v="868"/>
  </r>
  <r>
    <x v="869"/>
    <x v="560"/>
    <x v="4"/>
    <x v="4"/>
    <n v="0"/>
    <n v="3194.96"/>
    <x v="4"/>
    <x v="0"/>
    <s v="AutoPost 869"/>
    <s v="USD"/>
    <x v="17"/>
    <x v="869"/>
  </r>
  <r>
    <x v="870"/>
    <x v="250"/>
    <x v="2"/>
    <x v="2"/>
    <n v="981.76"/>
    <n v="0"/>
    <x v="4"/>
    <x v="3"/>
    <s v="AutoPost 870"/>
    <s v="EUR"/>
    <x v="2"/>
    <x v="870"/>
  </r>
  <r>
    <x v="871"/>
    <x v="131"/>
    <x v="4"/>
    <x v="4"/>
    <n v="0"/>
    <n v="1322.78"/>
    <x v="1"/>
    <x v="3"/>
    <s v="AutoPost 871"/>
    <s v="USD"/>
    <x v="22"/>
    <x v="871"/>
  </r>
  <r>
    <x v="872"/>
    <x v="235"/>
    <x v="2"/>
    <x v="2"/>
    <n v="508.47"/>
    <n v="0"/>
    <x v="2"/>
    <x v="0"/>
    <s v="AutoPost 872"/>
    <s v="USD"/>
    <x v="20"/>
    <x v="872"/>
  </r>
  <r>
    <x v="873"/>
    <x v="561"/>
    <x v="2"/>
    <x v="2"/>
    <n v="1587.23"/>
    <n v="0"/>
    <x v="4"/>
    <x v="3"/>
    <s v="AutoPost 873"/>
    <s v="AUD"/>
    <x v="12"/>
    <x v="873"/>
  </r>
  <r>
    <x v="874"/>
    <x v="562"/>
    <x v="0"/>
    <x v="0"/>
    <n v="0"/>
    <n v="2067.5700000000002"/>
    <x v="4"/>
    <x v="4"/>
    <s v="AutoPost 874"/>
    <s v="GBP"/>
    <x v="2"/>
    <x v="874"/>
  </r>
  <r>
    <x v="875"/>
    <x v="232"/>
    <x v="0"/>
    <x v="0"/>
    <n v="0"/>
    <n v="1379.98"/>
    <x v="3"/>
    <x v="2"/>
    <s v="AutoPost 875"/>
    <s v="CAD"/>
    <x v="17"/>
    <x v="875"/>
  </r>
  <r>
    <x v="876"/>
    <x v="110"/>
    <x v="4"/>
    <x v="4"/>
    <n v="0"/>
    <n v="4346.96"/>
    <x v="4"/>
    <x v="2"/>
    <s v="AutoPost 876"/>
    <s v="CAD"/>
    <x v="10"/>
    <x v="876"/>
  </r>
  <r>
    <x v="877"/>
    <x v="563"/>
    <x v="0"/>
    <x v="0"/>
    <n v="0"/>
    <n v="525.34"/>
    <x v="1"/>
    <x v="3"/>
    <s v="AutoPost 877"/>
    <s v="GBP"/>
    <x v="22"/>
    <x v="877"/>
  </r>
  <r>
    <x v="878"/>
    <x v="564"/>
    <x v="3"/>
    <x v="3"/>
    <n v="275.32"/>
    <n v="0"/>
    <x v="1"/>
    <x v="3"/>
    <s v="AutoPost 878"/>
    <s v="USD"/>
    <x v="6"/>
    <x v="878"/>
  </r>
  <r>
    <x v="879"/>
    <x v="222"/>
    <x v="2"/>
    <x v="2"/>
    <n v="1408.29"/>
    <n v="0"/>
    <x v="0"/>
    <x v="1"/>
    <s v="AutoPost 879"/>
    <s v="CAD"/>
    <x v="21"/>
    <x v="879"/>
  </r>
  <r>
    <x v="880"/>
    <x v="565"/>
    <x v="4"/>
    <x v="4"/>
    <n v="0"/>
    <n v="2640.87"/>
    <x v="2"/>
    <x v="0"/>
    <s v="AutoPost 880"/>
    <s v="USD"/>
    <x v="21"/>
    <x v="880"/>
  </r>
  <r>
    <x v="881"/>
    <x v="509"/>
    <x v="0"/>
    <x v="0"/>
    <n v="0"/>
    <n v="2978.56"/>
    <x v="5"/>
    <x v="3"/>
    <s v="AutoPost 881"/>
    <s v="GBP"/>
    <x v="12"/>
    <x v="881"/>
  </r>
  <r>
    <x v="882"/>
    <x v="7"/>
    <x v="3"/>
    <x v="3"/>
    <n v="100.56"/>
    <n v="0"/>
    <x v="1"/>
    <x v="0"/>
    <s v="AutoPost 882"/>
    <s v="CAD"/>
    <x v="6"/>
    <x v="882"/>
  </r>
  <r>
    <x v="883"/>
    <x v="566"/>
    <x v="3"/>
    <x v="3"/>
    <n v="581.4"/>
    <n v="0"/>
    <x v="2"/>
    <x v="2"/>
    <s v="AutoPost 883"/>
    <s v="AUD"/>
    <x v="11"/>
    <x v="883"/>
  </r>
  <r>
    <x v="884"/>
    <x v="209"/>
    <x v="2"/>
    <x v="2"/>
    <n v="176.17"/>
    <n v="0"/>
    <x v="0"/>
    <x v="4"/>
    <s v="AutoPost 884"/>
    <s v="USD"/>
    <x v="14"/>
    <x v="884"/>
  </r>
  <r>
    <x v="885"/>
    <x v="324"/>
    <x v="3"/>
    <x v="3"/>
    <n v="482.67"/>
    <n v="0"/>
    <x v="2"/>
    <x v="4"/>
    <s v="AutoPost 885"/>
    <s v="USD"/>
    <x v="24"/>
    <x v="885"/>
  </r>
  <r>
    <x v="886"/>
    <x v="96"/>
    <x v="2"/>
    <x v="2"/>
    <n v="1072.33"/>
    <n v="0"/>
    <x v="5"/>
    <x v="4"/>
    <s v="AutoPost 886"/>
    <s v="GBP"/>
    <x v="26"/>
    <x v="886"/>
  </r>
  <r>
    <x v="887"/>
    <x v="133"/>
    <x v="0"/>
    <x v="0"/>
    <n v="0"/>
    <n v="1700.49"/>
    <x v="4"/>
    <x v="4"/>
    <s v="AutoPost 887"/>
    <s v="EUR"/>
    <x v="1"/>
    <x v="887"/>
  </r>
  <r>
    <x v="888"/>
    <x v="316"/>
    <x v="3"/>
    <x v="3"/>
    <n v="1915.1"/>
    <n v="0"/>
    <x v="2"/>
    <x v="4"/>
    <s v="AutoPost 888"/>
    <s v="EUR"/>
    <x v="26"/>
    <x v="888"/>
  </r>
  <r>
    <x v="889"/>
    <x v="499"/>
    <x v="1"/>
    <x v="1"/>
    <n v="1632.24"/>
    <n v="0"/>
    <x v="5"/>
    <x v="2"/>
    <s v="AutoPost 889"/>
    <s v="CAD"/>
    <x v="19"/>
    <x v="889"/>
  </r>
  <r>
    <x v="890"/>
    <x v="314"/>
    <x v="4"/>
    <x v="4"/>
    <n v="0"/>
    <n v="2334.77"/>
    <x v="1"/>
    <x v="4"/>
    <s v="AutoPost 890"/>
    <s v="GBP"/>
    <x v="13"/>
    <x v="890"/>
  </r>
  <r>
    <x v="891"/>
    <x v="132"/>
    <x v="0"/>
    <x v="0"/>
    <n v="0"/>
    <n v="2655.46"/>
    <x v="0"/>
    <x v="0"/>
    <s v="AutoPost 891"/>
    <s v="CAD"/>
    <x v="29"/>
    <x v="891"/>
  </r>
  <r>
    <x v="892"/>
    <x v="567"/>
    <x v="0"/>
    <x v="0"/>
    <n v="0"/>
    <n v="4082.31"/>
    <x v="2"/>
    <x v="3"/>
    <s v="AutoPost 892"/>
    <s v="USD"/>
    <x v="6"/>
    <x v="892"/>
  </r>
  <r>
    <x v="893"/>
    <x v="199"/>
    <x v="3"/>
    <x v="3"/>
    <n v="1204.8499999999999"/>
    <n v="0"/>
    <x v="2"/>
    <x v="1"/>
    <s v="AutoPost 893"/>
    <s v="CAD"/>
    <x v="6"/>
    <x v="893"/>
  </r>
  <r>
    <x v="894"/>
    <x v="40"/>
    <x v="0"/>
    <x v="0"/>
    <n v="0"/>
    <n v="4496.12"/>
    <x v="1"/>
    <x v="1"/>
    <s v="AutoPost 894"/>
    <s v="EUR"/>
    <x v="23"/>
    <x v="894"/>
  </r>
  <r>
    <x v="895"/>
    <x v="258"/>
    <x v="4"/>
    <x v="4"/>
    <n v="0"/>
    <n v="2776.15"/>
    <x v="2"/>
    <x v="4"/>
    <s v="AutoPost 895"/>
    <s v="EUR"/>
    <x v="2"/>
    <x v="895"/>
  </r>
  <r>
    <x v="896"/>
    <x v="130"/>
    <x v="4"/>
    <x v="4"/>
    <n v="0"/>
    <n v="3598.62"/>
    <x v="4"/>
    <x v="2"/>
    <s v="AutoPost 896"/>
    <s v="EUR"/>
    <x v="8"/>
    <x v="896"/>
  </r>
  <r>
    <x v="897"/>
    <x v="150"/>
    <x v="3"/>
    <x v="3"/>
    <n v="1433.77"/>
    <n v="0"/>
    <x v="0"/>
    <x v="0"/>
    <s v="AutoPost 897"/>
    <s v="EUR"/>
    <x v="21"/>
    <x v="897"/>
  </r>
  <r>
    <x v="898"/>
    <x v="400"/>
    <x v="3"/>
    <x v="3"/>
    <n v="244.58"/>
    <n v="0"/>
    <x v="0"/>
    <x v="2"/>
    <s v="AutoPost 898"/>
    <s v="AUD"/>
    <x v="0"/>
    <x v="898"/>
  </r>
  <r>
    <x v="899"/>
    <x v="311"/>
    <x v="2"/>
    <x v="2"/>
    <n v="958.53"/>
    <n v="0"/>
    <x v="5"/>
    <x v="1"/>
    <s v="AutoPost 899"/>
    <s v="AUD"/>
    <x v="14"/>
    <x v="899"/>
  </r>
  <r>
    <x v="900"/>
    <x v="223"/>
    <x v="2"/>
    <x v="2"/>
    <n v="1312.28"/>
    <n v="0"/>
    <x v="2"/>
    <x v="0"/>
    <s v="AutoPost 900"/>
    <s v="GBP"/>
    <x v="17"/>
    <x v="900"/>
  </r>
  <r>
    <x v="901"/>
    <x v="178"/>
    <x v="0"/>
    <x v="0"/>
    <n v="0"/>
    <n v="4549.33"/>
    <x v="5"/>
    <x v="0"/>
    <s v="AutoPost 901"/>
    <s v="GBP"/>
    <x v="18"/>
    <x v="901"/>
  </r>
  <r>
    <x v="902"/>
    <x v="568"/>
    <x v="2"/>
    <x v="2"/>
    <n v="1965.36"/>
    <n v="0"/>
    <x v="2"/>
    <x v="3"/>
    <s v="AutoPost 902"/>
    <s v="CAD"/>
    <x v="23"/>
    <x v="902"/>
  </r>
  <r>
    <x v="903"/>
    <x v="186"/>
    <x v="3"/>
    <x v="3"/>
    <n v="769.49"/>
    <n v="0"/>
    <x v="2"/>
    <x v="4"/>
    <s v="AutoPost 903"/>
    <s v="GBP"/>
    <x v="4"/>
    <x v="903"/>
  </r>
  <r>
    <x v="904"/>
    <x v="569"/>
    <x v="1"/>
    <x v="1"/>
    <n v="743.08"/>
    <n v="0"/>
    <x v="4"/>
    <x v="2"/>
    <s v="AutoPost 904"/>
    <s v="GBP"/>
    <x v="10"/>
    <x v="904"/>
  </r>
  <r>
    <x v="905"/>
    <x v="244"/>
    <x v="2"/>
    <x v="2"/>
    <n v="586.1"/>
    <n v="0"/>
    <x v="5"/>
    <x v="4"/>
    <s v="AutoPost 905"/>
    <s v="CAD"/>
    <x v="4"/>
    <x v="905"/>
  </r>
  <r>
    <x v="906"/>
    <x v="570"/>
    <x v="2"/>
    <x v="2"/>
    <n v="1912.35"/>
    <n v="0"/>
    <x v="0"/>
    <x v="0"/>
    <s v="AutoPost 906"/>
    <s v="USD"/>
    <x v="19"/>
    <x v="906"/>
  </r>
  <r>
    <x v="907"/>
    <x v="571"/>
    <x v="2"/>
    <x v="2"/>
    <n v="819.96"/>
    <n v="0"/>
    <x v="3"/>
    <x v="1"/>
    <s v="AutoPost 907"/>
    <s v="USD"/>
    <x v="29"/>
    <x v="907"/>
  </r>
  <r>
    <x v="908"/>
    <x v="314"/>
    <x v="1"/>
    <x v="1"/>
    <n v="1880.1"/>
    <n v="0"/>
    <x v="2"/>
    <x v="1"/>
    <s v="AutoPost 908"/>
    <s v="AUD"/>
    <x v="13"/>
    <x v="908"/>
  </r>
  <r>
    <x v="909"/>
    <x v="509"/>
    <x v="2"/>
    <x v="2"/>
    <n v="1255.8499999999999"/>
    <n v="0"/>
    <x v="2"/>
    <x v="4"/>
    <s v="AutoPost 909"/>
    <s v="EUR"/>
    <x v="12"/>
    <x v="909"/>
  </r>
  <r>
    <x v="910"/>
    <x v="181"/>
    <x v="4"/>
    <x v="4"/>
    <n v="0"/>
    <n v="3738.97"/>
    <x v="5"/>
    <x v="3"/>
    <s v="AutoPost 910"/>
    <s v="CAD"/>
    <x v="14"/>
    <x v="910"/>
  </r>
  <r>
    <x v="911"/>
    <x v="326"/>
    <x v="1"/>
    <x v="1"/>
    <n v="50.19"/>
    <n v="0"/>
    <x v="4"/>
    <x v="1"/>
    <s v="AutoPost 911"/>
    <s v="EUR"/>
    <x v="5"/>
    <x v="911"/>
  </r>
  <r>
    <x v="912"/>
    <x v="179"/>
    <x v="3"/>
    <x v="3"/>
    <n v="608.52"/>
    <n v="0"/>
    <x v="0"/>
    <x v="1"/>
    <s v="AutoPost 912"/>
    <s v="EUR"/>
    <x v="15"/>
    <x v="912"/>
  </r>
  <r>
    <x v="913"/>
    <x v="572"/>
    <x v="3"/>
    <x v="3"/>
    <n v="287.52"/>
    <n v="0"/>
    <x v="4"/>
    <x v="4"/>
    <s v="AutoPost 913"/>
    <s v="USD"/>
    <x v="15"/>
    <x v="913"/>
  </r>
  <r>
    <x v="914"/>
    <x v="567"/>
    <x v="2"/>
    <x v="2"/>
    <n v="1749.98"/>
    <n v="0"/>
    <x v="4"/>
    <x v="2"/>
    <s v="AutoPost 914"/>
    <s v="CAD"/>
    <x v="6"/>
    <x v="914"/>
  </r>
  <r>
    <x v="915"/>
    <x v="573"/>
    <x v="1"/>
    <x v="1"/>
    <n v="221.12"/>
    <n v="0"/>
    <x v="3"/>
    <x v="1"/>
    <s v="AutoPost 915"/>
    <s v="AUD"/>
    <x v="23"/>
    <x v="915"/>
  </r>
  <r>
    <x v="916"/>
    <x v="421"/>
    <x v="1"/>
    <x v="1"/>
    <n v="1012.53"/>
    <n v="0"/>
    <x v="1"/>
    <x v="2"/>
    <s v="AutoPost 916"/>
    <s v="CAD"/>
    <x v="26"/>
    <x v="916"/>
  </r>
  <r>
    <x v="917"/>
    <x v="541"/>
    <x v="4"/>
    <x v="4"/>
    <n v="0"/>
    <n v="542.16999999999996"/>
    <x v="5"/>
    <x v="1"/>
    <s v="AutoPost 917"/>
    <s v="GBP"/>
    <x v="17"/>
    <x v="917"/>
  </r>
  <r>
    <x v="918"/>
    <x v="185"/>
    <x v="3"/>
    <x v="3"/>
    <n v="580.21"/>
    <n v="0"/>
    <x v="0"/>
    <x v="4"/>
    <s v="AutoPost 918"/>
    <s v="EUR"/>
    <x v="13"/>
    <x v="918"/>
  </r>
  <r>
    <x v="919"/>
    <x v="313"/>
    <x v="3"/>
    <x v="3"/>
    <n v="739.56"/>
    <n v="0"/>
    <x v="4"/>
    <x v="2"/>
    <s v="AutoPost 919"/>
    <s v="AUD"/>
    <x v="14"/>
    <x v="919"/>
  </r>
  <r>
    <x v="920"/>
    <x v="574"/>
    <x v="1"/>
    <x v="1"/>
    <n v="1657.23"/>
    <n v="0"/>
    <x v="0"/>
    <x v="3"/>
    <s v="AutoPost 920"/>
    <s v="AUD"/>
    <x v="10"/>
    <x v="920"/>
  </r>
  <r>
    <x v="921"/>
    <x v="575"/>
    <x v="2"/>
    <x v="2"/>
    <n v="1181.06"/>
    <n v="0"/>
    <x v="0"/>
    <x v="2"/>
    <s v="AutoPost 921"/>
    <s v="CAD"/>
    <x v="0"/>
    <x v="921"/>
  </r>
  <r>
    <x v="922"/>
    <x v="241"/>
    <x v="3"/>
    <x v="3"/>
    <n v="944.72"/>
    <n v="0"/>
    <x v="2"/>
    <x v="4"/>
    <s v="AutoPost 922"/>
    <s v="EUR"/>
    <x v="11"/>
    <x v="922"/>
  </r>
  <r>
    <x v="923"/>
    <x v="113"/>
    <x v="0"/>
    <x v="0"/>
    <n v="0"/>
    <n v="3496.47"/>
    <x v="3"/>
    <x v="3"/>
    <s v="AutoPost 923"/>
    <s v="USD"/>
    <x v="11"/>
    <x v="923"/>
  </r>
  <r>
    <x v="924"/>
    <x v="576"/>
    <x v="0"/>
    <x v="0"/>
    <n v="0"/>
    <n v="389.32"/>
    <x v="2"/>
    <x v="0"/>
    <s v="AutoPost 924"/>
    <s v="USD"/>
    <x v="16"/>
    <x v="924"/>
  </r>
  <r>
    <x v="925"/>
    <x v="271"/>
    <x v="4"/>
    <x v="4"/>
    <n v="0"/>
    <n v="2071.73"/>
    <x v="4"/>
    <x v="0"/>
    <s v="AutoPost 925"/>
    <s v="GBP"/>
    <x v="11"/>
    <x v="925"/>
  </r>
  <r>
    <x v="926"/>
    <x v="121"/>
    <x v="1"/>
    <x v="1"/>
    <n v="1719.48"/>
    <n v="0"/>
    <x v="1"/>
    <x v="3"/>
    <s v="AutoPost 926"/>
    <s v="CAD"/>
    <x v="25"/>
    <x v="926"/>
  </r>
  <r>
    <x v="927"/>
    <x v="577"/>
    <x v="2"/>
    <x v="2"/>
    <n v="260.58"/>
    <n v="0"/>
    <x v="3"/>
    <x v="2"/>
    <s v="AutoPost 927"/>
    <s v="GBP"/>
    <x v="28"/>
    <x v="927"/>
  </r>
  <r>
    <x v="928"/>
    <x v="46"/>
    <x v="3"/>
    <x v="3"/>
    <n v="79.59"/>
    <n v="0"/>
    <x v="0"/>
    <x v="1"/>
    <s v="AutoPost 928"/>
    <s v="USD"/>
    <x v="14"/>
    <x v="928"/>
  </r>
  <r>
    <x v="929"/>
    <x v="505"/>
    <x v="4"/>
    <x v="4"/>
    <n v="0"/>
    <n v="2860.93"/>
    <x v="2"/>
    <x v="4"/>
    <s v="AutoPost 929"/>
    <s v="CAD"/>
    <x v="1"/>
    <x v="929"/>
  </r>
  <r>
    <x v="930"/>
    <x v="305"/>
    <x v="4"/>
    <x v="4"/>
    <n v="0"/>
    <n v="4074.77"/>
    <x v="3"/>
    <x v="1"/>
    <s v="AutoPost 930"/>
    <s v="EUR"/>
    <x v="25"/>
    <x v="930"/>
  </r>
  <r>
    <x v="931"/>
    <x v="578"/>
    <x v="4"/>
    <x v="4"/>
    <n v="0"/>
    <n v="4702.84"/>
    <x v="4"/>
    <x v="3"/>
    <s v="AutoPost 931"/>
    <s v="GBP"/>
    <x v="2"/>
    <x v="931"/>
  </r>
  <r>
    <x v="932"/>
    <x v="341"/>
    <x v="3"/>
    <x v="3"/>
    <n v="920.32"/>
    <n v="0"/>
    <x v="2"/>
    <x v="0"/>
    <s v="AutoPost 932"/>
    <s v="EUR"/>
    <x v="9"/>
    <x v="932"/>
  </r>
  <r>
    <x v="933"/>
    <x v="328"/>
    <x v="4"/>
    <x v="4"/>
    <n v="0"/>
    <n v="1564.55"/>
    <x v="2"/>
    <x v="4"/>
    <s v="AutoPost 933"/>
    <s v="CAD"/>
    <x v="4"/>
    <x v="933"/>
  </r>
  <r>
    <x v="934"/>
    <x v="35"/>
    <x v="4"/>
    <x v="4"/>
    <n v="0"/>
    <n v="2984.56"/>
    <x v="5"/>
    <x v="2"/>
    <s v="AutoPost 934"/>
    <s v="AUD"/>
    <x v="0"/>
    <x v="934"/>
  </r>
  <r>
    <x v="935"/>
    <x v="579"/>
    <x v="4"/>
    <x v="4"/>
    <n v="0"/>
    <n v="4352.6000000000004"/>
    <x v="1"/>
    <x v="4"/>
    <s v="AutoPost 935"/>
    <s v="CAD"/>
    <x v="7"/>
    <x v="935"/>
  </r>
  <r>
    <x v="936"/>
    <x v="573"/>
    <x v="4"/>
    <x v="4"/>
    <n v="0"/>
    <n v="1861.57"/>
    <x v="5"/>
    <x v="0"/>
    <s v="AutoPost 936"/>
    <s v="USD"/>
    <x v="23"/>
    <x v="936"/>
  </r>
  <r>
    <x v="937"/>
    <x v="23"/>
    <x v="4"/>
    <x v="4"/>
    <n v="0"/>
    <n v="1431.79"/>
    <x v="1"/>
    <x v="1"/>
    <s v="AutoPost 937"/>
    <s v="CAD"/>
    <x v="18"/>
    <x v="937"/>
  </r>
  <r>
    <x v="938"/>
    <x v="73"/>
    <x v="4"/>
    <x v="4"/>
    <n v="0"/>
    <n v="3515.1"/>
    <x v="1"/>
    <x v="0"/>
    <s v="AutoPost 938"/>
    <s v="AUD"/>
    <x v="12"/>
    <x v="938"/>
  </r>
  <r>
    <x v="939"/>
    <x v="141"/>
    <x v="1"/>
    <x v="1"/>
    <n v="547.15"/>
    <n v="0"/>
    <x v="0"/>
    <x v="0"/>
    <s v="AutoPost 939"/>
    <s v="EUR"/>
    <x v="17"/>
    <x v="939"/>
  </r>
  <r>
    <x v="940"/>
    <x v="580"/>
    <x v="0"/>
    <x v="0"/>
    <n v="0"/>
    <n v="2941.46"/>
    <x v="1"/>
    <x v="4"/>
    <s v="AutoPost 940"/>
    <s v="AUD"/>
    <x v="9"/>
    <x v="940"/>
  </r>
  <r>
    <x v="941"/>
    <x v="53"/>
    <x v="2"/>
    <x v="2"/>
    <n v="1900.12"/>
    <n v="0"/>
    <x v="5"/>
    <x v="1"/>
    <s v="AutoPost 941"/>
    <s v="USD"/>
    <x v="7"/>
    <x v="941"/>
  </r>
  <r>
    <x v="942"/>
    <x v="444"/>
    <x v="4"/>
    <x v="4"/>
    <n v="0"/>
    <n v="1951.17"/>
    <x v="0"/>
    <x v="2"/>
    <s v="AutoPost 942"/>
    <s v="AUD"/>
    <x v="18"/>
    <x v="942"/>
  </r>
  <r>
    <x v="943"/>
    <x v="310"/>
    <x v="1"/>
    <x v="1"/>
    <n v="1649.25"/>
    <n v="0"/>
    <x v="4"/>
    <x v="3"/>
    <s v="AutoPost 943"/>
    <s v="CAD"/>
    <x v="12"/>
    <x v="558"/>
  </r>
  <r>
    <x v="944"/>
    <x v="581"/>
    <x v="2"/>
    <x v="2"/>
    <n v="770.2"/>
    <n v="0"/>
    <x v="2"/>
    <x v="3"/>
    <s v="AutoPost 944"/>
    <s v="AUD"/>
    <x v="23"/>
    <x v="943"/>
  </r>
  <r>
    <x v="945"/>
    <x v="575"/>
    <x v="2"/>
    <x v="2"/>
    <n v="202.11"/>
    <n v="0"/>
    <x v="1"/>
    <x v="1"/>
    <s v="AutoPost 945"/>
    <s v="AUD"/>
    <x v="0"/>
    <x v="944"/>
  </r>
  <r>
    <x v="946"/>
    <x v="70"/>
    <x v="2"/>
    <x v="2"/>
    <n v="1844.72"/>
    <n v="0"/>
    <x v="3"/>
    <x v="0"/>
    <s v="AutoPost 946"/>
    <s v="CAD"/>
    <x v="11"/>
    <x v="945"/>
  </r>
  <r>
    <x v="947"/>
    <x v="582"/>
    <x v="4"/>
    <x v="4"/>
    <n v="0"/>
    <n v="1995.59"/>
    <x v="4"/>
    <x v="1"/>
    <s v="AutoPost 947"/>
    <s v="EUR"/>
    <x v="14"/>
    <x v="946"/>
  </r>
  <r>
    <x v="948"/>
    <x v="583"/>
    <x v="1"/>
    <x v="1"/>
    <n v="1875.24"/>
    <n v="0"/>
    <x v="1"/>
    <x v="0"/>
    <s v="AutoPost 948"/>
    <s v="USD"/>
    <x v="3"/>
    <x v="947"/>
  </r>
  <r>
    <x v="949"/>
    <x v="252"/>
    <x v="3"/>
    <x v="3"/>
    <n v="80.59"/>
    <n v="0"/>
    <x v="0"/>
    <x v="2"/>
    <s v="AutoPost 949"/>
    <s v="GBP"/>
    <x v="2"/>
    <x v="948"/>
  </r>
  <r>
    <x v="950"/>
    <x v="584"/>
    <x v="3"/>
    <x v="3"/>
    <n v="445.11"/>
    <n v="0"/>
    <x v="2"/>
    <x v="1"/>
    <s v="AutoPost 950"/>
    <s v="AUD"/>
    <x v="17"/>
    <x v="949"/>
  </r>
  <r>
    <x v="951"/>
    <x v="88"/>
    <x v="4"/>
    <x v="4"/>
    <n v="0"/>
    <n v="2882.01"/>
    <x v="3"/>
    <x v="0"/>
    <s v="AutoPost 951"/>
    <s v="USD"/>
    <x v="0"/>
    <x v="950"/>
  </r>
  <r>
    <x v="952"/>
    <x v="585"/>
    <x v="1"/>
    <x v="1"/>
    <n v="788.01"/>
    <n v="0"/>
    <x v="1"/>
    <x v="3"/>
    <s v="AutoPost 952"/>
    <s v="GBP"/>
    <x v="8"/>
    <x v="951"/>
  </r>
  <r>
    <x v="953"/>
    <x v="586"/>
    <x v="4"/>
    <x v="4"/>
    <n v="0"/>
    <n v="1052.22"/>
    <x v="2"/>
    <x v="3"/>
    <s v="AutoPost 953"/>
    <s v="CAD"/>
    <x v="22"/>
    <x v="952"/>
  </r>
  <r>
    <x v="954"/>
    <x v="549"/>
    <x v="4"/>
    <x v="4"/>
    <n v="0"/>
    <n v="583.57000000000005"/>
    <x v="0"/>
    <x v="1"/>
    <s v="AutoPost 954"/>
    <s v="USD"/>
    <x v="8"/>
    <x v="953"/>
  </r>
  <r>
    <x v="955"/>
    <x v="587"/>
    <x v="1"/>
    <x v="1"/>
    <n v="1472.38"/>
    <n v="0"/>
    <x v="1"/>
    <x v="1"/>
    <s v="AutoPost 955"/>
    <s v="USD"/>
    <x v="28"/>
    <x v="954"/>
  </r>
  <r>
    <x v="956"/>
    <x v="41"/>
    <x v="1"/>
    <x v="1"/>
    <n v="1444.24"/>
    <n v="0"/>
    <x v="4"/>
    <x v="1"/>
    <s v="AutoPost 956"/>
    <s v="GBP"/>
    <x v="3"/>
    <x v="955"/>
  </r>
  <r>
    <x v="957"/>
    <x v="588"/>
    <x v="2"/>
    <x v="2"/>
    <n v="746.97"/>
    <n v="0"/>
    <x v="5"/>
    <x v="4"/>
    <s v="AutoPost 957"/>
    <s v="USD"/>
    <x v="19"/>
    <x v="956"/>
  </r>
  <r>
    <x v="958"/>
    <x v="589"/>
    <x v="3"/>
    <x v="3"/>
    <n v="1912.71"/>
    <n v="0"/>
    <x v="5"/>
    <x v="3"/>
    <s v="AutoPost 958"/>
    <s v="AUD"/>
    <x v="21"/>
    <x v="957"/>
  </r>
  <r>
    <x v="959"/>
    <x v="590"/>
    <x v="2"/>
    <x v="2"/>
    <n v="1714.13"/>
    <n v="0"/>
    <x v="0"/>
    <x v="0"/>
    <s v="AutoPost 959"/>
    <s v="CAD"/>
    <x v="17"/>
    <x v="958"/>
  </r>
  <r>
    <x v="960"/>
    <x v="72"/>
    <x v="1"/>
    <x v="1"/>
    <n v="996.13"/>
    <n v="0"/>
    <x v="2"/>
    <x v="3"/>
    <s v="AutoPost 960"/>
    <s v="EUR"/>
    <x v="15"/>
    <x v="959"/>
  </r>
  <r>
    <x v="961"/>
    <x v="456"/>
    <x v="1"/>
    <x v="1"/>
    <n v="1735.24"/>
    <n v="0"/>
    <x v="0"/>
    <x v="3"/>
    <s v="AutoPost 961"/>
    <s v="CAD"/>
    <x v="25"/>
    <x v="960"/>
  </r>
  <r>
    <x v="962"/>
    <x v="93"/>
    <x v="2"/>
    <x v="2"/>
    <n v="1782.36"/>
    <n v="0"/>
    <x v="1"/>
    <x v="3"/>
    <s v="AutoPost 962"/>
    <s v="CAD"/>
    <x v="14"/>
    <x v="961"/>
  </r>
  <r>
    <x v="963"/>
    <x v="350"/>
    <x v="3"/>
    <x v="3"/>
    <n v="288.13"/>
    <n v="0"/>
    <x v="0"/>
    <x v="1"/>
    <s v="AutoPost 963"/>
    <s v="GBP"/>
    <x v="11"/>
    <x v="962"/>
  </r>
  <r>
    <x v="964"/>
    <x v="546"/>
    <x v="2"/>
    <x v="2"/>
    <n v="760.63"/>
    <n v="0"/>
    <x v="4"/>
    <x v="4"/>
    <s v="AutoPost 964"/>
    <s v="EUR"/>
    <x v="0"/>
    <x v="963"/>
  </r>
  <r>
    <x v="965"/>
    <x v="591"/>
    <x v="4"/>
    <x v="4"/>
    <n v="0"/>
    <n v="4555.41"/>
    <x v="5"/>
    <x v="3"/>
    <s v="AutoPost 965"/>
    <s v="GBP"/>
    <x v="22"/>
    <x v="964"/>
  </r>
  <r>
    <x v="966"/>
    <x v="592"/>
    <x v="0"/>
    <x v="0"/>
    <n v="0"/>
    <n v="1864.27"/>
    <x v="1"/>
    <x v="0"/>
    <s v="AutoPost 966"/>
    <s v="USD"/>
    <x v="29"/>
    <x v="965"/>
  </r>
  <r>
    <x v="967"/>
    <x v="71"/>
    <x v="4"/>
    <x v="4"/>
    <n v="0"/>
    <n v="705.16"/>
    <x v="2"/>
    <x v="3"/>
    <s v="AutoPost 967"/>
    <s v="USD"/>
    <x v="28"/>
    <x v="966"/>
  </r>
  <r>
    <x v="968"/>
    <x v="232"/>
    <x v="0"/>
    <x v="0"/>
    <n v="0"/>
    <n v="2558.2800000000002"/>
    <x v="1"/>
    <x v="0"/>
    <s v="AutoPost 968"/>
    <s v="CAD"/>
    <x v="17"/>
    <x v="967"/>
  </r>
  <r>
    <x v="969"/>
    <x v="582"/>
    <x v="4"/>
    <x v="4"/>
    <n v="0"/>
    <n v="583.33000000000004"/>
    <x v="3"/>
    <x v="1"/>
    <s v="AutoPost 969"/>
    <s v="AUD"/>
    <x v="14"/>
    <x v="968"/>
  </r>
  <r>
    <x v="970"/>
    <x v="593"/>
    <x v="4"/>
    <x v="4"/>
    <n v="0"/>
    <n v="2126.6999999999998"/>
    <x v="1"/>
    <x v="2"/>
    <s v="AutoPost 970"/>
    <s v="USD"/>
    <x v="23"/>
    <x v="969"/>
  </r>
  <r>
    <x v="971"/>
    <x v="594"/>
    <x v="2"/>
    <x v="2"/>
    <n v="409.25"/>
    <n v="0"/>
    <x v="5"/>
    <x v="4"/>
    <s v="AutoPost 971"/>
    <s v="CAD"/>
    <x v="2"/>
    <x v="970"/>
  </r>
  <r>
    <x v="972"/>
    <x v="506"/>
    <x v="4"/>
    <x v="4"/>
    <n v="0"/>
    <n v="546.70000000000005"/>
    <x v="0"/>
    <x v="4"/>
    <s v="AutoPost 972"/>
    <s v="EUR"/>
    <x v="7"/>
    <x v="971"/>
  </r>
  <r>
    <x v="973"/>
    <x v="16"/>
    <x v="3"/>
    <x v="3"/>
    <n v="1708.86"/>
    <n v="0"/>
    <x v="1"/>
    <x v="3"/>
    <s v="AutoPost 973"/>
    <s v="CAD"/>
    <x v="13"/>
    <x v="972"/>
  </r>
  <r>
    <x v="974"/>
    <x v="595"/>
    <x v="1"/>
    <x v="1"/>
    <n v="1155.1300000000001"/>
    <n v="0"/>
    <x v="5"/>
    <x v="2"/>
    <s v="AutoPost 974"/>
    <s v="GBP"/>
    <x v="17"/>
    <x v="973"/>
  </r>
  <r>
    <x v="975"/>
    <x v="596"/>
    <x v="3"/>
    <x v="3"/>
    <n v="906.36"/>
    <n v="0"/>
    <x v="2"/>
    <x v="1"/>
    <s v="AutoPost 975"/>
    <s v="AUD"/>
    <x v="26"/>
    <x v="974"/>
  </r>
  <r>
    <x v="976"/>
    <x v="312"/>
    <x v="0"/>
    <x v="0"/>
    <n v="0"/>
    <n v="1026.19"/>
    <x v="3"/>
    <x v="1"/>
    <s v="AutoPost 976"/>
    <s v="AUD"/>
    <x v="11"/>
    <x v="975"/>
  </r>
  <r>
    <x v="977"/>
    <x v="502"/>
    <x v="3"/>
    <x v="3"/>
    <n v="1571.91"/>
    <n v="0"/>
    <x v="2"/>
    <x v="4"/>
    <s v="AutoPost 977"/>
    <s v="CAD"/>
    <x v="15"/>
    <x v="976"/>
  </r>
  <r>
    <x v="978"/>
    <x v="77"/>
    <x v="0"/>
    <x v="0"/>
    <n v="0"/>
    <n v="504.44"/>
    <x v="5"/>
    <x v="1"/>
    <s v="AutoPost 978"/>
    <s v="USD"/>
    <x v="5"/>
    <x v="977"/>
  </r>
  <r>
    <x v="979"/>
    <x v="336"/>
    <x v="0"/>
    <x v="0"/>
    <n v="0"/>
    <n v="2486.2199999999998"/>
    <x v="2"/>
    <x v="4"/>
    <s v="AutoPost 979"/>
    <s v="GBP"/>
    <x v="2"/>
    <x v="978"/>
  </r>
  <r>
    <x v="980"/>
    <x v="147"/>
    <x v="3"/>
    <x v="3"/>
    <n v="397.17"/>
    <n v="0"/>
    <x v="4"/>
    <x v="3"/>
    <s v="AutoPost 980"/>
    <s v="EUR"/>
    <x v="28"/>
    <x v="979"/>
  </r>
  <r>
    <x v="981"/>
    <x v="210"/>
    <x v="3"/>
    <x v="3"/>
    <n v="1558.38"/>
    <n v="0"/>
    <x v="4"/>
    <x v="3"/>
    <s v="AutoPost 981"/>
    <s v="GBP"/>
    <x v="25"/>
    <x v="980"/>
  </r>
  <r>
    <x v="982"/>
    <x v="564"/>
    <x v="0"/>
    <x v="0"/>
    <n v="0"/>
    <n v="1902.31"/>
    <x v="3"/>
    <x v="2"/>
    <s v="AutoPost 982"/>
    <s v="USD"/>
    <x v="6"/>
    <x v="981"/>
  </r>
  <r>
    <x v="983"/>
    <x v="574"/>
    <x v="2"/>
    <x v="2"/>
    <n v="330.31"/>
    <n v="0"/>
    <x v="3"/>
    <x v="2"/>
    <s v="AutoPost 983"/>
    <s v="EUR"/>
    <x v="10"/>
    <x v="982"/>
  </r>
  <r>
    <x v="984"/>
    <x v="597"/>
    <x v="4"/>
    <x v="4"/>
    <n v="0"/>
    <n v="369.23"/>
    <x v="5"/>
    <x v="1"/>
    <s v="AutoPost 984"/>
    <s v="AUD"/>
    <x v="21"/>
    <x v="983"/>
  </r>
  <r>
    <x v="985"/>
    <x v="598"/>
    <x v="4"/>
    <x v="4"/>
    <n v="0"/>
    <n v="2516.86"/>
    <x v="1"/>
    <x v="3"/>
    <s v="AutoPost 985"/>
    <s v="EUR"/>
    <x v="17"/>
    <x v="984"/>
  </r>
  <r>
    <x v="986"/>
    <x v="554"/>
    <x v="4"/>
    <x v="4"/>
    <n v="0"/>
    <n v="2267.1999999999998"/>
    <x v="4"/>
    <x v="1"/>
    <s v="AutoPost 986"/>
    <s v="AUD"/>
    <x v="12"/>
    <x v="985"/>
  </r>
  <r>
    <x v="987"/>
    <x v="96"/>
    <x v="1"/>
    <x v="1"/>
    <n v="270.42"/>
    <n v="0"/>
    <x v="2"/>
    <x v="0"/>
    <s v="AutoPost 987"/>
    <s v="CAD"/>
    <x v="26"/>
    <x v="986"/>
  </r>
  <r>
    <x v="988"/>
    <x v="426"/>
    <x v="0"/>
    <x v="0"/>
    <n v="0"/>
    <n v="1807.47"/>
    <x v="4"/>
    <x v="3"/>
    <s v="AutoPost 988"/>
    <s v="USD"/>
    <x v="26"/>
    <x v="987"/>
  </r>
  <r>
    <x v="989"/>
    <x v="193"/>
    <x v="1"/>
    <x v="1"/>
    <n v="1404.46"/>
    <n v="0"/>
    <x v="2"/>
    <x v="1"/>
    <s v="AutoPost 989"/>
    <s v="CAD"/>
    <x v="13"/>
    <x v="988"/>
  </r>
  <r>
    <x v="990"/>
    <x v="94"/>
    <x v="2"/>
    <x v="2"/>
    <n v="1628.38"/>
    <n v="0"/>
    <x v="5"/>
    <x v="0"/>
    <s v="AutoPost 990"/>
    <s v="CAD"/>
    <x v="2"/>
    <x v="989"/>
  </r>
  <r>
    <x v="991"/>
    <x v="380"/>
    <x v="3"/>
    <x v="3"/>
    <n v="1593.21"/>
    <n v="0"/>
    <x v="1"/>
    <x v="3"/>
    <s v="AutoPost 991"/>
    <s v="EUR"/>
    <x v="17"/>
    <x v="990"/>
  </r>
  <r>
    <x v="992"/>
    <x v="84"/>
    <x v="0"/>
    <x v="0"/>
    <n v="0"/>
    <n v="3100.79"/>
    <x v="4"/>
    <x v="3"/>
    <s v="AutoPost 992"/>
    <s v="CAD"/>
    <x v="6"/>
    <x v="991"/>
  </r>
  <r>
    <x v="993"/>
    <x v="599"/>
    <x v="1"/>
    <x v="1"/>
    <n v="759.38"/>
    <n v="0"/>
    <x v="0"/>
    <x v="4"/>
    <s v="AutoPost 993"/>
    <s v="AUD"/>
    <x v="17"/>
    <x v="992"/>
  </r>
  <r>
    <x v="994"/>
    <x v="600"/>
    <x v="2"/>
    <x v="2"/>
    <n v="818.52"/>
    <n v="0"/>
    <x v="0"/>
    <x v="0"/>
    <s v="AutoPost 994"/>
    <s v="GBP"/>
    <x v="23"/>
    <x v="993"/>
  </r>
  <r>
    <x v="995"/>
    <x v="601"/>
    <x v="2"/>
    <x v="2"/>
    <n v="1003.28"/>
    <n v="0"/>
    <x v="0"/>
    <x v="3"/>
    <s v="AutoPost 995"/>
    <s v="AUD"/>
    <x v="24"/>
    <x v="994"/>
  </r>
  <r>
    <x v="996"/>
    <x v="29"/>
    <x v="4"/>
    <x v="4"/>
    <n v="0"/>
    <n v="3683.5"/>
    <x v="4"/>
    <x v="4"/>
    <s v="AutoPost 996"/>
    <s v="USD"/>
    <x v="16"/>
    <x v="995"/>
  </r>
  <r>
    <x v="997"/>
    <x v="216"/>
    <x v="3"/>
    <x v="3"/>
    <n v="1336.12"/>
    <n v="0"/>
    <x v="0"/>
    <x v="4"/>
    <s v="AutoPost 997"/>
    <s v="CAD"/>
    <x v="13"/>
    <x v="996"/>
  </r>
  <r>
    <x v="998"/>
    <x v="150"/>
    <x v="0"/>
    <x v="0"/>
    <n v="0"/>
    <n v="142.47999999999999"/>
    <x v="4"/>
    <x v="4"/>
    <s v="AutoPost 998"/>
    <s v="GBP"/>
    <x v="21"/>
    <x v="997"/>
  </r>
  <r>
    <x v="999"/>
    <x v="404"/>
    <x v="2"/>
    <x v="2"/>
    <n v="225.03"/>
    <n v="0"/>
    <x v="0"/>
    <x v="4"/>
    <s v="AutoPost 999"/>
    <s v="CAD"/>
    <x v="5"/>
    <x v="998"/>
  </r>
  <r>
    <x v="1000"/>
    <x v="602"/>
    <x v="1"/>
    <x v="1"/>
    <n v="1959.72"/>
    <n v="0"/>
    <x v="0"/>
    <x v="3"/>
    <s v="AutoPost 1000"/>
    <s v="AUD"/>
    <x v="28"/>
    <x v="999"/>
  </r>
  <r>
    <x v="1001"/>
    <x v="327"/>
    <x v="2"/>
    <x v="2"/>
    <n v="459.97"/>
    <n v="0"/>
    <x v="0"/>
    <x v="4"/>
    <s v="AutoPost 1001"/>
    <s v="USD"/>
    <x v="25"/>
    <x v="1000"/>
  </r>
  <r>
    <x v="1002"/>
    <x v="603"/>
    <x v="0"/>
    <x v="0"/>
    <n v="0"/>
    <n v="1518.16"/>
    <x v="2"/>
    <x v="0"/>
    <s v="AutoPost 1002"/>
    <s v="USD"/>
    <x v="0"/>
    <x v="1001"/>
  </r>
  <r>
    <x v="1003"/>
    <x v="604"/>
    <x v="2"/>
    <x v="2"/>
    <n v="1278.1199999999999"/>
    <n v="0"/>
    <x v="5"/>
    <x v="0"/>
    <s v="AutoPost 1003"/>
    <s v="EUR"/>
    <x v="1"/>
    <x v="1002"/>
  </r>
  <r>
    <x v="1004"/>
    <x v="605"/>
    <x v="1"/>
    <x v="1"/>
    <n v="1956.42"/>
    <n v="0"/>
    <x v="0"/>
    <x v="4"/>
    <s v="AutoPost 1004"/>
    <s v="EUR"/>
    <x v="7"/>
    <x v="1003"/>
  </r>
  <r>
    <x v="1005"/>
    <x v="505"/>
    <x v="3"/>
    <x v="3"/>
    <n v="1816.11"/>
    <n v="0"/>
    <x v="2"/>
    <x v="2"/>
    <s v="AutoPost 1005"/>
    <s v="GBP"/>
    <x v="1"/>
    <x v="1004"/>
  </r>
  <r>
    <x v="1006"/>
    <x v="500"/>
    <x v="1"/>
    <x v="1"/>
    <n v="1309.5"/>
    <n v="0"/>
    <x v="4"/>
    <x v="1"/>
    <s v="AutoPost 1006"/>
    <s v="EUR"/>
    <x v="10"/>
    <x v="1005"/>
  </r>
  <r>
    <x v="1007"/>
    <x v="606"/>
    <x v="1"/>
    <x v="1"/>
    <n v="316.43"/>
    <n v="0"/>
    <x v="2"/>
    <x v="4"/>
    <s v="AutoPost 1007"/>
    <s v="EUR"/>
    <x v="22"/>
    <x v="1006"/>
  </r>
  <r>
    <x v="1008"/>
    <x v="552"/>
    <x v="0"/>
    <x v="0"/>
    <n v="0"/>
    <n v="4239.59"/>
    <x v="0"/>
    <x v="4"/>
    <s v="AutoPost 1008"/>
    <s v="EUR"/>
    <x v="7"/>
    <x v="1007"/>
  </r>
  <r>
    <x v="1009"/>
    <x v="200"/>
    <x v="1"/>
    <x v="1"/>
    <n v="497.55"/>
    <n v="0"/>
    <x v="0"/>
    <x v="1"/>
    <s v="AutoPost 1009"/>
    <s v="GBP"/>
    <x v="10"/>
    <x v="1008"/>
  </r>
  <r>
    <x v="1010"/>
    <x v="159"/>
    <x v="2"/>
    <x v="2"/>
    <n v="1978.21"/>
    <n v="0"/>
    <x v="1"/>
    <x v="0"/>
    <s v="AutoPost 1010"/>
    <s v="USD"/>
    <x v="13"/>
    <x v="1009"/>
  </r>
  <r>
    <x v="1011"/>
    <x v="338"/>
    <x v="1"/>
    <x v="1"/>
    <n v="1691.11"/>
    <n v="0"/>
    <x v="2"/>
    <x v="1"/>
    <s v="AutoPost 1011"/>
    <s v="GBP"/>
    <x v="29"/>
    <x v="1010"/>
  </r>
  <r>
    <x v="1012"/>
    <x v="7"/>
    <x v="0"/>
    <x v="0"/>
    <n v="0"/>
    <n v="3238.48"/>
    <x v="0"/>
    <x v="1"/>
    <s v="AutoPost 1012"/>
    <s v="GBP"/>
    <x v="6"/>
    <x v="1011"/>
  </r>
  <r>
    <x v="1013"/>
    <x v="144"/>
    <x v="4"/>
    <x v="4"/>
    <n v="0"/>
    <n v="2318.9699999999998"/>
    <x v="5"/>
    <x v="0"/>
    <s v="AutoPost 1013"/>
    <s v="AUD"/>
    <x v="14"/>
    <x v="1012"/>
  </r>
  <r>
    <x v="1014"/>
    <x v="607"/>
    <x v="1"/>
    <x v="1"/>
    <n v="683.66"/>
    <n v="0"/>
    <x v="1"/>
    <x v="3"/>
    <s v="AutoPost 1014"/>
    <s v="AUD"/>
    <x v="9"/>
    <x v="1013"/>
  </r>
  <r>
    <x v="1015"/>
    <x v="608"/>
    <x v="2"/>
    <x v="2"/>
    <n v="1309.76"/>
    <n v="0"/>
    <x v="1"/>
    <x v="0"/>
    <s v="AutoPost 1015"/>
    <s v="AUD"/>
    <x v="22"/>
    <x v="1014"/>
  </r>
  <r>
    <x v="1016"/>
    <x v="540"/>
    <x v="2"/>
    <x v="2"/>
    <n v="988.94"/>
    <n v="0"/>
    <x v="5"/>
    <x v="3"/>
    <s v="AutoPost 1016"/>
    <s v="USD"/>
    <x v="8"/>
    <x v="1015"/>
  </r>
  <r>
    <x v="1017"/>
    <x v="581"/>
    <x v="0"/>
    <x v="0"/>
    <n v="0"/>
    <n v="3981.75"/>
    <x v="4"/>
    <x v="2"/>
    <s v="AutoPost 1017"/>
    <s v="AUD"/>
    <x v="23"/>
    <x v="1016"/>
  </r>
  <r>
    <x v="1018"/>
    <x v="109"/>
    <x v="4"/>
    <x v="4"/>
    <n v="0"/>
    <n v="4727.49"/>
    <x v="4"/>
    <x v="1"/>
    <s v="AutoPost 1018"/>
    <s v="USD"/>
    <x v="2"/>
    <x v="1017"/>
  </r>
  <r>
    <x v="1019"/>
    <x v="482"/>
    <x v="0"/>
    <x v="0"/>
    <n v="0"/>
    <n v="4557.5600000000004"/>
    <x v="3"/>
    <x v="3"/>
    <s v="AutoPost 1019"/>
    <s v="CAD"/>
    <x v="27"/>
    <x v="1018"/>
  </r>
  <r>
    <x v="1020"/>
    <x v="502"/>
    <x v="1"/>
    <x v="1"/>
    <n v="402.15"/>
    <n v="0"/>
    <x v="5"/>
    <x v="0"/>
    <s v="AutoPost 1020"/>
    <s v="EUR"/>
    <x v="15"/>
    <x v="1019"/>
  </r>
  <r>
    <x v="1021"/>
    <x v="138"/>
    <x v="0"/>
    <x v="0"/>
    <n v="0"/>
    <n v="1210.2"/>
    <x v="1"/>
    <x v="0"/>
    <s v="AutoPost 1021"/>
    <s v="USD"/>
    <x v="19"/>
    <x v="1020"/>
  </r>
  <r>
    <x v="1022"/>
    <x v="267"/>
    <x v="0"/>
    <x v="0"/>
    <n v="0"/>
    <n v="256.32"/>
    <x v="0"/>
    <x v="0"/>
    <s v="AutoPost 1022"/>
    <s v="CAD"/>
    <x v="14"/>
    <x v="1021"/>
  </r>
  <r>
    <x v="1023"/>
    <x v="446"/>
    <x v="1"/>
    <x v="1"/>
    <n v="1493.77"/>
    <n v="0"/>
    <x v="1"/>
    <x v="3"/>
    <s v="AutoPost 1023"/>
    <s v="CAD"/>
    <x v="26"/>
    <x v="1022"/>
  </r>
  <r>
    <x v="1024"/>
    <x v="241"/>
    <x v="2"/>
    <x v="2"/>
    <n v="1946.64"/>
    <n v="0"/>
    <x v="4"/>
    <x v="2"/>
    <s v="AutoPost 1024"/>
    <s v="CAD"/>
    <x v="11"/>
    <x v="1023"/>
  </r>
  <r>
    <x v="1025"/>
    <x v="155"/>
    <x v="4"/>
    <x v="4"/>
    <n v="0"/>
    <n v="3890.34"/>
    <x v="5"/>
    <x v="1"/>
    <s v="AutoPost 1025"/>
    <s v="AUD"/>
    <x v="14"/>
    <x v="1024"/>
  </r>
  <r>
    <x v="1026"/>
    <x v="609"/>
    <x v="3"/>
    <x v="3"/>
    <n v="1085.95"/>
    <n v="0"/>
    <x v="0"/>
    <x v="3"/>
    <s v="AutoPost 1026"/>
    <s v="AUD"/>
    <x v="7"/>
    <x v="1025"/>
  </r>
  <r>
    <x v="1027"/>
    <x v="610"/>
    <x v="2"/>
    <x v="2"/>
    <n v="1425.4"/>
    <n v="0"/>
    <x v="1"/>
    <x v="1"/>
    <s v="AutoPost 1027"/>
    <s v="AUD"/>
    <x v="13"/>
    <x v="1026"/>
  </r>
  <r>
    <x v="1028"/>
    <x v="114"/>
    <x v="3"/>
    <x v="3"/>
    <n v="910.93"/>
    <n v="0"/>
    <x v="3"/>
    <x v="1"/>
    <s v="AutoPost 1028"/>
    <s v="GBP"/>
    <x v="25"/>
    <x v="1027"/>
  </r>
  <r>
    <x v="1029"/>
    <x v="316"/>
    <x v="2"/>
    <x v="2"/>
    <n v="973.12"/>
    <n v="0"/>
    <x v="2"/>
    <x v="4"/>
    <s v="AutoPost 1029"/>
    <s v="GBP"/>
    <x v="26"/>
    <x v="1028"/>
  </r>
  <r>
    <x v="1030"/>
    <x v="607"/>
    <x v="4"/>
    <x v="4"/>
    <n v="0"/>
    <n v="3221.92"/>
    <x v="0"/>
    <x v="2"/>
    <s v="AutoPost 1030"/>
    <s v="USD"/>
    <x v="9"/>
    <x v="1029"/>
  </r>
  <r>
    <x v="1031"/>
    <x v="611"/>
    <x v="4"/>
    <x v="4"/>
    <n v="0"/>
    <n v="4508.8599999999997"/>
    <x v="2"/>
    <x v="1"/>
    <s v="AutoPost 1031"/>
    <s v="CAD"/>
    <x v="21"/>
    <x v="1030"/>
  </r>
  <r>
    <x v="1032"/>
    <x v="175"/>
    <x v="4"/>
    <x v="4"/>
    <n v="0"/>
    <n v="882.66"/>
    <x v="3"/>
    <x v="2"/>
    <s v="AutoPost 1032"/>
    <s v="USD"/>
    <x v="24"/>
    <x v="1031"/>
  </r>
  <r>
    <x v="1033"/>
    <x v="45"/>
    <x v="2"/>
    <x v="2"/>
    <n v="432.35"/>
    <n v="0"/>
    <x v="2"/>
    <x v="1"/>
    <s v="AutoPost 1033"/>
    <s v="CAD"/>
    <x v="16"/>
    <x v="1032"/>
  </r>
  <r>
    <x v="1034"/>
    <x v="294"/>
    <x v="0"/>
    <x v="0"/>
    <n v="0"/>
    <n v="1578.7"/>
    <x v="3"/>
    <x v="4"/>
    <s v="AutoPost 1034"/>
    <s v="USD"/>
    <x v="29"/>
    <x v="1033"/>
  </r>
  <r>
    <x v="1035"/>
    <x v="612"/>
    <x v="2"/>
    <x v="2"/>
    <n v="880.83"/>
    <n v="0"/>
    <x v="3"/>
    <x v="0"/>
    <s v="AutoPost 1035"/>
    <s v="GBP"/>
    <x v="17"/>
    <x v="1034"/>
  </r>
  <r>
    <x v="1036"/>
    <x v="613"/>
    <x v="0"/>
    <x v="0"/>
    <n v="0"/>
    <n v="1378.62"/>
    <x v="2"/>
    <x v="0"/>
    <s v="AutoPost 1036"/>
    <s v="AUD"/>
    <x v="7"/>
    <x v="1035"/>
  </r>
  <r>
    <x v="1037"/>
    <x v="614"/>
    <x v="0"/>
    <x v="0"/>
    <n v="0"/>
    <n v="1884.23"/>
    <x v="5"/>
    <x v="0"/>
    <s v="AutoPost 1037"/>
    <s v="USD"/>
    <x v="16"/>
    <x v="1036"/>
  </r>
  <r>
    <x v="1038"/>
    <x v="195"/>
    <x v="1"/>
    <x v="1"/>
    <n v="398.06"/>
    <n v="0"/>
    <x v="4"/>
    <x v="3"/>
    <s v="AutoPost 1038"/>
    <s v="GBP"/>
    <x v="0"/>
    <x v="1037"/>
  </r>
  <r>
    <x v="1039"/>
    <x v="615"/>
    <x v="2"/>
    <x v="2"/>
    <n v="1030.76"/>
    <n v="0"/>
    <x v="2"/>
    <x v="0"/>
    <s v="AutoPost 1039"/>
    <s v="EUR"/>
    <x v="22"/>
    <x v="1038"/>
  </r>
  <r>
    <x v="1040"/>
    <x v="583"/>
    <x v="3"/>
    <x v="3"/>
    <n v="1713"/>
    <n v="0"/>
    <x v="4"/>
    <x v="3"/>
    <s v="AutoPost 1040"/>
    <s v="AUD"/>
    <x v="3"/>
    <x v="1039"/>
  </r>
  <r>
    <x v="1041"/>
    <x v="415"/>
    <x v="0"/>
    <x v="0"/>
    <n v="0"/>
    <n v="3214.89"/>
    <x v="2"/>
    <x v="0"/>
    <s v="AutoPost 1041"/>
    <s v="AUD"/>
    <x v="26"/>
    <x v="1040"/>
  </r>
  <r>
    <x v="1042"/>
    <x v="616"/>
    <x v="0"/>
    <x v="0"/>
    <n v="0"/>
    <n v="284.06"/>
    <x v="5"/>
    <x v="0"/>
    <s v="AutoPost 1042"/>
    <s v="AUD"/>
    <x v="16"/>
    <x v="1041"/>
  </r>
  <r>
    <x v="1043"/>
    <x v="617"/>
    <x v="4"/>
    <x v="4"/>
    <n v="0"/>
    <n v="3835.49"/>
    <x v="0"/>
    <x v="1"/>
    <s v="AutoPost 1043"/>
    <s v="GBP"/>
    <x v="9"/>
    <x v="1042"/>
  </r>
  <r>
    <x v="1044"/>
    <x v="4"/>
    <x v="1"/>
    <x v="1"/>
    <n v="357.85"/>
    <n v="0"/>
    <x v="1"/>
    <x v="2"/>
    <s v="AutoPost 1044"/>
    <s v="GBP"/>
    <x v="4"/>
    <x v="1043"/>
  </r>
  <r>
    <x v="1045"/>
    <x v="246"/>
    <x v="4"/>
    <x v="4"/>
    <n v="0"/>
    <n v="1435.58"/>
    <x v="3"/>
    <x v="3"/>
    <s v="AutoPost 1045"/>
    <s v="GBP"/>
    <x v="29"/>
    <x v="1044"/>
  </r>
  <r>
    <x v="1046"/>
    <x v="21"/>
    <x v="1"/>
    <x v="1"/>
    <n v="163.47999999999999"/>
    <n v="0"/>
    <x v="5"/>
    <x v="3"/>
    <s v="AutoPost 1046"/>
    <s v="AUD"/>
    <x v="17"/>
    <x v="1045"/>
  </r>
  <r>
    <x v="1047"/>
    <x v="95"/>
    <x v="3"/>
    <x v="3"/>
    <n v="1586.3"/>
    <n v="0"/>
    <x v="5"/>
    <x v="2"/>
    <s v="AutoPost 1047"/>
    <s v="CAD"/>
    <x v="21"/>
    <x v="1046"/>
  </r>
  <r>
    <x v="1048"/>
    <x v="442"/>
    <x v="4"/>
    <x v="4"/>
    <n v="0"/>
    <n v="1071.1300000000001"/>
    <x v="1"/>
    <x v="3"/>
    <s v="AutoPost 1048"/>
    <s v="USD"/>
    <x v="29"/>
    <x v="1047"/>
  </r>
  <r>
    <x v="1049"/>
    <x v="618"/>
    <x v="3"/>
    <x v="3"/>
    <n v="1888.6"/>
    <n v="0"/>
    <x v="4"/>
    <x v="3"/>
    <s v="AutoPost 1049"/>
    <s v="EUR"/>
    <x v="25"/>
    <x v="1048"/>
  </r>
  <r>
    <x v="1050"/>
    <x v="619"/>
    <x v="2"/>
    <x v="2"/>
    <n v="1396.76"/>
    <n v="0"/>
    <x v="1"/>
    <x v="3"/>
    <s v="AutoPost 1050"/>
    <s v="USD"/>
    <x v="9"/>
    <x v="1049"/>
  </r>
  <r>
    <x v="1051"/>
    <x v="620"/>
    <x v="0"/>
    <x v="0"/>
    <n v="0"/>
    <n v="458.3"/>
    <x v="4"/>
    <x v="4"/>
    <s v="AutoPost 1051"/>
    <s v="EUR"/>
    <x v="24"/>
    <x v="1050"/>
  </r>
  <r>
    <x v="1052"/>
    <x v="621"/>
    <x v="2"/>
    <x v="2"/>
    <n v="1873.98"/>
    <n v="0"/>
    <x v="2"/>
    <x v="0"/>
    <s v="AutoPost 1052"/>
    <s v="CAD"/>
    <x v="19"/>
    <x v="1051"/>
  </r>
  <r>
    <x v="1053"/>
    <x v="622"/>
    <x v="4"/>
    <x v="4"/>
    <n v="0"/>
    <n v="550.03"/>
    <x v="2"/>
    <x v="4"/>
    <s v="AutoPost 1053"/>
    <s v="AUD"/>
    <x v="1"/>
    <x v="1052"/>
  </r>
  <r>
    <x v="1054"/>
    <x v="623"/>
    <x v="3"/>
    <x v="3"/>
    <n v="1300.8599999999999"/>
    <n v="0"/>
    <x v="5"/>
    <x v="1"/>
    <s v="AutoPost 1054"/>
    <s v="EUR"/>
    <x v="4"/>
    <x v="1053"/>
  </r>
  <r>
    <x v="1055"/>
    <x v="243"/>
    <x v="2"/>
    <x v="2"/>
    <n v="509.12"/>
    <n v="0"/>
    <x v="5"/>
    <x v="1"/>
    <s v="AutoPost 1055"/>
    <s v="CAD"/>
    <x v="9"/>
    <x v="1054"/>
  </r>
  <r>
    <x v="1056"/>
    <x v="429"/>
    <x v="2"/>
    <x v="2"/>
    <n v="1328.19"/>
    <n v="0"/>
    <x v="4"/>
    <x v="0"/>
    <s v="AutoPost 1056"/>
    <s v="CAD"/>
    <x v="5"/>
    <x v="1055"/>
  </r>
  <r>
    <x v="1057"/>
    <x v="381"/>
    <x v="0"/>
    <x v="0"/>
    <n v="0"/>
    <n v="2455.5100000000002"/>
    <x v="0"/>
    <x v="0"/>
    <s v="AutoPost 1057"/>
    <s v="AUD"/>
    <x v="15"/>
    <x v="1056"/>
  </r>
  <r>
    <x v="1058"/>
    <x v="624"/>
    <x v="0"/>
    <x v="0"/>
    <n v="0"/>
    <n v="723.85"/>
    <x v="5"/>
    <x v="0"/>
    <s v="AutoPost 1058"/>
    <s v="USD"/>
    <x v="5"/>
    <x v="1057"/>
  </r>
  <r>
    <x v="1059"/>
    <x v="399"/>
    <x v="4"/>
    <x v="4"/>
    <n v="0"/>
    <n v="544.42999999999995"/>
    <x v="1"/>
    <x v="0"/>
    <s v="AutoPost 1059"/>
    <s v="CAD"/>
    <x v="6"/>
    <x v="1058"/>
  </r>
  <r>
    <x v="1060"/>
    <x v="625"/>
    <x v="1"/>
    <x v="1"/>
    <n v="1812.2"/>
    <n v="0"/>
    <x v="1"/>
    <x v="4"/>
    <s v="AutoPost 1060"/>
    <s v="GBP"/>
    <x v="3"/>
    <x v="1059"/>
  </r>
  <r>
    <x v="1061"/>
    <x v="341"/>
    <x v="3"/>
    <x v="3"/>
    <n v="1323.46"/>
    <n v="0"/>
    <x v="2"/>
    <x v="4"/>
    <s v="AutoPost 1061"/>
    <s v="GBP"/>
    <x v="9"/>
    <x v="1060"/>
  </r>
  <r>
    <x v="1062"/>
    <x v="626"/>
    <x v="1"/>
    <x v="1"/>
    <n v="254.62"/>
    <n v="0"/>
    <x v="0"/>
    <x v="1"/>
    <s v="AutoPost 1062"/>
    <s v="USD"/>
    <x v="20"/>
    <x v="1061"/>
  </r>
  <r>
    <x v="1063"/>
    <x v="264"/>
    <x v="3"/>
    <x v="3"/>
    <n v="1198.8900000000001"/>
    <n v="0"/>
    <x v="5"/>
    <x v="1"/>
    <s v="AutoPost 1063"/>
    <s v="GBP"/>
    <x v="26"/>
    <x v="1062"/>
  </r>
  <r>
    <x v="1064"/>
    <x v="627"/>
    <x v="3"/>
    <x v="3"/>
    <n v="556.48"/>
    <n v="0"/>
    <x v="3"/>
    <x v="4"/>
    <s v="AutoPost 1064"/>
    <s v="GBP"/>
    <x v="1"/>
    <x v="1063"/>
  </r>
  <r>
    <x v="1065"/>
    <x v="438"/>
    <x v="4"/>
    <x v="4"/>
    <n v="0"/>
    <n v="3204.3"/>
    <x v="5"/>
    <x v="4"/>
    <s v="AutoPost 1065"/>
    <s v="CAD"/>
    <x v="22"/>
    <x v="1064"/>
  </r>
  <r>
    <x v="1066"/>
    <x v="489"/>
    <x v="2"/>
    <x v="2"/>
    <n v="322.5"/>
    <n v="0"/>
    <x v="1"/>
    <x v="4"/>
    <s v="AutoPost 1066"/>
    <s v="EUR"/>
    <x v="19"/>
    <x v="1065"/>
  </r>
  <r>
    <x v="1067"/>
    <x v="549"/>
    <x v="2"/>
    <x v="2"/>
    <n v="916.19"/>
    <n v="0"/>
    <x v="5"/>
    <x v="3"/>
    <s v="AutoPost 1067"/>
    <s v="GBP"/>
    <x v="8"/>
    <x v="1066"/>
  </r>
  <r>
    <x v="1068"/>
    <x v="498"/>
    <x v="3"/>
    <x v="3"/>
    <n v="202.58"/>
    <n v="0"/>
    <x v="5"/>
    <x v="3"/>
    <s v="AutoPost 1068"/>
    <s v="AUD"/>
    <x v="12"/>
    <x v="1067"/>
  </r>
  <r>
    <x v="1069"/>
    <x v="628"/>
    <x v="0"/>
    <x v="0"/>
    <n v="0"/>
    <n v="4558.3900000000003"/>
    <x v="4"/>
    <x v="2"/>
    <s v="AutoPost 1069"/>
    <s v="EUR"/>
    <x v="23"/>
    <x v="1068"/>
  </r>
  <r>
    <x v="1070"/>
    <x v="15"/>
    <x v="2"/>
    <x v="2"/>
    <n v="962.74"/>
    <n v="0"/>
    <x v="1"/>
    <x v="4"/>
    <s v="AutoPost 1070"/>
    <s v="USD"/>
    <x v="8"/>
    <x v="1069"/>
  </r>
  <r>
    <x v="1071"/>
    <x v="245"/>
    <x v="2"/>
    <x v="2"/>
    <n v="996.08"/>
    <n v="0"/>
    <x v="1"/>
    <x v="4"/>
    <s v="AutoPost 1071"/>
    <s v="EUR"/>
    <x v="7"/>
    <x v="1070"/>
  </r>
  <r>
    <x v="1072"/>
    <x v="629"/>
    <x v="2"/>
    <x v="2"/>
    <n v="1399.67"/>
    <n v="0"/>
    <x v="4"/>
    <x v="4"/>
    <s v="AutoPost 1072"/>
    <s v="CAD"/>
    <x v="2"/>
    <x v="1071"/>
  </r>
  <r>
    <x v="1073"/>
    <x v="630"/>
    <x v="4"/>
    <x v="4"/>
    <n v="0"/>
    <n v="1644.76"/>
    <x v="1"/>
    <x v="0"/>
    <s v="AutoPost 1073"/>
    <s v="CAD"/>
    <x v="27"/>
    <x v="1072"/>
  </r>
  <r>
    <x v="1074"/>
    <x v="631"/>
    <x v="1"/>
    <x v="1"/>
    <n v="1049.23"/>
    <n v="0"/>
    <x v="0"/>
    <x v="0"/>
    <s v="AutoPost 1074"/>
    <s v="AUD"/>
    <x v="16"/>
    <x v="1073"/>
  </r>
  <r>
    <x v="1075"/>
    <x v="632"/>
    <x v="1"/>
    <x v="1"/>
    <n v="1655.29"/>
    <n v="0"/>
    <x v="1"/>
    <x v="0"/>
    <s v="AutoPost 1075"/>
    <s v="USD"/>
    <x v="29"/>
    <x v="1074"/>
  </r>
  <r>
    <x v="1076"/>
    <x v="488"/>
    <x v="3"/>
    <x v="3"/>
    <n v="1402.31"/>
    <n v="0"/>
    <x v="5"/>
    <x v="4"/>
    <s v="AutoPost 1076"/>
    <s v="EUR"/>
    <x v="23"/>
    <x v="1075"/>
  </r>
  <r>
    <x v="1077"/>
    <x v="541"/>
    <x v="3"/>
    <x v="3"/>
    <n v="833.9"/>
    <n v="0"/>
    <x v="0"/>
    <x v="2"/>
    <s v="AutoPost 1077"/>
    <s v="EUR"/>
    <x v="17"/>
    <x v="1076"/>
  </r>
  <r>
    <x v="1078"/>
    <x v="633"/>
    <x v="0"/>
    <x v="0"/>
    <n v="0"/>
    <n v="3759.18"/>
    <x v="3"/>
    <x v="0"/>
    <s v="AutoPost 1078"/>
    <s v="CAD"/>
    <x v="8"/>
    <x v="1077"/>
  </r>
  <r>
    <x v="1079"/>
    <x v="453"/>
    <x v="2"/>
    <x v="2"/>
    <n v="67.150000000000006"/>
    <n v="0"/>
    <x v="3"/>
    <x v="1"/>
    <s v="AutoPost 1079"/>
    <s v="USD"/>
    <x v="1"/>
    <x v="1078"/>
  </r>
  <r>
    <x v="1080"/>
    <x v="620"/>
    <x v="1"/>
    <x v="1"/>
    <n v="1138.3599999999999"/>
    <n v="0"/>
    <x v="5"/>
    <x v="2"/>
    <s v="AutoPost 1080"/>
    <s v="CAD"/>
    <x v="24"/>
    <x v="1079"/>
  </r>
  <r>
    <x v="1081"/>
    <x v="634"/>
    <x v="2"/>
    <x v="2"/>
    <n v="1356.38"/>
    <n v="0"/>
    <x v="4"/>
    <x v="3"/>
    <s v="AutoPost 1081"/>
    <s v="CAD"/>
    <x v="29"/>
    <x v="1080"/>
  </r>
  <r>
    <x v="1082"/>
    <x v="610"/>
    <x v="3"/>
    <x v="3"/>
    <n v="1770.21"/>
    <n v="0"/>
    <x v="0"/>
    <x v="3"/>
    <s v="AutoPost 1082"/>
    <s v="GBP"/>
    <x v="13"/>
    <x v="1081"/>
  </r>
  <r>
    <x v="1083"/>
    <x v="475"/>
    <x v="1"/>
    <x v="1"/>
    <n v="1240.48"/>
    <n v="0"/>
    <x v="3"/>
    <x v="1"/>
    <s v="AutoPost 1083"/>
    <s v="EUR"/>
    <x v="28"/>
    <x v="1082"/>
  </r>
  <r>
    <x v="1084"/>
    <x v="493"/>
    <x v="3"/>
    <x v="3"/>
    <n v="1870.74"/>
    <n v="0"/>
    <x v="1"/>
    <x v="3"/>
    <s v="AutoPost 1084"/>
    <s v="AUD"/>
    <x v="12"/>
    <x v="1083"/>
  </r>
  <r>
    <x v="1085"/>
    <x v="417"/>
    <x v="3"/>
    <x v="3"/>
    <n v="1295.49"/>
    <n v="0"/>
    <x v="0"/>
    <x v="3"/>
    <s v="AutoPost 1085"/>
    <s v="GBP"/>
    <x v="23"/>
    <x v="1084"/>
  </r>
  <r>
    <x v="1086"/>
    <x v="489"/>
    <x v="3"/>
    <x v="3"/>
    <n v="403.44"/>
    <n v="0"/>
    <x v="3"/>
    <x v="4"/>
    <s v="AutoPost 1086"/>
    <s v="EUR"/>
    <x v="19"/>
    <x v="1085"/>
  </r>
  <r>
    <x v="1087"/>
    <x v="89"/>
    <x v="4"/>
    <x v="4"/>
    <n v="0"/>
    <n v="298.58"/>
    <x v="2"/>
    <x v="1"/>
    <s v="AutoPost 1087"/>
    <s v="AUD"/>
    <x v="27"/>
    <x v="1086"/>
  </r>
  <r>
    <x v="1088"/>
    <x v="635"/>
    <x v="4"/>
    <x v="4"/>
    <n v="0"/>
    <n v="2967.77"/>
    <x v="5"/>
    <x v="0"/>
    <s v="AutoPost 1088"/>
    <s v="GBP"/>
    <x v="20"/>
    <x v="1087"/>
  </r>
  <r>
    <x v="1089"/>
    <x v="601"/>
    <x v="4"/>
    <x v="4"/>
    <n v="0"/>
    <n v="322.85000000000002"/>
    <x v="5"/>
    <x v="2"/>
    <s v="AutoPost 1089"/>
    <s v="USD"/>
    <x v="24"/>
    <x v="1088"/>
  </r>
  <r>
    <x v="1090"/>
    <x v="24"/>
    <x v="3"/>
    <x v="3"/>
    <n v="1178.57"/>
    <n v="0"/>
    <x v="2"/>
    <x v="4"/>
    <s v="AutoPost 1090"/>
    <s v="CAD"/>
    <x v="8"/>
    <x v="1089"/>
  </r>
  <r>
    <x v="1091"/>
    <x v="636"/>
    <x v="3"/>
    <x v="3"/>
    <n v="572.52"/>
    <n v="0"/>
    <x v="5"/>
    <x v="3"/>
    <s v="AutoPost 1091"/>
    <s v="USD"/>
    <x v="1"/>
    <x v="1090"/>
  </r>
  <r>
    <x v="1092"/>
    <x v="637"/>
    <x v="0"/>
    <x v="0"/>
    <n v="0"/>
    <n v="1038.25"/>
    <x v="3"/>
    <x v="2"/>
    <s v="AutoPost 1092"/>
    <s v="GBP"/>
    <x v="27"/>
    <x v="1091"/>
  </r>
  <r>
    <x v="1093"/>
    <x v="414"/>
    <x v="3"/>
    <x v="3"/>
    <n v="54.75"/>
    <n v="0"/>
    <x v="1"/>
    <x v="1"/>
    <s v="AutoPost 1093"/>
    <s v="GBP"/>
    <x v="24"/>
    <x v="1092"/>
  </r>
  <r>
    <x v="1094"/>
    <x v="638"/>
    <x v="3"/>
    <x v="3"/>
    <n v="229.78"/>
    <n v="0"/>
    <x v="3"/>
    <x v="1"/>
    <s v="AutoPost 1094"/>
    <s v="USD"/>
    <x v="7"/>
    <x v="1093"/>
  </r>
  <r>
    <x v="1095"/>
    <x v="639"/>
    <x v="3"/>
    <x v="3"/>
    <n v="1195.8599999999999"/>
    <n v="0"/>
    <x v="5"/>
    <x v="1"/>
    <s v="AutoPost 1095"/>
    <s v="CAD"/>
    <x v="21"/>
    <x v="1094"/>
  </r>
  <r>
    <x v="1096"/>
    <x v="228"/>
    <x v="0"/>
    <x v="0"/>
    <n v="0"/>
    <n v="183.89"/>
    <x v="3"/>
    <x v="3"/>
    <s v="AutoPost 1096"/>
    <s v="AUD"/>
    <x v="12"/>
    <x v="1095"/>
  </r>
  <r>
    <x v="1097"/>
    <x v="640"/>
    <x v="3"/>
    <x v="3"/>
    <n v="786.38"/>
    <n v="0"/>
    <x v="4"/>
    <x v="3"/>
    <s v="AutoPost 1097"/>
    <s v="CAD"/>
    <x v="28"/>
    <x v="1096"/>
  </r>
  <r>
    <x v="1098"/>
    <x v="452"/>
    <x v="3"/>
    <x v="3"/>
    <n v="352.55"/>
    <n v="0"/>
    <x v="2"/>
    <x v="3"/>
    <s v="AutoPost 1098"/>
    <s v="EUR"/>
    <x v="19"/>
    <x v="1097"/>
  </r>
  <r>
    <x v="1099"/>
    <x v="641"/>
    <x v="2"/>
    <x v="2"/>
    <n v="1814.7"/>
    <n v="0"/>
    <x v="2"/>
    <x v="4"/>
    <s v="AutoPost 1099"/>
    <s v="USD"/>
    <x v="22"/>
    <x v="1098"/>
  </r>
  <r>
    <x v="1100"/>
    <x v="154"/>
    <x v="0"/>
    <x v="0"/>
    <n v="0"/>
    <n v="4099.41"/>
    <x v="3"/>
    <x v="0"/>
    <s v="AutoPost 1100"/>
    <s v="USD"/>
    <x v="3"/>
    <x v="1099"/>
  </r>
  <r>
    <x v="1101"/>
    <x v="642"/>
    <x v="0"/>
    <x v="0"/>
    <n v="0"/>
    <n v="1953.74"/>
    <x v="5"/>
    <x v="1"/>
    <s v="AutoPost 1101"/>
    <s v="GBP"/>
    <x v="5"/>
    <x v="1100"/>
  </r>
  <r>
    <x v="1102"/>
    <x v="101"/>
    <x v="1"/>
    <x v="1"/>
    <n v="242.28"/>
    <n v="0"/>
    <x v="4"/>
    <x v="2"/>
    <s v="AutoPost 1102"/>
    <s v="USD"/>
    <x v="20"/>
    <x v="1101"/>
  </r>
  <r>
    <x v="1103"/>
    <x v="643"/>
    <x v="4"/>
    <x v="4"/>
    <n v="0"/>
    <n v="3335.43"/>
    <x v="5"/>
    <x v="3"/>
    <s v="AutoPost 1103"/>
    <s v="USD"/>
    <x v="0"/>
    <x v="1102"/>
  </r>
  <r>
    <x v="1104"/>
    <x v="342"/>
    <x v="3"/>
    <x v="3"/>
    <n v="831.33"/>
    <n v="0"/>
    <x v="5"/>
    <x v="3"/>
    <s v="AutoPost 1104"/>
    <s v="CAD"/>
    <x v="4"/>
    <x v="1103"/>
  </r>
  <r>
    <x v="1105"/>
    <x v="13"/>
    <x v="0"/>
    <x v="0"/>
    <n v="0"/>
    <n v="406.59"/>
    <x v="0"/>
    <x v="4"/>
    <s v="AutoPost 1105"/>
    <s v="EUR"/>
    <x v="11"/>
    <x v="1104"/>
  </r>
  <r>
    <x v="1106"/>
    <x v="39"/>
    <x v="2"/>
    <x v="2"/>
    <n v="1813.03"/>
    <n v="0"/>
    <x v="4"/>
    <x v="4"/>
    <s v="AutoPost 1106"/>
    <s v="EUR"/>
    <x v="11"/>
    <x v="1105"/>
  </r>
  <r>
    <x v="1107"/>
    <x v="240"/>
    <x v="0"/>
    <x v="0"/>
    <n v="0"/>
    <n v="2019.11"/>
    <x v="1"/>
    <x v="1"/>
    <s v="AutoPost 1107"/>
    <s v="AUD"/>
    <x v="11"/>
    <x v="1106"/>
  </r>
  <r>
    <x v="1108"/>
    <x v="47"/>
    <x v="2"/>
    <x v="2"/>
    <n v="1278.3800000000001"/>
    <n v="0"/>
    <x v="1"/>
    <x v="3"/>
    <s v="AutoPost 1108"/>
    <s v="EUR"/>
    <x v="16"/>
    <x v="1107"/>
  </r>
  <r>
    <x v="1109"/>
    <x v="278"/>
    <x v="0"/>
    <x v="0"/>
    <n v="0"/>
    <n v="2058.58"/>
    <x v="4"/>
    <x v="1"/>
    <s v="AutoPost 1109"/>
    <s v="CAD"/>
    <x v="8"/>
    <x v="1108"/>
  </r>
  <r>
    <x v="1110"/>
    <x v="44"/>
    <x v="2"/>
    <x v="2"/>
    <n v="1453.63"/>
    <n v="0"/>
    <x v="0"/>
    <x v="2"/>
    <s v="AutoPost 1110"/>
    <s v="AUD"/>
    <x v="25"/>
    <x v="1109"/>
  </r>
  <r>
    <x v="1111"/>
    <x v="298"/>
    <x v="0"/>
    <x v="0"/>
    <n v="0"/>
    <n v="2233.0500000000002"/>
    <x v="4"/>
    <x v="1"/>
    <s v="AutoPost 1111"/>
    <s v="AUD"/>
    <x v="3"/>
    <x v="1110"/>
  </r>
  <r>
    <x v="1112"/>
    <x v="239"/>
    <x v="3"/>
    <x v="3"/>
    <n v="836.69"/>
    <n v="0"/>
    <x v="0"/>
    <x v="1"/>
    <s v="AutoPost 1112"/>
    <s v="AUD"/>
    <x v="3"/>
    <x v="1111"/>
  </r>
  <r>
    <x v="1113"/>
    <x v="644"/>
    <x v="0"/>
    <x v="0"/>
    <n v="0"/>
    <n v="2173.0100000000002"/>
    <x v="3"/>
    <x v="3"/>
    <s v="AutoPost 1113"/>
    <s v="GBP"/>
    <x v="14"/>
    <x v="1112"/>
  </r>
  <r>
    <x v="1114"/>
    <x v="192"/>
    <x v="0"/>
    <x v="0"/>
    <n v="0"/>
    <n v="3592.24"/>
    <x v="4"/>
    <x v="2"/>
    <s v="AutoPost 1114"/>
    <s v="AUD"/>
    <x v="11"/>
    <x v="1113"/>
  </r>
  <r>
    <x v="1115"/>
    <x v="72"/>
    <x v="3"/>
    <x v="3"/>
    <n v="412.97"/>
    <n v="0"/>
    <x v="5"/>
    <x v="2"/>
    <s v="AutoPost 1115"/>
    <s v="AUD"/>
    <x v="15"/>
    <x v="1114"/>
  </r>
  <r>
    <x v="1116"/>
    <x v="45"/>
    <x v="2"/>
    <x v="2"/>
    <n v="732.61"/>
    <n v="0"/>
    <x v="4"/>
    <x v="1"/>
    <s v="AutoPost 1116"/>
    <s v="AUD"/>
    <x v="16"/>
    <x v="1115"/>
  </r>
  <r>
    <x v="1117"/>
    <x v="645"/>
    <x v="4"/>
    <x v="4"/>
    <n v="0"/>
    <n v="2538.6999999999998"/>
    <x v="0"/>
    <x v="4"/>
    <s v="AutoPost 1117"/>
    <s v="GBP"/>
    <x v="27"/>
    <x v="1116"/>
  </r>
  <r>
    <x v="1118"/>
    <x v="646"/>
    <x v="3"/>
    <x v="3"/>
    <n v="436.55"/>
    <n v="0"/>
    <x v="0"/>
    <x v="1"/>
    <s v="AutoPost 1118"/>
    <s v="GBP"/>
    <x v="15"/>
    <x v="1117"/>
  </r>
  <r>
    <x v="1119"/>
    <x v="85"/>
    <x v="3"/>
    <x v="3"/>
    <n v="1687.08"/>
    <n v="0"/>
    <x v="5"/>
    <x v="3"/>
    <s v="AutoPost 1119"/>
    <s v="CAD"/>
    <x v="17"/>
    <x v="1118"/>
  </r>
  <r>
    <x v="1120"/>
    <x v="542"/>
    <x v="1"/>
    <x v="1"/>
    <n v="1337.28"/>
    <n v="0"/>
    <x v="1"/>
    <x v="2"/>
    <s v="AutoPost 1120"/>
    <s v="GBP"/>
    <x v="11"/>
    <x v="1119"/>
  </r>
  <r>
    <x v="1121"/>
    <x v="212"/>
    <x v="4"/>
    <x v="4"/>
    <n v="0"/>
    <n v="2049.4499999999998"/>
    <x v="4"/>
    <x v="1"/>
    <s v="AutoPost 1121"/>
    <s v="CAD"/>
    <x v="28"/>
    <x v="1120"/>
  </r>
  <r>
    <x v="1122"/>
    <x v="647"/>
    <x v="4"/>
    <x v="4"/>
    <n v="0"/>
    <n v="760.5"/>
    <x v="3"/>
    <x v="2"/>
    <s v="AutoPost 1122"/>
    <s v="CAD"/>
    <x v="17"/>
    <x v="1121"/>
  </r>
  <r>
    <x v="1123"/>
    <x v="123"/>
    <x v="2"/>
    <x v="2"/>
    <n v="239.34"/>
    <n v="0"/>
    <x v="1"/>
    <x v="4"/>
    <s v="AutoPost 1123"/>
    <s v="GBP"/>
    <x v="26"/>
    <x v="1122"/>
  </r>
  <r>
    <x v="1124"/>
    <x v="16"/>
    <x v="2"/>
    <x v="2"/>
    <n v="882.43"/>
    <n v="0"/>
    <x v="0"/>
    <x v="0"/>
    <s v="AutoPost 1124"/>
    <s v="EUR"/>
    <x v="13"/>
    <x v="1123"/>
  </r>
  <r>
    <x v="1125"/>
    <x v="224"/>
    <x v="4"/>
    <x v="4"/>
    <n v="0"/>
    <n v="4016.46"/>
    <x v="4"/>
    <x v="1"/>
    <s v="AutoPost 1125"/>
    <s v="EUR"/>
    <x v="1"/>
    <x v="1124"/>
  </r>
  <r>
    <x v="1126"/>
    <x v="198"/>
    <x v="2"/>
    <x v="2"/>
    <n v="1217.1199999999999"/>
    <n v="0"/>
    <x v="4"/>
    <x v="0"/>
    <s v="AutoPost 1126"/>
    <s v="AUD"/>
    <x v="8"/>
    <x v="1125"/>
  </r>
  <r>
    <x v="1127"/>
    <x v="286"/>
    <x v="0"/>
    <x v="0"/>
    <n v="0"/>
    <n v="396.28"/>
    <x v="0"/>
    <x v="3"/>
    <s v="AutoPost 1127"/>
    <s v="AUD"/>
    <x v="26"/>
    <x v="1126"/>
  </r>
  <r>
    <x v="1128"/>
    <x v="215"/>
    <x v="3"/>
    <x v="3"/>
    <n v="682.65"/>
    <n v="0"/>
    <x v="0"/>
    <x v="2"/>
    <s v="AutoPost 1128"/>
    <s v="GBP"/>
    <x v="29"/>
    <x v="1127"/>
  </r>
  <r>
    <x v="1129"/>
    <x v="648"/>
    <x v="1"/>
    <x v="1"/>
    <n v="959.31"/>
    <n v="0"/>
    <x v="0"/>
    <x v="1"/>
    <s v="AutoPost 1129"/>
    <s v="GBP"/>
    <x v="8"/>
    <x v="1128"/>
  </r>
  <r>
    <x v="1130"/>
    <x v="614"/>
    <x v="2"/>
    <x v="2"/>
    <n v="431.95"/>
    <n v="0"/>
    <x v="3"/>
    <x v="2"/>
    <s v="AutoPost 1130"/>
    <s v="USD"/>
    <x v="16"/>
    <x v="1129"/>
  </r>
  <r>
    <x v="1131"/>
    <x v="51"/>
    <x v="1"/>
    <x v="1"/>
    <n v="274.33"/>
    <n v="0"/>
    <x v="4"/>
    <x v="2"/>
    <s v="AutoPost 1131"/>
    <s v="CAD"/>
    <x v="19"/>
    <x v="1130"/>
  </r>
  <r>
    <x v="1132"/>
    <x v="649"/>
    <x v="0"/>
    <x v="0"/>
    <n v="0"/>
    <n v="4439.8900000000003"/>
    <x v="0"/>
    <x v="2"/>
    <s v="AutoPost 1132"/>
    <s v="EUR"/>
    <x v="15"/>
    <x v="1131"/>
  </r>
  <r>
    <x v="1133"/>
    <x v="150"/>
    <x v="4"/>
    <x v="4"/>
    <n v="0"/>
    <n v="1093.95"/>
    <x v="4"/>
    <x v="4"/>
    <s v="AutoPost 1133"/>
    <s v="USD"/>
    <x v="21"/>
    <x v="1132"/>
  </r>
  <r>
    <x v="1134"/>
    <x v="650"/>
    <x v="1"/>
    <x v="1"/>
    <n v="900.67"/>
    <n v="0"/>
    <x v="3"/>
    <x v="3"/>
    <s v="AutoPost 1134"/>
    <s v="AUD"/>
    <x v="10"/>
    <x v="1133"/>
  </r>
  <r>
    <x v="1135"/>
    <x v="341"/>
    <x v="0"/>
    <x v="0"/>
    <n v="0"/>
    <n v="2284.31"/>
    <x v="2"/>
    <x v="0"/>
    <s v="AutoPost 1135"/>
    <s v="AUD"/>
    <x v="9"/>
    <x v="1134"/>
  </r>
  <r>
    <x v="1136"/>
    <x v="199"/>
    <x v="1"/>
    <x v="1"/>
    <n v="1994.11"/>
    <n v="0"/>
    <x v="5"/>
    <x v="2"/>
    <s v="AutoPost 1136"/>
    <s v="AUD"/>
    <x v="6"/>
    <x v="1135"/>
  </r>
  <r>
    <x v="1137"/>
    <x v="651"/>
    <x v="1"/>
    <x v="1"/>
    <n v="286.3"/>
    <n v="0"/>
    <x v="3"/>
    <x v="3"/>
    <s v="AutoPost 1137"/>
    <s v="CAD"/>
    <x v="22"/>
    <x v="1136"/>
  </r>
  <r>
    <x v="1138"/>
    <x v="18"/>
    <x v="2"/>
    <x v="2"/>
    <n v="1069.23"/>
    <n v="0"/>
    <x v="5"/>
    <x v="2"/>
    <s v="AutoPost 1138"/>
    <s v="CAD"/>
    <x v="14"/>
    <x v="1137"/>
  </r>
  <r>
    <x v="1139"/>
    <x v="392"/>
    <x v="2"/>
    <x v="2"/>
    <n v="901.69"/>
    <n v="0"/>
    <x v="1"/>
    <x v="0"/>
    <s v="AutoPost 1139"/>
    <s v="AUD"/>
    <x v="15"/>
    <x v="1138"/>
  </r>
  <r>
    <x v="1140"/>
    <x v="196"/>
    <x v="2"/>
    <x v="2"/>
    <n v="1692.4"/>
    <n v="0"/>
    <x v="2"/>
    <x v="3"/>
    <s v="AutoPost 1140"/>
    <s v="CAD"/>
    <x v="9"/>
    <x v="1139"/>
  </r>
  <r>
    <x v="1141"/>
    <x v="265"/>
    <x v="4"/>
    <x v="4"/>
    <n v="0"/>
    <n v="4894.3999999999996"/>
    <x v="0"/>
    <x v="0"/>
    <s v="AutoPost 1141"/>
    <s v="USD"/>
    <x v="21"/>
    <x v="1140"/>
  </r>
  <r>
    <x v="1142"/>
    <x v="652"/>
    <x v="1"/>
    <x v="1"/>
    <n v="535.66999999999996"/>
    <n v="0"/>
    <x v="0"/>
    <x v="0"/>
    <s v="AutoPost 1142"/>
    <s v="CAD"/>
    <x v="6"/>
    <x v="1141"/>
  </r>
  <r>
    <x v="1143"/>
    <x v="653"/>
    <x v="2"/>
    <x v="2"/>
    <n v="1153.45"/>
    <n v="0"/>
    <x v="5"/>
    <x v="2"/>
    <s v="AutoPost 1143"/>
    <s v="GBP"/>
    <x v="25"/>
    <x v="1142"/>
  </r>
  <r>
    <x v="1144"/>
    <x v="378"/>
    <x v="4"/>
    <x v="4"/>
    <n v="0"/>
    <n v="2523.88"/>
    <x v="1"/>
    <x v="1"/>
    <s v="AutoPost 1144"/>
    <s v="AUD"/>
    <x v="4"/>
    <x v="1143"/>
  </r>
  <r>
    <x v="1145"/>
    <x v="654"/>
    <x v="2"/>
    <x v="2"/>
    <n v="621.37"/>
    <n v="0"/>
    <x v="3"/>
    <x v="1"/>
    <s v="AutoPost 1145"/>
    <s v="EUR"/>
    <x v="27"/>
    <x v="1144"/>
  </r>
  <r>
    <x v="1146"/>
    <x v="111"/>
    <x v="3"/>
    <x v="3"/>
    <n v="991.7"/>
    <n v="0"/>
    <x v="1"/>
    <x v="0"/>
    <s v="AutoPost 1146"/>
    <s v="EUR"/>
    <x v="2"/>
    <x v="1145"/>
  </r>
  <r>
    <x v="1147"/>
    <x v="517"/>
    <x v="2"/>
    <x v="2"/>
    <n v="1727.08"/>
    <n v="0"/>
    <x v="2"/>
    <x v="1"/>
    <s v="AutoPost 1147"/>
    <s v="AUD"/>
    <x v="5"/>
    <x v="1146"/>
  </r>
  <r>
    <x v="1148"/>
    <x v="617"/>
    <x v="2"/>
    <x v="2"/>
    <n v="1518.91"/>
    <n v="0"/>
    <x v="0"/>
    <x v="4"/>
    <s v="AutoPost 1148"/>
    <s v="AUD"/>
    <x v="9"/>
    <x v="1147"/>
  </r>
  <r>
    <x v="1149"/>
    <x v="240"/>
    <x v="0"/>
    <x v="0"/>
    <n v="0"/>
    <n v="1266.3499999999999"/>
    <x v="5"/>
    <x v="1"/>
    <s v="AutoPost 1149"/>
    <s v="CAD"/>
    <x v="11"/>
    <x v="1148"/>
  </r>
  <r>
    <x v="1150"/>
    <x v="357"/>
    <x v="0"/>
    <x v="0"/>
    <n v="0"/>
    <n v="3886.29"/>
    <x v="2"/>
    <x v="1"/>
    <s v="AutoPost 1150"/>
    <s v="GBP"/>
    <x v="23"/>
    <x v="1149"/>
  </r>
  <r>
    <x v="1151"/>
    <x v="117"/>
    <x v="2"/>
    <x v="2"/>
    <n v="584.9"/>
    <n v="0"/>
    <x v="2"/>
    <x v="2"/>
    <s v="AutoPost 1151"/>
    <s v="EUR"/>
    <x v="24"/>
    <x v="1150"/>
  </r>
  <r>
    <x v="1152"/>
    <x v="241"/>
    <x v="1"/>
    <x v="1"/>
    <n v="1212.48"/>
    <n v="0"/>
    <x v="4"/>
    <x v="1"/>
    <s v="AutoPost 1152"/>
    <s v="EUR"/>
    <x v="11"/>
    <x v="1151"/>
  </r>
  <r>
    <x v="1153"/>
    <x v="655"/>
    <x v="2"/>
    <x v="2"/>
    <n v="1084.73"/>
    <n v="0"/>
    <x v="0"/>
    <x v="4"/>
    <s v="AutoPost 1153"/>
    <s v="CAD"/>
    <x v="7"/>
    <x v="1152"/>
  </r>
  <r>
    <x v="1154"/>
    <x v="656"/>
    <x v="2"/>
    <x v="2"/>
    <n v="1218.47"/>
    <n v="0"/>
    <x v="1"/>
    <x v="3"/>
    <s v="AutoPost 1154"/>
    <s v="GBP"/>
    <x v="6"/>
    <x v="1153"/>
  </r>
  <r>
    <x v="1155"/>
    <x v="45"/>
    <x v="2"/>
    <x v="2"/>
    <n v="134.03"/>
    <n v="0"/>
    <x v="4"/>
    <x v="0"/>
    <s v="AutoPost 1155"/>
    <s v="CAD"/>
    <x v="16"/>
    <x v="1154"/>
  </r>
  <r>
    <x v="1156"/>
    <x v="657"/>
    <x v="3"/>
    <x v="3"/>
    <n v="1961.58"/>
    <n v="0"/>
    <x v="4"/>
    <x v="1"/>
    <s v="AutoPost 1156"/>
    <s v="USD"/>
    <x v="29"/>
    <x v="1155"/>
  </r>
  <r>
    <x v="1157"/>
    <x v="18"/>
    <x v="2"/>
    <x v="2"/>
    <n v="320.36"/>
    <n v="0"/>
    <x v="5"/>
    <x v="3"/>
    <s v="AutoPost 1157"/>
    <s v="USD"/>
    <x v="14"/>
    <x v="1156"/>
  </r>
  <r>
    <x v="1158"/>
    <x v="365"/>
    <x v="3"/>
    <x v="3"/>
    <n v="727.24"/>
    <n v="0"/>
    <x v="3"/>
    <x v="4"/>
    <s v="AutoPost 1158"/>
    <s v="EUR"/>
    <x v="15"/>
    <x v="1157"/>
  </r>
  <r>
    <x v="1159"/>
    <x v="300"/>
    <x v="1"/>
    <x v="1"/>
    <n v="334.7"/>
    <n v="0"/>
    <x v="5"/>
    <x v="2"/>
    <s v="AutoPost 1159"/>
    <s v="EUR"/>
    <x v="8"/>
    <x v="1158"/>
  </r>
  <r>
    <x v="1160"/>
    <x v="658"/>
    <x v="2"/>
    <x v="2"/>
    <n v="620.16999999999996"/>
    <n v="0"/>
    <x v="0"/>
    <x v="3"/>
    <s v="AutoPost 1160"/>
    <s v="AUD"/>
    <x v="8"/>
    <x v="1159"/>
  </r>
  <r>
    <x v="1161"/>
    <x v="222"/>
    <x v="4"/>
    <x v="4"/>
    <n v="0"/>
    <n v="2933.41"/>
    <x v="0"/>
    <x v="0"/>
    <s v="AutoPost 1161"/>
    <s v="GBP"/>
    <x v="21"/>
    <x v="1160"/>
  </r>
  <r>
    <x v="1162"/>
    <x v="615"/>
    <x v="4"/>
    <x v="4"/>
    <n v="0"/>
    <n v="2103.91"/>
    <x v="0"/>
    <x v="2"/>
    <s v="AutoPost 1162"/>
    <s v="CAD"/>
    <x v="22"/>
    <x v="1161"/>
  </r>
  <r>
    <x v="1163"/>
    <x v="206"/>
    <x v="2"/>
    <x v="2"/>
    <n v="626.96"/>
    <n v="0"/>
    <x v="5"/>
    <x v="4"/>
    <s v="AutoPost 1163"/>
    <s v="GBP"/>
    <x v="17"/>
    <x v="1162"/>
  </r>
  <r>
    <x v="1164"/>
    <x v="659"/>
    <x v="0"/>
    <x v="0"/>
    <n v="0"/>
    <n v="3001.97"/>
    <x v="2"/>
    <x v="3"/>
    <s v="AutoPost 1164"/>
    <s v="USD"/>
    <x v="21"/>
    <x v="1163"/>
  </r>
  <r>
    <x v="1165"/>
    <x v="135"/>
    <x v="1"/>
    <x v="1"/>
    <n v="1130.18"/>
    <n v="0"/>
    <x v="5"/>
    <x v="3"/>
    <s v="AutoPost 1165"/>
    <s v="GBP"/>
    <x v="2"/>
    <x v="1164"/>
  </r>
  <r>
    <x v="1166"/>
    <x v="371"/>
    <x v="3"/>
    <x v="3"/>
    <n v="1772.72"/>
    <n v="0"/>
    <x v="3"/>
    <x v="0"/>
    <s v="AutoPost 1166"/>
    <s v="CAD"/>
    <x v="6"/>
    <x v="1165"/>
  </r>
  <r>
    <x v="1167"/>
    <x v="241"/>
    <x v="3"/>
    <x v="3"/>
    <n v="152.83000000000001"/>
    <n v="0"/>
    <x v="0"/>
    <x v="3"/>
    <s v="AutoPost 1167"/>
    <s v="CAD"/>
    <x v="11"/>
    <x v="1166"/>
  </r>
  <r>
    <x v="1168"/>
    <x v="644"/>
    <x v="1"/>
    <x v="1"/>
    <n v="954.94"/>
    <n v="0"/>
    <x v="1"/>
    <x v="3"/>
    <s v="AutoPost 1168"/>
    <s v="EUR"/>
    <x v="14"/>
    <x v="1167"/>
  </r>
  <r>
    <x v="1169"/>
    <x v="67"/>
    <x v="4"/>
    <x v="4"/>
    <n v="0"/>
    <n v="4418.1899999999996"/>
    <x v="2"/>
    <x v="2"/>
    <s v="AutoPost 1169"/>
    <s v="CAD"/>
    <x v="19"/>
    <x v="1168"/>
  </r>
  <r>
    <x v="1170"/>
    <x v="317"/>
    <x v="3"/>
    <x v="3"/>
    <n v="1814.27"/>
    <n v="0"/>
    <x v="0"/>
    <x v="4"/>
    <s v="AutoPost 1170"/>
    <s v="USD"/>
    <x v="16"/>
    <x v="1169"/>
  </r>
  <r>
    <x v="1171"/>
    <x v="53"/>
    <x v="0"/>
    <x v="0"/>
    <n v="0"/>
    <n v="815.4"/>
    <x v="5"/>
    <x v="4"/>
    <s v="AutoPost 1171"/>
    <s v="EUR"/>
    <x v="7"/>
    <x v="1170"/>
  </r>
  <r>
    <x v="1172"/>
    <x v="343"/>
    <x v="1"/>
    <x v="1"/>
    <n v="290.05"/>
    <n v="0"/>
    <x v="3"/>
    <x v="2"/>
    <s v="AutoPost 1172"/>
    <s v="CAD"/>
    <x v="25"/>
    <x v="1171"/>
  </r>
  <r>
    <x v="1173"/>
    <x v="69"/>
    <x v="2"/>
    <x v="2"/>
    <n v="1726.68"/>
    <n v="0"/>
    <x v="4"/>
    <x v="1"/>
    <s v="AutoPost 1173"/>
    <s v="AUD"/>
    <x v="5"/>
    <x v="1172"/>
  </r>
  <r>
    <x v="1174"/>
    <x v="440"/>
    <x v="4"/>
    <x v="4"/>
    <n v="0"/>
    <n v="2724.33"/>
    <x v="4"/>
    <x v="0"/>
    <s v="AutoPost 1174"/>
    <s v="GBP"/>
    <x v="12"/>
    <x v="1173"/>
  </r>
  <r>
    <x v="1175"/>
    <x v="15"/>
    <x v="4"/>
    <x v="4"/>
    <n v="0"/>
    <n v="517.76"/>
    <x v="3"/>
    <x v="4"/>
    <s v="AutoPost 1175"/>
    <s v="CAD"/>
    <x v="8"/>
    <x v="1174"/>
  </r>
  <r>
    <x v="1176"/>
    <x v="660"/>
    <x v="3"/>
    <x v="3"/>
    <n v="1718.84"/>
    <n v="0"/>
    <x v="2"/>
    <x v="3"/>
    <s v="AutoPost 1176"/>
    <s v="AUD"/>
    <x v="4"/>
    <x v="1175"/>
  </r>
  <r>
    <x v="1177"/>
    <x v="151"/>
    <x v="0"/>
    <x v="0"/>
    <n v="0"/>
    <n v="3902.53"/>
    <x v="2"/>
    <x v="0"/>
    <s v="AutoPost 1177"/>
    <s v="USD"/>
    <x v="1"/>
    <x v="1176"/>
  </r>
  <r>
    <x v="1178"/>
    <x v="619"/>
    <x v="1"/>
    <x v="1"/>
    <n v="820.59"/>
    <n v="0"/>
    <x v="5"/>
    <x v="4"/>
    <s v="AutoPost 1178"/>
    <s v="EUR"/>
    <x v="9"/>
    <x v="1177"/>
  </r>
  <r>
    <x v="1179"/>
    <x v="365"/>
    <x v="2"/>
    <x v="2"/>
    <n v="933.21"/>
    <n v="0"/>
    <x v="2"/>
    <x v="4"/>
    <s v="AutoPost 1179"/>
    <s v="AUD"/>
    <x v="15"/>
    <x v="1178"/>
  </r>
  <r>
    <x v="1180"/>
    <x v="105"/>
    <x v="4"/>
    <x v="4"/>
    <n v="0"/>
    <n v="581.76"/>
    <x v="2"/>
    <x v="2"/>
    <s v="AutoPost 1180"/>
    <s v="CAD"/>
    <x v="16"/>
    <x v="1179"/>
  </r>
  <r>
    <x v="1181"/>
    <x v="300"/>
    <x v="0"/>
    <x v="0"/>
    <n v="0"/>
    <n v="2858.3"/>
    <x v="1"/>
    <x v="4"/>
    <s v="AutoPost 1181"/>
    <s v="GBP"/>
    <x v="8"/>
    <x v="1180"/>
  </r>
  <r>
    <x v="1182"/>
    <x v="476"/>
    <x v="4"/>
    <x v="4"/>
    <n v="0"/>
    <n v="1469.73"/>
    <x v="3"/>
    <x v="0"/>
    <s v="AutoPost 1182"/>
    <s v="AUD"/>
    <x v="20"/>
    <x v="1181"/>
  </r>
  <r>
    <x v="1183"/>
    <x v="661"/>
    <x v="0"/>
    <x v="0"/>
    <n v="0"/>
    <n v="4440.72"/>
    <x v="0"/>
    <x v="3"/>
    <s v="AutoPost 1183"/>
    <s v="GBP"/>
    <x v="1"/>
    <x v="1182"/>
  </r>
  <r>
    <x v="1184"/>
    <x v="382"/>
    <x v="3"/>
    <x v="3"/>
    <n v="1972.41"/>
    <n v="0"/>
    <x v="4"/>
    <x v="2"/>
    <s v="AutoPost 1184"/>
    <s v="EUR"/>
    <x v="13"/>
    <x v="1183"/>
  </r>
  <r>
    <x v="1185"/>
    <x v="282"/>
    <x v="4"/>
    <x v="4"/>
    <n v="0"/>
    <n v="841.52"/>
    <x v="1"/>
    <x v="4"/>
    <s v="AutoPost 1185"/>
    <s v="EUR"/>
    <x v="11"/>
    <x v="1184"/>
  </r>
  <r>
    <x v="1186"/>
    <x v="651"/>
    <x v="2"/>
    <x v="2"/>
    <n v="316.14999999999998"/>
    <n v="0"/>
    <x v="3"/>
    <x v="4"/>
    <s v="AutoPost 1186"/>
    <s v="CAD"/>
    <x v="22"/>
    <x v="1185"/>
  </r>
  <r>
    <x v="1187"/>
    <x v="662"/>
    <x v="3"/>
    <x v="3"/>
    <n v="475.92"/>
    <n v="0"/>
    <x v="5"/>
    <x v="4"/>
    <s v="AutoPost 1187"/>
    <s v="AUD"/>
    <x v="20"/>
    <x v="1186"/>
  </r>
  <r>
    <x v="1188"/>
    <x v="204"/>
    <x v="2"/>
    <x v="2"/>
    <n v="1283.6099999999999"/>
    <n v="0"/>
    <x v="1"/>
    <x v="2"/>
    <s v="AutoPost 1188"/>
    <s v="GBP"/>
    <x v="20"/>
    <x v="1187"/>
  </r>
  <r>
    <x v="1189"/>
    <x v="663"/>
    <x v="0"/>
    <x v="0"/>
    <n v="0"/>
    <n v="242.31"/>
    <x v="1"/>
    <x v="4"/>
    <s v="AutoPost 1189"/>
    <s v="CAD"/>
    <x v="20"/>
    <x v="1188"/>
  </r>
  <r>
    <x v="1190"/>
    <x v="614"/>
    <x v="1"/>
    <x v="1"/>
    <n v="309.44"/>
    <n v="0"/>
    <x v="1"/>
    <x v="3"/>
    <s v="AutoPost 1190"/>
    <s v="EUR"/>
    <x v="16"/>
    <x v="1189"/>
  </r>
  <r>
    <x v="1191"/>
    <x v="578"/>
    <x v="2"/>
    <x v="2"/>
    <n v="1158.3800000000001"/>
    <n v="0"/>
    <x v="0"/>
    <x v="0"/>
    <s v="AutoPost 1191"/>
    <s v="GBP"/>
    <x v="2"/>
    <x v="1190"/>
  </r>
  <r>
    <x v="1192"/>
    <x v="664"/>
    <x v="4"/>
    <x v="4"/>
    <n v="0"/>
    <n v="1546.54"/>
    <x v="0"/>
    <x v="3"/>
    <s v="AutoPost 1192"/>
    <s v="USD"/>
    <x v="18"/>
    <x v="1191"/>
  </r>
  <r>
    <x v="1193"/>
    <x v="213"/>
    <x v="4"/>
    <x v="4"/>
    <n v="0"/>
    <n v="4731.97"/>
    <x v="0"/>
    <x v="1"/>
    <s v="AutoPost 1193"/>
    <s v="USD"/>
    <x v="18"/>
    <x v="1192"/>
  </r>
  <r>
    <x v="1194"/>
    <x v="134"/>
    <x v="2"/>
    <x v="2"/>
    <n v="825.81"/>
    <n v="0"/>
    <x v="2"/>
    <x v="4"/>
    <s v="AutoPost 1194"/>
    <s v="USD"/>
    <x v="16"/>
    <x v="1193"/>
  </r>
  <r>
    <x v="1195"/>
    <x v="665"/>
    <x v="3"/>
    <x v="3"/>
    <n v="811.62"/>
    <n v="0"/>
    <x v="1"/>
    <x v="1"/>
    <s v="AutoPost 1195"/>
    <s v="CAD"/>
    <x v="1"/>
    <x v="1194"/>
  </r>
  <r>
    <x v="1196"/>
    <x v="400"/>
    <x v="2"/>
    <x v="2"/>
    <n v="1792.82"/>
    <n v="0"/>
    <x v="1"/>
    <x v="0"/>
    <s v="AutoPost 1196"/>
    <s v="USD"/>
    <x v="0"/>
    <x v="435"/>
  </r>
  <r>
    <x v="1197"/>
    <x v="666"/>
    <x v="4"/>
    <x v="4"/>
    <n v="0"/>
    <n v="2374.8200000000002"/>
    <x v="1"/>
    <x v="1"/>
    <s v="AutoPost 1197"/>
    <s v="USD"/>
    <x v="15"/>
    <x v="1195"/>
  </r>
  <r>
    <x v="1198"/>
    <x v="575"/>
    <x v="0"/>
    <x v="0"/>
    <n v="0"/>
    <n v="383.06"/>
    <x v="3"/>
    <x v="4"/>
    <s v="AutoPost 1198"/>
    <s v="GBP"/>
    <x v="0"/>
    <x v="1196"/>
  </r>
  <r>
    <x v="1199"/>
    <x v="353"/>
    <x v="4"/>
    <x v="4"/>
    <n v="0"/>
    <n v="3219.96"/>
    <x v="4"/>
    <x v="4"/>
    <s v="AutoPost 1199"/>
    <s v="EUR"/>
    <x v="21"/>
    <x v="1197"/>
  </r>
  <r>
    <x v="1200"/>
    <x v="667"/>
    <x v="0"/>
    <x v="0"/>
    <n v="0"/>
    <n v="1105.3800000000001"/>
    <x v="0"/>
    <x v="1"/>
    <s v="AutoPost 1200"/>
    <s v="AUD"/>
    <x v="18"/>
    <x v="1198"/>
  </r>
  <r>
    <x v="1201"/>
    <x v="597"/>
    <x v="3"/>
    <x v="3"/>
    <n v="600.28"/>
    <n v="0"/>
    <x v="2"/>
    <x v="4"/>
    <s v="AutoPost 1201"/>
    <s v="CAD"/>
    <x v="21"/>
    <x v="1199"/>
  </r>
  <r>
    <x v="1202"/>
    <x v="559"/>
    <x v="4"/>
    <x v="4"/>
    <n v="0"/>
    <n v="1634.89"/>
    <x v="4"/>
    <x v="4"/>
    <s v="AutoPost 1202"/>
    <s v="AUD"/>
    <x v="15"/>
    <x v="1200"/>
  </r>
  <r>
    <x v="1203"/>
    <x v="61"/>
    <x v="4"/>
    <x v="4"/>
    <n v="0"/>
    <n v="2484.3000000000002"/>
    <x v="1"/>
    <x v="0"/>
    <s v="AutoPost 1203"/>
    <s v="CAD"/>
    <x v="25"/>
    <x v="1201"/>
  </r>
  <r>
    <x v="1204"/>
    <x v="479"/>
    <x v="0"/>
    <x v="0"/>
    <n v="0"/>
    <n v="2824.53"/>
    <x v="4"/>
    <x v="0"/>
    <s v="AutoPost 1204"/>
    <s v="GBP"/>
    <x v="13"/>
    <x v="1202"/>
  </r>
  <r>
    <x v="1205"/>
    <x v="668"/>
    <x v="2"/>
    <x v="2"/>
    <n v="269.73"/>
    <n v="0"/>
    <x v="1"/>
    <x v="1"/>
    <s v="AutoPost 1205"/>
    <s v="AUD"/>
    <x v="23"/>
    <x v="1203"/>
  </r>
  <r>
    <x v="1206"/>
    <x v="605"/>
    <x v="3"/>
    <x v="3"/>
    <n v="500.85"/>
    <n v="0"/>
    <x v="3"/>
    <x v="2"/>
    <s v="AutoPost 1206"/>
    <s v="USD"/>
    <x v="7"/>
    <x v="1204"/>
  </r>
  <r>
    <x v="1207"/>
    <x v="237"/>
    <x v="4"/>
    <x v="4"/>
    <n v="0"/>
    <n v="2600.9699999999998"/>
    <x v="2"/>
    <x v="1"/>
    <s v="AutoPost 1207"/>
    <s v="GBP"/>
    <x v="27"/>
    <x v="1205"/>
  </r>
  <r>
    <x v="1208"/>
    <x v="132"/>
    <x v="1"/>
    <x v="1"/>
    <n v="1457.86"/>
    <n v="0"/>
    <x v="0"/>
    <x v="0"/>
    <s v="AutoPost 1208"/>
    <s v="GBP"/>
    <x v="29"/>
    <x v="1206"/>
  </r>
  <r>
    <x v="1209"/>
    <x v="494"/>
    <x v="0"/>
    <x v="0"/>
    <n v="0"/>
    <n v="1378.84"/>
    <x v="4"/>
    <x v="2"/>
    <s v="AutoPost 1209"/>
    <s v="AUD"/>
    <x v="21"/>
    <x v="1207"/>
  </r>
  <r>
    <x v="1210"/>
    <x v="669"/>
    <x v="3"/>
    <x v="3"/>
    <n v="1891.86"/>
    <n v="0"/>
    <x v="4"/>
    <x v="2"/>
    <s v="AutoPost 1210"/>
    <s v="AUD"/>
    <x v="15"/>
    <x v="1208"/>
  </r>
  <r>
    <x v="1211"/>
    <x v="464"/>
    <x v="0"/>
    <x v="0"/>
    <n v="0"/>
    <n v="1330.12"/>
    <x v="3"/>
    <x v="2"/>
    <s v="AutoPost 1211"/>
    <s v="AUD"/>
    <x v="4"/>
    <x v="1209"/>
  </r>
  <r>
    <x v="1212"/>
    <x v="420"/>
    <x v="4"/>
    <x v="4"/>
    <n v="0"/>
    <n v="695.86"/>
    <x v="2"/>
    <x v="4"/>
    <s v="AutoPost 1212"/>
    <s v="AUD"/>
    <x v="25"/>
    <x v="1210"/>
  </r>
  <r>
    <x v="1213"/>
    <x v="670"/>
    <x v="3"/>
    <x v="3"/>
    <n v="1628.31"/>
    <n v="0"/>
    <x v="5"/>
    <x v="3"/>
    <s v="AutoPost 1213"/>
    <s v="GBP"/>
    <x v="28"/>
    <x v="1211"/>
  </r>
  <r>
    <x v="1214"/>
    <x v="671"/>
    <x v="0"/>
    <x v="0"/>
    <n v="0"/>
    <n v="4939.1400000000003"/>
    <x v="3"/>
    <x v="0"/>
    <s v="AutoPost 1214"/>
    <s v="GBP"/>
    <x v="29"/>
    <x v="1212"/>
  </r>
  <r>
    <x v="1215"/>
    <x v="634"/>
    <x v="3"/>
    <x v="3"/>
    <n v="1884.45"/>
    <n v="0"/>
    <x v="0"/>
    <x v="2"/>
    <s v="AutoPost 1215"/>
    <s v="AUD"/>
    <x v="29"/>
    <x v="1213"/>
  </r>
  <r>
    <x v="1216"/>
    <x v="672"/>
    <x v="4"/>
    <x v="4"/>
    <n v="0"/>
    <n v="2294.84"/>
    <x v="2"/>
    <x v="4"/>
    <s v="AutoPost 1216"/>
    <s v="USD"/>
    <x v="25"/>
    <x v="1214"/>
  </r>
  <r>
    <x v="1217"/>
    <x v="188"/>
    <x v="2"/>
    <x v="2"/>
    <n v="701.24"/>
    <n v="0"/>
    <x v="0"/>
    <x v="2"/>
    <s v="AutoPost 1217"/>
    <s v="USD"/>
    <x v="28"/>
    <x v="1215"/>
  </r>
  <r>
    <x v="1218"/>
    <x v="673"/>
    <x v="0"/>
    <x v="0"/>
    <n v="0"/>
    <n v="1406.7"/>
    <x v="0"/>
    <x v="3"/>
    <s v="AutoPost 1218"/>
    <s v="EUR"/>
    <x v="20"/>
    <x v="1216"/>
  </r>
  <r>
    <x v="1219"/>
    <x v="665"/>
    <x v="2"/>
    <x v="2"/>
    <n v="187.59"/>
    <n v="0"/>
    <x v="2"/>
    <x v="4"/>
    <s v="AutoPost 1219"/>
    <s v="EUR"/>
    <x v="1"/>
    <x v="1217"/>
  </r>
  <r>
    <x v="1220"/>
    <x v="242"/>
    <x v="0"/>
    <x v="0"/>
    <n v="0"/>
    <n v="1358.12"/>
    <x v="4"/>
    <x v="1"/>
    <s v="AutoPost 1220"/>
    <s v="USD"/>
    <x v="22"/>
    <x v="1218"/>
  </r>
  <r>
    <x v="1221"/>
    <x v="326"/>
    <x v="1"/>
    <x v="1"/>
    <n v="695.83"/>
    <n v="0"/>
    <x v="5"/>
    <x v="2"/>
    <s v="AutoPost 1221"/>
    <s v="CAD"/>
    <x v="5"/>
    <x v="1219"/>
  </r>
  <r>
    <x v="1222"/>
    <x v="460"/>
    <x v="3"/>
    <x v="3"/>
    <n v="200.78"/>
    <n v="0"/>
    <x v="5"/>
    <x v="2"/>
    <s v="AutoPost 1222"/>
    <s v="CAD"/>
    <x v="25"/>
    <x v="1220"/>
  </r>
  <r>
    <x v="1223"/>
    <x v="443"/>
    <x v="0"/>
    <x v="0"/>
    <n v="0"/>
    <n v="2848.57"/>
    <x v="3"/>
    <x v="1"/>
    <s v="AutoPost 1223"/>
    <s v="AUD"/>
    <x v="3"/>
    <x v="1221"/>
  </r>
  <r>
    <x v="1224"/>
    <x v="168"/>
    <x v="1"/>
    <x v="1"/>
    <n v="185.51"/>
    <n v="0"/>
    <x v="0"/>
    <x v="2"/>
    <s v="AutoPost 1224"/>
    <s v="GBP"/>
    <x v="29"/>
    <x v="1222"/>
  </r>
  <r>
    <x v="1225"/>
    <x v="30"/>
    <x v="2"/>
    <x v="2"/>
    <n v="935.9"/>
    <n v="0"/>
    <x v="2"/>
    <x v="0"/>
    <s v="AutoPost 1225"/>
    <s v="CAD"/>
    <x v="20"/>
    <x v="1223"/>
  </r>
  <r>
    <x v="1226"/>
    <x v="545"/>
    <x v="1"/>
    <x v="1"/>
    <n v="1358.9"/>
    <n v="0"/>
    <x v="3"/>
    <x v="1"/>
    <s v="AutoPost 1226"/>
    <s v="USD"/>
    <x v="21"/>
    <x v="1224"/>
  </r>
  <r>
    <x v="1227"/>
    <x v="71"/>
    <x v="1"/>
    <x v="1"/>
    <n v="1242.6500000000001"/>
    <n v="0"/>
    <x v="4"/>
    <x v="3"/>
    <s v="AutoPost 1227"/>
    <s v="USD"/>
    <x v="28"/>
    <x v="1225"/>
  </r>
  <r>
    <x v="1228"/>
    <x v="158"/>
    <x v="4"/>
    <x v="4"/>
    <n v="0"/>
    <n v="1524.63"/>
    <x v="5"/>
    <x v="3"/>
    <s v="AutoPost 1228"/>
    <s v="CAD"/>
    <x v="21"/>
    <x v="1226"/>
  </r>
  <r>
    <x v="1229"/>
    <x v="28"/>
    <x v="4"/>
    <x v="4"/>
    <n v="0"/>
    <n v="1391.91"/>
    <x v="2"/>
    <x v="3"/>
    <s v="AutoPost 1229"/>
    <s v="USD"/>
    <x v="13"/>
    <x v="1227"/>
  </r>
  <r>
    <x v="1230"/>
    <x v="270"/>
    <x v="0"/>
    <x v="0"/>
    <n v="0"/>
    <n v="3506.68"/>
    <x v="5"/>
    <x v="3"/>
    <s v="AutoPost 1230"/>
    <s v="CAD"/>
    <x v="26"/>
    <x v="1228"/>
  </r>
  <r>
    <x v="1231"/>
    <x v="280"/>
    <x v="1"/>
    <x v="1"/>
    <n v="1331.89"/>
    <n v="0"/>
    <x v="4"/>
    <x v="2"/>
    <s v="AutoPost 1231"/>
    <s v="GBP"/>
    <x v="25"/>
    <x v="1229"/>
  </r>
  <r>
    <x v="1232"/>
    <x v="674"/>
    <x v="1"/>
    <x v="1"/>
    <n v="674.31"/>
    <n v="0"/>
    <x v="1"/>
    <x v="0"/>
    <s v="AutoPost 1232"/>
    <s v="GBP"/>
    <x v="22"/>
    <x v="1230"/>
  </r>
  <r>
    <x v="1233"/>
    <x v="675"/>
    <x v="0"/>
    <x v="0"/>
    <n v="0"/>
    <n v="2570.4299999999998"/>
    <x v="2"/>
    <x v="4"/>
    <s v="AutoPost 1233"/>
    <s v="EUR"/>
    <x v="7"/>
    <x v="1231"/>
  </r>
  <r>
    <x v="1234"/>
    <x v="479"/>
    <x v="4"/>
    <x v="4"/>
    <n v="0"/>
    <n v="1312.61"/>
    <x v="5"/>
    <x v="3"/>
    <s v="AutoPost 1234"/>
    <s v="CAD"/>
    <x v="13"/>
    <x v="1232"/>
  </r>
  <r>
    <x v="1235"/>
    <x v="279"/>
    <x v="1"/>
    <x v="1"/>
    <n v="1101.82"/>
    <n v="0"/>
    <x v="1"/>
    <x v="1"/>
    <s v="AutoPost 1235"/>
    <s v="GBP"/>
    <x v="20"/>
    <x v="1233"/>
  </r>
  <r>
    <x v="1236"/>
    <x v="676"/>
    <x v="0"/>
    <x v="0"/>
    <n v="0"/>
    <n v="143.81"/>
    <x v="5"/>
    <x v="2"/>
    <s v="AutoPost 1236"/>
    <s v="CAD"/>
    <x v="1"/>
    <x v="1234"/>
  </r>
  <r>
    <x v="1237"/>
    <x v="26"/>
    <x v="0"/>
    <x v="0"/>
    <n v="0"/>
    <n v="838.04"/>
    <x v="1"/>
    <x v="0"/>
    <s v="AutoPost 1237"/>
    <s v="AUD"/>
    <x v="10"/>
    <x v="1235"/>
  </r>
  <r>
    <x v="1238"/>
    <x v="230"/>
    <x v="2"/>
    <x v="2"/>
    <n v="1626.01"/>
    <n v="0"/>
    <x v="2"/>
    <x v="4"/>
    <s v="AutoPost 1238"/>
    <s v="CAD"/>
    <x v="16"/>
    <x v="1236"/>
  </r>
  <r>
    <x v="1239"/>
    <x v="677"/>
    <x v="1"/>
    <x v="1"/>
    <n v="1394.34"/>
    <n v="0"/>
    <x v="2"/>
    <x v="3"/>
    <s v="AutoPost 1239"/>
    <s v="EUR"/>
    <x v="3"/>
    <x v="1237"/>
  </r>
  <r>
    <x v="1240"/>
    <x v="91"/>
    <x v="4"/>
    <x v="4"/>
    <n v="0"/>
    <n v="1022.63"/>
    <x v="0"/>
    <x v="4"/>
    <s v="AutoPost 1240"/>
    <s v="CAD"/>
    <x v="5"/>
    <x v="1238"/>
  </r>
  <r>
    <x v="1241"/>
    <x v="251"/>
    <x v="3"/>
    <x v="3"/>
    <n v="1757.53"/>
    <n v="0"/>
    <x v="5"/>
    <x v="4"/>
    <s v="AutoPost 1241"/>
    <s v="GBP"/>
    <x v="8"/>
    <x v="1239"/>
  </r>
  <r>
    <x v="1242"/>
    <x v="404"/>
    <x v="0"/>
    <x v="0"/>
    <n v="0"/>
    <n v="1866.82"/>
    <x v="2"/>
    <x v="0"/>
    <s v="AutoPost 1242"/>
    <s v="AUD"/>
    <x v="5"/>
    <x v="1240"/>
  </r>
  <r>
    <x v="1243"/>
    <x v="36"/>
    <x v="2"/>
    <x v="2"/>
    <n v="1791.42"/>
    <n v="0"/>
    <x v="3"/>
    <x v="4"/>
    <s v="AutoPost 1243"/>
    <s v="EUR"/>
    <x v="12"/>
    <x v="1241"/>
  </r>
  <r>
    <x v="1244"/>
    <x v="494"/>
    <x v="2"/>
    <x v="2"/>
    <n v="1809.92"/>
    <n v="0"/>
    <x v="1"/>
    <x v="4"/>
    <s v="AutoPost 1244"/>
    <s v="EUR"/>
    <x v="21"/>
    <x v="1242"/>
  </r>
  <r>
    <x v="1245"/>
    <x v="25"/>
    <x v="4"/>
    <x v="4"/>
    <n v="0"/>
    <n v="212.06"/>
    <x v="0"/>
    <x v="0"/>
    <s v="AutoPost 1245"/>
    <s v="AUD"/>
    <x v="5"/>
    <x v="1243"/>
  </r>
  <r>
    <x v="1246"/>
    <x v="678"/>
    <x v="2"/>
    <x v="2"/>
    <n v="227.05"/>
    <n v="0"/>
    <x v="1"/>
    <x v="3"/>
    <s v="AutoPost 1246"/>
    <s v="AUD"/>
    <x v="6"/>
    <x v="1244"/>
  </r>
  <r>
    <x v="1247"/>
    <x v="88"/>
    <x v="0"/>
    <x v="0"/>
    <n v="0"/>
    <n v="3603.35"/>
    <x v="0"/>
    <x v="2"/>
    <s v="AutoPost 1247"/>
    <s v="GBP"/>
    <x v="0"/>
    <x v="1245"/>
  </r>
  <r>
    <x v="1248"/>
    <x v="679"/>
    <x v="1"/>
    <x v="1"/>
    <n v="185.67"/>
    <n v="0"/>
    <x v="4"/>
    <x v="1"/>
    <s v="AutoPost 1248"/>
    <s v="EUR"/>
    <x v="7"/>
    <x v="1246"/>
  </r>
  <r>
    <x v="1249"/>
    <x v="680"/>
    <x v="4"/>
    <x v="4"/>
    <n v="0"/>
    <n v="4699.12"/>
    <x v="3"/>
    <x v="3"/>
    <s v="AutoPost 1249"/>
    <s v="EUR"/>
    <x v="1"/>
    <x v="1247"/>
  </r>
  <r>
    <x v="1250"/>
    <x v="8"/>
    <x v="3"/>
    <x v="3"/>
    <n v="1352.97"/>
    <n v="0"/>
    <x v="3"/>
    <x v="0"/>
    <s v="AutoPost 1250"/>
    <s v="CAD"/>
    <x v="7"/>
    <x v="1248"/>
  </r>
  <r>
    <x v="1251"/>
    <x v="54"/>
    <x v="1"/>
    <x v="1"/>
    <n v="936.7"/>
    <n v="0"/>
    <x v="4"/>
    <x v="4"/>
    <s v="AutoPost 1251"/>
    <s v="CAD"/>
    <x v="10"/>
    <x v="1249"/>
  </r>
  <r>
    <x v="1252"/>
    <x v="681"/>
    <x v="0"/>
    <x v="0"/>
    <n v="0"/>
    <n v="3050.31"/>
    <x v="4"/>
    <x v="2"/>
    <s v="AutoPost 1252"/>
    <s v="AUD"/>
    <x v="21"/>
    <x v="1250"/>
  </r>
  <r>
    <x v="1253"/>
    <x v="682"/>
    <x v="2"/>
    <x v="2"/>
    <n v="574.09"/>
    <n v="0"/>
    <x v="3"/>
    <x v="3"/>
    <s v="AutoPost 1253"/>
    <s v="EUR"/>
    <x v="7"/>
    <x v="1251"/>
  </r>
  <r>
    <x v="1254"/>
    <x v="37"/>
    <x v="0"/>
    <x v="0"/>
    <n v="0"/>
    <n v="3214.18"/>
    <x v="4"/>
    <x v="4"/>
    <s v="AutoPost 1254"/>
    <s v="GBP"/>
    <x v="22"/>
    <x v="1252"/>
  </r>
  <r>
    <x v="1255"/>
    <x v="571"/>
    <x v="3"/>
    <x v="3"/>
    <n v="1415.06"/>
    <n v="0"/>
    <x v="5"/>
    <x v="0"/>
    <s v="AutoPost 1255"/>
    <s v="AUD"/>
    <x v="29"/>
    <x v="1253"/>
  </r>
  <r>
    <x v="1256"/>
    <x v="459"/>
    <x v="0"/>
    <x v="0"/>
    <n v="0"/>
    <n v="3142.85"/>
    <x v="3"/>
    <x v="4"/>
    <s v="AutoPost 1256"/>
    <s v="EUR"/>
    <x v="9"/>
    <x v="1254"/>
  </r>
  <r>
    <x v="1257"/>
    <x v="294"/>
    <x v="2"/>
    <x v="2"/>
    <n v="981.35"/>
    <n v="0"/>
    <x v="3"/>
    <x v="3"/>
    <s v="AutoPost 1257"/>
    <s v="CAD"/>
    <x v="29"/>
    <x v="1255"/>
  </r>
  <r>
    <x v="1258"/>
    <x v="69"/>
    <x v="0"/>
    <x v="0"/>
    <n v="0"/>
    <n v="2967.52"/>
    <x v="0"/>
    <x v="3"/>
    <s v="AutoPost 1258"/>
    <s v="AUD"/>
    <x v="5"/>
    <x v="1256"/>
  </r>
  <r>
    <x v="1259"/>
    <x v="346"/>
    <x v="0"/>
    <x v="0"/>
    <n v="0"/>
    <n v="3250.84"/>
    <x v="5"/>
    <x v="0"/>
    <s v="AutoPost 1259"/>
    <s v="GBP"/>
    <x v="13"/>
    <x v="1257"/>
  </r>
  <r>
    <x v="1260"/>
    <x v="240"/>
    <x v="0"/>
    <x v="0"/>
    <n v="0"/>
    <n v="2026.45"/>
    <x v="0"/>
    <x v="2"/>
    <s v="AutoPost 1260"/>
    <s v="EUR"/>
    <x v="11"/>
    <x v="1258"/>
  </r>
  <r>
    <x v="1261"/>
    <x v="644"/>
    <x v="3"/>
    <x v="3"/>
    <n v="1199.5999999999999"/>
    <n v="0"/>
    <x v="2"/>
    <x v="2"/>
    <s v="AutoPost 1261"/>
    <s v="EUR"/>
    <x v="14"/>
    <x v="1259"/>
  </r>
  <r>
    <x v="1262"/>
    <x v="18"/>
    <x v="1"/>
    <x v="1"/>
    <n v="816.81"/>
    <n v="0"/>
    <x v="1"/>
    <x v="1"/>
    <s v="AutoPost 1262"/>
    <s v="EUR"/>
    <x v="14"/>
    <x v="1260"/>
  </r>
  <r>
    <x v="1263"/>
    <x v="568"/>
    <x v="0"/>
    <x v="0"/>
    <n v="0"/>
    <n v="4074.11"/>
    <x v="1"/>
    <x v="2"/>
    <s v="AutoPost 1263"/>
    <s v="CAD"/>
    <x v="23"/>
    <x v="1261"/>
  </r>
  <r>
    <x v="1264"/>
    <x v="318"/>
    <x v="0"/>
    <x v="0"/>
    <n v="0"/>
    <n v="720.36"/>
    <x v="5"/>
    <x v="2"/>
    <s v="AutoPost 1264"/>
    <s v="CAD"/>
    <x v="5"/>
    <x v="1262"/>
  </r>
  <r>
    <x v="1265"/>
    <x v="640"/>
    <x v="3"/>
    <x v="3"/>
    <n v="1279.52"/>
    <n v="0"/>
    <x v="2"/>
    <x v="2"/>
    <s v="AutoPost 1265"/>
    <s v="CAD"/>
    <x v="28"/>
    <x v="1263"/>
  </r>
  <r>
    <x v="1266"/>
    <x v="437"/>
    <x v="1"/>
    <x v="1"/>
    <n v="1249.06"/>
    <n v="0"/>
    <x v="1"/>
    <x v="3"/>
    <s v="AutoPost 1266"/>
    <s v="CAD"/>
    <x v="21"/>
    <x v="1264"/>
  </r>
  <r>
    <x v="1267"/>
    <x v="216"/>
    <x v="4"/>
    <x v="4"/>
    <n v="0"/>
    <n v="4456.47"/>
    <x v="0"/>
    <x v="2"/>
    <s v="AutoPost 1267"/>
    <s v="EUR"/>
    <x v="13"/>
    <x v="1265"/>
  </r>
  <r>
    <x v="1268"/>
    <x v="621"/>
    <x v="0"/>
    <x v="0"/>
    <n v="0"/>
    <n v="3830.15"/>
    <x v="0"/>
    <x v="1"/>
    <s v="AutoPost 1268"/>
    <s v="GBP"/>
    <x v="19"/>
    <x v="1266"/>
  </r>
  <r>
    <x v="1269"/>
    <x v="128"/>
    <x v="4"/>
    <x v="4"/>
    <n v="0"/>
    <n v="4835.12"/>
    <x v="5"/>
    <x v="2"/>
    <s v="AutoPost 1269"/>
    <s v="AUD"/>
    <x v="4"/>
    <x v="1267"/>
  </r>
  <r>
    <x v="1270"/>
    <x v="280"/>
    <x v="1"/>
    <x v="1"/>
    <n v="1165.1300000000001"/>
    <n v="0"/>
    <x v="2"/>
    <x v="1"/>
    <s v="AutoPost 1270"/>
    <s v="AUD"/>
    <x v="25"/>
    <x v="1268"/>
  </r>
  <r>
    <x v="1271"/>
    <x v="392"/>
    <x v="0"/>
    <x v="0"/>
    <n v="0"/>
    <n v="112.08"/>
    <x v="1"/>
    <x v="4"/>
    <s v="AutoPost 1271"/>
    <s v="USD"/>
    <x v="15"/>
    <x v="1269"/>
  </r>
  <r>
    <x v="1272"/>
    <x v="595"/>
    <x v="4"/>
    <x v="4"/>
    <n v="0"/>
    <n v="3589.18"/>
    <x v="4"/>
    <x v="1"/>
    <s v="AutoPost 1272"/>
    <s v="AUD"/>
    <x v="17"/>
    <x v="1270"/>
  </r>
  <r>
    <x v="1273"/>
    <x v="683"/>
    <x v="0"/>
    <x v="0"/>
    <n v="0"/>
    <n v="1841.13"/>
    <x v="4"/>
    <x v="2"/>
    <s v="AutoPost 1273"/>
    <s v="CAD"/>
    <x v="5"/>
    <x v="1271"/>
  </r>
  <r>
    <x v="1274"/>
    <x v="165"/>
    <x v="1"/>
    <x v="1"/>
    <n v="1321.13"/>
    <n v="0"/>
    <x v="4"/>
    <x v="1"/>
    <s v="AutoPost 1274"/>
    <s v="GBP"/>
    <x v="12"/>
    <x v="1272"/>
  </r>
  <r>
    <x v="1275"/>
    <x v="203"/>
    <x v="3"/>
    <x v="3"/>
    <n v="501.83"/>
    <n v="0"/>
    <x v="5"/>
    <x v="4"/>
    <s v="AutoPost 1275"/>
    <s v="CAD"/>
    <x v="28"/>
    <x v="1273"/>
  </r>
  <r>
    <x v="1276"/>
    <x v="251"/>
    <x v="3"/>
    <x v="3"/>
    <n v="233.68"/>
    <n v="0"/>
    <x v="5"/>
    <x v="2"/>
    <s v="AutoPost 1276"/>
    <s v="EUR"/>
    <x v="8"/>
    <x v="1274"/>
  </r>
  <r>
    <x v="1277"/>
    <x v="480"/>
    <x v="4"/>
    <x v="4"/>
    <n v="0"/>
    <n v="4225.68"/>
    <x v="4"/>
    <x v="4"/>
    <s v="AutoPost 1277"/>
    <s v="AUD"/>
    <x v="0"/>
    <x v="1275"/>
  </r>
  <r>
    <x v="1278"/>
    <x v="568"/>
    <x v="3"/>
    <x v="3"/>
    <n v="315.85000000000002"/>
    <n v="0"/>
    <x v="3"/>
    <x v="3"/>
    <s v="AutoPost 1278"/>
    <s v="USD"/>
    <x v="23"/>
    <x v="1276"/>
  </r>
  <r>
    <x v="1279"/>
    <x v="59"/>
    <x v="2"/>
    <x v="2"/>
    <n v="1999.52"/>
    <n v="0"/>
    <x v="5"/>
    <x v="3"/>
    <s v="AutoPost 1279"/>
    <s v="EUR"/>
    <x v="1"/>
    <x v="1277"/>
  </r>
  <r>
    <x v="1280"/>
    <x v="684"/>
    <x v="2"/>
    <x v="2"/>
    <n v="770.08"/>
    <n v="0"/>
    <x v="5"/>
    <x v="4"/>
    <s v="AutoPost 1280"/>
    <s v="CAD"/>
    <x v="24"/>
    <x v="1278"/>
  </r>
  <r>
    <x v="1281"/>
    <x v="685"/>
    <x v="4"/>
    <x v="4"/>
    <n v="0"/>
    <n v="4953.53"/>
    <x v="5"/>
    <x v="0"/>
    <s v="AutoPost 1281"/>
    <s v="GBP"/>
    <x v="6"/>
    <x v="1279"/>
  </r>
  <r>
    <x v="1282"/>
    <x v="686"/>
    <x v="4"/>
    <x v="4"/>
    <n v="0"/>
    <n v="1360.16"/>
    <x v="5"/>
    <x v="0"/>
    <s v="AutoPost 1282"/>
    <s v="CAD"/>
    <x v="8"/>
    <x v="1280"/>
  </r>
  <r>
    <x v="1283"/>
    <x v="399"/>
    <x v="1"/>
    <x v="1"/>
    <n v="475.84"/>
    <n v="0"/>
    <x v="1"/>
    <x v="1"/>
    <s v="AutoPost 1283"/>
    <s v="USD"/>
    <x v="6"/>
    <x v="1281"/>
  </r>
  <r>
    <x v="1284"/>
    <x v="655"/>
    <x v="1"/>
    <x v="1"/>
    <n v="1211.1500000000001"/>
    <n v="0"/>
    <x v="5"/>
    <x v="3"/>
    <s v="AutoPost 1284"/>
    <s v="CAD"/>
    <x v="7"/>
    <x v="1282"/>
  </r>
  <r>
    <x v="1285"/>
    <x v="658"/>
    <x v="4"/>
    <x v="4"/>
    <n v="0"/>
    <n v="2327.23"/>
    <x v="0"/>
    <x v="2"/>
    <s v="AutoPost 1285"/>
    <s v="EUR"/>
    <x v="8"/>
    <x v="1283"/>
  </r>
  <r>
    <x v="1286"/>
    <x v="621"/>
    <x v="2"/>
    <x v="2"/>
    <n v="237.68"/>
    <n v="0"/>
    <x v="5"/>
    <x v="0"/>
    <s v="AutoPost 1286"/>
    <s v="GBP"/>
    <x v="19"/>
    <x v="1284"/>
  </r>
  <r>
    <x v="1287"/>
    <x v="687"/>
    <x v="2"/>
    <x v="2"/>
    <n v="1902.83"/>
    <n v="0"/>
    <x v="5"/>
    <x v="4"/>
    <s v="AutoPost 1287"/>
    <s v="CAD"/>
    <x v="16"/>
    <x v="1285"/>
  </r>
  <r>
    <x v="1288"/>
    <x v="468"/>
    <x v="0"/>
    <x v="0"/>
    <n v="0"/>
    <n v="2447.1"/>
    <x v="1"/>
    <x v="2"/>
    <s v="AutoPost 1288"/>
    <s v="AUD"/>
    <x v="13"/>
    <x v="1286"/>
  </r>
  <r>
    <x v="1289"/>
    <x v="87"/>
    <x v="2"/>
    <x v="2"/>
    <n v="520.39"/>
    <n v="0"/>
    <x v="5"/>
    <x v="3"/>
    <s v="AutoPost 1289"/>
    <s v="USD"/>
    <x v="10"/>
    <x v="1287"/>
  </r>
  <r>
    <x v="1290"/>
    <x v="47"/>
    <x v="3"/>
    <x v="3"/>
    <n v="1329.55"/>
    <n v="0"/>
    <x v="4"/>
    <x v="4"/>
    <s v="AutoPost 1290"/>
    <s v="CAD"/>
    <x v="16"/>
    <x v="1288"/>
  </r>
  <r>
    <x v="1291"/>
    <x v="688"/>
    <x v="2"/>
    <x v="2"/>
    <n v="1991.48"/>
    <n v="0"/>
    <x v="2"/>
    <x v="2"/>
    <s v="AutoPost 1291"/>
    <s v="GBP"/>
    <x v="16"/>
    <x v="1289"/>
  </r>
  <r>
    <x v="1292"/>
    <x v="568"/>
    <x v="1"/>
    <x v="1"/>
    <n v="637.88"/>
    <n v="0"/>
    <x v="0"/>
    <x v="1"/>
    <s v="AutoPost 1292"/>
    <s v="USD"/>
    <x v="23"/>
    <x v="1290"/>
  </r>
  <r>
    <x v="1293"/>
    <x v="656"/>
    <x v="0"/>
    <x v="0"/>
    <n v="0"/>
    <n v="175.56"/>
    <x v="0"/>
    <x v="3"/>
    <s v="AutoPost 1293"/>
    <s v="CAD"/>
    <x v="6"/>
    <x v="1291"/>
  </r>
  <r>
    <x v="1294"/>
    <x v="364"/>
    <x v="2"/>
    <x v="2"/>
    <n v="282.05"/>
    <n v="0"/>
    <x v="0"/>
    <x v="0"/>
    <s v="AutoPost 1294"/>
    <s v="AUD"/>
    <x v="0"/>
    <x v="1292"/>
  </r>
  <r>
    <x v="1295"/>
    <x v="429"/>
    <x v="2"/>
    <x v="2"/>
    <n v="1993.37"/>
    <n v="0"/>
    <x v="3"/>
    <x v="1"/>
    <s v="AutoPost 1295"/>
    <s v="GBP"/>
    <x v="5"/>
    <x v="1293"/>
  </r>
  <r>
    <x v="1296"/>
    <x v="689"/>
    <x v="2"/>
    <x v="2"/>
    <n v="294.74"/>
    <n v="0"/>
    <x v="0"/>
    <x v="3"/>
    <s v="AutoPost 1296"/>
    <s v="AUD"/>
    <x v="16"/>
    <x v="1294"/>
  </r>
  <r>
    <x v="1297"/>
    <x v="153"/>
    <x v="0"/>
    <x v="0"/>
    <n v="0"/>
    <n v="763.55"/>
    <x v="1"/>
    <x v="0"/>
    <s v="AutoPost 1297"/>
    <s v="EUR"/>
    <x v="0"/>
    <x v="1295"/>
  </r>
  <r>
    <x v="1298"/>
    <x v="438"/>
    <x v="4"/>
    <x v="4"/>
    <n v="0"/>
    <n v="2502.91"/>
    <x v="4"/>
    <x v="3"/>
    <s v="AutoPost 1298"/>
    <s v="GBP"/>
    <x v="22"/>
    <x v="1296"/>
  </r>
  <r>
    <x v="1299"/>
    <x v="690"/>
    <x v="3"/>
    <x v="3"/>
    <n v="468.89"/>
    <n v="0"/>
    <x v="4"/>
    <x v="1"/>
    <s v="AutoPost 1299"/>
    <s v="AUD"/>
    <x v="15"/>
    <x v="1297"/>
  </r>
  <r>
    <x v="1300"/>
    <x v="98"/>
    <x v="2"/>
    <x v="2"/>
    <n v="810.8"/>
    <n v="0"/>
    <x v="3"/>
    <x v="4"/>
    <s v="AutoPost 1300"/>
    <s v="GBP"/>
    <x v="4"/>
    <x v="1298"/>
  </r>
  <r>
    <x v="1301"/>
    <x v="224"/>
    <x v="1"/>
    <x v="1"/>
    <n v="1345.83"/>
    <n v="0"/>
    <x v="2"/>
    <x v="1"/>
    <s v="AutoPost 1301"/>
    <s v="GBP"/>
    <x v="1"/>
    <x v="1299"/>
  </r>
  <r>
    <x v="1302"/>
    <x v="255"/>
    <x v="0"/>
    <x v="0"/>
    <n v="0"/>
    <n v="4443.21"/>
    <x v="0"/>
    <x v="0"/>
    <s v="AutoPost 1302"/>
    <s v="AUD"/>
    <x v="12"/>
    <x v="1300"/>
  </r>
  <r>
    <x v="1303"/>
    <x v="691"/>
    <x v="3"/>
    <x v="3"/>
    <n v="780.61"/>
    <n v="0"/>
    <x v="0"/>
    <x v="2"/>
    <s v="AutoPost 1303"/>
    <s v="AUD"/>
    <x v="8"/>
    <x v="1301"/>
  </r>
  <r>
    <x v="1304"/>
    <x v="692"/>
    <x v="4"/>
    <x v="4"/>
    <n v="0"/>
    <n v="2988.59"/>
    <x v="2"/>
    <x v="1"/>
    <s v="AutoPost 1304"/>
    <s v="GBP"/>
    <x v="20"/>
    <x v="1302"/>
  </r>
  <r>
    <x v="1305"/>
    <x v="693"/>
    <x v="3"/>
    <x v="3"/>
    <n v="1463.55"/>
    <n v="0"/>
    <x v="3"/>
    <x v="0"/>
    <s v="AutoPost 1305"/>
    <s v="CAD"/>
    <x v="26"/>
    <x v="1303"/>
  </r>
  <r>
    <x v="1306"/>
    <x v="694"/>
    <x v="4"/>
    <x v="4"/>
    <n v="0"/>
    <n v="790.68"/>
    <x v="1"/>
    <x v="0"/>
    <s v="AutoPost 1306"/>
    <s v="GBP"/>
    <x v="7"/>
    <x v="1304"/>
  </r>
  <r>
    <x v="1307"/>
    <x v="695"/>
    <x v="0"/>
    <x v="0"/>
    <n v="0"/>
    <n v="3083.05"/>
    <x v="0"/>
    <x v="1"/>
    <s v="AutoPost 1307"/>
    <s v="EUR"/>
    <x v="22"/>
    <x v="1305"/>
  </r>
  <r>
    <x v="1308"/>
    <x v="277"/>
    <x v="3"/>
    <x v="3"/>
    <n v="473.43"/>
    <n v="0"/>
    <x v="0"/>
    <x v="3"/>
    <s v="AutoPost 1308"/>
    <s v="AUD"/>
    <x v="11"/>
    <x v="1306"/>
  </r>
  <r>
    <x v="1309"/>
    <x v="696"/>
    <x v="4"/>
    <x v="4"/>
    <n v="0"/>
    <n v="4614.12"/>
    <x v="3"/>
    <x v="1"/>
    <s v="AutoPost 1309"/>
    <s v="EUR"/>
    <x v="25"/>
    <x v="1307"/>
  </r>
  <r>
    <x v="1310"/>
    <x v="93"/>
    <x v="3"/>
    <x v="3"/>
    <n v="1506.71"/>
    <n v="0"/>
    <x v="2"/>
    <x v="1"/>
    <s v="AutoPost 1310"/>
    <s v="CAD"/>
    <x v="14"/>
    <x v="1308"/>
  </r>
  <r>
    <x v="1311"/>
    <x v="155"/>
    <x v="2"/>
    <x v="2"/>
    <n v="874.3"/>
    <n v="0"/>
    <x v="0"/>
    <x v="1"/>
    <s v="AutoPost 1311"/>
    <s v="GBP"/>
    <x v="14"/>
    <x v="1309"/>
  </r>
  <r>
    <x v="1312"/>
    <x v="697"/>
    <x v="3"/>
    <x v="3"/>
    <n v="770.81"/>
    <n v="0"/>
    <x v="2"/>
    <x v="4"/>
    <s v="AutoPost 1312"/>
    <s v="USD"/>
    <x v="14"/>
    <x v="1310"/>
  </r>
  <r>
    <x v="1313"/>
    <x v="205"/>
    <x v="1"/>
    <x v="1"/>
    <n v="916.64"/>
    <n v="0"/>
    <x v="2"/>
    <x v="0"/>
    <s v="AutoPost 1313"/>
    <s v="AUD"/>
    <x v="4"/>
    <x v="1311"/>
  </r>
  <r>
    <x v="1314"/>
    <x v="698"/>
    <x v="1"/>
    <x v="1"/>
    <n v="1378.77"/>
    <n v="0"/>
    <x v="4"/>
    <x v="0"/>
    <s v="AutoPost 1314"/>
    <s v="AUD"/>
    <x v="19"/>
    <x v="1312"/>
  </r>
  <r>
    <x v="1315"/>
    <x v="649"/>
    <x v="3"/>
    <x v="3"/>
    <n v="1403.4"/>
    <n v="0"/>
    <x v="3"/>
    <x v="1"/>
    <s v="AutoPost 1315"/>
    <s v="AUD"/>
    <x v="15"/>
    <x v="1313"/>
  </r>
  <r>
    <x v="1316"/>
    <x v="598"/>
    <x v="1"/>
    <x v="1"/>
    <n v="710.78"/>
    <n v="0"/>
    <x v="4"/>
    <x v="0"/>
    <s v="AutoPost 1316"/>
    <s v="CAD"/>
    <x v="17"/>
    <x v="1314"/>
  </r>
  <r>
    <x v="1317"/>
    <x v="544"/>
    <x v="4"/>
    <x v="4"/>
    <n v="0"/>
    <n v="2077.61"/>
    <x v="0"/>
    <x v="1"/>
    <s v="AutoPost 1317"/>
    <s v="USD"/>
    <x v="19"/>
    <x v="1315"/>
  </r>
  <r>
    <x v="1318"/>
    <x v="699"/>
    <x v="0"/>
    <x v="0"/>
    <n v="0"/>
    <n v="2075.2600000000002"/>
    <x v="1"/>
    <x v="0"/>
    <s v="AutoPost 1318"/>
    <s v="USD"/>
    <x v="22"/>
    <x v="1316"/>
  </r>
  <r>
    <x v="1319"/>
    <x v="700"/>
    <x v="1"/>
    <x v="1"/>
    <n v="955.82"/>
    <n v="0"/>
    <x v="2"/>
    <x v="2"/>
    <s v="AutoPost 1319"/>
    <s v="GBP"/>
    <x v="20"/>
    <x v="1317"/>
  </r>
  <r>
    <x v="1320"/>
    <x v="212"/>
    <x v="1"/>
    <x v="1"/>
    <n v="1924.14"/>
    <n v="0"/>
    <x v="3"/>
    <x v="4"/>
    <s v="AutoPost 1320"/>
    <s v="CAD"/>
    <x v="28"/>
    <x v="1318"/>
  </r>
  <r>
    <x v="1321"/>
    <x v="701"/>
    <x v="4"/>
    <x v="4"/>
    <n v="0"/>
    <n v="4238.9799999999996"/>
    <x v="5"/>
    <x v="0"/>
    <s v="AutoPost 1321"/>
    <s v="EUR"/>
    <x v="16"/>
    <x v="1319"/>
  </r>
  <r>
    <x v="1322"/>
    <x v="194"/>
    <x v="3"/>
    <x v="3"/>
    <n v="1471.95"/>
    <n v="0"/>
    <x v="1"/>
    <x v="2"/>
    <s v="AutoPost 1322"/>
    <s v="GBP"/>
    <x v="23"/>
    <x v="1320"/>
  </r>
  <r>
    <x v="1323"/>
    <x v="67"/>
    <x v="4"/>
    <x v="4"/>
    <n v="0"/>
    <n v="1269.44"/>
    <x v="0"/>
    <x v="3"/>
    <s v="AutoPost 1323"/>
    <s v="AUD"/>
    <x v="19"/>
    <x v="1321"/>
  </r>
  <r>
    <x v="1324"/>
    <x v="702"/>
    <x v="1"/>
    <x v="1"/>
    <n v="97.3"/>
    <n v="0"/>
    <x v="5"/>
    <x v="0"/>
    <s v="AutoPost 1324"/>
    <s v="AUD"/>
    <x v="3"/>
    <x v="1322"/>
  </r>
  <r>
    <x v="1325"/>
    <x v="703"/>
    <x v="2"/>
    <x v="2"/>
    <n v="557.66"/>
    <n v="0"/>
    <x v="5"/>
    <x v="0"/>
    <s v="AutoPost 1325"/>
    <s v="USD"/>
    <x v="18"/>
    <x v="1323"/>
  </r>
  <r>
    <x v="1326"/>
    <x v="704"/>
    <x v="3"/>
    <x v="3"/>
    <n v="1380.55"/>
    <n v="0"/>
    <x v="1"/>
    <x v="2"/>
    <s v="AutoPost 1326"/>
    <s v="AUD"/>
    <x v="16"/>
    <x v="1324"/>
  </r>
  <r>
    <x v="1327"/>
    <x v="495"/>
    <x v="1"/>
    <x v="1"/>
    <n v="606.16"/>
    <n v="0"/>
    <x v="1"/>
    <x v="3"/>
    <s v="AutoPost 1327"/>
    <s v="AUD"/>
    <x v="28"/>
    <x v="1325"/>
  </r>
  <r>
    <x v="1328"/>
    <x v="480"/>
    <x v="2"/>
    <x v="2"/>
    <n v="1885.28"/>
    <n v="0"/>
    <x v="3"/>
    <x v="1"/>
    <s v="AutoPost 1328"/>
    <s v="CAD"/>
    <x v="0"/>
    <x v="1326"/>
  </r>
  <r>
    <x v="1329"/>
    <x v="705"/>
    <x v="3"/>
    <x v="3"/>
    <n v="1731.77"/>
    <n v="0"/>
    <x v="3"/>
    <x v="2"/>
    <s v="AutoPost 1329"/>
    <s v="CAD"/>
    <x v="10"/>
    <x v="1327"/>
  </r>
  <r>
    <x v="1330"/>
    <x v="168"/>
    <x v="1"/>
    <x v="1"/>
    <n v="394.02"/>
    <n v="0"/>
    <x v="1"/>
    <x v="0"/>
    <s v="AutoPost 1330"/>
    <s v="GBP"/>
    <x v="29"/>
    <x v="1328"/>
  </r>
  <r>
    <x v="1331"/>
    <x v="30"/>
    <x v="0"/>
    <x v="0"/>
    <n v="0"/>
    <n v="687.07"/>
    <x v="1"/>
    <x v="1"/>
    <s v="AutoPost 1331"/>
    <s v="CAD"/>
    <x v="20"/>
    <x v="1329"/>
  </r>
  <r>
    <x v="1332"/>
    <x v="422"/>
    <x v="4"/>
    <x v="4"/>
    <n v="0"/>
    <n v="4603.0200000000004"/>
    <x v="3"/>
    <x v="1"/>
    <s v="AutoPost 1332"/>
    <s v="GBP"/>
    <x v="6"/>
    <x v="1330"/>
  </r>
  <r>
    <x v="1333"/>
    <x v="129"/>
    <x v="2"/>
    <x v="2"/>
    <n v="675.05"/>
    <n v="0"/>
    <x v="3"/>
    <x v="2"/>
    <s v="AutoPost 1333"/>
    <s v="USD"/>
    <x v="1"/>
    <x v="1331"/>
  </r>
  <r>
    <x v="1334"/>
    <x v="706"/>
    <x v="1"/>
    <x v="1"/>
    <n v="1487.83"/>
    <n v="0"/>
    <x v="2"/>
    <x v="3"/>
    <s v="AutoPost 1334"/>
    <s v="AUD"/>
    <x v="27"/>
    <x v="1332"/>
  </r>
  <r>
    <x v="1335"/>
    <x v="707"/>
    <x v="2"/>
    <x v="2"/>
    <n v="792.43"/>
    <n v="0"/>
    <x v="4"/>
    <x v="1"/>
    <s v="AutoPost 1335"/>
    <s v="GBP"/>
    <x v="29"/>
    <x v="1333"/>
  </r>
  <r>
    <x v="1336"/>
    <x v="708"/>
    <x v="0"/>
    <x v="0"/>
    <n v="0"/>
    <n v="1819.9"/>
    <x v="1"/>
    <x v="3"/>
    <s v="AutoPost 1336"/>
    <s v="GBP"/>
    <x v="19"/>
    <x v="1334"/>
  </r>
  <r>
    <x v="1337"/>
    <x v="450"/>
    <x v="1"/>
    <x v="1"/>
    <n v="1966.73"/>
    <n v="0"/>
    <x v="2"/>
    <x v="1"/>
    <s v="AutoPost 1337"/>
    <s v="GBP"/>
    <x v="28"/>
    <x v="1335"/>
  </r>
  <r>
    <x v="1338"/>
    <x v="333"/>
    <x v="4"/>
    <x v="4"/>
    <n v="0"/>
    <n v="1355.21"/>
    <x v="5"/>
    <x v="4"/>
    <s v="AutoPost 1338"/>
    <s v="CAD"/>
    <x v="14"/>
    <x v="1336"/>
  </r>
  <r>
    <x v="1339"/>
    <x v="593"/>
    <x v="4"/>
    <x v="4"/>
    <n v="0"/>
    <n v="4992.45"/>
    <x v="1"/>
    <x v="0"/>
    <s v="AutoPost 1339"/>
    <s v="CAD"/>
    <x v="23"/>
    <x v="1337"/>
  </r>
  <r>
    <x v="1340"/>
    <x v="50"/>
    <x v="1"/>
    <x v="1"/>
    <n v="1949.81"/>
    <n v="0"/>
    <x v="1"/>
    <x v="3"/>
    <s v="AutoPost 1340"/>
    <s v="EUR"/>
    <x v="26"/>
    <x v="1338"/>
  </r>
  <r>
    <x v="1341"/>
    <x v="87"/>
    <x v="3"/>
    <x v="3"/>
    <n v="733.3"/>
    <n v="0"/>
    <x v="1"/>
    <x v="1"/>
    <s v="AutoPost 1341"/>
    <s v="EUR"/>
    <x v="10"/>
    <x v="1339"/>
  </r>
  <r>
    <x v="1342"/>
    <x v="148"/>
    <x v="1"/>
    <x v="1"/>
    <n v="1405.39"/>
    <n v="0"/>
    <x v="0"/>
    <x v="0"/>
    <s v="AutoPost 1342"/>
    <s v="USD"/>
    <x v="23"/>
    <x v="1340"/>
  </r>
  <r>
    <x v="1343"/>
    <x v="677"/>
    <x v="0"/>
    <x v="0"/>
    <n v="0"/>
    <n v="599.19000000000005"/>
    <x v="0"/>
    <x v="4"/>
    <s v="AutoPost 1343"/>
    <s v="EUR"/>
    <x v="3"/>
    <x v="1341"/>
  </r>
  <r>
    <x v="1344"/>
    <x v="217"/>
    <x v="4"/>
    <x v="4"/>
    <n v="0"/>
    <n v="872.03"/>
    <x v="5"/>
    <x v="2"/>
    <s v="AutoPost 1344"/>
    <s v="GBP"/>
    <x v="21"/>
    <x v="1342"/>
  </r>
  <r>
    <x v="1345"/>
    <x v="472"/>
    <x v="0"/>
    <x v="0"/>
    <n v="0"/>
    <n v="3873.21"/>
    <x v="2"/>
    <x v="2"/>
    <s v="AutoPost 1345"/>
    <s v="AUD"/>
    <x v="29"/>
    <x v="1343"/>
  </r>
  <r>
    <x v="1346"/>
    <x v="253"/>
    <x v="3"/>
    <x v="3"/>
    <n v="122.84"/>
    <n v="0"/>
    <x v="2"/>
    <x v="4"/>
    <s v="AutoPost 1346"/>
    <s v="USD"/>
    <x v="19"/>
    <x v="1344"/>
  </r>
  <r>
    <x v="1347"/>
    <x v="709"/>
    <x v="4"/>
    <x v="4"/>
    <n v="0"/>
    <n v="1039.28"/>
    <x v="5"/>
    <x v="4"/>
    <s v="AutoPost 1347"/>
    <s v="EUR"/>
    <x v="28"/>
    <x v="1345"/>
  </r>
  <r>
    <x v="1348"/>
    <x v="710"/>
    <x v="4"/>
    <x v="4"/>
    <n v="0"/>
    <n v="1214.51"/>
    <x v="3"/>
    <x v="4"/>
    <s v="AutoPost 1348"/>
    <s v="GBP"/>
    <x v="12"/>
    <x v="1346"/>
  </r>
  <r>
    <x v="1349"/>
    <x v="711"/>
    <x v="3"/>
    <x v="3"/>
    <n v="1318.81"/>
    <n v="0"/>
    <x v="3"/>
    <x v="2"/>
    <s v="AutoPost 1349"/>
    <s v="AUD"/>
    <x v="2"/>
    <x v="1347"/>
  </r>
  <r>
    <x v="1350"/>
    <x v="584"/>
    <x v="4"/>
    <x v="4"/>
    <n v="0"/>
    <n v="3395.3"/>
    <x v="1"/>
    <x v="1"/>
    <s v="AutoPost 1350"/>
    <s v="GBP"/>
    <x v="17"/>
    <x v="1348"/>
  </r>
  <r>
    <x v="1351"/>
    <x v="712"/>
    <x v="2"/>
    <x v="2"/>
    <n v="1554.18"/>
    <n v="0"/>
    <x v="5"/>
    <x v="1"/>
    <s v="AutoPost 1351"/>
    <s v="AUD"/>
    <x v="15"/>
    <x v="1349"/>
  </r>
  <r>
    <x v="1352"/>
    <x v="713"/>
    <x v="0"/>
    <x v="0"/>
    <n v="0"/>
    <n v="4613.7"/>
    <x v="0"/>
    <x v="1"/>
    <s v="AutoPost 1352"/>
    <s v="USD"/>
    <x v="10"/>
    <x v="1350"/>
  </r>
  <r>
    <x v="1353"/>
    <x v="173"/>
    <x v="3"/>
    <x v="3"/>
    <n v="803.03"/>
    <n v="0"/>
    <x v="4"/>
    <x v="3"/>
    <s v="AutoPost 1353"/>
    <s v="CAD"/>
    <x v="19"/>
    <x v="1351"/>
  </r>
  <r>
    <x v="1354"/>
    <x v="432"/>
    <x v="3"/>
    <x v="3"/>
    <n v="1564.19"/>
    <n v="0"/>
    <x v="0"/>
    <x v="3"/>
    <s v="AutoPost 1354"/>
    <s v="CAD"/>
    <x v="5"/>
    <x v="1352"/>
  </r>
  <r>
    <x v="1355"/>
    <x v="377"/>
    <x v="2"/>
    <x v="2"/>
    <n v="1942.89"/>
    <n v="0"/>
    <x v="0"/>
    <x v="4"/>
    <s v="AutoPost 1355"/>
    <s v="USD"/>
    <x v="2"/>
    <x v="1353"/>
  </r>
  <r>
    <x v="1356"/>
    <x v="510"/>
    <x v="0"/>
    <x v="0"/>
    <n v="0"/>
    <n v="4122.6000000000004"/>
    <x v="2"/>
    <x v="3"/>
    <s v="AutoPost 1356"/>
    <s v="GBP"/>
    <x v="26"/>
    <x v="1354"/>
  </r>
  <r>
    <x v="1357"/>
    <x v="94"/>
    <x v="4"/>
    <x v="4"/>
    <n v="0"/>
    <n v="3139.71"/>
    <x v="2"/>
    <x v="4"/>
    <s v="AutoPost 1357"/>
    <s v="EUR"/>
    <x v="2"/>
    <x v="1355"/>
  </r>
  <r>
    <x v="1358"/>
    <x v="325"/>
    <x v="3"/>
    <x v="3"/>
    <n v="168.07"/>
    <n v="0"/>
    <x v="1"/>
    <x v="0"/>
    <s v="AutoPost 1358"/>
    <s v="CAD"/>
    <x v="29"/>
    <x v="1356"/>
  </r>
  <r>
    <x v="1359"/>
    <x v="714"/>
    <x v="0"/>
    <x v="0"/>
    <n v="0"/>
    <n v="2067.23"/>
    <x v="2"/>
    <x v="3"/>
    <s v="AutoPost 1359"/>
    <s v="GBP"/>
    <x v="24"/>
    <x v="1357"/>
  </r>
  <r>
    <x v="1360"/>
    <x v="715"/>
    <x v="3"/>
    <x v="3"/>
    <n v="364.93"/>
    <n v="0"/>
    <x v="5"/>
    <x v="3"/>
    <s v="AutoPost 1360"/>
    <s v="USD"/>
    <x v="19"/>
    <x v="1358"/>
  </r>
  <r>
    <x v="1361"/>
    <x v="248"/>
    <x v="1"/>
    <x v="1"/>
    <n v="488.16"/>
    <n v="0"/>
    <x v="3"/>
    <x v="0"/>
    <s v="AutoPost 1361"/>
    <s v="GBP"/>
    <x v="28"/>
    <x v="1359"/>
  </r>
  <r>
    <x v="1362"/>
    <x v="620"/>
    <x v="1"/>
    <x v="1"/>
    <n v="506.43"/>
    <n v="0"/>
    <x v="5"/>
    <x v="4"/>
    <s v="AutoPost 1362"/>
    <s v="USD"/>
    <x v="24"/>
    <x v="1360"/>
  </r>
  <r>
    <x v="1363"/>
    <x v="545"/>
    <x v="1"/>
    <x v="1"/>
    <n v="517.6"/>
    <n v="0"/>
    <x v="1"/>
    <x v="2"/>
    <s v="AutoPost 1363"/>
    <s v="EUR"/>
    <x v="21"/>
    <x v="1361"/>
  </r>
  <r>
    <x v="1364"/>
    <x v="56"/>
    <x v="2"/>
    <x v="2"/>
    <n v="846.47"/>
    <n v="0"/>
    <x v="2"/>
    <x v="3"/>
    <s v="AutoPost 1364"/>
    <s v="AUD"/>
    <x v="6"/>
    <x v="1362"/>
  </r>
  <r>
    <x v="1365"/>
    <x v="23"/>
    <x v="4"/>
    <x v="4"/>
    <n v="0"/>
    <n v="998.83"/>
    <x v="5"/>
    <x v="4"/>
    <s v="AutoPost 1365"/>
    <s v="USD"/>
    <x v="18"/>
    <x v="1363"/>
  </r>
  <r>
    <x v="1366"/>
    <x v="259"/>
    <x v="3"/>
    <x v="3"/>
    <n v="714.9"/>
    <n v="0"/>
    <x v="0"/>
    <x v="0"/>
    <s v="AutoPost 1366"/>
    <s v="GBP"/>
    <x v="6"/>
    <x v="1364"/>
  </r>
  <r>
    <x v="1367"/>
    <x v="371"/>
    <x v="4"/>
    <x v="4"/>
    <n v="0"/>
    <n v="1049.58"/>
    <x v="2"/>
    <x v="0"/>
    <s v="AutoPost 1367"/>
    <s v="AUD"/>
    <x v="6"/>
    <x v="1365"/>
  </r>
  <r>
    <x v="1368"/>
    <x v="155"/>
    <x v="3"/>
    <x v="3"/>
    <n v="1962.1"/>
    <n v="0"/>
    <x v="0"/>
    <x v="4"/>
    <s v="AutoPost 1368"/>
    <s v="USD"/>
    <x v="14"/>
    <x v="1366"/>
  </r>
  <r>
    <x v="1369"/>
    <x v="582"/>
    <x v="1"/>
    <x v="1"/>
    <n v="773.23"/>
    <n v="0"/>
    <x v="5"/>
    <x v="1"/>
    <s v="AutoPost 1369"/>
    <s v="CAD"/>
    <x v="14"/>
    <x v="1367"/>
  </r>
  <r>
    <x v="1370"/>
    <x v="238"/>
    <x v="3"/>
    <x v="3"/>
    <n v="485.53"/>
    <n v="0"/>
    <x v="3"/>
    <x v="0"/>
    <s v="AutoPost 1370"/>
    <s v="GBP"/>
    <x v="5"/>
    <x v="1368"/>
  </r>
  <r>
    <x v="1371"/>
    <x v="631"/>
    <x v="4"/>
    <x v="4"/>
    <n v="0"/>
    <n v="586.21"/>
    <x v="3"/>
    <x v="2"/>
    <s v="AutoPost 1371"/>
    <s v="EUR"/>
    <x v="16"/>
    <x v="1369"/>
  </r>
  <r>
    <x v="1372"/>
    <x v="716"/>
    <x v="0"/>
    <x v="0"/>
    <n v="0"/>
    <n v="1624.21"/>
    <x v="3"/>
    <x v="3"/>
    <s v="AutoPost 1372"/>
    <s v="GBP"/>
    <x v="13"/>
    <x v="1370"/>
  </r>
  <r>
    <x v="1373"/>
    <x v="717"/>
    <x v="3"/>
    <x v="3"/>
    <n v="680.82"/>
    <n v="0"/>
    <x v="5"/>
    <x v="4"/>
    <s v="AutoPost 1373"/>
    <s v="USD"/>
    <x v="22"/>
    <x v="1371"/>
  </r>
  <r>
    <x v="1374"/>
    <x v="427"/>
    <x v="2"/>
    <x v="2"/>
    <n v="167.34"/>
    <n v="0"/>
    <x v="3"/>
    <x v="2"/>
    <s v="AutoPost 1374"/>
    <s v="USD"/>
    <x v="6"/>
    <x v="1372"/>
  </r>
  <r>
    <x v="1375"/>
    <x v="158"/>
    <x v="0"/>
    <x v="0"/>
    <n v="0"/>
    <n v="1929.16"/>
    <x v="3"/>
    <x v="3"/>
    <s v="AutoPost 1375"/>
    <s v="EUR"/>
    <x v="21"/>
    <x v="1373"/>
  </r>
  <r>
    <x v="1376"/>
    <x v="384"/>
    <x v="3"/>
    <x v="3"/>
    <n v="400.54"/>
    <n v="0"/>
    <x v="3"/>
    <x v="2"/>
    <s v="AutoPost 1376"/>
    <s v="EUR"/>
    <x v="9"/>
    <x v="1374"/>
  </r>
  <r>
    <x v="1377"/>
    <x v="207"/>
    <x v="4"/>
    <x v="4"/>
    <n v="0"/>
    <n v="1657.49"/>
    <x v="5"/>
    <x v="2"/>
    <s v="AutoPost 1377"/>
    <s v="GBP"/>
    <x v="7"/>
    <x v="1375"/>
  </r>
  <r>
    <x v="1378"/>
    <x v="463"/>
    <x v="0"/>
    <x v="0"/>
    <n v="0"/>
    <n v="1718.15"/>
    <x v="0"/>
    <x v="3"/>
    <s v="AutoPost 1378"/>
    <s v="GBP"/>
    <x v="7"/>
    <x v="1376"/>
  </r>
  <r>
    <x v="1379"/>
    <x v="219"/>
    <x v="4"/>
    <x v="4"/>
    <n v="0"/>
    <n v="3216.06"/>
    <x v="4"/>
    <x v="4"/>
    <s v="AutoPost 1379"/>
    <s v="CAD"/>
    <x v="19"/>
    <x v="1377"/>
  </r>
  <r>
    <x v="1380"/>
    <x v="718"/>
    <x v="4"/>
    <x v="4"/>
    <n v="0"/>
    <n v="3406.43"/>
    <x v="2"/>
    <x v="4"/>
    <s v="AutoPost 1380"/>
    <s v="AUD"/>
    <x v="29"/>
    <x v="1378"/>
  </r>
  <r>
    <x v="1381"/>
    <x v="716"/>
    <x v="2"/>
    <x v="2"/>
    <n v="1047.53"/>
    <n v="0"/>
    <x v="4"/>
    <x v="3"/>
    <s v="AutoPost 1381"/>
    <s v="USD"/>
    <x v="13"/>
    <x v="1379"/>
  </r>
  <r>
    <x v="1382"/>
    <x v="289"/>
    <x v="3"/>
    <x v="3"/>
    <n v="129.62"/>
    <n v="0"/>
    <x v="4"/>
    <x v="0"/>
    <s v="AutoPost 1382"/>
    <s v="EUR"/>
    <x v="10"/>
    <x v="1380"/>
  </r>
  <r>
    <x v="1383"/>
    <x v="719"/>
    <x v="4"/>
    <x v="4"/>
    <n v="0"/>
    <n v="2334.75"/>
    <x v="2"/>
    <x v="3"/>
    <s v="AutoPost 1383"/>
    <s v="AUD"/>
    <x v="4"/>
    <x v="1381"/>
  </r>
  <r>
    <x v="1384"/>
    <x v="242"/>
    <x v="2"/>
    <x v="2"/>
    <n v="1023.61"/>
    <n v="0"/>
    <x v="0"/>
    <x v="1"/>
    <s v="AutoPost 1384"/>
    <s v="GBP"/>
    <x v="22"/>
    <x v="1382"/>
  </r>
  <r>
    <x v="1385"/>
    <x v="293"/>
    <x v="3"/>
    <x v="3"/>
    <n v="182.89"/>
    <n v="0"/>
    <x v="3"/>
    <x v="1"/>
    <s v="AutoPost 1385"/>
    <s v="GBP"/>
    <x v="20"/>
    <x v="1383"/>
  </r>
  <r>
    <x v="1386"/>
    <x v="494"/>
    <x v="2"/>
    <x v="2"/>
    <n v="229.97"/>
    <n v="0"/>
    <x v="0"/>
    <x v="1"/>
    <s v="AutoPost 1386"/>
    <s v="GBP"/>
    <x v="21"/>
    <x v="1384"/>
  </r>
  <r>
    <x v="1387"/>
    <x v="184"/>
    <x v="2"/>
    <x v="2"/>
    <n v="1443.86"/>
    <n v="0"/>
    <x v="3"/>
    <x v="4"/>
    <s v="AutoPost 1387"/>
    <s v="USD"/>
    <x v="15"/>
    <x v="1385"/>
  </r>
  <r>
    <x v="1388"/>
    <x v="720"/>
    <x v="4"/>
    <x v="4"/>
    <n v="0"/>
    <n v="1270.57"/>
    <x v="2"/>
    <x v="1"/>
    <s v="AutoPost 1388"/>
    <s v="AUD"/>
    <x v="7"/>
    <x v="1386"/>
  </r>
  <r>
    <x v="1389"/>
    <x v="378"/>
    <x v="4"/>
    <x v="4"/>
    <n v="0"/>
    <n v="1310.5899999999999"/>
    <x v="5"/>
    <x v="4"/>
    <s v="AutoPost 1389"/>
    <s v="CAD"/>
    <x v="4"/>
    <x v="1387"/>
  </r>
  <r>
    <x v="1390"/>
    <x v="13"/>
    <x v="4"/>
    <x v="4"/>
    <n v="0"/>
    <n v="3868.62"/>
    <x v="5"/>
    <x v="4"/>
    <s v="AutoPost 1390"/>
    <s v="AUD"/>
    <x v="11"/>
    <x v="1388"/>
  </r>
  <r>
    <x v="1391"/>
    <x v="641"/>
    <x v="0"/>
    <x v="0"/>
    <n v="0"/>
    <n v="138.43"/>
    <x v="1"/>
    <x v="0"/>
    <s v="AutoPost 1391"/>
    <s v="GBP"/>
    <x v="22"/>
    <x v="1389"/>
  </r>
  <r>
    <x v="1392"/>
    <x v="721"/>
    <x v="1"/>
    <x v="1"/>
    <n v="1749.68"/>
    <n v="0"/>
    <x v="1"/>
    <x v="3"/>
    <s v="AutoPost 1392"/>
    <s v="EUR"/>
    <x v="27"/>
    <x v="1390"/>
  </r>
  <r>
    <x v="1393"/>
    <x v="553"/>
    <x v="4"/>
    <x v="4"/>
    <n v="0"/>
    <n v="4955.21"/>
    <x v="2"/>
    <x v="3"/>
    <s v="AutoPost 1393"/>
    <s v="EUR"/>
    <x v="5"/>
    <x v="1391"/>
  </r>
  <r>
    <x v="1394"/>
    <x v="469"/>
    <x v="3"/>
    <x v="3"/>
    <n v="1030.07"/>
    <n v="0"/>
    <x v="1"/>
    <x v="1"/>
    <s v="AutoPost 1394"/>
    <s v="CAD"/>
    <x v="27"/>
    <x v="1392"/>
  </r>
  <r>
    <x v="1395"/>
    <x v="46"/>
    <x v="2"/>
    <x v="2"/>
    <n v="1552.9"/>
    <n v="0"/>
    <x v="1"/>
    <x v="1"/>
    <s v="AutoPost 1395"/>
    <s v="GBP"/>
    <x v="14"/>
    <x v="1393"/>
  </r>
  <r>
    <x v="1396"/>
    <x v="722"/>
    <x v="1"/>
    <x v="1"/>
    <n v="1837.1"/>
    <n v="0"/>
    <x v="1"/>
    <x v="0"/>
    <s v="AutoPost 1396"/>
    <s v="USD"/>
    <x v="18"/>
    <x v="1394"/>
  </r>
  <r>
    <x v="1397"/>
    <x v="533"/>
    <x v="0"/>
    <x v="0"/>
    <n v="0"/>
    <n v="3838.99"/>
    <x v="1"/>
    <x v="1"/>
    <s v="AutoPost 1397"/>
    <s v="AUD"/>
    <x v="27"/>
    <x v="1395"/>
  </r>
  <r>
    <x v="1398"/>
    <x v="134"/>
    <x v="2"/>
    <x v="2"/>
    <n v="1204.07"/>
    <n v="0"/>
    <x v="1"/>
    <x v="3"/>
    <s v="AutoPost 1398"/>
    <s v="EUR"/>
    <x v="16"/>
    <x v="1396"/>
  </r>
  <r>
    <x v="1399"/>
    <x v="112"/>
    <x v="3"/>
    <x v="3"/>
    <n v="1122.26"/>
    <n v="0"/>
    <x v="2"/>
    <x v="0"/>
    <s v="AutoPost 1399"/>
    <s v="AUD"/>
    <x v="17"/>
    <x v="1397"/>
  </r>
  <r>
    <x v="1400"/>
    <x v="723"/>
    <x v="3"/>
    <x v="3"/>
    <n v="633.59"/>
    <n v="0"/>
    <x v="3"/>
    <x v="1"/>
    <s v="AutoPost 1400"/>
    <s v="CAD"/>
    <x v="9"/>
    <x v="1398"/>
  </r>
  <r>
    <x v="1401"/>
    <x v="93"/>
    <x v="4"/>
    <x v="4"/>
    <n v="0"/>
    <n v="4074.33"/>
    <x v="2"/>
    <x v="4"/>
    <s v="AutoPost 1401"/>
    <s v="USD"/>
    <x v="14"/>
    <x v="1399"/>
  </r>
  <r>
    <x v="1402"/>
    <x v="502"/>
    <x v="2"/>
    <x v="2"/>
    <n v="340.22"/>
    <n v="0"/>
    <x v="5"/>
    <x v="2"/>
    <s v="AutoPost 1402"/>
    <s v="GBP"/>
    <x v="15"/>
    <x v="1400"/>
  </r>
  <r>
    <x v="1403"/>
    <x v="272"/>
    <x v="2"/>
    <x v="2"/>
    <n v="1891.61"/>
    <n v="0"/>
    <x v="0"/>
    <x v="0"/>
    <s v="AutoPost 1403"/>
    <s v="EUR"/>
    <x v="5"/>
    <x v="1401"/>
  </r>
  <r>
    <x v="1404"/>
    <x v="248"/>
    <x v="1"/>
    <x v="1"/>
    <n v="1998.5"/>
    <n v="0"/>
    <x v="3"/>
    <x v="3"/>
    <s v="AutoPost 1404"/>
    <s v="EUR"/>
    <x v="28"/>
    <x v="1402"/>
  </r>
  <r>
    <x v="1405"/>
    <x v="163"/>
    <x v="0"/>
    <x v="0"/>
    <n v="0"/>
    <n v="2567.37"/>
    <x v="3"/>
    <x v="2"/>
    <s v="AutoPost 1405"/>
    <s v="EUR"/>
    <x v="19"/>
    <x v="1403"/>
  </r>
  <r>
    <x v="1406"/>
    <x v="683"/>
    <x v="1"/>
    <x v="1"/>
    <n v="1097.98"/>
    <n v="0"/>
    <x v="5"/>
    <x v="4"/>
    <s v="AutoPost 1406"/>
    <s v="EUR"/>
    <x v="5"/>
    <x v="1404"/>
  </r>
  <r>
    <x v="1407"/>
    <x v="447"/>
    <x v="2"/>
    <x v="2"/>
    <n v="443.66"/>
    <n v="0"/>
    <x v="3"/>
    <x v="2"/>
    <s v="AutoPost 1407"/>
    <s v="GBP"/>
    <x v="13"/>
    <x v="1405"/>
  </r>
  <r>
    <x v="1408"/>
    <x v="658"/>
    <x v="1"/>
    <x v="1"/>
    <n v="225.89"/>
    <n v="0"/>
    <x v="1"/>
    <x v="2"/>
    <s v="AutoPost 1408"/>
    <s v="AUD"/>
    <x v="8"/>
    <x v="1406"/>
  </r>
  <r>
    <x v="1409"/>
    <x v="3"/>
    <x v="1"/>
    <x v="1"/>
    <n v="90.95"/>
    <n v="0"/>
    <x v="3"/>
    <x v="3"/>
    <s v="AutoPost 1409"/>
    <s v="USD"/>
    <x v="3"/>
    <x v="1407"/>
  </r>
  <r>
    <x v="1410"/>
    <x v="642"/>
    <x v="4"/>
    <x v="4"/>
    <n v="0"/>
    <n v="4806.1400000000003"/>
    <x v="3"/>
    <x v="4"/>
    <s v="AutoPost 1410"/>
    <s v="EUR"/>
    <x v="5"/>
    <x v="1408"/>
  </r>
  <r>
    <x v="1411"/>
    <x v="123"/>
    <x v="4"/>
    <x v="4"/>
    <n v="0"/>
    <n v="2397.21"/>
    <x v="5"/>
    <x v="3"/>
    <s v="AutoPost 1411"/>
    <s v="GBP"/>
    <x v="26"/>
    <x v="1409"/>
  </r>
  <r>
    <x v="1412"/>
    <x v="448"/>
    <x v="4"/>
    <x v="4"/>
    <n v="0"/>
    <n v="1164.68"/>
    <x v="0"/>
    <x v="3"/>
    <s v="AutoPost 1412"/>
    <s v="USD"/>
    <x v="8"/>
    <x v="1410"/>
  </r>
  <r>
    <x v="1413"/>
    <x v="337"/>
    <x v="0"/>
    <x v="0"/>
    <n v="0"/>
    <n v="4994.2"/>
    <x v="3"/>
    <x v="3"/>
    <s v="AutoPost 1413"/>
    <s v="CAD"/>
    <x v="0"/>
    <x v="1411"/>
  </r>
  <r>
    <x v="1414"/>
    <x v="526"/>
    <x v="4"/>
    <x v="4"/>
    <n v="0"/>
    <n v="127.25"/>
    <x v="4"/>
    <x v="1"/>
    <s v="AutoPost 1414"/>
    <s v="CAD"/>
    <x v="20"/>
    <x v="1412"/>
  </r>
  <r>
    <x v="1415"/>
    <x v="588"/>
    <x v="3"/>
    <x v="3"/>
    <n v="1383.8"/>
    <n v="0"/>
    <x v="5"/>
    <x v="3"/>
    <s v="AutoPost 1415"/>
    <s v="CAD"/>
    <x v="19"/>
    <x v="1413"/>
  </r>
  <r>
    <x v="1416"/>
    <x v="121"/>
    <x v="4"/>
    <x v="4"/>
    <n v="0"/>
    <n v="4604.16"/>
    <x v="4"/>
    <x v="3"/>
    <s v="AutoPost 1416"/>
    <s v="GBP"/>
    <x v="25"/>
    <x v="1414"/>
  </r>
  <r>
    <x v="1417"/>
    <x v="174"/>
    <x v="0"/>
    <x v="0"/>
    <n v="0"/>
    <n v="4835.3"/>
    <x v="2"/>
    <x v="4"/>
    <s v="AutoPost 1417"/>
    <s v="GBP"/>
    <x v="25"/>
    <x v="1415"/>
  </r>
  <r>
    <x v="1418"/>
    <x v="724"/>
    <x v="4"/>
    <x v="4"/>
    <n v="0"/>
    <n v="1057.72"/>
    <x v="4"/>
    <x v="0"/>
    <s v="AutoPost 1418"/>
    <s v="CAD"/>
    <x v="12"/>
    <x v="1416"/>
  </r>
  <r>
    <x v="1419"/>
    <x v="625"/>
    <x v="3"/>
    <x v="3"/>
    <n v="1394.77"/>
    <n v="0"/>
    <x v="0"/>
    <x v="4"/>
    <s v="AutoPost 1419"/>
    <s v="CAD"/>
    <x v="3"/>
    <x v="1417"/>
  </r>
  <r>
    <x v="1420"/>
    <x v="619"/>
    <x v="1"/>
    <x v="1"/>
    <n v="803.08"/>
    <n v="0"/>
    <x v="4"/>
    <x v="2"/>
    <s v="AutoPost 1420"/>
    <s v="AUD"/>
    <x v="9"/>
    <x v="1418"/>
  </r>
  <r>
    <x v="1421"/>
    <x v="725"/>
    <x v="2"/>
    <x v="2"/>
    <n v="500.5"/>
    <n v="0"/>
    <x v="0"/>
    <x v="0"/>
    <s v="AutoPost 1421"/>
    <s v="CAD"/>
    <x v="4"/>
    <x v="1419"/>
  </r>
  <r>
    <x v="1422"/>
    <x v="117"/>
    <x v="3"/>
    <x v="3"/>
    <n v="413.05"/>
    <n v="0"/>
    <x v="5"/>
    <x v="2"/>
    <s v="AutoPost 1422"/>
    <s v="GBP"/>
    <x v="24"/>
    <x v="1420"/>
  </r>
  <r>
    <x v="1423"/>
    <x v="726"/>
    <x v="1"/>
    <x v="1"/>
    <n v="1483.66"/>
    <n v="0"/>
    <x v="3"/>
    <x v="1"/>
    <s v="AutoPost 1423"/>
    <s v="EUR"/>
    <x v="27"/>
    <x v="158"/>
  </r>
  <r>
    <x v="1424"/>
    <x v="511"/>
    <x v="3"/>
    <x v="3"/>
    <n v="1752.32"/>
    <n v="0"/>
    <x v="0"/>
    <x v="2"/>
    <s v="AutoPost 1424"/>
    <s v="CAD"/>
    <x v="8"/>
    <x v="1421"/>
  </r>
  <r>
    <x v="1425"/>
    <x v="607"/>
    <x v="0"/>
    <x v="0"/>
    <n v="0"/>
    <n v="1556.95"/>
    <x v="3"/>
    <x v="4"/>
    <s v="AutoPost 1425"/>
    <s v="CAD"/>
    <x v="9"/>
    <x v="1422"/>
  </r>
  <r>
    <x v="1426"/>
    <x v="727"/>
    <x v="3"/>
    <x v="3"/>
    <n v="1162.76"/>
    <n v="0"/>
    <x v="5"/>
    <x v="3"/>
    <s v="AutoPost 1426"/>
    <s v="CAD"/>
    <x v="10"/>
    <x v="1423"/>
  </r>
  <r>
    <x v="1427"/>
    <x v="728"/>
    <x v="0"/>
    <x v="0"/>
    <n v="0"/>
    <n v="3293.95"/>
    <x v="4"/>
    <x v="3"/>
    <s v="AutoPost 1427"/>
    <s v="CAD"/>
    <x v="20"/>
    <x v="1424"/>
  </r>
  <r>
    <x v="1428"/>
    <x v="277"/>
    <x v="3"/>
    <x v="3"/>
    <n v="949.79"/>
    <n v="0"/>
    <x v="0"/>
    <x v="4"/>
    <s v="AutoPost 1428"/>
    <s v="GBP"/>
    <x v="11"/>
    <x v="1425"/>
  </r>
  <r>
    <x v="1429"/>
    <x v="616"/>
    <x v="4"/>
    <x v="4"/>
    <n v="0"/>
    <n v="536.59"/>
    <x v="0"/>
    <x v="4"/>
    <s v="AutoPost 1429"/>
    <s v="USD"/>
    <x v="16"/>
    <x v="1426"/>
  </r>
  <r>
    <x v="1430"/>
    <x v="729"/>
    <x v="0"/>
    <x v="0"/>
    <n v="0"/>
    <n v="352.44"/>
    <x v="4"/>
    <x v="2"/>
    <s v="AutoPost 1430"/>
    <s v="CAD"/>
    <x v="22"/>
    <x v="1427"/>
  </r>
  <r>
    <x v="1431"/>
    <x v="730"/>
    <x v="1"/>
    <x v="1"/>
    <n v="479.39"/>
    <n v="0"/>
    <x v="0"/>
    <x v="0"/>
    <s v="AutoPost 1431"/>
    <s v="EUR"/>
    <x v="21"/>
    <x v="1428"/>
  </r>
  <r>
    <x v="1432"/>
    <x v="236"/>
    <x v="2"/>
    <x v="2"/>
    <n v="875.44"/>
    <n v="0"/>
    <x v="1"/>
    <x v="0"/>
    <s v="AutoPost 1432"/>
    <s v="USD"/>
    <x v="2"/>
    <x v="1429"/>
  </r>
  <r>
    <x v="1433"/>
    <x v="731"/>
    <x v="1"/>
    <x v="1"/>
    <n v="726.79"/>
    <n v="0"/>
    <x v="5"/>
    <x v="1"/>
    <s v="AutoPost 1433"/>
    <s v="GBP"/>
    <x v="2"/>
    <x v="1430"/>
  </r>
  <r>
    <x v="1434"/>
    <x v="347"/>
    <x v="4"/>
    <x v="4"/>
    <n v="0"/>
    <n v="3492.12"/>
    <x v="1"/>
    <x v="0"/>
    <s v="AutoPost 1434"/>
    <s v="USD"/>
    <x v="17"/>
    <x v="1431"/>
  </r>
  <r>
    <x v="1435"/>
    <x v="256"/>
    <x v="3"/>
    <x v="3"/>
    <n v="868.34"/>
    <n v="0"/>
    <x v="1"/>
    <x v="2"/>
    <s v="AutoPost 1435"/>
    <s v="USD"/>
    <x v="0"/>
    <x v="1432"/>
  </r>
  <r>
    <x v="1436"/>
    <x v="732"/>
    <x v="0"/>
    <x v="0"/>
    <n v="0"/>
    <n v="1610.63"/>
    <x v="4"/>
    <x v="0"/>
    <s v="AutoPost 1436"/>
    <s v="CAD"/>
    <x v="18"/>
    <x v="1433"/>
  </r>
  <r>
    <x v="1437"/>
    <x v="717"/>
    <x v="2"/>
    <x v="2"/>
    <n v="1429.61"/>
    <n v="0"/>
    <x v="1"/>
    <x v="1"/>
    <s v="AutoPost 1437"/>
    <s v="EUR"/>
    <x v="22"/>
    <x v="1434"/>
  </r>
  <r>
    <x v="1438"/>
    <x v="196"/>
    <x v="1"/>
    <x v="1"/>
    <n v="918.99"/>
    <n v="0"/>
    <x v="4"/>
    <x v="3"/>
    <s v="AutoPost 1438"/>
    <s v="EUR"/>
    <x v="9"/>
    <x v="1435"/>
  </r>
  <r>
    <x v="1439"/>
    <x v="273"/>
    <x v="3"/>
    <x v="3"/>
    <n v="189.23"/>
    <n v="0"/>
    <x v="1"/>
    <x v="4"/>
    <s v="AutoPost 1439"/>
    <s v="EUR"/>
    <x v="19"/>
    <x v="1436"/>
  </r>
  <r>
    <x v="1440"/>
    <x v="733"/>
    <x v="4"/>
    <x v="4"/>
    <n v="0"/>
    <n v="4553.74"/>
    <x v="2"/>
    <x v="0"/>
    <s v="AutoPost 1440"/>
    <s v="USD"/>
    <x v="19"/>
    <x v="1437"/>
  </r>
  <r>
    <x v="1441"/>
    <x v="83"/>
    <x v="4"/>
    <x v="4"/>
    <n v="0"/>
    <n v="224.69"/>
    <x v="5"/>
    <x v="3"/>
    <s v="AutoPost 1441"/>
    <s v="AUD"/>
    <x v="10"/>
    <x v="1438"/>
  </r>
  <r>
    <x v="1442"/>
    <x v="47"/>
    <x v="1"/>
    <x v="1"/>
    <n v="1447.98"/>
    <n v="0"/>
    <x v="4"/>
    <x v="3"/>
    <s v="AutoPost 1442"/>
    <s v="GBP"/>
    <x v="16"/>
    <x v="1439"/>
  </r>
  <r>
    <x v="1443"/>
    <x v="363"/>
    <x v="2"/>
    <x v="2"/>
    <n v="1846.98"/>
    <n v="0"/>
    <x v="1"/>
    <x v="2"/>
    <s v="AutoPost 1443"/>
    <s v="USD"/>
    <x v="24"/>
    <x v="1440"/>
  </r>
  <r>
    <x v="1444"/>
    <x v="629"/>
    <x v="3"/>
    <x v="3"/>
    <n v="1709.33"/>
    <n v="0"/>
    <x v="2"/>
    <x v="1"/>
    <s v="AutoPost 1444"/>
    <s v="CAD"/>
    <x v="2"/>
    <x v="1441"/>
  </r>
  <r>
    <x v="1445"/>
    <x v="702"/>
    <x v="4"/>
    <x v="4"/>
    <n v="0"/>
    <n v="4210.6499999999996"/>
    <x v="1"/>
    <x v="0"/>
    <s v="AutoPost 1445"/>
    <s v="EUR"/>
    <x v="3"/>
    <x v="1442"/>
  </r>
  <r>
    <x v="1446"/>
    <x v="734"/>
    <x v="3"/>
    <x v="3"/>
    <n v="1733.89"/>
    <n v="0"/>
    <x v="3"/>
    <x v="0"/>
    <s v="AutoPost 1446"/>
    <s v="EUR"/>
    <x v="25"/>
    <x v="1443"/>
  </r>
  <r>
    <x v="1447"/>
    <x v="279"/>
    <x v="0"/>
    <x v="0"/>
    <n v="0"/>
    <n v="4741"/>
    <x v="2"/>
    <x v="1"/>
    <s v="AutoPost 1447"/>
    <s v="USD"/>
    <x v="20"/>
    <x v="1444"/>
  </r>
  <r>
    <x v="1448"/>
    <x v="677"/>
    <x v="2"/>
    <x v="2"/>
    <n v="1800.94"/>
    <n v="0"/>
    <x v="5"/>
    <x v="0"/>
    <s v="AutoPost 1448"/>
    <s v="EUR"/>
    <x v="3"/>
    <x v="1445"/>
  </r>
  <r>
    <x v="1449"/>
    <x v="735"/>
    <x v="2"/>
    <x v="2"/>
    <n v="1648.82"/>
    <n v="0"/>
    <x v="2"/>
    <x v="4"/>
    <s v="AutoPost 1449"/>
    <s v="AUD"/>
    <x v="0"/>
    <x v="1446"/>
  </r>
  <r>
    <x v="1450"/>
    <x v="69"/>
    <x v="4"/>
    <x v="4"/>
    <n v="0"/>
    <n v="174.57"/>
    <x v="5"/>
    <x v="0"/>
    <s v="AutoPost 1450"/>
    <s v="USD"/>
    <x v="5"/>
    <x v="1447"/>
  </r>
  <r>
    <x v="1451"/>
    <x v="397"/>
    <x v="2"/>
    <x v="2"/>
    <n v="302.02999999999997"/>
    <n v="0"/>
    <x v="1"/>
    <x v="3"/>
    <s v="AutoPost 1451"/>
    <s v="EUR"/>
    <x v="16"/>
    <x v="1448"/>
  </r>
  <r>
    <x v="1452"/>
    <x v="501"/>
    <x v="2"/>
    <x v="2"/>
    <n v="226.75"/>
    <n v="0"/>
    <x v="1"/>
    <x v="1"/>
    <s v="AutoPost 1452"/>
    <s v="CAD"/>
    <x v="1"/>
    <x v="1449"/>
  </r>
  <r>
    <x v="1453"/>
    <x v="4"/>
    <x v="4"/>
    <x v="4"/>
    <n v="0"/>
    <n v="3167.06"/>
    <x v="0"/>
    <x v="2"/>
    <s v="AutoPost 1453"/>
    <s v="AUD"/>
    <x v="4"/>
    <x v="1450"/>
  </r>
  <r>
    <x v="1454"/>
    <x v="516"/>
    <x v="1"/>
    <x v="1"/>
    <n v="1135.3699999999999"/>
    <n v="0"/>
    <x v="3"/>
    <x v="4"/>
    <s v="AutoPost 1454"/>
    <s v="AUD"/>
    <x v="14"/>
    <x v="1451"/>
  </r>
  <r>
    <x v="1455"/>
    <x v="736"/>
    <x v="2"/>
    <x v="2"/>
    <n v="418.07"/>
    <n v="0"/>
    <x v="5"/>
    <x v="4"/>
    <s v="AutoPost 1455"/>
    <s v="CAD"/>
    <x v="23"/>
    <x v="1452"/>
  </r>
  <r>
    <x v="1456"/>
    <x v="169"/>
    <x v="0"/>
    <x v="0"/>
    <n v="0"/>
    <n v="3400.48"/>
    <x v="0"/>
    <x v="4"/>
    <s v="AutoPost 1456"/>
    <s v="AUD"/>
    <x v="23"/>
    <x v="1453"/>
  </r>
  <r>
    <x v="1457"/>
    <x v="413"/>
    <x v="1"/>
    <x v="1"/>
    <n v="67.56"/>
    <n v="0"/>
    <x v="5"/>
    <x v="0"/>
    <s v="AutoPost 1457"/>
    <s v="GBP"/>
    <x v="11"/>
    <x v="1454"/>
  </r>
  <r>
    <x v="1458"/>
    <x v="68"/>
    <x v="0"/>
    <x v="0"/>
    <n v="0"/>
    <n v="2980.92"/>
    <x v="3"/>
    <x v="2"/>
    <s v="AutoPost 1458"/>
    <s v="AUD"/>
    <x v="0"/>
    <x v="1455"/>
  </r>
  <r>
    <x v="1459"/>
    <x v="665"/>
    <x v="3"/>
    <x v="3"/>
    <n v="1093.1300000000001"/>
    <n v="0"/>
    <x v="2"/>
    <x v="3"/>
    <s v="AutoPost 1459"/>
    <s v="USD"/>
    <x v="1"/>
    <x v="1456"/>
  </r>
  <r>
    <x v="1460"/>
    <x v="100"/>
    <x v="4"/>
    <x v="4"/>
    <n v="0"/>
    <n v="3048.03"/>
    <x v="4"/>
    <x v="4"/>
    <s v="AutoPost 1460"/>
    <s v="CAD"/>
    <x v="19"/>
    <x v="1457"/>
  </r>
  <r>
    <x v="1461"/>
    <x v="736"/>
    <x v="2"/>
    <x v="2"/>
    <n v="1020.63"/>
    <n v="0"/>
    <x v="3"/>
    <x v="2"/>
    <s v="AutoPost 1461"/>
    <s v="AUD"/>
    <x v="23"/>
    <x v="1458"/>
  </r>
  <r>
    <x v="1462"/>
    <x v="737"/>
    <x v="3"/>
    <x v="3"/>
    <n v="1162.8900000000001"/>
    <n v="0"/>
    <x v="0"/>
    <x v="0"/>
    <s v="AutoPost 1462"/>
    <s v="GBP"/>
    <x v="29"/>
    <x v="1459"/>
  </r>
  <r>
    <x v="1463"/>
    <x v="219"/>
    <x v="1"/>
    <x v="1"/>
    <n v="783.53"/>
    <n v="0"/>
    <x v="5"/>
    <x v="1"/>
    <s v="AutoPost 1463"/>
    <s v="GBP"/>
    <x v="19"/>
    <x v="1460"/>
  </r>
  <r>
    <x v="1464"/>
    <x v="738"/>
    <x v="0"/>
    <x v="0"/>
    <n v="0"/>
    <n v="3125.16"/>
    <x v="0"/>
    <x v="3"/>
    <s v="AutoPost 1464"/>
    <s v="EUR"/>
    <x v="11"/>
    <x v="1461"/>
  </r>
  <r>
    <x v="1465"/>
    <x v="618"/>
    <x v="1"/>
    <x v="1"/>
    <n v="1578.71"/>
    <n v="0"/>
    <x v="4"/>
    <x v="1"/>
    <s v="AutoPost 1465"/>
    <s v="EUR"/>
    <x v="25"/>
    <x v="1462"/>
  </r>
  <r>
    <x v="1466"/>
    <x v="33"/>
    <x v="0"/>
    <x v="0"/>
    <n v="0"/>
    <n v="4453.8"/>
    <x v="4"/>
    <x v="2"/>
    <s v="AutoPost 1466"/>
    <s v="USD"/>
    <x v="9"/>
    <x v="1463"/>
  </r>
  <r>
    <x v="1467"/>
    <x v="298"/>
    <x v="0"/>
    <x v="0"/>
    <n v="0"/>
    <n v="4929.5200000000004"/>
    <x v="5"/>
    <x v="2"/>
    <s v="AutoPost 1467"/>
    <s v="GBP"/>
    <x v="3"/>
    <x v="1464"/>
  </r>
  <r>
    <x v="1468"/>
    <x v="288"/>
    <x v="1"/>
    <x v="1"/>
    <n v="537.51"/>
    <n v="0"/>
    <x v="4"/>
    <x v="2"/>
    <s v="AutoPost 1468"/>
    <s v="GBP"/>
    <x v="24"/>
    <x v="1465"/>
  </r>
  <r>
    <x v="1469"/>
    <x v="496"/>
    <x v="1"/>
    <x v="1"/>
    <n v="554.87"/>
    <n v="0"/>
    <x v="3"/>
    <x v="1"/>
    <s v="AutoPost 1469"/>
    <s v="GBP"/>
    <x v="23"/>
    <x v="1466"/>
  </r>
  <r>
    <x v="1470"/>
    <x v="609"/>
    <x v="4"/>
    <x v="4"/>
    <n v="0"/>
    <n v="4941.29"/>
    <x v="3"/>
    <x v="3"/>
    <s v="AutoPost 1470"/>
    <s v="AUD"/>
    <x v="7"/>
    <x v="1467"/>
  </r>
  <r>
    <x v="1471"/>
    <x v="320"/>
    <x v="1"/>
    <x v="1"/>
    <n v="1427.31"/>
    <n v="0"/>
    <x v="1"/>
    <x v="3"/>
    <s v="AutoPost 1471"/>
    <s v="EUR"/>
    <x v="9"/>
    <x v="1468"/>
  </r>
  <r>
    <x v="1472"/>
    <x v="218"/>
    <x v="0"/>
    <x v="0"/>
    <n v="0"/>
    <n v="1063.56"/>
    <x v="4"/>
    <x v="4"/>
    <s v="AutoPost 1472"/>
    <s v="EUR"/>
    <x v="9"/>
    <x v="1469"/>
  </r>
  <r>
    <x v="1473"/>
    <x v="472"/>
    <x v="2"/>
    <x v="2"/>
    <n v="665.12"/>
    <n v="0"/>
    <x v="3"/>
    <x v="3"/>
    <s v="AutoPost 1473"/>
    <s v="CAD"/>
    <x v="29"/>
    <x v="1470"/>
  </r>
  <r>
    <x v="1474"/>
    <x v="283"/>
    <x v="0"/>
    <x v="0"/>
    <n v="0"/>
    <n v="185.76"/>
    <x v="3"/>
    <x v="1"/>
    <s v="AutoPost 1474"/>
    <s v="USD"/>
    <x v="0"/>
    <x v="1471"/>
  </r>
  <r>
    <x v="1475"/>
    <x v="352"/>
    <x v="4"/>
    <x v="4"/>
    <n v="0"/>
    <n v="278.45999999999998"/>
    <x v="3"/>
    <x v="2"/>
    <s v="AutoPost 1475"/>
    <s v="AUD"/>
    <x v="28"/>
    <x v="1472"/>
  </r>
  <r>
    <x v="1476"/>
    <x v="348"/>
    <x v="0"/>
    <x v="0"/>
    <n v="0"/>
    <n v="4294.84"/>
    <x v="3"/>
    <x v="0"/>
    <s v="AutoPost 1476"/>
    <s v="CAD"/>
    <x v="11"/>
    <x v="1473"/>
  </r>
  <r>
    <x v="1477"/>
    <x v="3"/>
    <x v="3"/>
    <x v="3"/>
    <n v="1675.83"/>
    <n v="0"/>
    <x v="0"/>
    <x v="2"/>
    <s v="AutoPost 1477"/>
    <s v="USD"/>
    <x v="3"/>
    <x v="1474"/>
  </r>
  <r>
    <x v="1478"/>
    <x v="510"/>
    <x v="3"/>
    <x v="3"/>
    <n v="658.13"/>
    <n v="0"/>
    <x v="2"/>
    <x v="0"/>
    <s v="AutoPost 1478"/>
    <s v="GBP"/>
    <x v="26"/>
    <x v="1475"/>
  </r>
  <r>
    <x v="1479"/>
    <x v="504"/>
    <x v="2"/>
    <x v="2"/>
    <n v="1615.35"/>
    <n v="0"/>
    <x v="2"/>
    <x v="0"/>
    <s v="AutoPost 1479"/>
    <s v="CAD"/>
    <x v="5"/>
    <x v="1476"/>
  </r>
  <r>
    <x v="1480"/>
    <x v="583"/>
    <x v="4"/>
    <x v="4"/>
    <n v="0"/>
    <n v="4040.21"/>
    <x v="3"/>
    <x v="3"/>
    <s v="AutoPost 1480"/>
    <s v="CAD"/>
    <x v="3"/>
    <x v="1477"/>
  </r>
  <r>
    <x v="1481"/>
    <x v="238"/>
    <x v="0"/>
    <x v="0"/>
    <n v="0"/>
    <n v="1080.5"/>
    <x v="0"/>
    <x v="4"/>
    <s v="AutoPost 1481"/>
    <s v="EUR"/>
    <x v="5"/>
    <x v="1478"/>
  </r>
  <r>
    <x v="1482"/>
    <x v="509"/>
    <x v="2"/>
    <x v="2"/>
    <n v="1674.78"/>
    <n v="0"/>
    <x v="4"/>
    <x v="2"/>
    <s v="AutoPost 1482"/>
    <s v="EUR"/>
    <x v="12"/>
    <x v="1479"/>
  </r>
  <r>
    <x v="1483"/>
    <x v="349"/>
    <x v="3"/>
    <x v="3"/>
    <n v="959.69"/>
    <n v="0"/>
    <x v="5"/>
    <x v="1"/>
    <s v="AutoPost 1483"/>
    <s v="USD"/>
    <x v="10"/>
    <x v="1480"/>
  </r>
  <r>
    <x v="1484"/>
    <x v="129"/>
    <x v="1"/>
    <x v="1"/>
    <n v="1883.44"/>
    <n v="0"/>
    <x v="4"/>
    <x v="4"/>
    <s v="AutoPost 1484"/>
    <s v="AUD"/>
    <x v="1"/>
    <x v="1481"/>
  </r>
  <r>
    <x v="1485"/>
    <x v="127"/>
    <x v="0"/>
    <x v="0"/>
    <n v="0"/>
    <n v="1071.33"/>
    <x v="4"/>
    <x v="4"/>
    <s v="AutoPost 1485"/>
    <s v="USD"/>
    <x v="6"/>
    <x v="1482"/>
  </r>
  <r>
    <x v="1486"/>
    <x v="8"/>
    <x v="4"/>
    <x v="4"/>
    <n v="0"/>
    <n v="3543.57"/>
    <x v="5"/>
    <x v="4"/>
    <s v="AutoPost 1486"/>
    <s v="USD"/>
    <x v="7"/>
    <x v="1483"/>
  </r>
  <r>
    <x v="1487"/>
    <x v="20"/>
    <x v="1"/>
    <x v="1"/>
    <n v="489.81"/>
    <n v="0"/>
    <x v="1"/>
    <x v="4"/>
    <s v="AutoPost 1487"/>
    <s v="AUD"/>
    <x v="16"/>
    <x v="1484"/>
  </r>
  <r>
    <x v="1488"/>
    <x v="518"/>
    <x v="3"/>
    <x v="3"/>
    <n v="505.72"/>
    <n v="0"/>
    <x v="4"/>
    <x v="3"/>
    <s v="AutoPost 1488"/>
    <s v="CAD"/>
    <x v="10"/>
    <x v="1485"/>
  </r>
  <r>
    <x v="1489"/>
    <x v="275"/>
    <x v="3"/>
    <x v="3"/>
    <n v="178.76"/>
    <n v="0"/>
    <x v="5"/>
    <x v="4"/>
    <s v="AutoPost 1489"/>
    <s v="EUR"/>
    <x v="6"/>
    <x v="1486"/>
  </r>
  <r>
    <x v="1490"/>
    <x v="111"/>
    <x v="2"/>
    <x v="2"/>
    <n v="495.06"/>
    <n v="0"/>
    <x v="4"/>
    <x v="0"/>
    <s v="AutoPost 1490"/>
    <s v="GBP"/>
    <x v="2"/>
    <x v="1487"/>
  </r>
  <r>
    <x v="1491"/>
    <x v="739"/>
    <x v="4"/>
    <x v="4"/>
    <n v="0"/>
    <n v="309.72000000000003"/>
    <x v="0"/>
    <x v="4"/>
    <s v="AutoPost 1491"/>
    <s v="GBP"/>
    <x v="13"/>
    <x v="1488"/>
  </r>
  <r>
    <x v="1492"/>
    <x v="32"/>
    <x v="3"/>
    <x v="3"/>
    <n v="1106.6600000000001"/>
    <n v="0"/>
    <x v="2"/>
    <x v="0"/>
    <s v="AutoPost 1492"/>
    <s v="AUD"/>
    <x v="14"/>
    <x v="1489"/>
  </r>
  <r>
    <x v="1493"/>
    <x v="561"/>
    <x v="4"/>
    <x v="4"/>
    <n v="0"/>
    <n v="4204.9399999999996"/>
    <x v="5"/>
    <x v="2"/>
    <s v="AutoPost 1493"/>
    <s v="CAD"/>
    <x v="12"/>
    <x v="1490"/>
  </r>
  <r>
    <x v="1494"/>
    <x v="648"/>
    <x v="2"/>
    <x v="2"/>
    <n v="850.43"/>
    <n v="0"/>
    <x v="0"/>
    <x v="2"/>
    <s v="AutoPost 1494"/>
    <s v="CAD"/>
    <x v="8"/>
    <x v="1491"/>
  </r>
  <r>
    <x v="1495"/>
    <x v="567"/>
    <x v="0"/>
    <x v="0"/>
    <n v="0"/>
    <n v="4145.32"/>
    <x v="5"/>
    <x v="4"/>
    <s v="AutoPost 1495"/>
    <s v="GBP"/>
    <x v="6"/>
    <x v="1492"/>
  </r>
  <r>
    <x v="1496"/>
    <x v="282"/>
    <x v="3"/>
    <x v="3"/>
    <n v="1312.14"/>
    <n v="0"/>
    <x v="3"/>
    <x v="2"/>
    <s v="AutoPost 1496"/>
    <s v="CAD"/>
    <x v="11"/>
    <x v="1493"/>
  </r>
  <r>
    <x v="1497"/>
    <x v="189"/>
    <x v="3"/>
    <x v="3"/>
    <n v="1270.1400000000001"/>
    <n v="0"/>
    <x v="1"/>
    <x v="3"/>
    <s v="AutoPost 1497"/>
    <s v="GBP"/>
    <x v="4"/>
    <x v="1494"/>
  </r>
  <r>
    <x v="1498"/>
    <x v="226"/>
    <x v="1"/>
    <x v="1"/>
    <n v="1891.12"/>
    <n v="0"/>
    <x v="1"/>
    <x v="3"/>
    <s v="AutoPost 1498"/>
    <s v="GBP"/>
    <x v="14"/>
    <x v="1495"/>
  </r>
  <r>
    <x v="1499"/>
    <x v="170"/>
    <x v="0"/>
    <x v="0"/>
    <n v="0"/>
    <n v="4859.24"/>
    <x v="4"/>
    <x v="2"/>
    <s v="AutoPost 1499"/>
    <s v="GBP"/>
    <x v="18"/>
    <x v="1496"/>
  </r>
  <r>
    <x v="1500"/>
    <x v="81"/>
    <x v="0"/>
    <x v="0"/>
    <n v="0"/>
    <n v="2711.83"/>
    <x v="4"/>
    <x v="3"/>
    <s v="AutoPost 1500"/>
    <s v="GBP"/>
    <x v="27"/>
    <x v="1497"/>
  </r>
  <r>
    <x v="1501"/>
    <x v="73"/>
    <x v="2"/>
    <x v="2"/>
    <n v="648.23"/>
    <n v="0"/>
    <x v="1"/>
    <x v="1"/>
    <s v="AutoPost 1501"/>
    <s v="CAD"/>
    <x v="12"/>
    <x v="1498"/>
  </r>
  <r>
    <x v="1502"/>
    <x v="285"/>
    <x v="4"/>
    <x v="4"/>
    <n v="0"/>
    <n v="3468.1"/>
    <x v="3"/>
    <x v="1"/>
    <s v="AutoPost 1502"/>
    <s v="EUR"/>
    <x v="9"/>
    <x v="1499"/>
  </r>
  <r>
    <x v="1503"/>
    <x v="160"/>
    <x v="4"/>
    <x v="4"/>
    <n v="0"/>
    <n v="252.83"/>
    <x v="3"/>
    <x v="2"/>
    <s v="AutoPost 1503"/>
    <s v="CAD"/>
    <x v="25"/>
    <x v="1500"/>
  </r>
  <r>
    <x v="1504"/>
    <x v="12"/>
    <x v="3"/>
    <x v="3"/>
    <n v="1268.1099999999999"/>
    <n v="0"/>
    <x v="1"/>
    <x v="4"/>
    <s v="AutoPost 1504"/>
    <s v="CAD"/>
    <x v="0"/>
    <x v="1501"/>
  </r>
  <r>
    <x v="1505"/>
    <x v="316"/>
    <x v="1"/>
    <x v="1"/>
    <n v="574.22"/>
    <n v="0"/>
    <x v="3"/>
    <x v="1"/>
    <s v="AutoPost 1505"/>
    <s v="AUD"/>
    <x v="26"/>
    <x v="1502"/>
  </r>
  <r>
    <x v="1506"/>
    <x v="197"/>
    <x v="3"/>
    <x v="3"/>
    <n v="406.62"/>
    <n v="0"/>
    <x v="1"/>
    <x v="4"/>
    <s v="AutoPost 1506"/>
    <s v="EUR"/>
    <x v="16"/>
    <x v="1503"/>
  </r>
  <r>
    <x v="1507"/>
    <x v="397"/>
    <x v="4"/>
    <x v="4"/>
    <n v="0"/>
    <n v="4055.84"/>
    <x v="5"/>
    <x v="4"/>
    <s v="AutoPost 1507"/>
    <s v="GBP"/>
    <x v="16"/>
    <x v="1504"/>
  </r>
  <r>
    <x v="1508"/>
    <x v="675"/>
    <x v="0"/>
    <x v="0"/>
    <n v="0"/>
    <n v="3804.94"/>
    <x v="0"/>
    <x v="4"/>
    <s v="AutoPost 1508"/>
    <s v="GBP"/>
    <x v="7"/>
    <x v="1505"/>
  </r>
  <r>
    <x v="1509"/>
    <x v="740"/>
    <x v="0"/>
    <x v="0"/>
    <n v="0"/>
    <n v="2037.61"/>
    <x v="5"/>
    <x v="2"/>
    <s v="AutoPost 1509"/>
    <s v="AUD"/>
    <x v="6"/>
    <x v="1506"/>
  </r>
  <r>
    <x v="1510"/>
    <x v="19"/>
    <x v="1"/>
    <x v="1"/>
    <n v="1702.53"/>
    <n v="0"/>
    <x v="2"/>
    <x v="4"/>
    <s v="AutoPost 1510"/>
    <s v="GBP"/>
    <x v="15"/>
    <x v="1507"/>
  </r>
  <r>
    <x v="1511"/>
    <x v="721"/>
    <x v="0"/>
    <x v="0"/>
    <n v="0"/>
    <n v="829.97"/>
    <x v="4"/>
    <x v="1"/>
    <s v="AutoPost 1511"/>
    <s v="USD"/>
    <x v="27"/>
    <x v="1508"/>
  </r>
  <r>
    <x v="1512"/>
    <x v="302"/>
    <x v="0"/>
    <x v="0"/>
    <n v="0"/>
    <n v="4946.1000000000004"/>
    <x v="1"/>
    <x v="0"/>
    <s v="AutoPost 1512"/>
    <s v="AUD"/>
    <x v="28"/>
    <x v="1509"/>
  </r>
  <r>
    <x v="1513"/>
    <x v="741"/>
    <x v="0"/>
    <x v="0"/>
    <n v="0"/>
    <n v="2736.74"/>
    <x v="1"/>
    <x v="2"/>
    <s v="AutoPost 1513"/>
    <s v="AUD"/>
    <x v="24"/>
    <x v="1510"/>
  </r>
  <r>
    <x v="1514"/>
    <x v="343"/>
    <x v="2"/>
    <x v="2"/>
    <n v="1372.85"/>
    <n v="0"/>
    <x v="2"/>
    <x v="0"/>
    <s v="AutoPost 1514"/>
    <s v="GBP"/>
    <x v="25"/>
    <x v="1511"/>
  </r>
  <r>
    <x v="1515"/>
    <x v="353"/>
    <x v="3"/>
    <x v="3"/>
    <n v="1842.13"/>
    <n v="0"/>
    <x v="2"/>
    <x v="3"/>
    <s v="AutoPost 1515"/>
    <s v="AUD"/>
    <x v="21"/>
    <x v="1512"/>
  </r>
  <r>
    <x v="1516"/>
    <x v="742"/>
    <x v="0"/>
    <x v="0"/>
    <n v="0"/>
    <n v="4447.99"/>
    <x v="0"/>
    <x v="1"/>
    <s v="AutoPost 1516"/>
    <s v="AUD"/>
    <x v="2"/>
    <x v="1513"/>
  </r>
  <r>
    <x v="1517"/>
    <x v="638"/>
    <x v="4"/>
    <x v="4"/>
    <n v="0"/>
    <n v="758.28"/>
    <x v="5"/>
    <x v="1"/>
    <s v="AutoPost 1517"/>
    <s v="GBP"/>
    <x v="7"/>
    <x v="1514"/>
  </r>
  <r>
    <x v="1518"/>
    <x v="70"/>
    <x v="0"/>
    <x v="0"/>
    <n v="0"/>
    <n v="934.01"/>
    <x v="1"/>
    <x v="0"/>
    <s v="AutoPost 1518"/>
    <s v="EUR"/>
    <x v="11"/>
    <x v="1515"/>
  </r>
  <r>
    <x v="1519"/>
    <x v="569"/>
    <x v="3"/>
    <x v="3"/>
    <n v="1161.7"/>
    <n v="0"/>
    <x v="2"/>
    <x v="4"/>
    <s v="AutoPost 1519"/>
    <s v="CAD"/>
    <x v="10"/>
    <x v="1516"/>
  </r>
  <r>
    <x v="1520"/>
    <x v="737"/>
    <x v="3"/>
    <x v="3"/>
    <n v="1276.22"/>
    <n v="0"/>
    <x v="0"/>
    <x v="0"/>
    <s v="AutoPost 1520"/>
    <s v="USD"/>
    <x v="29"/>
    <x v="1517"/>
  </r>
  <r>
    <x v="1521"/>
    <x v="743"/>
    <x v="1"/>
    <x v="1"/>
    <n v="383.71"/>
    <n v="0"/>
    <x v="3"/>
    <x v="4"/>
    <s v="AutoPost 1521"/>
    <s v="USD"/>
    <x v="20"/>
    <x v="1518"/>
  </r>
  <r>
    <x v="1522"/>
    <x v="744"/>
    <x v="0"/>
    <x v="0"/>
    <n v="0"/>
    <n v="3468.9"/>
    <x v="1"/>
    <x v="0"/>
    <s v="AutoPost 1522"/>
    <s v="EUR"/>
    <x v="13"/>
    <x v="1519"/>
  </r>
  <r>
    <x v="1523"/>
    <x v="122"/>
    <x v="1"/>
    <x v="1"/>
    <n v="1158.8"/>
    <n v="0"/>
    <x v="5"/>
    <x v="1"/>
    <s v="AutoPost 1523"/>
    <s v="USD"/>
    <x v="3"/>
    <x v="1520"/>
  </r>
  <r>
    <x v="1524"/>
    <x v="93"/>
    <x v="0"/>
    <x v="0"/>
    <n v="0"/>
    <n v="2396.8000000000002"/>
    <x v="2"/>
    <x v="3"/>
    <s v="AutoPost 1524"/>
    <s v="CAD"/>
    <x v="14"/>
    <x v="1521"/>
  </r>
  <r>
    <x v="1525"/>
    <x v="182"/>
    <x v="4"/>
    <x v="4"/>
    <n v="0"/>
    <n v="2827.95"/>
    <x v="4"/>
    <x v="3"/>
    <s v="AutoPost 1525"/>
    <s v="USD"/>
    <x v="15"/>
    <x v="1522"/>
  </r>
  <r>
    <x v="1526"/>
    <x v="153"/>
    <x v="2"/>
    <x v="2"/>
    <n v="1359.89"/>
    <n v="0"/>
    <x v="0"/>
    <x v="4"/>
    <s v="AutoPost 1526"/>
    <s v="GBP"/>
    <x v="0"/>
    <x v="1523"/>
  </r>
  <r>
    <x v="1527"/>
    <x v="530"/>
    <x v="0"/>
    <x v="0"/>
    <n v="0"/>
    <n v="663.19"/>
    <x v="5"/>
    <x v="4"/>
    <s v="AutoPost 1527"/>
    <s v="USD"/>
    <x v="13"/>
    <x v="1524"/>
  </r>
  <r>
    <x v="1528"/>
    <x v="49"/>
    <x v="3"/>
    <x v="3"/>
    <n v="1878.74"/>
    <n v="0"/>
    <x v="1"/>
    <x v="1"/>
    <s v="AutoPost 1528"/>
    <s v="GBP"/>
    <x v="15"/>
    <x v="1525"/>
  </r>
  <r>
    <x v="1529"/>
    <x v="210"/>
    <x v="1"/>
    <x v="1"/>
    <n v="741.28"/>
    <n v="0"/>
    <x v="1"/>
    <x v="3"/>
    <s v="AutoPost 1529"/>
    <s v="GBP"/>
    <x v="25"/>
    <x v="1526"/>
  </r>
  <r>
    <x v="1530"/>
    <x v="368"/>
    <x v="0"/>
    <x v="0"/>
    <n v="0"/>
    <n v="1824.31"/>
    <x v="1"/>
    <x v="3"/>
    <s v="AutoPost 1530"/>
    <s v="EUR"/>
    <x v="5"/>
    <x v="1527"/>
  </r>
  <r>
    <x v="1531"/>
    <x v="723"/>
    <x v="4"/>
    <x v="4"/>
    <n v="0"/>
    <n v="4296.04"/>
    <x v="1"/>
    <x v="1"/>
    <s v="AutoPost 1531"/>
    <s v="AUD"/>
    <x v="9"/>
    <x v="1528"/>
  </r>
  <r>
    <x v="1532"/>
    <x v="463"/>
    <x v="3"/>
    <x v="3"/>
    <n v="1969.36"/>
    <n v="0"/>
    <x v="2"/>
    <x v="0"/>
    <s v="AutoPost 1532"/>
    <s v="CAD"/>
    <x v="7"/>
    <x v="1529"/>
  </r>
  <r>
    <x v="1533"/>
    <x v="710"/>
    <x v="3"/>
    <x v="3"/>
    <n v="980.89"/>
    <n v="0"/>
    <x v="5"/>
    <x v="0"/>
    <s v="AutoPost 1533"/>
    <s v="EUR"/>
    <x v="12"/>
    <x v="1530"/>
  </r>
  <r>
    <x v="1534"/>
    <x v="184"/>
    <x v="2"/>
    <x v="2"/>
    <n v="618.26"/>
    <n v="0"/>
    <x v="2"/>
    <x v="4"/>
    <s v="AutoPost 1534"/>
    <s v="USD"/>
    <x v="15"/>
    <x v="1531"/>
  </r>
  <r>
    <x v="1535"/>
    <x v="622"/>
    <x v="3"/>
    <x v="3"/>
    <n v="665.47"/>
    <n v="0"/>
    <x v="2"/>
    <x v="0"/>
    <s v="AutoPost 1535"/>
    <s v="EUR"/>
    <x v="1"/>
    <x v="1532"/>
  </r>
  <r>
    <x v="1536"/>
    <x v="59"/>
    <x v="1"/>
    <x v="1"/>
    <n v="982.03"/>
    <n v="0"/>
    <x v="4"/>
    <x v="4"/>
    <s v="AutoPost 1536"/>
    <s v="GBP"/>
    <x v="1"/>
    <x v="1533"/>
  </r>
  <r>
    <x v="1537"/>
    <x v="745"/>
    <x v="1"/>
    <x v="1"/>
    <n v="339.89"/>
    <n v="0"/>
    <x v="4"/>
    <x v="4"/>
    <s v="AutoPost 1537"/>
    <s v="AUD"/>
    <x v="16"/>
    <x v="1534"/>
  </r>
  <r>
    <x v="1538"/>
    <x v="19"/>
    <x v="3"/>
    <x v="3"/>
    <n v="535.34"/>
    <n v="0"/>
    <x v="1"/>
    <x v="3"/>
    <s v="AutoPost 1538"/>
    <s v="AUD"/>
    <x v="15"/>
    <x v="1535"/>
  </r>
  <r>
    <x v="1539"/>
    <x v="318"/>
    <x v="3"/>
    <x v="3"/>
    <n v="1582.13"/>
    <n v="0"/>
    <x v="2"/>
    <x v="3"/>
    <s v="AutoPost 1539"/>
    <s v="CAD"/>
    <x v="5"/>
    <x v="1536"/>
  </r>
  <r>
    <x v="1540"/>
    <x v="110"/>
    <x v="1"/>
    <x v="1"/>
    <n v="350.21"/>
    <n v="0"/>
    <x v="4"/>
    <x v="2"/>
    <s v="AutoPost 1540"/>
    <s v="GBP"/>
    <x v="10"/>
    <x v="1537"/>
  </r>
  <r>
    <x v="1541"/>
    <x v="195"/>
    <x v="1"/>
    <x v="1"/>
    <n v="889.68"/>
    <n v="0"/>
    <x v="3"/>
    <x v="1"/>
    <s v="AutoPost 1541"/>
    <s v="AUD"/>
    <x v="0"/>
    <x v="1538"/>
  </r>
  <r>
    <x v="1542"/>
    <x v="348"/>
    <x v="1"/>
    <x v="1"/>
    <n v="1155.53"/>
    <n v="0"/>
    <x v="1"/>
    <x v="2"/>
    <s v="AutoPost 1542"/>
    <s v="AUD"/>
    <x v="11"/>
    <x v="1539"/>
  </r>
  <r>
    <x v="1543"/>
    <x v="305"/>
    <x v="4"/>
    <x v="4"/>
    <n v="0"/>
    <n v="827.97"/>
    <x v="0"/>
    <x v="3"/>
    <s v="AutoPost 1543"/>
    <s v="USD"/>
    <x v="25"/>
    <x v="1540"/>
  </r>
  <r>
    <x v="1544"/>
    <x v="746"/>
    <x v="4"/>
    <x v="4"/>
    <n v="0"/>
    <n v="2525.69"/>
    <x v="3"/>
    <x v="4"/>
    <s v="AutoPost 1544"/>
    <s v="EUR"/>
    <x v="9"/>
    <x v="1541"/>
  </r>
  <r>
    <x v="1545"/>
    <x v="217"/>
    <x v="1"/>
    <x v="1"/>
    <n v="1395.73"/>
    <n v="0"/>
    <x v="4"/>
    <x v="0"/>
    <s v="AutoPost 1545"/>
    <s v="GBP"/>
    <x v="21"/>
    <x v="1542"/>
  </r>
  <r>
    <x v="1546"/>
    <x v="14"/>
    <x v="4"/>
    <x v="4"/>
    <n v="0"/>
    <n v="1888.44"/>
    <x v="4"/>
    <x v="0"/>
    <s v="AutoPost 1546"/>
    <s v="GBP"/>
    <x v="12"/>
    <x v="1543"/>
  </r>
  <r>
    <x v="1547"/>
    <x v="515"/>
    <x v="4"/>
    <x v="4"/>
    <n v="0"/>
    <n v="718.52"/>
    <x v="2"/>
    <x v="2"/>
    <s v="AutoPost 1547"/>
    <s v="CAD"/>
    <x v="10"/>
    <x v="1544"/>
  </r>
  <r>
    <x v="1548"/>
    <x v="270"/>
    <x v="2"/>
    <x v="2"/>
    <n v="378.77"/>
    <n v="0"/>
    <x v="4"/>
    <x v="0"/>
    <s v="AutoPost 1548"/>
    <s v="GBP"/>
    <x v="26"/>
    <x v="1545"/>
  </r>
  <r>
    <x v="1549"/>
    <x v="455"/>
    <x v="2"/>
    <x v="2"/>
    <n v="1317.88"/>
    <n v="0"/>
    <x v="5"/>
    <x v="1"/>
    <s v="AutoPost 1549"/>
    <s v="CAD"/>
    <x v="22"/>
    <x v="1546"/>
  </r>
  <r>
    <x v="1550"/>
    <x v="209"/>
    <x v="1"/>
    <x v="1"/>
    <n v="636.6"/>
    <n v="0"/>
    <x v="4"/>
    <x v="2"/>
    <s v="AutoPost 1550"/>
    <s v="EUR"/>
    <x v="14"/>
    <x v="1547"/>
  </r>
  <r>
    <x v="1551"/>
    <x v="747"/>
    <x v="0"/>
    <x v="0"/>
    <n v="0"/>
    <n v="4170.5"/>
    <x v="2"/>
    <x v="4"/>
    <s v="AutoPost 1551"/>
    <s v="EUR"/>
    <x v="1"/>
    <x v="1548"/>
  </r>
  <r>
    <x v="1552"/>
    <x v="196"/>
    <x v="0"/>
    <x v="0"/>
    <n v="0"/>
    <n v="1923.84"/>
    <x v="5"/>
    <x v="4"/>
    <s v="AutoPost 1552"/>
    <s v="CAD"/>
    <x v="9"/>
    <x v="1549"/>
  </r>
  <r>
    <x v="1553"/>
    <x v="160"/>
    <x v="2"/>
    <x v="2"/>
    <n v="736.29"/>
    <n v="0"/>
    <x v="0"/>
    <x v="2"/>
    <s v="AutoPost 1553"/>
    <s v="CAD"/>
    <x v="25"/>
    <x v="1550"/>
  </r>
  <r>
    <x v="1554"/>
    <x v="748"/>
    <x v="4"/>
    <x v="4"/>
    <n v="0"/>
    <n v="4712.88"/>
    <x v="5"/>
    <x v="3"/>
    <s v="AutoPost 1554"/>
    <s v="AUD"/>
    <x v="2"/>
    <x v="1551"/>
  </r>
  <r>
    <x v="1555"/>
    <x v="465"/>
    <x v="4"/>
    <x v="4"/>
    <n v="0"/>
    <n v="2946.82"/>
    <x v="4"/>
    <x v="2"/>
    <s v="AutoPost 1555"/>
    <s v="AUD"/>
    <x v="0"/>
    <x v="1552"/>
  </r>
  <r>
    <x v="1556"/>
    <x v="228"/>
    <x v="2"/>
    <x v="2"/>
    <n v="1985.74"/>
    <n v="0"/>
    <x v="0"/>
    <x v="1"/>
    <s v="AutoPost 1556"/>
    <s v="AUD"/>
    <x v="12"/>
    <x v="1553"/>
  </r>
  <r>
    <x v="1557"/>
    <x v="350"/>
    <x v="1"/>
    <x v="1"/>
    <n v="1835.61"/>
    <n v="0"/>
    <x v="0"/>
    <x v="3"/>
    <s v="AutoPost 1557"/>
    <s v="USD"/>
    <x v="11"/>
    <x v="1554"/>
  </r>
  <r>
    <x v="1558"/>
    <x v="376"/>
    <x v="1"/>
    <x v="1"/>
    <n v="509.51"/>
    <n v="0"/>
    <x v="4"/>
    <x v="4"/>
    <s v="AutoPost 1558"/>
    <s v="CAD"/>
    <x v="22"/>
    <x v="1555"/>
  </r>
  <r>
    <x v="1559"/>
    <x v="78"/>
    <x v="4"/>
    <x v="4"/>
    <n v="0"/>
    <n v="573.51"/>
    <x v="4"/>
    <x v="0"/>
    <s v="AutoPost 1559"/>
    <s v="USD"/>
    <x v="6"/>
    <x v="1556"/>
  </r>
  <r>
    <x v="1560"/>
    <x v="627"/>
    <x v="0"/>
    <x v="0"/>
    <n v="0"/>
    <n v="3740.72"/>
    <x v="3"/>
    <x v="1"/>
    <s v="AutoPost 1560"/>
    <s v="USD"/>
    <x v="1"/>
    <x v="1557"/>
  </r>
  <r>
    <x v="1561"/>
    <x v="592"/>
    <x v="1"/>
    <x v="1"/>
    <n v="1930.33"/>
    <n v="0"/>
    <x v="2"/>
    <x v="4"/>
    <s v="AutoPost 1561"/>
    <s v="CAD"/>
    <x v="29"/>
    <x v="1558"/>
  </r>
  <r>
    <x v="1562"/>
    <x v="116"/>
    <x v="3"/>
    <x v="3"/>
    <n v="1936.61"/>
    <n v="0"/>
    <x v="4"/>
    <x v="1"/>
    <s v="AutoPost 1562"/>
    <s v="EUR"/>
    <x v="6"/>
    <x v="1559"/>
  </r>
  <r>
    <x v="1563"/>
    <x v="749"/>
    <x v="0"/>
    <x v="0"/>
    <n v="0"/>
    <n v="3625.02"/>
    <x v="4"/>
    <x v="4"/>
    <s v="AutoPost 1563"/>
    <s v="CAD"/>
    <x v="26"/>
    <x v="1560"/>
  </r>
  <r>
    <x v="1564"/>
    <x v="241"/>
    <x v="0"/>
    <x v="0"/>
    <n v="0"/>
    <n v="3348.1"/>
    <x v="3"/>
    <x v="0"/>
    <s v="AutoPost 1564"/>
    <s v="EUR"/>
    <x v="11"/>
    <x v="1561"/>
  </r>
  <r>
    <x v="1565"/>
    <x v="750"/>
    <x v="3"/>
    <x v="3"/>
    <n v="760.59"/>
    <n v="0"/>
    <x v="1"/>
    <x v="2"/>
    <s v="AutoPost 1565"/>
    <s v="CAD"/>
    <x v="14"/>
    <x v="1562"/>
  </r>
  <r>
    <x v="1566"/>
    <x v="29"/>
    <x v="4"/>
    <x v="4"/>
    <n v="0"/>
    <n v="3208.4"/>
    <x v="3"/>
    <x v="0"/>
    <s v="AutoPost 1566"/>
    <s v="EUR"/>
    <x v="16"/>
    <x v="1563"/>
  </r>
  <r>
    <x v="1567"/>
    <x v="751"/>
    <x v="2"/>
    <x v="2"/>
    <n v="420.76"/>
    <n v="0"/>
    <x v="3"/>
    <x v="1"/>
    <s v="AutoPost 1567"/>
    <s v="GBP"/>
    <x v="23"/>
    <x v="1564"/>
  </r>
  <r>
    <x v="1568"/>
    <x v="658"/>
    <x v="3"/>
    <x v="3"/>
    <n v="1497.64"/>
    <n v="0"/>
    <x v="1"/>
    <x v="2"/>
    <s v="AutoPost 1568"/>
    <s v="USD"/>
    <x v="8"/>
    <x v="1565"/>
  </r>
  <r>
    <x v="1569"/>
    <x v="705"/>
    <x v="4"/>
    <x v="4"/>
    <n v="0"/>
    <n v="3033.61"/>
    <x v="1"/>
    <x v="4"/>
    <s v="AutoPost 1569"/>
    <s v="GBP"/>
    <x v="10"/>
    <x v="1566"/>
  </r>
  <r>
    <x v="1570"/>
    <x v="657"/>
    <x v="0"/>
    <x v="0"/>
    <n v="0"/>
    <n v="1502.06"/>
    <x v="2"/>
    <x v="1"/>
    <s v="AutoPost 1570"/>
    <s v="AUD"/>
    <x v="29"/>
    <x v="1567"/>
  </r>
  <r>
    <x v="1571"/>
    <x v="589"/>
    <x v="1"/>
    <x v="1"/>
    <n v="532.65"/>
    <n v="0"/>
    <x v="2"/>
    <x v="2"/>
    <s v="AutoPost 1571"/>
    <s v="GBP"/>
    <x v="21"/>
    <x v="1568"/>
  </r>
  <r>
    <x v="1572"/>
    <x v="147"/>
    <x v="4"/>
    <x v="4"/>
    <n v="0"/>
    <n v="4109.07"/>
    <x v="0"/>
    <x v="4"/>
    <s v="AutoPost 1572"/>
    <s v="AUD"/>
    <x v="28"/>
    <x v="1569"/>
  </r>
  <r>
    <x v="1573"/>
    <x v="15"/>
    <x v="0"/>
    <x v="0"/>
    <n v="0"/>
    <n v="3235.61"/>
    <x v="2"/>
    <x v="0"/>
    <s v="AutoPost 1573"/>
    <s v="AUD"/>
    <x v="8"/>
    <x v="1570"/>
  </r>
  <r>
    <x v="1574"/>
    <x v="165"/>
    <x v="1"/>
    <x v="1"/>
    <n v="1836.46"/>
    <n v="0"/>
    <x v="3"/>
    <x v="0"/>
    <s v="AutoPost 1574"/>
    <s v="USD"/>
    <x v="12"/>
    <x v="1571"/>
  </r>
  <r>
    <x v="1575"/>
    <x v="551"/>
    <x v="2"/>
    <x v="2"/>
    <n v="1120.92"/>
    <n v="0"/>
    <x v="4"/>
    <x v="1"/>
    <s v="AutoPost 1575"/>
    <s v="CAD"/>
    <x v="8"/>
    <x v="1572"/>
  </r>
  <r>
    <x v="1576"/>
    <x v="744"/>
    <x v="4"/>
    <x v="4"/>
    <n v="0"/>
    <n v="4622.21"/>
    <x v="2"/>
    <x v="2"/>
    <s v="AutoPost 1576"/>
    <s v="USD"/>
    <x v="13"/>
    <x v="1573"/>
  </r>
  <r>
    <x v="1577"/>
    <x v="351"/>
    <x v="3"/>
    <x v="3"/>
    <n v="1067.19"/>
    <n v="0"/>
    <x v="1"/>
    <x v="2"/>
    <s v="AutoPost 1577"/>
    <s v="USD"/>
    <x v="6"/>
    <x v="1574"/>
  </r>
  <r>
    <x v="1578"/>
    <x v="137"/>
    <x v="3"/>
    <x v="3"/>
    <n v="1712.89"/>
    <n v="0"/>
    <x v="5"/>
    <x v="4"/>
    <s v="AutoPost 1578"/>
    <s v="CAD"/>
    <x v="16"/>
    <x v="1575"/>
  </r>
  <r>
    <x v="1579"/>
    <x v="230"/>
    <x v="3"/>
    <x v="3"/>
    <n v="857.16"/>
    <n v="0"/>
    <x v="1"/>
    <x v="4"/>
    <s v="AutoPost 1579"/>
    <s v="AUD"/>
    <x v="16"/>
    <x v="1576"/>
  </r>
  <r>
    <x v="1580"/>
    <x v="51"/>
    <x v="4"/>
    <x v="4"/>
    <n v="0"/>
    <n v="1913.45"/>
    <x v="5"/>
    <x v="1"/>
    <s v="AutoPost 1580"/>
    <s v="GBP"/>
    <x v="19"/>
    <x v="1577"/>
  </r>
  <r>
    <x v="1581"/>
    <x v="183"/>
    <x v="1"/>
    <x v="1"/>
    <n v="1307.6099999999999"/>
    <n v="0"/>
    <x v="1"/>
    <x v="3"/>
    <s v="AutoPost 1581"/>
    <s v="GBP"/>
    <x v="4"/>
    <x v="1578"/>
  </r>
  <r>
    <x v="1582"/>
    <x v="465"/>
    <x v="0"/>
    <x v="0"/>
    <n v="0"/>
    <n v="1128.51"/>
    <x v="5"/>
    <x v="4"/>
    <s v="AutoPost 1582"/>
    <s v="AUD"/>
    <x v="0"/>
    <x v="1579"/>
  </r>
  <r>
    <x v="1583"/>
    <x v="152"/>
    <x v="0"/>
    <x v="0"/>
    <n v="0"/>
    <n v="1933.41"/>
    <x v="5"/>
    <x v="1"/>
    <s v="AutoPost 1583"/>
    <s v="CAD"/>
    <x v="9"/>
    <x v="1580"/>
  </r>
  <r>
    <x v="1584"/>
    <x v="752"/>
    <x v="3"/>
    <x v="3"/>
    <n v="203.77"/>
    <n v="0"/>
    <x v="5"/>
    <x v="2"/>
    <s v="AutoPost 1584"/>
    <s v="CAD"/>
    <x v="12"/>
    <x v="1581"/>
  </r>
  <r>
    <x v="1585"/>
    <x v="59"/>
    <x v="4"/>
    <x v="4"/>
    <n v="0"/>
    <n v="3874.96"/>
    <x v="4"/>
    <x v="1"/>
    <s v="AutoPost 1585"/>
    <s v="USD"/>
    <x v="1"/>
    <x v="1582"/>
  </r>
  <r>
    <x v="1586"/>
    <x v="753"/>
    <x v="3"/>
    <x v="3"/>
    <n v="369.39"/>
    <n v="0"/>
    <x v="2"/>
    <x v="4"/>
    <s v="AutoPost 1586"/>
    <s v="USD"/>
    <x v="29"/>
    <x v="1583"/>
  </r>
  <r>
    <x v="1587"/>
    <x v="385"/>
    <x v="0"/>
    <x v="0"/>
    <n v="0"/>
    <n v="4685.3599999999997"/>
    <x v="5"/>
    <x v="3"/>
    <s v="AutoPost 1587"/>
    <s v="CAD"/>
    <x v="10"/>
    <x v="1584"/>
  </r>
  <r>
    <x v="1588"/>
    <x v="631"/>
    <x v="2"/>
    <x v="2"/>
    <n v="1614.34"/>
    <n v="0"/>
    <x v="0"/>
    <x v="2"/>
    <s v="AutoPost 1588"/>
    <s v="USD"/>
    <x v="16"/>
    <x v="1585"/>
  </r>
  <r>
    <x v="1589"/>
    <x v="221"/>
    <x v="2"/>
    <x v="2"/>
    <n v="1072.1199999999999"/>
    <n v="0"/>
    <x v="3"/>
    <x v="4"/>
    <s v="AutoPost 1589"/>
    <s v="USD"/>
    <x v="13"/>
    <x v="1586"/>
  </r>
  <r>
    <x v="1590"/>
    <x v="592"/>
    <x v="1"/>
    <x v="1"/>
    <n v="889.83"/>
    <n v="0"/>
    <x v="1"/>
    <x v="1"/>
    <s v="AutoPost 1590"/>
    <s v="EUR"/>
    <x v="29"/>
    <x v="1587"/>
  </r>
  <r>
    <x v="1591"/>
    <x v="754"/>
    <x v="0"/>
    <x v="0"/>
    <n v="0"/>
    <n v="174.81"/>
    <x v="0"/>
    <x v="4"/>
    <s v="AutoPost 1591"/>
    <s v="CAD"/>
    <x v="29"/>
    <x v="1588"/>
  </r>
  <r>
    <x v="1592"/>
    <x v="723"/>
    <x v="4"/>
    <x v="4"/>
    <n v="0"/>
    <n v="3155.54"/>
    <x v="4"/>
    <x v="1"/>
    <s v="AutoPost 1592"/>
    <s v="AUD"/>
    <x v="9"/>
    <x v="1589"/>
  </r>
  <r>
    <x v="1593"/>
    <x v="62"/>
    <x v="4"/>
    <x v="4"/>
    <n v="0"/>
    <n v="1925.54"/>
    <x v="1"/>
    <x v="1"/>
    <s v="AutoPost 1593"/>
    <s v="AUD"/>
    <x v="3"/>
    <x v="1590"/>
  </r>
  <r>
    <x v="1594"/>
    <x v="451"/>
    <x v="2"/>
    <x v="2"/>
    <n v="1203.3399999999999"/>
    <n v="0"/>
    <x v="3"/>
    <x v="2"/>
    <s v="AutoPost 1594"/>
    <s v="USD"/>
    <x v="26"/>
    <x v="1591"/>
  </r>
  <r>
    <x v="1595"/>
    <x v="650"/>
    <x v="2"/>
    <x v="2"/>
    <n v="1776.59"/>
    <n v="0"/>
    <x v="3"/>
    <x v="2"/>
    <s v="AutoPost 1595"/>
    <s v="EUR"/>
    <x v="10"/>
    <x v="1592"/>
  </r>
  <r>
    <x v="1596"/>
    <x v="722"/>
    <x v="1"/>
    <x v="1"/>
    <n v="1588.81"/>
    <n v="0"/>
    <x v="2"/>
    <x v="0"/>
    <s v="AutoPost 1596"/>
    <s v="USD"/>
    <x v="18"/>
    <x v="1593"/>
  </r>
  <r>
    <x v="1597"/>
    <x v="69"/>
    <x v="1"/>
    <x v="1"/>
    <n v="1229.26"/>
    <n v="0"/>
    <x v="3"/>
    <x v="1"/>
    <s v="AutoPost 1597"/>
    <s v="EUR"/>
    <x v="5"/>
    <x v="1594"/>
  </r>
  <r>
    <x v="1598"/>
    <x v="126"/>
    <x v="0"/>
    <x v="0"/>
    <n v="0"/>
    <n v="3867.59"/>
    <x v="2"/>
    <x v="3"/>
    <s v="AutoPost 1598"/>
    <s v="EUR"/>
    <x v="19"/>
    <x v="1595"/>
  </r>
  <r>
    <x v="1599"/>
    <x v="53"/>
    <x v="2"/>
    <x v="2"/>
    <n v="615.80999999999995"/>
    <n v="0"/>
    <x v="1"/>
    <x v="4"/>
    <s v="AutoPost 1599"/>
    <s v="EUR"/>
    <x v="7"/>
    <x v="1596"/>
  </r>
  <r>
    <x v="1600"/>
    <x v="445"/>
    <x v="3"/>
    <x v="3"/>
    <n v="1182.17"/>
    <n v="0"/>
    <x v="4"/>
    <x v="2"/>
    <s v="AutoPost 1600"/>
    <s v="USD"/>
    <x v="27"/>
    <x v="1597"/>
  </r>
  <r>
    <x v="1601"/>
    <x v="231"/>
    <x v="0"/>
    <x v="0"/>
    <n v="0"/>
    <n v="4084.9"/>
    <x v="4"/>
    <x v="2"/>
    <s v="AutoPost 1601"/>
    <s v="AUD"/>
    <x v="22"/>
    <x v="1598"/>
  </r>
  <r>
    <x v="1602"/>
    <x v="116"/>
    <x v="0"/>
    <x v="0"/>
    <n v="0"/>
    <n v="2694.28"/>
    <x v="2"/>
    <x v="1"/>
    <s v="AutoPost 1602"/>
    <s v="CAD"/>
    <x v="6"/>
    <x v="1599"/>
  </r>
  <r>
    <x v="1603"/>
    <x v="429"/>
    <x v="0"/>
    <x v="0"/>
    <n v="0"/>
    <n v="3550.01"/>
    <x v="4"/>
    <x v="3"/>
    <s v="AutoPost 1603"/>
    <s v="GBP"/>
    <x v="5"/>
    <x v="1600"/>
  </r>
  <r>
    <x v="1604"/>
    <x v="217"/>
    <x v="0"/>
    <x v="0"/>
    <n v="0"/>
    <n v="2395.19"/>
    <x v="5"/>
    <x v="4"/>
    <s v="AutoPost 1604"/>
    <s v="CAD"/>
    <x v="21"/>
    <x v="1601"/>
  </r>
  <r>
    <x v="1605"/>
    <x v="465"/>
    <x v="1"/>
    <x v="1"/>
    <n v="1009.87"/>
    <n v="0"/>
    <x v="4"/>
    <x v="1"/>
    <s v="AutoPost 1605"/>
    <s v="USD"/>
    <x v="0"/>
    <x v="1602"/>
  </r>
  <r>
    <x v="1606"/>
    <x v="755"/>
    <x v="3"/>
    <x v="3"/>
    <n v="1792.26"/>
    <n v="0"/>
    <x v="0"/>
    <x v="0"/>
    <s v="AutoPost 1606"/>
    <s v="GBP"/>
    <x v="1"/>
    <x v="1603"/>
  </r>
  <r>
    <x v="1607"/>
    <x v="176"/>
    <x v="1"/>
    <x v="1"/>
    <n v="1834.84"/>
    <n v="0"/>
    <x v="2"/>
    <x v="0"/>
    <s v="AutoPost 1607"/>
    <s v="AUD"/>
    <x v="20"/>
    <x v="1604"/>
  </r>
  <r>
    <x v="1608"/>
    <x v="756"/>
    <x v="4"/>
    <x v="4"/>
    <n v="0"/>
    <n v="4316.42"/>
    <x v="1"/>
    <x v="4"/>
    <s v="AutoPost 1608"/>
    <s v="AUD"/>
    <x v="5"/>
    <x v="1605"/>
  </r>
  <r>
    <x v="1609"/>
    <x v="602"/>
    <x v="3"/>
    <x v="3"/>
    <n v="427.92"/>
    <n v="0"/>
    <x v="4"/>
    <x v="2"/>
    <s v="AutoPost 1609"/>
    <s v="USD"/>
    <x v="28"/>
    <x v="1606"/>
  </r>
  <r>
    <x v="1610"/>
    <x v="261"/>
    <x v="4"/>
    <x v="4"/>
    <n v="0"/>
    <n v="881.32"/>
    <x v="5"/>
    <x v="4"/>
    <s v="AutoPost 1610"/>
    <s v="AUD"/>
    <x v="15"/>
    <x v="1607"/>
  </r>
  <r>
    <x v="1611"/>
    <x v="757"/>
    <x v="2"/>
    <x v="2"/>
    <n v="896.81"/>
    <n v="0"/>
    <x v="5"/>
    <x v="2"/>
    <s v="AutoPost 1611"/>
    <s v="AUD"/>
    <x v="8"/>
    <x v="1608"/>
  </r>
  <r>
    <x v="1612"/>
    <x v="758"/>
    <x v="2"/>
    <x v="2"/>
    <n v="1292.1400000000001"/>
    <n v="0"/>
    <x v="1"/>
    <x v="0"/>
    <s v="AutoPost 1612"/>
    <s v="USD"/>
    <x v="10"/>
    <x v="1609"/>
  </r>
  <r>
    <x v="1613"/>
    <x v="605"/>
    <x v="1"/>
    <x v="1"/>
    <n v="1720"/>
    <n v="0"/>
    <x v="2"/>
    <x v="4"/>
    <s v="AutoPost 1613"/>
    <s v="CAD"/>
    <x v="7"/>
    <x v="1610"/>
  </r>
  <r>
    <x v="1614"/>
    <x v="526"/>
    <x v="2"/>
    <x v="2"/>
    <n v="210.81"/>
    <n v="0"/>
    <x v="4"/>
    <x v="3"/>
    <s v="AutoPost 1614"/>
    <s v="EUR"/>
    <x v="20"/>
    <x v="1611"/>
  </r>
  <r>
    <x v="1615"/>
    <x v="409"/>
    <x v="0"/>
    <x v="0"/>
    <n v="0"/>
    <n v="3145.99"/>
    <x v="2"/>
    <x v="2"/>
    <s v="AutoPost 1615"/>
    <s v="GBP"/>
    <x v="29"/>
    <x v="1612"/>
  </r>
  <r>
    <x v="1616"/>
    <x v="569"/>
    <x v="0"/>
    <x v="0"/>
    <n v="0"/>
    <n v="4897.22"/>
    <x v="3"/>
    <x v="4"/>
    <s v="AutoPost 1616"/>
    <s v="EUR"/>
    <x v="10"/>
    <x v="1613"/>
  </r>
  <r>
    <x v="1617"/>
    <x v="213"/>
    <x v="3"/>
    <x v="3"/>
    <n v="1035.58"/>
    <n v="0"/>
    <x v="5"/>
    <x v="2"/>
    <s v="AutoPost 1617"/>
    <s v="AUD"/>
    <x v="18"/>
    <x v="1614"/>
  </r>
  <r>
    <x v="1618"/>
    <x v="650"/>
    <x v="3"/>
    <x v="3"/>
    <n v="883.62"/>
    <n v="0"/>
    <x v="2"/>
    <x v="3"/>
    <s v="AutoPost 1618"/>
    <s v="AUD"/>
    <x v="10"/>
    <x v="1615"/>
  </r>
  <r>
    <x v="1619"/>
    <x v="270"/>
    <x v="4"/>
    <x v="4"/>
    <n v="0"/>
    <n v="1908.36"/>
    <x v="5"/>
    <x v="0"/>
    <s v="AutoPost 1619"/>
    <s v="GBP"/>
    <x v="26"/>
    <x v="1616"/>
  </r>
  <r>
    <x v="1620"/>
    <x v="132"/>
    <x v="4"/>
    <x v="4"/>
    <n v="0"/>
    <n v="145.24"/>
    <x v="5"/>
    <x v="2"/>
    <s v="AutoPost 1620"/>
    <s v="GBP"/>
    <x v="29"/>
    <x v="1617"/>
  </r>
  <r>
    <x v="1621"/>
    <x v="690"/>
    <x v="4"/>
    <x v="4"/>
    <n v="0"/>
    <n v="527.38"/>
    <x v="0"/>
    <x v="2"/>
    <s v="AutoPost 1621"/>
    <s v="CAD"/>
    <x v="15"/>
    <x v="1618"/>
  </r>
  <r>
    <x v="1622"/>
    <x v="759"/>
    <x v="0"/>
    <x v="0"/>
    <n v="0"/>
    <n v="3715.39"/>
    <x v="4"/>
    <x v="0"/>
    <s v="AutoPost 1622"/>
    <s v="EUR"/>
    <x v="4"/>
    <x v="1619"/>
  </r>
  <r>
    <x v="1623"/>
    <x v="760"/>
    <x v="1"/>
    <x v="1"/>
    <n v="870.5"/>
    <n v="0"/>
    <x v="4"/>
    <x v="3"/>
    <s v="AutoPost 1623"/>
    <s v="AUD"/>
    <x v="24"/>
    <x v="1620"/>
  </r>
  <r>
    <x v="1624"/>
    <x v="522"/>
    <x v="3"/>
    <x v="3"/>
    <n v="1992.58"/>
    <n v="0"/>
    <x v="2"/>
    <x v="0"/>
    <s v="AutoPost 1624"/>
    <s v="GBP"/>
    <x v="7"/>
    <x v="1621"/>
  </r>
  <r>
    <x v="1625"/>
    <x v="76"/>
    <x v="3"/>
    <x v="3"/>
    <n v="1466.95"/>
    <n v="0"/>
    <x v="5"/>
    <x v="1"/>
    <s v="AutoPost 1625"/>
    <s v="USD"/>
    <x v="18"/>
    <x v="1622"/>
  </r>
  <r>
    <x v="1626"/>
    <x v="761"/>
    <x v="1"/>
    <x v="1"/>
    <n v="480.18"/>
    <n v="0"/>
    <x v="1"/>
    <x v="2"/>
    <s v="AutoPost 1626"/>
    <s v="EUR"/>
    <x v="18"/>
    <x v="1623"/>
  </r>
  <r>
    <x v="1627"/>
    <x v="762"/>
    <x v="4"/>
    <x v="4"/>
    <n v="0"/>
    <n v="4296.88"/>
    <x v="4"/>
    <x v="0"/>
    <s v="AutoPost 1627"/>
    <s v="AUD"/>
    <x v="18"/>
    <x v="1624"/>
  </r>
  <r>
    <x v="1628"/>
    <x v="492"/>
    <x v="1"/>
    <x v="1"/>
    <n v="123.85"/>
    <n v="0"/>
    <x v="3"/>
    <x v="0"/>
    <s v="AutoPost 1628"/>
    <s v="AUD"/>
    <x v="26"/>
    <x v="1625"/>
  </r>
  <r>
    <x v="1629"/>
    <x v="408"/>
    <x v="2"/>
    <x v="2"/>
    <n v="1528.6"/>
    <n v="0"/>
    <x v="0"/>
    <x v="4"/>
    <s v="AutoPost 1629"/>
    <s v="USD"/>
    <x v="29"/>
    <x v="1626"/>
  </r>
  <r>
    <x v="1630"/>
    <x v="616"/>
    <x v="3"/>
    <x v="3"/>
    <n v="1408.83"/>
    <n v="0"/>
    <x v="0"/>
    <x v="4"/>
    <s v="AutoPost 1630"/>
    <s v="USD"/>
    <x v="16"/>
    <x v="1627"/>
  </r>
  <r>
    <x v="1631"/>
    <x v="262"/>
    <x v="2"/>
    <x v="2"/>
    <n v="472.82"/>
    <n v="0"/>
    <x v="2"/>
    <x v="2"/>
    <s v="AutoPost 1631"/>
    <s v="GBP"/>
    <x v="20"/>
    <x v="1628"/>
  </r>
  <r>
    <x v="1632"/>
    <x v="78"/>
    <x v="2"/>
    <x v="2"/>
    <n v="826.92"/>
    <n v="0"/>
    <x v="0"/>
    <x v="2"/>
    <s v="AutoPost 1632"/>
    <s v="GBP"/>
    <x v="6"/>
    <x v="1629"/>
  </r>
  <r>
    <x v="1633"/>
    <x v="763"/>
    <x v="2"/>
    <x v="2"/>
    <n v="882.2"/>
    <n v="0"/>
    <x v="3"/>
    <x v="4"/>
    <s v="AutoPost 1633"/>
    <s v="AUD"/>
    <x v="14"/>
    <x v="1630"/>
  </r>
  <r>
    <x v="1634"/>
    <x v="123"/>
    <x v="2"/>
    <x v="2"/>
    <n v="1244.05"/>
    <n v="0"/>
    <x v="4"/>
    <x v="0"/>
    <s v="AutoPost 1634"/>
    <s v="GBP"/>
    <x v="26"/>
    <x v="1631"/>
  </r>
  <r>
    <x v="1635"/>
    <x v="132"/>
    <x v="0"/>
    <x v="0"/>
    <n v="0"/>
    <n v="2017.86"/>
    <x v="1"/>
    <x v="0"/>
    <s v="AutoPost 1635"/>
    <s v="CAD"/>
    <x v="29"/>
    <x v="1632"/>
  </r>
  <r>
    <x v="1636"/>
    <x v="146"/>
    <x v="3"/>
    <x v="3"/>
    <n v="1845.02"/>
    <n v="0"/>
    <x v="4"/>
    <x v="3"/>
    <s v="AutoPost 1636"/>
    <s v="CAD"/>
    <x v="6"/>
    <x v="1633"/>
  </r>
  <r>
    <x v="1637"/>
    <x v="29"/>
    <x v="0"/>
    <x v="0"/>
    <n v="0"/>
    <n v="1184.05"/>
    <x v="5"/>
    <x v="2"/>
    <s v="AutoPost 1637"/>
    <s v="AUD"/>
    <x v="16"/>
    <x v="1634"/>
  </r>
  <r>
    <x v="1638"/>
    <x v="7"/>
    <x v="1"/>
    <x v="1"/>
    <n v="1165.1400000000001"/>
    <n v="0"/>
    <x v="1"/>
    <x v="4"/>
    <s v="AutoPost 1638"/>
    <s v="AUD"/>
    <x v="6"/>
    <x v="1635"/>
  </r>
  <r>
    <x v="1639"/>
    <x v="357"/>
    <x v="1"/>
    <x v="1"/>
    <n v="641.08000000000004"/>
    <n v="0"/>
    <x v="0"/>
    <x v="3"/>
    <s v="AutoPost 1639"/>
    <s v="EUR"/>
    <x v="23"/>
    <x v="1636"/>
  </r>
  <r>
    <x v="1640"/>
    <x v="141"/>
    <x v="3"/>
    <x v="3"/>
    <n v="194.16"/>
    <n v="0"/>
    <x v="5"/>
    <x v="2"/>
    <s v="AutoPost 1640"/>
    <s v="CAD"/>
    <x v="17"/>
    <x v="1637"/>
  </r>
  <r>
    <x v="1641"/>
    <x v="585"/>
    <x v="2"/>
    <x v="2"/>
    <n v="262.33999999999997"/>
    <n v="0"/>
    <x v="4"/>
    <x v="2"/>
    <s v="AutoPost 1641"/>
    <s v="EUR"/>
    <x v="8"/>
    <x v="1638"/>
  </r>
  <r>
    <x v="1642"/>
    <x v="755"/>
    <x v="3"/>
    <x v="3"/>
    <n v="1269.67"/>
    <n v="0"/>
    <x v="2"/>
    <x v="3"/>
    <s v="AutoPost 1642"/>
    <s v="CAD"/>
    <x v="1"/>
    <x v="1639"/>
  </r>
  <r>
    <x v="1643"/>
    <x v="764"/>
    <x v="0"/>
    <x v="0"/>
    <n v="0"/>
    <n v="1736.08"/>
    <x v="1"/>
    <x v="3"/>
    <s v="AutoPost 1643"/>
    <s v="GBP"/>
    <x v="20"/>
    <x v="1640"/>
  </r>
  <r>
    <x v="1644"/>
    <x v="747"/>
    <x v="3"/>
    <x v="3"/>
    <n v="418.98"/>
    <n v="0"/>
    <x v="3"/>
    <x v="2"/>
    <s v="AutoPost 1644"/>
    <s v="CAD"/>
    <x v="1"/>
    <x v="1641"/>
  </r>
  <r>
    <x v="1645"/>
    <x v="168"/>
    <x v="3"/>
    <x v="3"/>
    <n v="1106.24"/>
    <n v="0"/>
    <x v="4"/>
    <x v="4"/>
    <s v="AutoPost 1645"/>
    <s v="USD"/>
    <x v="29"/>
    <x v="1642"/>
  </r>
  <r>
    <x v="1646"/>
    <x v="765"/>
    <x v="4"/>
    <x v="4"/>
    <n v="0"/>
    <n v="3037.2"/>
    <x v="4"/>
    <x v="3"/>
    <s v="AutoPost 1646"/>
    <s v="GBP"/>
    <x v="29"/>
    <x v="1643"/>
  </r>
  <r>
    <x v="1647"/>
    <x v="620"/>
    <x v="0"/>
    <x v="0"/>
    <n v="0"/>
    <n v="4063.27"/>
    <x v="5"/>
    <x v="0"/>
    <s v="AutoPost 1647"/>
    <s v="GBP"/>
    <x v="24"/>
    <x v="1644"/>
  </r>
  <r>
    <x v="1648"/>
    <x v="725"/>
    <x v="2"/>
    <x v="2"/>
    <n v="1920.87"/>
    <n v="0"/>
    <x v="4"/>
    <x v="1"/>
    <s v="AutoPost 1648"/>
    <s v="AUD"/>
    <x v="4"/>
    <x v="1645"/>
  </r>
  <r>
    <x v="1649"/>
    <x v="597"/>
    <x v="2"/>
    <x v="2"/>
    <n v="1167.74"/>
    <n v="0"/>
    <x v="4"/>
    <x v="2"/>
    <s v="AutoPost 1649"/>
    <s v="GBP"/>
    <x v="21"/>
    <x v="1646"/>
  </r>
  <r>
    <x v="1650"/>
    <x v="683"/>
    <x v="1"/>
    <x v="1"/>
    <n v="686.31"/>
    <n v="0"/>
    <x v="4"/>
    <x v="2"/>
    <s v="AutoPost 1650"/>
    <s v="USD"/>
    <x v="5"/>
    <x v="1647"/>
  </r>
  <r>
    <x v="1651"/>
    <x v="748"/>
    <x v="0"/>
    <x v="0"/>
    <n v="0"/>
    <n v="1294.23"/>
    <x v="5"/>
    <x v="1"/>
    <s v="AutoPost 1651"/>
    <s v="USD"/>
    <x v="2"/>
    <x v="1648"/>
  </r>
  <r>
    <x v="1652"/>
    <x v="334"/>
    <x v="3"/>
    <x v="3"/>
    <n v="1657.22"/>
    <n v="0"/>
    <x v="2"/>
    <x v="0"/>
    <s v="AutoPost 1652"/>
    <s v="EUR"/>
    <x v="21"/>
    <x v="1649"/>
  </r>
  <r>
    <x v="1653"/>
    <x v="220"/>
    <x v="4"/>
    <x v="4"/>
    <n v="0"/>
    <n v="677.29"/>
    <x v="4"/>
    <x v="2"/>
    <s v="AutoPost 1653"/>
    <s v="USD"/>
    <x v="1"/>
    <x v="1650"/>
  </r>
  <r>
    <x v="1654"/>
    <x v="574"/>
    <x v="2"/>
    <x v="2"/>
    <n v="1765.08"/>
    <n v="0"/>
    <x v="2"/>
    <x v="2"/>
    <s v="AutoPost 1654"/>
    <s v="USD"/>
    <x v="10"/>
    <x v="1651"/>
  </r>
  <r>
    <x v="1655"/>
    <x v="548"/>
    <x v="0"/>
    <x v="0"/>
    <n v="0"/>
    <n v="3407.83"/>
    <x v="0"/>
    <x v="3"/>
    <s v="AutoPost 1655"/>
    <s v="CAD"/>
    <x v="27"/>
    <x v="1652"/>
  </r>
  <r>
    <x v="1656"/>
    <x v="320"/>
    <x v="3"/>
    <x v="3"/>
    <n v="543.41"/>
    <n v="0"/>
    <x v="1"/>
    <x v="2"/>
    <s v="AutoPost 1656"/>
    <s v="USD"/>
    <x v="9"/>
    <x v="1653"/>
  </r>
  <r>
    <x v="1657"/>
    <x v="141"/>
    <x v="1"/>
    <x v="1"/>
    <n v="408.27"/>
    <n v="0"/>
    <x v="2"/>
    <x v="0"/>
    <s v="AutoPost 1657"/>
    <s v="EUR"/>
    <x v="17"/>
    <x v="1654"/>
  </r>
  <r>
    <x v="1658"/>
    <x v="319"/>
    <x v="0"/>
    <x v="0"/>
    <n v="0"/>
    <n v="1300.21"/>
    <x v="5"/>
    <x v="2"/>
    <s v="AutoPost 1658"/>
    <s v="AUD"/>
    <x v="28"/>
    <x v="1655"/>
  </r>
  <r>
    <x v="1659"/>
    <x v="615"/>
    <x v="1"/>
    <x v="1"/>
    <n v="1326.8"/>
    <n v="0"/>
    <x v="5"/>
    <x v="0"/>
    <s v="AutoPost 1659"/>
    <s v="USD"/>
    <x v="22"/>
    <x v="1656"/>
  </r>
  <r>
    <x v="1660"/>
    <x v="346"/>
    <x v="0"/>
    <x v="0"/>
    <n v="0"/>
    <n v="2057.71"/>
    <x v="3"/>
    <x v="2"/>
    <s v="AutoPost 1660"/>
    <s v="CAD"/>
    <x v="13"/>
    <x v="1657"/>
  </r>
  <r>
    <x v="1661"/>
    <x v="355"/>
    <x v="1"/>
    <x v="1"/>
    <n v="1959.6"/>
    <n v="0"/>
    <x v="3"/>
    <x v="0"/>
    <s v="AutoPost 1661"/>
    <s v="AUD"/>
    <x v="20"/>
    <x v="1658"/>
  </r>
  <r>
    <x v="1662"/>
    <x v="513"/>
    <x v="1"/>
    <x v="1"/>
    <n v="1047.3399999999999"/>
    <n v="0"/>
    <x v="1"/>
    <x v="4"/>
    <s v="AutoPost 1662"/>
    <s v="AUD"/>
    <x v="13"/>
    <x v="1659"/>
  </r>
  <r>
    <x v="1663"/>
    <x v="510"/>
    <x v="4"/>
    <x v="4"/>
    <n v="0"/>
    <n v="3260.6"/>
    <x v="2"/>
    <x v="2"/>
    <s v="AutoPost 1663"/>
    <s v="AUD"/>
    <x v="26"/>
    <x v="1660"/>
  </r>
  <r>
    <x v="1664"/>
    <x v="707"/>
    <x v="2"/>
    <x v="2"/>
    <n v="1149.3599999999999"/>
    <n v="0"/>
    <x v="3"/>
    <x v="2"/>
    <s v="AutoPost 1664"/>
    <s v="AUD"/>
    <x v="29"/>
    <x v="1661"/>
  </r>
  <r>
    <x v="1665"/>
    <x v="414"/>
    <x v="4"/>
    <x v="4"/>
    <n v="0"/>
    <n v="1766.14"/>
    <x v="4"/>
    <x v="1"/>
    <s v="AutoPost 1665"/>
    <s v="CAD"/>
    <x v="24"/>
    <x v="1662"/>
  </r>
  <r>
    <x v="1666"/>
    <x v="759"/>
    <x v="2"/>
    <x v="2"/>
    <n v="1403.79"/>
    <n v="0"/>
    <x v="4"/>
    <x v="2"/>
    <s v="AutoPost 1666"/>
    <s v="EUR"/>
    <x v="4"/>
    <x v="1663"/>
  </r>
  <r>
    <x v="1667"/>
    <x v="688"/>
    <x v="0"/>
    <x v="0"/>
    <n v="0"/>
    <n v="4061.44"/>
    <x v="2"/>
    <x v="4"/>
    <s v="AutoPost 1667"/>
    <s v="USD"/>
    <x v="16"/>
    <x v="1664"/>
  </r>
  <r>
    <x v="1668"/>
    <x v="766"/>
    <x v="3"/>
    <x v="3"/>
    <n v="1472.53"/>
    <n v="0"/>
    <x v="1"/>
    <x v="3"/>
    <s v="AutoPost 1668"/>
    <s v="CAD"/>
    <x v="8"/>
    <x v="1665"/>
  </r>
  <r>
    <x v="1669"/>
    <x v="146"/>
    <x v="4"/>
    <x v="4"/>
    <n v="0"/>
    <n v="4153.5600000000004"/>
    <x v="3"/>
    <x v="1"/>
    <s v="AutoPost 1669"/>
    <s v="AUD"/>
    <x v="6"/>
    <x v="1666"/>
  </r>
  <r>
    <x v="1670"/>
    <x v="767"/>
    <x v="0"/>
    <x v="0"/>
    <n v="0"/>
    <n v="1559.52"/>
    <x v="2"/>
    <x v="1"/>
    <s v="AutoPost 1670"/>
    <s v="AUD"/>
    <x v="18"/>
    <x v="1667"/>
  </r>
  <r>
    <x v="1671"/>
    <x v="48"/>
    <x v="1"/>
    <x v="1"/>
    <n v="1478.02"/>
    <n v="0"/>
    <x v="4"/>
    <x v="2"/>
    <s v="AutoPost 1671"/>
    <s v="USD"/>
    <x v="18"/>
    <x v="1668"/>
  </r>
  <r>
    <x v="1672"/>
    <x v="725"/>
    <x v="2"/>
    <x v="2"/>
    <n v="423.96"/>
    <n v="0"/>
    <x v="1"/>
    <x v="3"/>
    <s v="AutoPost 1672"/>
    <s v="CAD"/>
    <x v="4"/>
    <x v="1669"/>
  </r>
  <r>
    <x v="1673"/>
    <x v="63"/>
    <x v="4"/>
    <x v="4"/>
    <n v="0"/>
    <n v="1027.73"/>
    <x v="2"/>
    <x v="3"/>
    <s v="AutoPost 1673"/>
    <s v="CAD"/>
    <x v="24"/>
    <x v="1670"/>
  </r>
  <r>
    <x v="1674"/>
    <x v="286"/>
    <x v="0"/>
    <x v="0"/>
    <n v="0"/>
    <n v="1661.02"/>
    <x v="4"/>
    <x v="2"/>
    <s v="AutoPost 1674"/>
    <s v="EUR"/>
    <x v="26"/>
    <x v="1671"/>
  </r>
  <r>
    <x v="1675"/>
    <x v="128"/>
    <x v="4"/>
    <x v="4"/>
    <n v="0"/>
    <n v="1263.17"/>
    <x v="1"/>
    <x v="4"/>
    <s v="AutoPost 1675"/>
    <s v="EUR"/>
    <x v="4"/>
    <x v="1672"/>
  </r>
  <r>
    <x v="1676"/>
    <x v="317"/>
    <x v="4"/>
    <x v="4"/>
    <n v="0"/>
    <n v="2207.1799999999998"/>
    <x v="4"/>
    <x v="3"/>
    <s v="AutoPost 1676"/>
    <s v="GBP"/>
    <x v="16"/>
    <x v="1673"/>
  </r>
  <r>
    <x v="1677"/>
    <x v="491"/>
    <x v="4"/>
    <x v="4"/>
    <n v="0"/>
    <n v="3799.96"/>
    <x v="4"/>
    <x v="1"/>
    <s v="AutoPost 1677"/>
    <s v="USD"/>
    <x v="5"/>
    <x v="1674"/>
  </r>
  <r>
    <x v="1678"/>
    <x v="278"/>
    <x v="3"/>
    <x v="3"/>
    <n v="1292.8800000000001"/>
    <n v="0"/>
    <x v="5"/>
    <x v="3"/>
    <s v="AutoPost 1678"/>
    <s v="EUR"/>
    <x v="8"/>
    <x v="1675"/>
  </r>
  <r>
    <x v="1679"/>
    <x v="477"/>
    <x v="1"/>
    <x v="1"/>
    <n v="154.07"/>
    <n v="0"/>
    <x v="3"/>
    <x v="2"/>
    <s v="AutoPost 1679"/>
    <s v="EUR"/>
    <x v="10"/>
    <x v="1676"/>
  </r>
  <r>
    <x v="1680"/>
    <x v="486"/>
    <x v="2"/>
    <x v="2"/>
    <n v="1751.78"/>
    <n v="0"/>
    <x v="5"/>
    <x v="1"/>
    <s v="AutoPost 1680"/>
    <s v="USD"/>
    <x v="2"/>
    <x v="1677"/>
  </r>
  <r>
    <x v="1681"/>
    <x v="194"/>
    <x v="4"/>
    <x v="4"/>
    <n v="0"/>
    <n v="635.34"/>
    <x v="1"/>
    <x v="2"/>
    <s v="AutoPost 1681"/>
    <s v="AUD"/>
    <x v="23"/>
    <x v="1678"/>
  </r>
  <r>
    <x v="1682"/>
    <x v="280"/>
    <x v="1"/>
    <x v="1"/>
    <n v="534.29"/>
    <n v="0"/>
    <x v="2"/>
    <x v="4"/>
    <s v="AutoPost 1682"/>
    <s v="EUR"/>
    <x v="25"/>
    <x v="1679"/>
  </r>
  <r>
    <x v="1683"/>
    <x v="768"/>
    <x v="3"/>
    <x v="3"/>
    <n v="1212.18"/>
    <n v="0"/>
    <x v="0"/>
    <x v="1"/>
    <s v="AutoPost 1683"/>
    <s v="EUR"/>
    <x v="21"/>
    <x v="1680"/>
  </r>
  <r>
    <x v="1684"/>
    <x v="360"/>
    <x v="1"/>
    <x v="1"/>
    <n v="1830.4"/>
    <n v="0"/>
    <x v="1"/>
    <x v="2"/>
    <s v="AutoPost 1684"/>
    <s v="CAD"/>
    <x v="15"/>
    <x v="1681"/>
  </r>
  <r>
    <x v="1685"/>
    <x v="525"/>
    <x v="4"/>
    <x v="4"/>
    <n v="0"/>
    <n v="1032.3800000000001"/>
    <x v="5"/>
    <x v="2"/>
    <s v="AutoPost 1685"/>
    <s v="AUD"/>
    <x v="18"/>
    <x v="1682"/>
  </r>
  <r>
    <x v="1686"/>
    <x v="684"/>
    <x v="0"/>
    <x v="0"/>
    <n v="0"/>
    <n v="2620.3200000000002"/>
    <x v="4"/>
    <x v="0"/>
    <s v="AutoPost 1686"/>
    <s v="CAD"/>
    <x v="24"/>
    <x v="1683"/>
  </r>
  <r>
    <x v="1687"/>
    <x v="460"/>
    <x v="4"/>
    <x v="4"/>
    <n v="0"/>
    <n v="4016.77"/>
    <x v="4"/>
    <x v="1"/>
    <s v="AutoPost 1687"/>
    <s v="CAD"/>
    <x v="25"/>
    <x v="1684"/>
  </r>
  <r>
    <x v="1688"/>
    <x v="769"/>
    <x v="1"/>
    <x v="1"/>
    <n v="575"/>
    <n v="0"/>
    <x v="4"/>
    <x v="0"/>
    <s v="AutoPost 1688"/>
    <s v="EUR"/>
    <x v="7"/>
    <x v="1685"/>
  </r>
  <r>
    <x v="1689"/>
    <x v="216"/>
    <x v="3"/>
    <x v="3"/>
    <n v="692.19"/>
    <n v="0"/>
    <x v="5"/>
    <x v="1"/>
    <s v="AutoPost 1689"/>
    <s v="EUR"/>
    <x v="13"/>
    <x v="1686"/>
  </r>
  <r>
    <x v="1690"/>
    <x v="66"/>
    <x v="0"/>
    <x v="0"/>
    <n v="0"/>
    <n v="129.38999999999999"/>
    <x v="4"/>
    <x v="2"/>
    <s v="AutoPost 1690"/>
    <s v="CAD"/>
    <x v="19"/>
    <x v="1687"/>
  </r>
  <r>
    <x v="1691"/>
    <x v="400"/>
    <x v="2"/>
    <x v="2"/>
    <n v="739.61"/>
    <n v="0"/>
    <x v="3"/>
    <x v="0"/>
    <s v="AutoPost 1691"/>
    <s v="EUR"/>
    <x v="0"/>
    <x v="1688"/>
  </r>
  <r>
    <x v="1692"/>
    <x v="651"/>
    <x v="0"/>
    <x v="0"/>
    <n v="0"/>
    <n v="1931.62"/>
    <x v="4"/>
    <x v="2"/>
    <s v="AutoPost 1692"/>
    <s v="CAD"/>
    <x v="22"/>
    <x v="1689"/>
  </r>
  <r>
    <x v="1693"/>
    <x v="82"/>
    <x v="3"/>
    <x v="3"/>
    <n v="624.64"/>
    <n v="0"/>
    <x v="2"/>
    <x v="4"/>
    <s v="AutoPost 1693"/>
    <s v="EUR"/>
    <x v="28"/>
    <x v="1690"/>
  </r>
  <r>
    <x v="1694"/>
    <x v="400"/>
    <x v="4"/>
    <x v="4"/>
    <n v="0"/>
    <n v="724.9"/>
    <x v="5"/>
    <x v="4"/>
    <s v="AutoPost 1694"/>
    <s v="EUR"/>
    <x v="0"/>
    <x v="1691"/>
  </r>
  <r>
    <x v="1695"/>
    <x v="576"/>
    <x v="2"/>
    <x v="2"/>
    <n v="630.79"/>
    <n v="0"/>
    <x v="5"/>
    <x v="0"/>
    <s v="AutoPost 1695"/>
    <s v="AUD"/>
    <x v="16"/>
    <x v="1692"/>
  </r>
  <r>
    <x v="1696"/>
    <x v="249"/>
    <x v="3"/>
    <x v="3"/>
    <n v="808.72"/>
    <n v="0"/>
    <x v="2"/>
    <x v="4"/>
    <s v="AutoPost 1696"/>
    <s v="GBP"/>
    <x v="12"/>
    <x v="1693"/>
  </r>
  <r>
    <x v="1697"/>
    <x v="387"/>
    <x v="0"/>
    <x v="0"/>
    <n v="0"/>
    <n v="1092.32"/>
    <x v="0"/>
    <x v="2"/>
    <s v="AutoPost 1697"/>
    <s v="CAD"/>
    <x v="4"/>
    <x v="1694"/>
  </r>
  <r>
    <x v="1698"/>
    <x v="245"/>
    <x v="3"/>
    <x v="3"/>
    <n v="1433.85"/>
    <n v="0"/>
    <x v="5"/>
    <x v="4"/>
    <s v="AutoPost 1698"/>
    <s v="CAD"/>
    <x v="7"/>
    <x v="1695"/>
  </r>
  <r>
    <x v="1699"/>
    <x v="770"/>
    <x v="4"/>
    <x v="4"/>
    <n v="0"/>
    <n v="902.75"/>
    <x v="4"/>
    <x v="1"/>
    <s v="AutoPost 1699"/>
    <s v="GBP"/>
    <x v="11"/>
    <x v="1696"/>
  </r>
  <r>
    <x v="1700"/>
    <x v="656"/>
    <x v="3"/>
    <x v="3"/>
    <n v="1012.66"/>
    <n v="0"/>
    <x v="4"/>
    <x v="1"/>
    <s v="AutoPost 1700"/>
    <s v="AUD"/>
    <x v="6"/>
    <x v="1697"/>
  </r>
  <r>
    <x v="1701"/>
    <x v="771"/>
    <x v="1"/>
    <x v="1"/>
    <n v="1143.22"/>
    <n v="0"/>
    <x v="2"/>
    <x v="3"/>
    <s v="AutoPost 1701"/>
    <s v="USD"/>
    <x v="23"/>
    <x v="1698"/>
  </r>
  <r>
    <x v="1702"/>
    <x v="750"/>
    <x v="0"/>
    <x v="0"/>
    <n v="0"/>
    <n v="3892.69"/>
    <x v="0"/>
    <x v="4"/>
    <s v="AutoPost 1702"/>
    <s v="AUD"/>
    <x v="14"/>
    <x v="1699"/>
  </r>
  <r>
    <x v="1703"/>
    <x v="562"/>
    <x v="2"/>
    <x v="2"/>
    <n v="649.45000000000005"/>
    <n v="0"/>
    <x v="5"/>
    <x v="0"/>
    <s v="AutoPost 1703"/>
    <s v="CAD"/>
    <x v="2"/>
    <x v="1700"/>
  </r>
  <r>
    <x v="1704"/>
    <x v="406"/>
    <x v="4"/>
    <x v="4"/>
    <n v="0"/>
    <n v="1422.91"/>
    <x v="1"/>
    <x v="2"/>
    <s v="AutoPost 1704"/>
    <s v="AUD"/>
    <x v="2"/>
    <x v="1701"/>
  </r>
  <r>
    <x v="1705"/>
    <x v="478"/>
    <x v="0"/>
    <x v="0"/>
    <n v="0"/>
    <n v="1269.95"/>
    <x v="1"/>
    <x v="3"/>
    <s v="AutoPost 1705"/>
    <s v="GBP"/>
    <x v="16"/>
    <x v="1702"/>
  </r>
  <r>
    <x v="1706"/>
    <x v="669"/>
    <x v="4"/>
    <x v="4"/>
    <n v="0"/>
    <n v="4047.23"/>
    <x v="2"/>
    <x v="4"/>
    <s v="AutoPost 1706"/>
    <s v="GBP"/>
    <x v="15"/>
    <x v="1703"/>
  </r>
  <r>
    <x v="1707"/>
    <x v="713"/>
    <x v="1"/>
    <x v="1"/>
    <n v="546.9"/>
    <n v="0"/>
    <x v="5"/>
    <x v="4"/>
    <s v="AutoPost 1707"/>
    <s v="AUD"/>
    <x v="10"/>
    <x v="1704"/>
  </r>
  <r>
    <x v="1708"/>
    <x v="322"/>
    <x v="0"/>
    <x v="0"/>
    <n v="0"/>
    <n v="652.36"/>
    <x v="5"/>
    <x v="1"/>
    <s v="AutoPost 1708"/>
    <s v="EUR"/>
    <x v="14"/>
    <x v="1705"/>
  </r>
  <r>
    <x v="1709"/>
    <x v="582"/>
    <x v="4"/>
    <x v="4"/>
    <n v="0"/>
    <n v="1963.74"/>
    <x v="2"/>
    <x v="1"/>
    <s v="AutoPost 1709"/>
    <s v="USD"/>
    <x v="14"/>
    <x v="1706"/>
  </r>
  <r>
    <x v="1710"/>
    <x v="359"/>
    <x v="4"/>
    <x v="4"/>
    <n v="0"/>
    <n v="1521.92"/>
    <x v="5"/>
    <x v="4"/>
    <s v="AutoPost 1710"/>
    <s v="EUR"/>
    <x v="2"/>
    <x v="1707"/>
  </r>
  <r>
    <x v="1711"/>
    <x v="673"/>
    <x v="4"/>
    <x v="4"/>
    <n v="0"/>
    <n v="3858.51"/>
    <x v="2"/>
    <x v="2"/>
    <s v="AutoPost 1711"/>
    <s v="GBP"/>
    <x v="20"/>
    <x v="1708"/>
  </r>
  <r>
    <x v="1712"/>
    <x v="613"/>
    <x v="4"/>
    <x v="4"/>
    <n v="0"/>
    <n v="4500.74"/>
    <x v="2"/>
    <x v="4"/>
    <s v="AutoPost 1712"/>
    <s v="AUD"/>
    <x v="7"/>
    <x v="1709"/>
  </r>
  <r>
    <x v="1713"/>
    <x v="57"/>
    <x v="2"/>
    <x v="2"/>
    <n v="678.18"/>
    <n v="0"/>
    <x v="3"/>
    <x v="0"/>
    <s v="AutoPost 1713"/>
    <s v="AUD"/>
    <x v="15"/>
    <x v="1710"/>
  </r>
  <r>
    <x v="1714"/>
    <x v="407"/>
    <x v="2"/>
    <x v="2"/>
    <n v="1306.92"/>
    <n v="0"/>
    <x v="5"/>
    <x v="1"/>
    <s v="AutoPost 1714"/>
    <s v="CAD"/>
    <x v="23"/>
    <x v="1711"/>
  </r>
  <r>
    <x v="1715"/>
    <x v="356"/>
    <x v="4"/>
    <x v="4"/>
    <n v="0"/>
    <n v="1899.18"/>
    <x v="0"/>
    <x v="0"/>
    <s v="AutoPost 1715"/>
    <s v="GBP"/>
    <x v="14"/>
    <x v="1712"/>
  </r>
  <r>
    <x v="1716"/>
    <x v="749"/>
    <x v="4"/>
    <x v="4"/>
    <n v="0"/>
    <n v="4785.2299999999996"/>
    <x v="2"/>
    <x v="3"/>
    <s v="AutoPost 1716"/>
    <s v="GBP"/>
    <x v="26"/>
    <x v="1713"/>
  </r>
  <r>
    <x v="1717"/>
    <x v="772"/>
    <x v="4"/>
    <x v="4"/>
    <n v="0"/>
    <n v="2005.29"/>
    <x v="4"/>
    <x v="1"/>
    <s v="AutoPost 1717"/>
    <s v="USD"/>
    <x v="3"/>
    <x v="1714"/>
  </r>
  <r>
    <x v="1718"/>
    <x v="202"/>
    <x v="2"/>
    <x v="2"/>
    <n v="1255.1099999999999"/>
    <n v="0"/>
    <x v="5"/>
    <x v="1"/>
    <s v="AutoPost 1718"/>
    <s v="EUR"/>
    <x v="4"/>
    <x v="1715"/>
  </r>
  <r>
    <x v="1719"/>
    <x v="293"/>
    <x v="1"/>
    <x v="1"/>
    <n v="816.6"/>
    <n v="0"/>
    <x v="5"/>
    <x v="4"/>
    <s v="AutoPost 1719"/>
    <s v="EUR"/>
    <x v="20"/>
    <x v="1716"/>
  </r>
  <r>
    <x v="1720"/>
    <x v="773"/>
    <x v="4"/>
    <x v="4"/>
    <n v="0"/>
    <n v="1623.32"/>
    <x v="5"/>
    <x v="0"/>
    <s v="AutoPost 1720"/>
    <s v="AUD"/>
    <x v="18"/>
    <x v="1717"/>
  </r>
  <r>
    <x v="1721"/>
    <x v="774"/>
    <x v="2"/>
    <x v="2"/>
    <n v="770.91"/>
    <n v="0"/>
    <x v="5"/>
    <x v="4"/>
    <s v="AutoPost 1721"/>
    <s v="AUD"/>
    <x v="17"/>
    <x v="1718"/>
  </r>
  <r>
    <x v="1722"/>
    <x v="20"/>
    <x v="4"/>
    <x v="4"/>
    <n v="0"/>
    <n v="3597.73"/>
    <x v="0"/>
    <x v="1"/>
    <s v="AutoPost 1722"/>
    <s v="CAD"/>
    <x v="16"/>
    <x v="1719"/>
  </r>
  <r>
    <x v="1723"/>
    <x v="402"/>
    <x v="1"/>
    <x v="1"/>
    <n v="468"/>
    <n v="0"/>
    <x v="4"/>
    <x v="4"/>
    <s v="AutoPost 1723"/>
    <s v="USD"/>
    <x v="13"/>
    <x v="1720"/>
  </r>
  <r>
    <x v="1724"/>
    <x v="367"/>
    <x v="2"/>
    <x v="2"/>
    <n v="1093.3800000000001"/>
    <n v="0"/>
    <x v="2"/>
    <x v="1"/>
    <s v="AutoPost 1724"/>
    <s v="AUD"/>
    <x v="0"/>
    <x v="1721"/>
  </r>
  <r>
    <x v="1725"/>
    <x v="195"/>
    <x v="4"/>
    <x v="4"/>
    <n v="0"/>
    <n v="1791.26"/>
    <x v="2"/>
    <x v="3"/>
    <s v="AutoPost 1725"/>
    <s v="USD"/>
    <x v="0"/>
    <x v="1722"/>
  </r>
  <r>
    <x v="1726"/>
    <x v="775"/>
    <x v="4"/>
    <x v="4"/>
    <n v="0"/>
    <n v="2175.02"/>
    <x v="1"/>
    <x v="2"/>
    <s v="AutoPost 1726"/>
    <s v="GBP"/>
    <x v="12"/>
    <x v="1723"/>
  </r>
  <r>
    <x v="1727"/>
    <x v="711"/>
    <x v="2"/>
    <x v="2"/>
    <n v="1574.77"/>
    <n v="0"/>
    <x v="0"/>
    <x v="0"/>
    <s v="AutoPost 1727"/>
    <s v="CAD"/>
    <x v="2"/>
    <x v="1724"/>
  </r>
  <r>
    <x v="1728"/>
    <x v="776"/>
    <x v="1"/>
    <x v="1"/>
    <n v="1527.19"/>
    <n v="0"/>
    <x v="5"/>
    <x v="4"/>
    <s v="AutoPost 1728"/>
    <s v="GBP"/>
    <x v="2"/>
    <x v="1725"/>
  </r>
  <r>
    <x v="1729"/>
    <x v="740"/>
    <x v="3"/>
    <x v="3"/>
    <n v="235.69"/>
    <n v="0"/>
    <x v="5"/>
    <x v="1"/>
    <s v="AutoPost 1729"/>
    <s v="AUD"/>
    <x v="6"/>
    <x v="1726"/>
  </r>
  <r>
    <x v="1730"/>
    <x v="48"/>
    <x v="4"/>
    <x v="4"/>
    <n v="0"/>
    <n v="1732.54"/>
    <x v="1"/>
    <x v="3"/>
    <s v="AutoPost 1730"/>
    <s v="USD"/>
    <x v="18"/>
    <x v="1727"/>
  </r>
  <r>
    <x v="1731"/>
    <x v="149"/>
    <x v="4"/>
    <x v="4"/>
    <n v="0"/>
    <n v="2626.2"/>
    <x v="0"/>
    <x v="2"/>
    <s v="AutoPost 1731"/>
    <s v="CAD"/>
    <x v="28"/>
    <x v="1728"/>
  </r>
  <r>
    <x v="1732"/>
    <x v="528"/>
    <x v="3"/>
    <x v="3"/>
    <n v="1253"/>
    <n v="0"/>
    <x v="0"/>
    <x v="0"/>
    <s v="AutoPost 1732"/>
    <s v="EUR"/>
    <x v="18"/>
    <x v="1729"/>
  </r>
  <r>
    <x v="1733"/>
    <x v="94"/>
    <x v="1"/>
    <x v="1"/>
    <n v="698.8"/>
    <n v="0"/>
    <x v="2"/>
    <x v="4"/>
    <s v="AutoPost 1733"/>
    <s v="CAD"/>
    <x v="2"/>
    <x v="1730"/>
  </r>
  <r>
    <x v="1734"/>
    <x v="745"/>
    <x v="0"/>
    <x v="0"/>
    <n v="0"/>
    <n v="1651.12"/>
    <x v="3"/>
    <x v="0"/>
    <s v="AutoPost 1734"/>
    <s v="AUD"/>
    <x v="16"/>
    <x v="1731"/>
  </r>
  <r>
    <x v="1735"/>
    <x v="229"/>
    <x v="4"/>
    <x v="4"/>
    <n v="0"/>
    <n v="4999.53"/>
    <x v="4"/>
    <x v="0"/>
    <s v="AutoPost 1735"/>
    <s v="CAD"/>
    <x v="0"/>
    <x v="1732"/>
  </r>
  <r>
    <x v="1736"/>
    <x v="326"/>
    <x v="1"/>
    <x v="1"/>
    <n v="600.07000000000005"/>
    <n v="0"/>
    <x v="1"/>
    <x v="1"/>
    <s v="AutoPost 1736"/>
    <s v="EUR"/>
    <x v="5"/>
    <x v="1733"/>
  </r>
  <r>
    <x v="1737"/>
    <x v="338"/>
    <x v="2"/>
    <x v="2"/>
    <n v="1136.96"/>
    <n v="0"/>
    <x v="5"/>
    <x v="3"/>
    <s v="AutoPost 1737"/>
    <s v="USD"/>
    <x v="29"/>
    <x v="1734"/>
  </r>
  <r>
    <x v="1738"/>
    <x v="688"/>
    <x v="4"/>
    <x v="4"/>
    <n v="0"/>
    <n v="3007.82"/>
    <x v="5"/>
    <x v="4"/>
    <s v="AutoPost 1738"/>
    <s v="USD"/>
    <x v="16"/>
    <x v="1735"/>
  </r>
  <r>
    <x v="1739"/>
    <x v="777"/>
    <x v="4"/>
    <x v="4"/>
    <n v="0"/>
    <n v="2023.01"/>
    <x v="3"/>
    <x v="4"/>
    <s v="AutoPost 1739"/>
    <s v="GBP"/>
    <x v="21"/>
    <x v="1736"/>
  </r>
  <r>
    <x v="1740"/>
    <x v="207"/>
    <x v="0"/>
    <x v="0"/>
    <n v="0"/>
    <n v="3884.34"/>
    <x v="2"/>
    <x v="0"/>
    <s v="AutoPost 1740"/>
    <s v="GBP"/>
    <x v="7"/>
    <x v="1737"/>
  </r>
  <r>
    <x v="1741"/>
    <x v="413"/>
    <x v="0"/>
    <x v="0"/>
    <n v="0"/>
    <n v="225.78"/>
    <x v="3"/>
    <x v="2"/>
    <s v="AutoPost 1741"/>
    <s v="EUR"/>
    <x v="11"/>
    <x v="1738"/>
  </r>
  <r>
    <x v="1742"/>
    <x v="227"/>
    <x v="0"/>
    <x v="0"/>
    <n v="0"/>
    <n v="2518.37"/>
    <x v="2"/>
    <x v="3"/>
    <s v="AutoPost 1742"/>
    <s v="AUD"/>
    <x v="10"/>
    <x v="1739"/>
  </r>
  <r>
    <x v="1743"/>
    <x v="778"/>
    <x v="1"/>
    <x v="1"/>
    <n v="847.09"/>
    <n v="0"/>
    <x v="4"/>
    <x v="3"/>
    <s v="AutoPost 1743"/>
    <s v="GBP"/>
    <x v="26"/>
    <x v="1740"/>
  </r>
  <r>
    <x v="1744"/>
    <x v="770"/>
    <x v="2"/>
    <x v="2"/>
    <n v="121.29"/>
    <n v="0"/>
    <x v="5"/>
    <x v="2"/>
    <s v="AutoPost 1744"/>
    <s v="EUR"/>
    <x v="11"/>
    <x v="1741"/>
  </r>
  <r>
    <x v="1745"/>
    <x v="266"/>
    <x v="2"/>
    <x v="2"/>
    <n v="1357.35"/>
    <n v="0"/>
    <x v="3"/>
    <x v="1"/>
    <s v="AutoPost 1745"/>
    <s v="USD"/>
    <x v="7"/>
    <x v="1742"/>
  </r>
  <r>
    <x v="1746"/>
    <x v="634"/>
    <x v="4"/>
    <x v="4"/>
    <n v="0"/>
    <n v="1658.15"/>
    <x v="5"/>
    <x v="2"/>
    <s v="AutoPost 1746"/>
    <s v="CAD"/>
    <x v="29"/>
    <x v="1743"/>
  </r>
  <r>
    <x v="1747"/>
    <x v="779"/>
    <x v="3"/>
    <x v="3"/>
    <n v="759.41"/>
    <n v="0"/>
    <x v="4"/>
    <x v="0"/>
    <s v="AutoPost 1747"/>
    <s v="AUD"/>
    <x v="2"/>
    <x v="1744"/>
  </r>
  <r>
    <x v="1748"/>
    <x v="285"/>
    <x v="0"/>
    <x v="0"/>
    <n v="0"/>
    <n v="4703.2"/>
    <x v="5"/>
    <x v="2"/>
    <s v="AutoPost 1748"/>
    <s v="EUR"/>
    <x v="9"/>
    <x v="1745"/>
  </r>
  <r>
    <x v="1749"/>
    <x v="183"/>
    <x v="4"/>
    <x v="4"/>
    <n v="0"/>
    <n v="528.16999999999996"/>
    <x v="3"/>
    <x v="3"/>
    <s v="AutoPost 1749"/>
    <s v="EUR"/>
    <x v="4"/>
    <x v="1746"/>
  </r>
  <r>
    <x v="1750"/>
    <x v="6"/>
    <x v="0"/>
    <x v="0"/>
    <n v="0"/>
    <n v="4978.6499999999996"/>
    <x v="2"/>
    <x v="0"/>
    <s v="AutoPost 1750"/>
    <s v="USD"/>
    <x v="4"/>
    <x v="1747"/>
  </r>
  <r>
    <x v="1751"/>
    <x v="173"/>
    <x v="2"/>
    <x v="2"/>
    <n v="912.48"/>
    <n v="0"/>
    <x v="4"/>
    <x v="0"/>
    <s v="AutoPost 1751"/>
    <s v="EUR"/>
    <x v="19"/>
    <x v="1748"/>
  </r>
  <r>
    <x v="1752"/>
    <x v="610"/>
    <x v="0"/>
    <x v="0"/>
    <n v="0"/>
    <n v="3719.23"/>
    <x v="2"/>
    <x v="4"/>
    <s v="AutoPost 1752"/>
    <s v="GBP"/>
    <x v="13"/>
    <x v="1749"/>
  </r>
  <r>
    <x v="1753"/>
    <x v="779"/>
    <x v="1"/>
    <x v="1"/>
    <n v="136.12"/>
    <n v="0"/>
    <x v="2"/>
    <x v="4"/>
    <s v="AutoPost 1753"/>
    <s v="GBP"/>
    <x v="2"/>
    <x v="1750"/>
  </r>
  <r>
    <x v="1754"/>
    <x v="780"/>
    <x v="1"/>
    <x v="1"/>
    <n v="501.66"/>
    <n v="0"/>
    <x v="5"/>
    <x v="2"/>
    <s v="AutoPost 1754"/>
    <s v="AUD"/>
    <x v="15"/>
    <x v="1751"/>
  </r>
  <r>
    <x v="1755"/>
    <x v="5"/>
    <x v="4"/>
    <x v="4"/>
    <n v="0"/>
    <n v="4477.99"/>
    <x v="5"/>
    <x v="1"/>
    <s v="AutoPost 1755"/>
    <s v="GBP"/>
    <x v="5"/>
    <x v="1752"/>
  </r>
  <r>
    <x v="1756"/>
    <x v="28"/>
    <x v="1"/>
    <x v="1"/>
    <n v="310.49"/>
    <n v="0"/>
    <x v="1"/>
    <x v="3"/>
    <s v="AutoPost 1756"/>
    <s v="USD"/>
    <x v="13"/>
    <x v="1753"/>
  </r>
  <r>
    <x v="1757"/>
    <x v="195"/>
    <x v="3"/>
    <x v="3"/>
    <n v="1687.77"/>
    <n v="0"/>
    <x v="3"/>
    <x v="3"/>
    <s v="AutoPost 1757"/>
    <s v="CAD"/>
    <x v="0"/>
    <x v="1754"/>
  </r>
  <r>
    <x v="1758"/>
    <x v="538"/>
    <x v="4"/>
    <x v="4"/>
    <n v="0"/>
    <n v="3606.68"/>
    <x v="0"/>
    <x v="0"/>
    <s v="AutoPost 1758"/>
    <s v="CAD"/>
    <x v="16"/>
    <x v="1755"/>
  </r>
  <r>
    <x v="1759"/>
    <x v="448"/>
    <x v="3"/>
    <x v="3"/>
    <n v="1726.93"/>
    <n v="0"/>
    <x v="4"/>
    <x v="2"/>
    <s v="AutoPost 1759"/>
    <s v="AUD"/>
    <x v="8"/>
    <x v="1756"/>
  </r>
  <r>
    <x v="1760"/>
    <x v="732"/>
    <x v="4"/>
    <x v="4"/>
    <n v="0"/>
    <n v="4091.1"/>
    <x v="5"/>
    <x v="0"/>
    <s v="AutoPost 1760"/>
    <s v="AUD"/>
    <x v="18"/>
    <x v="1757"/>
  </r>
  <r>
    <x v="1761"/>
    <x v="223"/>
    <x v="1"/>
    <x v="1"/>
    <n v="1712.78"/>
    <n v="0"/>
    <x v="2"/>
    <x v="4"/>
    <s v="AutoPost 1761"/>
    <s v="AUD"/>
    <x v="17"/>
    <x v="1758"/>
  </r>
  <r>
    <x v="1762"/>
    <x v="781"/>
    <x v="4"/>
    <x v="4"/>
    <n v="0"/>
    <n v="4088.16"/>
    <x v="1"/>
    <x v="3"/>
    <s v="AutoPost 1762"/>
    <s v="EUR"/>
    <x v="29"/>
    <x v="1759"/>
  </r>
  <r>
    <x v="1763"/>
    <x v="615"/>
    <x v="1"/>
    <x v="1"/>
    <n v="1941.5"/>
    <n v="0"/>
    <x v="2"/>
    <x v="0"/>
    <s v="AutoPost 1763"/>
    <s v="GBP"/>
    <x v="22"/>
    <x v="1760"/>
  </r>
  <r>
    <x v="1764"/>
    <x v="304"/>
    <x v="3"/>
    <x v="3"/>
    <n v="1945.41"/>
    <n v="0"/>
    <x v="3"/>
    <x v="0"/>
    <s v="AutoPost 1764"/>
    <s v="GBP"/>
    <x v="20"/>
    <x v="1761"/>
  </r>
  <r>
    <x v="1765"/>
    <x v="738"/>
    <x v="1"/>
    <x v="1"/>
    <n v="1421.11"/>
    <n v="0"/>
    <x v="2"/>
    <x v="3"/>
    <s v="AutoPost 1765"/>
    <s v="CAD"/>
    <x v="11"/>
    <x v="1762"/>
  </r>
  <r>
    <x v="1766"/>
    <x v="782"/>
    <x v="3"/>
    <x v="3"/>
    <n v="289.94"/>
    <n v="0"/>
    <x v="5"/>
    <x v="3"/>
    <s v="AutoPost 1766"/>
    <s v="USD"/>
    <x v="24"/>
    <x v="1763"/>
  </r>
  <r>
    <x v="1767"/>
    <x v="183"/>
    <x v="3"/>
    <x v="3"/>
    <n v="1061.21"/>
    <n v="0"/>
    <x v="4"/>
    <x v="2"/>
    <s v="AutoPost 1767"/>
    <s v="USD"/>
    <x v="4"/>
    <x v="1764"/>
  </r>
  <r>
    <x v="1768"/>
    <x v="332"/>
    <x v="0"/>
    <x v="0"/>
    <n v="0"/>
    <n v="2682.77"/>
    <x v="1"/>
    <x v="3"/>
    <s v="AutoPost 1768"/>
    <s v="GBP"/>
    <x v="24"/>
    <x v="1765"/>
  </r>
  <r>
    <x v="1769"/>
    <x v="756"/>
    <x v="4"/>
    <x v="4"/>
    <n v="0"/>
    <n v="250.7"/>
    <x v="4"/>
    <x v="3"/>
    <s v="AutoPost 1769"/>
    <s v="CAD"/>
    <x v="5"/>
    <x v="1766"/>
  </r>
  <r>
    <x v="1770"/>
    <x v="319"/>
    <x v="1"/>
    <x v="1"/>
    <n v="1995.64"/>
    <n v="0"/>
    <x v="3"/>
    <x v="0"/>
    <s v="AutoPost 1770"/>
    <s v="USD"/>
    <x v="28"/>
    <x v="1767"/>
  </r>
  <r>
    <x v="1771"/>
    <x v="586"/>
    <x v="3"/>
    <x v="3"/>
    <n v="1268.68"/>
    <n v="0"/>
    <x v="1"/>
    <x v="0"/>
    <s v="AutoPost 1771"/>
    <s v="EUR"/>
    <x v="22"/>
    <x v="1768"/>
  </r>
  <r>
    <x v="1772"/>
    <x v="168"/>
    <x v="1"/>
    <x v="1"/>
    <n v="1700.66"/>
    <n v="0"/>
    <x v="0"/>
    <x v="0"/>
    <s v="AutoPost 1772"/>
    <s v="CAD"/>
    <x v="29"/>
    <x v="1769"/>
  </r>
  <r>
    <x v="1773"/>
    <x v="67"/>
    <x v="2"/>
    <x v="2"/>
    <n v="335.24"/>
    <n v="0"/>
    <x v="4"/>
    <x v="1"/>
    <s v="AutoPost 1773"/>
    <s v="GBP"/>
    <x v="19"/>
    <x v="1770"/>
  </r>
  <r>
    <x v="1774"/>
    <x v="636"/>
    <x v="2"/>
    <x v="2"/>
    <n v="705.25"/>
    <n v="0"/>
    <x v="1"/>
    <x v="2"/>
    <s v="AutoPost 1774"/>
    <s v="AUD"/>
    <x v="1"/>
    <x v="1771"/>
  </r>
  <r>
    <x v="1775"/>
    <x v="4"/>
    <x v="1"/>
    <x v="1"/>
    <n v="1859.77"/>
    <n v="0"/>
    <x v="5"/>
    <x v="4"/>
    <s v="AutoPost 1775"/>
    <s v="AUD"/>
    <x v="4"/>
    <x v="1772"/>
  </r>
  <r>
    <x v="1776"/>
    <x v="564"/>
    <x v="2"/>
    <x v="2"/>
    <n v="1672.52"/>
    <n v="0"/>
    <x v="0"/>
    <x v="1"/>
    <s v="AutoPost 1776"/>
    <s v="EUR"/>
    <x v="6"/>
    <x v="1773"/>
  </r>
  <r>
    <x v="1777"/>
    <x v="269"/>
    <x v="2"/>
    <x v="2"/>
    <n v="692.89"/>
    <n v="0"/>
    <x v="1"/>
    <x v="2"/>
    <s v="AutoPost 1777"/>
    <s v="GBP"/>
    <x v="0"/>
    <x v="1774"/>
  </r>
  <r>
    <x v="1778"/>
    <x v="178"/>
    <x v="3"/>
    <x v="3"/>
    <n v="324.08"/>
    <n v="0"/>
    <x v="0"/>
    <x v="3"/>
    <s v="AutoPost 1778"/>
    <s v="CAD"/>
    <x v="18"/>
    <x v="1775"/>
  </r>
  <r>
    <x v="1779"/>
    <x v="783"/>
    <x v="2"/>
    <x v="2"/>
    <n v="1164.05"/>
    <n v="0"/>
    <x v="5"/>
    <x v="0"/>
    <s v="AutoPost 1779"/>
    <s v="USD"/>
    <x v="15"/>
    <x v="1776"/>
  </r>
  <r>
    <x v="1780"/>
    <x v="784"/>
    <x v="0"/>
    <x v="0"/>
    <n v="0"/>
    <n v="778.57"/>
    <x v="3"/>
    <x v="4"/>
    <s v="AutoPost 1780"/>
    <s v="AUD"/>
    <x v="0"/>
    <x v="1777"/>
  </r>
  <r>
    <x v="1781"/>
    <x v="424"/>
    <x v="2"/>
    <x v="2"/>
    <n v="670.62"/>
    <n v="0"/>
    <x v="1"/>
    <x v="2"/>
    <s v="AutoPost 1781"/>
    <s v="GBP"/>
    <x v="4"/>
    <x v="1778"/>
  </r>
  <r>
    <x v="1782"/>
    <x v="106"/>
    <x v="2"/>
    <x v="2"/>
    <n v="887.17"/>
    <n v="0"/>
    <x v="2"/>
    <x v="0"/>
    <s v="AutoPost 1782"/>
    <s v="EUR"/>
    <x v="15"/>
    <x v="1779"/>
  </r>
  <r>
    <x v="1783"/>
    <x v="478"/>
    <x v="3"/>
    <x v="3"/>
    <n v="680.13"/>
    <n v="0"/>
    <x v="2"/>
    <x v="3"/>
    <s v="AutoPost 1783"/>
    <s v="AUD"/>
    <x v="16"/>
    <x v="1780"/>
  </r>
  <r>
    <x v="1784"/>
    <x v="383"/>
    <x v="4"/>
    <x v="4"/>
    <n v="0"/>
    <n v="841.83"/>
    <x v="0"/>
    <x v="0"/>
    <s v="AutoPost 1784"/>
    <s v="AUD"/>
    <x v="0"/>
    <x v="1781"/>
  </r>
  <r>
    <x v="1785"/>
    <x v="733"/>
    <x v="4"/>
    <x v="4"/>
    <n v="0"/>
    <n v="302.97000000000003"/>
    <x v="2"/>
    <x v="1"/>
    <s v="AutoPost 1785"/>
    <s v="USD"/>
    <x v="19"/>
    <x v="1782"/>
  </r>
  <r>
    <x v="1786"/>
    <x v="40"/>
    <x v="1"/>
    <x v="1"/>
    <n v="80.23"/>
    <n v="0"/>
    <x v="1"/>
    <x v="3"/>
    <s v="AutoPost 1786"/>
    <s v="CAD"/>
    <x v="23"/>
    <x v="1783"/>
  </r>
  <r>
    <x v="1787"/>
    <x v="266"/>
    <x v="1"/>
    <x v="1"/>
    <n v="338.61"/>
    <n v="0"/>
    <x v="4"/>
    <x v="2"/>
    <s v="AutoPost 1787"/>
    <s v="USD"/>
    <x v="7"/>
    <x v="1784"/>
  </r>
  <r>
    <x v="1788"/>
    <x v="785"/>
    <x v="1"/>
    <x v="1"/>
    <n v="1098.3699999999999"/>
    <n v="0"/>
    <x v="4"/>
    <x v="4"/>
    <s v="AutoPost 1788"/>
    <s v="USD"/>
    <x v="18"/>
    <x v="1785"/>
  </r>
  <r>
    <x v="1789"/>
    <x v="733"/>
    <x v="0"/>
    <x v="0"/>
    <n v="0"/>
    <n v="2290.62"/>
    <x v="0"/>
    <x v="3"/>
    <s v="AutoPost 1789"/>
    <s v="CAD"/>
    <x v="19"/>
    <x v="1786"/>
  </r>
  <r>
    <x v="1790"/>
    <x v="205"/>
    <x v="3"/>
    <x v="3"/>
    <n v="1294.49"/>
    <n v="0"/>
    <x v="1"/>
    <x v="4"/>
    <s v="AutoPost 1790"/>
    <s v="CAD"/>
    <x v="4"/>
    <x v="1787"/>
  </r>
  <r>
    <x v="1791"/>
    <x v="159"/>
    <x v="3"/>
    <x v="3"/>
    <n v="877.51"/>
    <n v="0"/>
    <x v="4"/>
    <x v="4"/>
    <s v="AutoPost 1791"/>
    <s v="CAD"/>
    <x v="13"/>
    <x v="1788"/>
  </r>
  <r>
    <x v="1792"/>
    <x v="518"/>
    <x v="0"/>
    <x v="0"/>
    <n v="0"/>
    <n v="2987.63"/>
    <x v="1"/>
    <x v="2"/>
    <s v="AutoPost 1792"/>
    <s v="EUR"/>
    <x v="10"/>
    <x v="1789"/>
  </r>
  <r>
    <x v="1793"/>
    <x v="786"/>
    <x v="1"/>
    <x v="1"/>
    <n v="1925.26"/>
    <n v="0"/>
    <x v="4"/>
    <x v="1"/>
    <s v="AutoPost 1793"/>
    <s v="GBP"/>
    <x v="20"/>
    <x v="1790"/>
  </r>
  <r>
    <x v="1794"/>
    <x v="787"/>
    <x v="0"/>
    <x v="0"/>
    <n v="0"/>
    <n v="1216.3499999999999"/>
    <x v="4"/>
    <x v="3"/>
    <s v="AutoPost 1794"/>
    <s v="CAD"/>
    <x v="16"/>
    <x v="1791"/>
  </r>
  <r>
    <x v="1795"/>
    <x v="498"/>
    <x v="3"/>
    <x v="3"/>
    <n v="1553.28"/>
    <n v="0"/>
    <x v="3"/>
    <x v="1"/>
    <s v="AutoPost 1795"/>
    <s v="USD"/>
    <x v="12"/>
    <x v="1792"/>
  </r>
  <r>
    <x v="1796"/>
    <x v="373"/>
    <x v="0"/>
    <x v="0"/>
    <n v="0"/>
    <n v="1122.51"/>
    <x v="3"/>
    <x v="4"/>
    <s v="AutoPost 1796"/>
    <s v="USD"/>
    <x v="21"/>
    <x v="1793"/>
  </r>
  <r>
    <x v="1797"/>
    <x v="177"/>
    <x v="2"/>
    <x v="2"/>
    <n v="1893.28"/>
    <n v="0"/>
    <x v="3"/>
    <x v="2"/>
    <s v="AutoPost 1797"/>
    <s v="AUD"/>
    <x v="24"/>
    <x v="1794"/>
  </r>
  <r>
    <x v="1798"/>
    <x v="72"/>
    <x v="1"/>
    <x v="1"/>
    <n v="1667.55"/>
    <n v="0"/>
    <x v="1"/>
    <x v="0"/>
    <s v="AutoPost 1798"/>
    <s v="EUR"/>
    <x v="15"/>
    <x v="1795"/>
  </r>
  <r>
    <x v="1799"/>
    <x v="199"/>
    <x v="1"/>
    <x v="1"/>
    <n v="1448.96"/>
    <n v="0"/>
    <x v="0"/>
    <x v="4"/>
    <s v="AutoPost 1799"/>
    <s v="USD"/>
    <x v="6"/>
    <x v="1796"/>
  </r>
  <r>
    <x v="1800"/>
    <x v="788"/>
    <x v="3"/>
    <x v="3"/>
    <n v="292.83999999999997"/>
    <n v="0"/>
    <x v="3"/>
    <x v="3"/>
    <s v="AutoPost 1800"/>
    <s v="USD"/>
    <x v="20"/>
    <x v="1797"/>
  </r>
  <r>
    <x v="1801"/>
    <x v="789"/>
    <x v="1"/>
    <x v="1"/>
    <n v="1746.92"/>
    <n v="0"/>
    <x v="2"/>
    <x v="1"/>
    <s v="AutoPost 1801"/>
    <s v="USD"/>
    <x v="9"/>
    <x v="1798"/>
  </r>
  <r>
    <x v="1802"/>
    <x v="62"/>
    <x v="2"/>
    <x v="2"/>
    <n v="870.1"/>
    <n v="0"/>
    <x v="4"/>
    <x v="2"/>
    <s v="AutoPost 1802"/>
    <s v="CAD"/>
    <x v="3"/>
    <x v="1799"/>
  </r>
  <r>
    <x v="1803"/>
    <x v="703"/>
    <x v="1"/>
    <x v="1"/>
    <n v="1451.54"/>
    <n v="0"/>
    <x v="2"/>
    <x v="3"/>
    <s v="AutoPost 1803"/>
    <s v="USD"/>
    <x v="18"/>
    <x v="1800"/>
  </r>
  <r>
    <x v="1804"/>
    <x v="215"/>
    <x v="4"/>
    <x v="4"/>
    <n v="0"/>
    <n v="905.45"/>
    <x v="0"/>
    <x v="0"/>
    <s v="AutoPost 1804"/>
    <s v="AUD"/>
    <x v="29"/>
    <x v="1801"/>
  </r>
  <r>
    <x v="1805"/>
    <x v="567"/>
    <x v="1"/>
    <x v="1"/>
    <n v="435.57"/>
    <n v="0"/>
    <x v="2"/>
    <x v="3"/>
    <s v="AutoPost 1805"/>
    <s v="USD"/>
    <x v="6"/>
    <x v="1802"/>
  </r>
  <r>
    <x v="1806"/>
    <x v="790"/>
    <x v="4"/>
    <x v="4"/>
    <n v="0"/>
    <n v="1129.92"/>
    <x v="5"/>
    <x v="4"/>
    <s v="AutoPost 1806"/>
    <s v="EUR"/>
    <x v="13"/>
    <x v="1803"/>
  </r>
  <r>
    <x v="1807"/>
    <x v="528"/>
    <x v="1"/>
    <x v="1"/>
    <n v="956.25"/>
    <n v="0"/>
    <x v="0"/>
    <x v="3"/>
    <s v="AutoPost 1807"/>
    <s v="EUR"/>
    <x v="18"/>
    <x v="1804"/>
  </r>
  <r>
    <x v="1808"/>
    <x v="415"/>
    <x v="1"/>
    <x v="1"/>
    <n v="1866.55"/>
    <n v="0"/>
    <x v="1"/>
    <x v="0"/>
    <s v="AutoPost 1808"/>
    <s v="EUR"/>
    <x v="26"/>
    <x v="1805"/>
  </r>
  <r>
    <x v="1809"/>
    <x v="791"/>
    <x v="1"/>
    <x v="1"/>
    <n v="1920.83"/>
    <n v="0"/>
    <x v="3"/>
    <x v="3"/>
    <s v="AutoPost 1809"/>
    <s v="CAD"/>
    <x v="19"/>
    <x v="1806"/>
  </r>
  <r>
    <x v="1810"/>
    <x v="792"/>
    <x v="0"/>
    <x v="0"/>
    <n v="0"/>
    <n v="4953.79"/>
    <x v="5"/>
    <x v="1"/>
    <s v="AutoPost 1810"/>
    <s v="CAD"/>
    <x v="10"/>
    <x v="1807"/>
  </r>
  <r>
    <x v="1811"/>
    <x v="480"/>
    <x v="1"/>
    <x v="1"/>
    <n v="1790.29"/>
    <n v="0"/>
    <x v="5"/>
    <x v="1"/>
    <s v="AutoPost 1811"/>
    <s v="GBP"/>
    <x v="0"/>
    <x v="1808"/>
  </r>
  <r>
    <x v="1812"/>
    <x v="25"/>
    <x v="0"/>
    <x v="0"/>
    <n v="0"/>
    <n v="523.59"/>
    <x v="1"/>
    <x v="3"/>
    <s v="AutoPost 1812"/>
    <s v="CAD"/>
    <x v="5"/>
    <x v="1809"/>
  </r>
  <r>
    <x v="1813"/>
    <x v="30"/>
    <x v="3"/>
    <x v="3"/>
    <n v="200.91"/>
    <n v="0"/>
    <x v="4"/>
    <x v="3"/>
    <s v="AutoPost 1813"/>
    <s v="USD"/>
    <x v="20"/>
    <x v="1810"/>
  </r>
  <r>
    <x v="1814"/>
    <x v="758"/>
    <x v="2"/>
    <x v="2"/>
    <n v="219.39"/>
    <n v="0"/>
    <x v="1"/>
    <x v="4"/>
    <s v="AutoPost 1814"/>
    <s v="CAD"/>
    <x v="10"/>
    <x v="1811"/>
  </r>
  <r>
    <x v="1815"/>
    <x v="43"/>
    <x v="3"/>
    <x v="3"/>
    <n v="1274.73"/>
    <n v="0"/>
    <x v="5"/>
    <x v="4"/>
    <s v="AutoPost 1815"/>
    <s v="CAD"/>
    <x v="18"/>
    <x v="1812"/>
  </r>
  <r>
    <x v="1816"/>
    <x v="249"/>
    <x v="1"/>
    <x v="1"/>
    <n v="692.56"/>
    <n v="0"/>
    <x v="0"/>
    <x v="0"/>
    <s v="AutoPost 1816"/>
    <s v="AUD"/>
    <x v="12"/>
    <x v="1813"/>
  </r>
  <r>
    <x v="1817"/>
    <x v="203"/>
    <x v="1"/>
    <x v="1"/>
    <n v="1914.11"/>
    <n v="0"/>
    <x v="5"/>
    <x v="3"/>
    <s v="AutoPost 1817"/>
    <s v="EUR"/>
    <x v="28"/>
    <x v="1814"/>
  </r>
  <r>
    <x v="1818"/>
    <x v="198"/>
    <x v="3"/>
    <x v="3"/>
    <n v="1033.2"/>
    <n v="0"/>
    <x v="1"/>
    <x v="0"/>
    <s v="AutoPost 1818"/>
    <s v="AUD"/>
    <x v="8"/>
    <x v="1815"/>
  </r>
  <r>
    <x v="1819"/>
    <x v="601"/>
    <x v="4"/>
    <x v="4"/>
    <n v="0"/>
    <n v="2648.51"/>
    <x v="3"/>
    <x v="1"/>
    <s v="AutoPost 1819"/>
    <s v="CAD"/>
    <x v="24"/>
    <x v="1816"/>
  </r>
  <r>
    <x v="1820"/>
    <x v="274"/>
    <x v="0"/>
    <x v="0"/>
    <n v="0"/>
    <n v="737.9"/>
    <x v="5"/>
    <x v="1"/>
    <s v="AutoPost 1820"/>
    <s v="EUR"/>
    <x v="17"/>
    <x v="1817"/>
  </r>
  <r>
    <x v="1821"/>
    <x v="685"/>
    <x v="2"/>
    <x v="2"/>
    <n v="323.47000000000003"/>
    <n v="0"/>
    <x v="3"/>
    <x v="2"/>
    <s v="AutoPost 1821"/>
    <s v="USD"/>
    <x v="6"/>
    <x v="1818"/>
  </r>
  <r>
    <x v="1822"/>
    <x v="605"/>
    <x v="3"/>
    <x v="3"/>
    <n v="728.68"/>
    <n v="0"/>
    <x v="1"/>
    <x v="1"/>
    <s v="AutoPost 1822"/>
    <s v="CAD"/>
    <x v="7"/>
    <x v="1819"/>
  </r>
  <r>
    <x v="1823"/>
    <x v="704"/>
    <x v="1"/>
    <x v="1"/>
    <n v="1625.93"/>
    <n v="0"/>
    <x v="3"/>
    <x v="0"/>
    <s v="AutoPost 1823"/>
    <s v="EUR"/>
    <x v="16"/>
    <x v="1820"/>
  </r>
  <r>
    <x v="1824"/>
    <x v="484"/>
    <x v="0"/>
    <x v="0"/>
    <n v="0"/>
    <n v="166.02"/>
    <x v="2"/>
    <x v="0"/>
    <s v="AutoPost 1824"/>
    <s v="EUR"/>
    <x v="21"/>
    <x v="1821"/>
  </r>
  <r>
    <x v="1825"/>
    <x v="437"/>
    <x v="1"/>
    <x v="1"/>
    <n v="510"/>
    <n v="0"/>
    <x v="2"/>
    <x v="2"/>
    <s v="AutoPost 1825"/>
    <s v="AUD"/>
    <x v="21"/>
    <x v="1822"/>
  </r>
  <r>
    <x v="1826"/>
    <x v="316"/>
    <x v="4"/>
    <x v="4"/>
    <n v="0"/>
    <n v="1743.21"/>
    <x v="5"/>
    <x v="2"/>
    <s v="AutoPost 1826"/>
    <s v="GBP"/>
    <x v="26"/>
    <x v="1823"/>
  </r>
  <r>
    <x v="1827"/>
    <x v="793"/>
    <x v="3"/>
    <x v="3"/>
    <n v="652.48"/>
    <n v="0"/>
    <x v="0"/>
    <x v="0"/>
    <s v="AutoPost 1827"/>
    <s v="AUD"/>
    <x v="21"/>
    <x v="1824"/>
  </r>
  <r>
    <x v="1828"/>
    <x v="33"/>
    <x v="1"/>
    <x v="1"/>
    <n v="710.38"/>
    <n v="0"/>
    <x v="0"/>
    <x v="4"/>
    <s v="AutoPost 1828"/>
    <s v="EUR"/>
    <x v="9"/>
    <x v="1825"/>
  </r>
  <r>
    <x v="1829"/>
    <x v="439"/>
    <x v="4"/>
    <x v="4"/>
    <n v="0"/>
    <n v="4569.3500000000004"/>
    <x v="0"/>
    <x v="3"/>
    <s v="AutoPost 1829"/>
    <s v="EUR"/>
    <x v="13"/>
    <x v="1826"/>
  </r>
  <r>
    <x v="1830"/>
    <x v="794"/>
    <x v="1"/>
    <x v="1"/>
    <n v="1247.49"/>
    <n v="0"/>
    <x v="4"/>
    <x v="2"/>
    <s v="AutoPost 1830"/>
    <s v="AUD"/>
    <x v="26"/>
    <x v="1827"/>
  </r>
  <r>
    <x v="1831"/>
    <x v="358"/>
    <x v="2"/>
    <x v="2"/>
    <n v="153.35"/>
    <n v="0"/>
    <x v="4"/>
    <x v="2"/>
    <s v="AutoPost 1831"/>
    <s v="CAD"/>
    <x v="1"/>
    <x v="1828"/>
  </r>
  <r>
    <x v="1832"/>
    <x v="795"/>
    <x v="4"/>
    <x v="4"/>
    <n v="0"/>
    <n v="432.36"/>
    <x v="0"/>
    <x v="2"/>
    <s v="AutoPost 1832"/>
    <s v="AUD"/>
    <x v="28"/>
    <x v="1829"/>
  </r>
  <r>
    <x v="1833"/>
    <x v="212"/>
    <x v="3"/>
    <x v="3"/>
    <n v="283.95999999999998"/>
    <n v="0"/>
    <x v="1"/>
    <x v="0"/>
    <s v="AutoPost 1833"/>
    <s v="USD"/>
    <x v="28"/>
    <x v="1830"/>
  </r>
  <r>
    <x v="1834"/>
    <x v="324"/>
    <x v="1"/>
    <x v="1"/>
    <n v="1915.58"/>
    <n v="0"/>
    <x v="4"/>
    <x v="4"/>
    <s v="AutoPost 1834"/>
    <s v="USD"/>
    <x v="24"/>
    <x v="1831"/>
  </r>
  <r>
    <x v="1835"/>
    <x v="24"/>
    <x v="1"/>
    <x v="1"/>
    <n v="229.78"/>
    <n v="0"/>
    <x v="3"/>
    <x v="3"/>
    <s v="AutoPost 1835"/>
    <s v="GBP"/>
    <x v="8"/>
    <x v="1093"/>
  </r>
  <r>
    <x v="1836"/>
    <x v="796"/>
    <x v="2"/>
    <x v="2"/>
    <n v="1583.41"/>
    <n v="0"/>
    <x v="1"/>
    <x v="0"/>
    <s v="AutoPost 1836"/>
    <s v="EUR"/>
    <x v="23"/>
    <x v="1832"/>
  </r>
  <r>
    <x v="1837"/>
    <x v="797"/>
    <x v="4"/>
    <x v="4"/>
    <n v="0"/>
    <n v="4316.26"/>
    <x v="1"/>
    <x v="4"/>
    <s v="AutoPost 1837"/>
    <s v="GBP"/>
    <x v="24"/>
    <x v="1833"/>
  </r>
  <r>
    <x v="1838"/>
    <x v="798"/>
    <x v="0"/>
    <x v="0"/>
    <n v="0"/>
    <n v="887.28"/>
    <x v="0"/>
    <x v="3"/>
    <s v="AutoPost 1838"/>
    <s v="EUR"/>
    <x v="1"/>
    <x v="1834"/>
  </r>
  <r>
    <x v="1839"/>
    <x v="66"/>
    <x v="4"/>
    <x v="4"/>
    <n v="0"/>
    <n v="1446.64"/>
    <x v="1"/>
    <x v="2"/>
    <s v="AutoPost 1839"/>
    <s v="EUR"/>
    <x v="19"/>
    <x v="1835"/>
  </r>
  <r>
    <x v="1840"/>
    <x v="500"/>
    <x v="3"/>
    <x v="3"/>
    <n v="794.56"/>
    <n v="0"/>
    <x v="5"/>
    <x v="4"/>
    <s v="AutoPost 1840"/>
    <s v="USD"/>
    <x v="10"/>
    <x v="1836"/>
  </r>
  <r>
    <x v="1841"/>
    <x v="458"/>
    <x v="0"/>
    <x v="0"/>
    <n v="0"/>
    <n v="1094.51"/>
    <x v="1"/>
    <x v="2"/>
    <s v="AutoPost 1841"/>
    <s v="USD"/>
    <x v="18"/>
    <x v="1837"/>
  </r>
  <r>
    <x v="1842"/>
    <x v="524"/>
    <x v="4"/>
    <x v="4"/>
    <n v="0"/>
    <n v="1492.82"/>
    <x v="2"/>
    <x v="3"/>
    <s v="AutoPost 1842"/>
    <s v="USD"/>
    <x v="0"/>
    <x v="1838"/>
  </r>
  <r>
    <x v="1843"/>
    <x v="38"/>
    <x v="0"/>
    <x v="0"/>
    <n v="0"/>
    <n v="1521.98"/>
    <x v="3"/>
    <x v="2"/>
    <s v="AutoPost 1843"/>
    <s v="GBP"/>
    <x v="2"/>
    <x v="1839"/>
  </r>
  <r>
    <x v="1844"/>
    <x v="460"/>
    <x v="3"/>
    <x v="3"/>
    <n v="597.86"/>
    <n v="0"/>
    <x v="3"/>
    <x v="4"/>
    <s v="AutoPost 1844"/>
    <s v="EUR"/>
    <x v="25"/>
    <x v="1840"/>
  </r>
  <r>
    <x v="1845"/>
    <x v="526"/>
    <x v="2"/>
    <x v="2"/>
    <n v="106.18"/>
    <n v="0"/>
    <x v="3"/>
    <x v="3"/>
    <s v="AutoPost 1845"/>
    <s v="USD"/>
    <x v="20"/>
    <x v="1841"/>
  </r>
  <r>
    <x v="1846"/>
    <x v="274"/>
    <x v="3"/>
    <x v="3"/>
    <n v="446.48"/>
    <n v="0"/>
    <x v="0"/>
    <x v="3"/>
    <s v="AutoPost 1846"/>
    <s v="GBP"/>
    <x v="17"/>
    <x v="1842"/>
  </r>
  <r>
    <x v="1847"/>
    <x v="799"/>
    <x v="2"/>
    <x v="2"/>
    <n v="405.28"/>
    <n v="0"/>
    <x v="1"/>
    <x v="2"/>
    <s v="AutoPost 1847"/>
    <s v="GBP"/>
    <x v="23"/>
    <x v="1843"/>
  </r>
  <r>
    <x v="1848"/>
    <x v="344"/>
    <x v="1"/>
    <x v="1"/>
    <n v="1418.69"/>
    <n v="0"/>
    <x v="1"/>
    <x v="1"/>
    <s v="AutoPost 1848"/>
    <s v="USD"/>
    <x v="17"/>
    <x v="1844"/>
  </r>
  <r>
    <x v="1849"/>
    <x v="149"/>
    <x v="2"/>
    <x v="2"/>
    <n v="622.67999999999995"/>
    <n v="0"/>
    <x v="1"/>
    <x v="3"/>
    <s v="AutoPost 1849"/>
    <s v="USD"/>
    <x v="28"/>
    <x v="1845"/>
  </r>
  <r>
    <x v="1850"/>
    <x v="411"/>
    <x v="2"/>
    <x v="2"/>
    <n v="568.46"/>
    <n v="0"/>
    <x v="1"/>
    <x v="0"/>
    <s v="AutoPost 1850"/>
    <s v="AUD"/>
    <x v="15"/>
    <x v="1846"/>
  </r>
  <r>
    <x v="1851"/>
    <x v="759"/>
    <x v="1"/>
    <x v="1"/>
    <n v="544.71"/>
    <n v="0"/>
    <x v="5"/>
    <x v="4"/>
    <s v="AutoPost 1851"/>
    <s v="CAD"/>
    <x v="4"/>
    <x v="1847"/>
  </r>
  <r>
    <x v="1852"/>
    <x v="315"/>
    <x v="1"/>
    <x v="1"/>
    <n v="1849.24"/>
    <n v="0"/>
    <x v="3"/>
    <x v="2"/>
    <s v="AutoPost 1852"/>
    <s v="USD"/>
    <x v="14"/>
    <x v="1848"/>
  </r>
  <r>
    <x v="1853"/>
    <x v="514"/>
    <x v="2"/>
    <x v="2"/>
    <n v="499.11"/>
    <n v="0"/>
    <x v="0"/>
    <x v="4"/>
    <s v="AutoPost 1853"/>
    <s v="CAD"/>
    <x v="25"/>
    <x v="1849"/>
  </r>
  <r>
    <x v="1854"/>
    <x v="575"/>
    <x v="2"/>
    <x v="2"/>
    <n v="288.41000000000003"/>
    <n v="0"/>
    <x v="3"/>
    <x v="0"/>
    <s v="AutoPost 1854"/>
    <s v="GBP"/>
    <x v="0"/>
    <x v="1850"/>
  </r>
  <r>
    <x v="1855"/>
    <x v="549"/>
    <x v="4"/>
    <x v="4"/>
    <n v="0"/>
    <n v="4589.42"/>
    <x v="0"/>
    <x v="2"/>
    <s v="AutoPost 1855"/>
    <s v="EUR"/>
    <x v="8"/>
    <x v="1851"/>
  </r>
  <r>
    <x v="1856"/>
    <x v="477"/>
    <x v="4"/>
    <x v="4"/>
    <n v="0"/>
    <n v="4897.2299999999996"/>
    <x v="3"/>
    <x v="2"/>
    <s v="AutoPost 1856"/>
    <s v="CAD"/>
    <x v="10"/>
    <x v="1852"/>
  </r>
  <r>
    <x v="1857"/>
    <x v="0"/>
    <x v="4"/>
    <x v="4"/>
    <n v="0"/>
    <n v="4365.5600000000004"/>
    <x v="5"/>
    <x v="1"/>
    <s v="AutoPost 1857"/>
    <s v="GBP"/>
    <x v="0"/>
    <x v="1853"/>
  </r>
  <r>
    <x v="1858"/>
    <x v="236"/>
    <x v="3"/>
    <x v="3"/>
    <n v="1569.69"/>
    <n v="0"/>
    <x v="1"/>
    <x v="2"/>
    <s v="AutoPost 1858"/>
    <s v="USD"/>
    <x v="2"/>
    <x v="1854"/>
  </r>
  <r>
    <x v="1859"/>
    <x v="489"/>
    <x v="2"/>
    <x v="2"/>
    <n v="1592.97"/>
    <n v="0"/>
    <x v="1"/>
    <x v="3"/>
    <s v="AutoPost 1859"/>
    <s v="GBP"/>
    <x v="19"/>
    <x v="1855"/>
  </r>
  <r>
    <x v="1860"/>
    <x v="564"/>
    <x v="4"/>
    <x v="4"/>
    <n v="0"/>
    <n v="871.59"/>
    <x v="4"/>
    <x v="3"/>
    <s v="AutoPost 1860"/>
    <s v="USD"/>
    <x v="6"/>
    <x v="1856"/>
  </r>
  <r>
    <x v="1861"/>
    <x v="448"/>
    <x v="1"/>
    <x v="1"/>
    <n v="585.89"/>
    <n v="0"/>
    <x v="1"/>
    <x v="1"/>
    <s v="AutoPost 1861"/>
    <s v="EUR"/>
    <x v="8"/>
    <x v="1857"/>
  </r>
  <r>
    <x v="1862"/>
    <x v="765"/>
    <x v="1"/>
    <x v="1"/>
    <n v="1221.74"/>
    <n v="0"/>
    <x v="5"/>
    <x v="0"/>
    <s v="AutoPost 1862"/>
    <s v="EUR"/>
    <x v="29"/>
    <x v="1858"/>
  </r>
  <r>
    <x v="1863"/>
    <x v="180"/>
    <x v="0"/>
    <x v="0"/>
    <n v="0"/>
    <n v="4982.43"/>
    <x v="3"/>
    <x v="1"/>
    <s v="AutoPost 1863"/>
    <s v="GBP"/>
    <x v="11"/>
    <x v="1859"/>
  </r>
  <r>
    <x v="1864"/>
    <x v="800"/>
    <x v="1"/>
    <x v="1"/>
    <n v="1723.01"/>
    <n v="0"/>
    <x v="2"/>
    <x v="4"/>
    <s v="AutoPost 1864"/>
    <s v="AUD"/>
    <x v="10"/>
    <x v="1860"/>
  </r>
  <r>
    <x v="1865"/>
    <x v="194"/>
    <x v="3"/>
    <x v="3"/>
    <n v="1741.23"/>
    <n v="0"/>
    <x v="1"/>
    <x v="2"/>
    <s v="AutoPost 1865"/>
    <s v="GBP"/>
    <x v="23"/>
    <x v="1861"/>
  </r>
  <r>
    <x v="1866"/>
    <x v="271"/>
    <x v="2"/>
    <x v="2"/>
    <n v="1055.53"/>
    <n v="0"/>
    <x v="2"/>
    <x v="3"/>
    <s v="AutoPost 1866"/>
    <s v="GBP"/>
    <x v="11"/>
    <x v="1862"/>
  </r>
  <r>
    <x v="1867"/>
    <x v="336"/>
    <x v="2"/>
    <x v="2"/>
    <n v="349.69"/>
    <n v="0"/>
    <x v="4"/>
    <x v="4"/>
    <s v="AutoPost 1867"/>
    <s v="GBP"/>
    <x v="2"/>
    <x v="1863"/>
  </r>
  <r>
    <x v="1868"/>
    <x v="492"/>
    <x v="4"/>
    <x v="4"/>
    <n v="0"/>
    <n v="1886.23"/>
    <x v="0"/>
    <x v="0"/>
    <s v="AutoPost 1868"/>
    <s v="EUR"/>
    <x v="26"/>
    <x v="1864"/>
  </r>
  <r>
    <x v="1869"/>
    <x v="275"/>
    <x v="2"/>
    <x v="2"/>
    <n v="552.91"/>
    <n v="0"/>
    <x v="3"/>
    <x v="3"/>
    <s v="AutoPost 1869"/>
    <s v="AUD"/>
    <x v="6"/>
    <x v="1865"/>
  </r>
  <r>
    <x v="1870"/>
    <x v="87"/>
    <x v="4"/>
    <x v="4"/>
    <n v="0"/>
    <n v="258.08"/>
    <x v="4"/>
    <x v="1"/>
    <s v="AutoPost 1870"/>
    <s v="USD"/>
    <x v="10"/>
    <x v="1866"/>
  </r>
  <r>
    <x v="1871"/>
    <x v="432"/>
    <x v="3"/>
    <x v="3"/>
    <n v="1370.81"/>
    <n v="0"/>
    <x v="4"/>
    <x v="0"/>
    <s v="AutoPost 1871"/>
    <s v="AUD"/>
    <x v="5"/>
    <x v="1867"/>
  </r>
  <r>
    <x v="1872"/>
    <x v="701"/>
    <x v="2"/>
    <x v="2"/>
    <n v="1669.15"/>
    <n v="0"/>
    <x v="2"/>
    <x v="1"/>
    <s v="AutoPost 1872"/>
    <s v="USD"/>
    <x v="16"/>
    <x v="1868"/>
  </r>
  <r>
    <x v="1873"/>
    <x v="563"/>
    <x v="3"/>
    <x v="3"/>
    <n v="1711.71"/>
    <n v="0"/>
    <x v="0"/>
    <x v="2"/>
    <s v="AutoPost 1873"/>
    <s v="EUR"/>
    <x v="22"/>
    <x v="1869"/>
  </r>
  <r>
    <x v="1874"/>
    <x v="390"/>
    <x v="1"/>
    <x v="1"/>
    <n v="520.70000000000005"/>
    <n v="0"/>
    <x v="1"/>
    <x v="4"/>
    <s v="AutoPost 1874"/>
    <s v="USD"/>
    <x v="14"/>
    <x v="1870"/>
  </r>
  <r>
    <x v="1875"/>
    <x v="527"/>
    <x v="2"/>
    <x v="2"/>
    <n v="501.53"/>
    <n v="0"/>
    <x v="0"/>
    <x v="4"/>
    <s v="AutoPost 1875"/>
    <s v="USD"/>
    <x v="16"/>
    <x v="1871"/>
  </r>
  <r>
    <x v="1876"/>
    <x v="304"/>
    <x v="3"/>
    <x v="3"/>
    <n v="283.45"/>
    <n v="0"/>
    <x v="1"/>
    <x v="1"/>
    <s v="AutoPost 1876"/>
    <s v="USD"/>
    <x v="20"/>
    <x v="1872"/>
  </r>
  <r>
    <x v="1877"/>
    <x v="138"/>
    <x v="4"/>
    <x v="4"/>
    <n v="0"/>
    <n v="3079.85"/>
    <x v="1"/>
    <x v="1"/>
    <s v="AutoPost 1877"/>
    <s v="CAD"/>
    <x v="19"/>
    <x v="1873"/>
  </r>
  <r>
    <x v="1878"/>
    <x v="81"/>
    <x v="2"/>
    <x v="2"/>
    <n v="316.08"/>
    <n v="0"/>
    <x v="1"/>
    <x v="0"/>
    <s v="AutoPost 1878"/>
    <s v="CAD"/>
    <x v="27"/>
    <x v="1874"/>
  </r>
  <r>
    <x v="1879"/>
    <x v="192"/>
    <x v="3"/>
    <x v="3"/>
    <n v="1517.3"/>
    <n v="0"/>
    <x v="4"/>
    <x v="3"/>
    <s v="AutoPost 1879"/>
    <s v="AUD"/>
    <x v="11"/>
    <x v="1875"/>
  </r>
  <r>
    <x v="1880"/>
    <x v="334"/>
    <x v="1"/>
    <x v="1"/>
    <n v="1863.66"/>
    <n v="0"/>
    <x v="5"/>
    <x v="4"/>
    <s v="AutoPost 1880"/>
    <s v="CAD"/>
    <x v="21"/>
    <x v="1876"/>
  </r>
  <r>
    <x v="1881"/>
    <x v="1"/>
    <x v="1"/>
    <x v="1"/>
    <n v="146.04"/>
    <n v="0"/>
    <x v="5"/>
    <x v="2"/>
    <s v="AutoPost 1881"/>
    <s v="AUD"/>
    <x v="1"/>
    <x v="1877"/>
  </r>
  <r>
    <x v="1882"/>
    <x v="801"/>
    <x v="2"/>
    <x v="2"/>
    <n v="701.14"/>
    <n v="0"/>
    <x v="0"/>
    <x v="2"/>
    <s v="AutoPost 1882"/>
    <s v="EUR"/>
    <x v="27"/>
    <x v="1878"/>
  </r>
  <r>
    <x v="1883"/>
    <x v="712"/>
    <x v="3"/>
    <x v="3"/>
    <n v="1033.6199999999999"/>
    <n v="0"/>
    <x v="2"/>
    <x v="2"/>
    <s v="AutoPost 1883"/>
    <s v="USD"/>
    <x v="15"/>
    <x v="1879"/>
  </r>
  <r>
    <x v="1884"/>
    <x v="802"/>
    <x v="2"/>
    <x v="2"/>
    <n v="652.77"/>
    <n v="0"/>
    <x v="4"/>
    <x v="1"/>
    <s v="AutoPost 1884"/>
    <s v="USD"/>
    <x v="5"/>
    <x v="1880"/>
  </r>
  <r>
    <x v="1885"/>
    <x v="321"/>
    <x v="0"/>
    <x v="0"/>
    <n v="0"/>
    <n v="2202.71"/>
    <x v="0"/>
    <x v="2"/>
    <s v="AutoPost 1885"/>
    <s v="USD"/>
    <x v="17"/>
    <x v="1881"/>
  </r>
  <r>
    <x v="1886"/>
    <x v="706"/>
    <x v="2"/>
    <x v="2"/>
    <n v="1252.73"/>
    <n v="0"/>
    <x v="4"/>
    <x v="3"/>
    <s v="AutoPost 1886"/>
    <s v="USD"/>
    <x v="27"/>
    <x v="1882"/>
  </r>
  <r>
    <x v="1887"/>
    <x v="522"/>
    <x v="1"/>
    <x v="1"/>
    <n v="1422.61"/>
    <n v="0"/>
    <x v="1"/>
    <x v="3"/>
    <s v="AutoPost 1887"/>
    <s v="CAD"/>
    <x v="7"/>
    <x v="1883"/>
  </r>
  <r>
    <x v="1888"/>
    <x v="803"/>
    <x v="3"/>
    <x v="3"/>
    <n v="729.53"/>
    <n v="0"/>
    <x v="3"/>
    <x v="0"/>
    <s v="AutoPost 1888"/>
    <s v="EUR"/>
    <x v="19"/>
    <x v="1884"/>
  </r>
  <r>
    <x v="1889"/>
    <x v="315"/>
    <x v="3"/>
    <x v="3"/>
    <n v="1561.21"/>
    <n v="0"/>
    <x v="1"/>
    <x v="3"/>
    <s v="AutoPost 1889"/>
    <s v="USD"/>
    <x v="14"/>
    <x v="1885"/>
  </r>
  <r>
    <x v="1890"/>
    <x v="602"/>
    <x v="4"/>
    <x v="4"/>
    <n v="0"/>
    <n v="3774.32"/>
    <x v="5"/>
    <x v="1"/>
    <s v="AutoPost 1890"/>
    <s v="CAD"/>
    <x v="28"/>
    <x v="1886"/>
  </r>
  <r>
    <x v="1891"/>
    <x v="186"/>
    <x v="2"/>
    <x v="2"/>
    <n v="503.88"/>
    <n v="0"/>
    <x v="3"/>
    <x v="1"/>
    <s v="AutoPost 1891"/>
    <s v="EUR"/>
    <x v="4"/>
    <x v="1887"/>
  </r>
  <r>
    <x v="1892"/>
    <x v="296"/>
    <x v="4"/>
    <x v="4"/>
    <n v="0"/>
    <n v="2344.2199999999998"/>
    <x v="1"/>
    <x v="1"/>
    <s v="AutoPost 1892"/>
    <s v="EUR"/>
    <x v="27"/>
    <x v="1888"/>
  </r>
  <r>
    <x v="1893"/>
    <x v="728"/>
    <x v="3"/>
    <x v="3"/>
    <n v="1283.57"/>
    <n v="0"/>
    <x v="1"/>
    <x v="4"/>
    <s v="AutoPost 1893"/>
    <s v="CAD"/>
    <x v="20"/>
    <x v="1889"/>
  </r>
  <r>
    <x v="1894"/>
    <x v="681"/>
    <x v="4"/>
    <x v="4"/>
    <n v="0"/>
    <n v="1964.79"/>
    <x v="5"/>
    <x v="1"/>
    <s v="AutoPost 1894"/>
    <s v="AUD"/>
    <x v="21"/>
    <x v="1890"/>
  </r>
  <r>
    <x v="1895"/>
    <x v="804"/>
    <x v="4"/>
    <x v="4"/>
    <n v="0"/>
    <n v="3387.63"/>
    <x v="4"/>
    <x v="3"/>
    <s v="AutoPost 1895"/>
    <s v="EUR"/>
    <x v="21"/>
    <x v="1891"/>
  </r>
  <r>
    <x v="1896"/>
    <x v="519"/>
    <x v="2"/>
    <x v="2"/>
    <n v="1756.28"/>
    <n v="0"/>
    <x v="2"/>
    <x v="4"/>
    <s v="AutoPost 1896"/>
    <s v="EUR"/>
    <x v="4"/>
    <x v="1892"/>
  </r>
  <r>
    <x v="1897"/>
    <x v="80"/>
    <x v="2"/>
    <x v="2"/>
    <n v="938.88"/>
    <n v="0"/>
    <x v="1"/>
    <x v="4"/>
    <s v="AutoPost 1897"/>
    <s v="GBP"/>
    <x v="6"/>
    <x v="1893"/>
  </r>
  <r>
    <x v="1898"/>
    <x v="292"/>
    <x v="0"/>
    <x v="0"/>
    <n v="0"/>
    <n v="994.95"/>
    <x v="1"/>
    <x v="0"/>
    <s v="AutoPost 1898"/>
    <s v="CAD"/>
    <x v="23"/>
    <x v="1894"/>
  </r>
  <r>
    <x v="1899"/>
    <x v="659"/>
    <x v="1"/>
    <x v="1"/>
    <n v="1619.31"/>
    <n v="0"/>
    <x v="3"/>
    <x v="1"/>
    <s v="AutoPost 1899"/>
    <s v="AUD"/>
    <x v="21"/>
    <x v="1895"/>
  </r>
  <r>
    <x v="1900"/>
    <x v="784"/>
    <x v="4"/>
    <x v="4"/>
    <n v="0"/>
    <n v="2332.9299999999998"/>
    <x v="0"/>
    <x v="4"/>
    <s v="AutoPost 1900"/>
    <s v="USD"/>
    <x v="0"/>
    <x v="1896"/>
  </r>
  <r>
    <x v="1901"/>
    <x v="3"/>
    <x v="3"/>
    <x v="3"/>
    <n v="335.2"/>
    <n v="0"/>
    <x v="3"/>
    <x v="1"/>
    <s v="AutoPost 1901"/>
    <s v="USD"/>
    <x v="3"/>
    <x v="1897"/>
  </r>
  <r>
    <x v="1902"/>
    <x v="106"/>
    <x v="3"/>
    <x v="3"/>
    <n v="1838.96"/>
    <n v="0"/>
    <x v="5"/>
    <x v="3"/>
    <s v="AutoPost 1902"/>
    <s v="AUD"/>
    <x v="15"/>
    <x v="1898"/>
  </r>
  <r>
    <x v="1903"/>
    <x v="805"/>
    <x v="0"/>
    <x v="0"/>
    <n v="0"/>
    <n v="2599.65"/>
    <x v="1"/>
    <x v="1"/>
    <s v="AutoPost 1903"/>
    <s v="EUR"/>
    <x v="12"/>
    <x v="1899"/>
  </r>
  <r>
    <x v="1904"/>
    <x v="168"/>
    <x v="1"/>
    <x v="1"/>
    <n v="801.83"/>
    <n v="0"/>
    <x v="2"/>
    <x v="2"/>
    <s v="AutoPost 1904"/>
    <s v="USD"/>
    <x v="29"/>
    <x v="1900"/>
  </r>
  <r>
    <x v="1905"/>
    <x v="806"/>
    <x v="1"/>
    <x v="1"/>
    <n v="54.12"/>
    <n v="0"/>
    <x v="0"/>
    <x v="4"/>
    <s v="AutoPost 1905"/>
    <s v="GBP"/>
    <x v="4"/>
    <x v="1901"/>
  </r>
  <r>
    <x v="1906"/>
    <x v="807"/>
    <x v="1"/>
    <x v="1"/>
    <n v="326.83"/>
    <n v="0"/>
    <x v="3"/>
    <x v="3"/>
    <s v="AutoPost 1906"/>
    <s v="CAD"/>
    <x v="24"/>
    <x v="1902"/>
  </r>
  <r>
    <x v="1907"/>
    <x v="413"/>
    <x v="1"/>
    <x v="1"/>
    <n v="1868.89"/>
    <n v="0"/>
    <x v="0"/>
    <x v="4"/>
    <s v="AutoPost 1907"/>
    <s v="GBP"/>
    <x v="11"/>
    <x v="1903"/>
  </r>
  <r>
    <x v="1908"/>
    <x v="343"/>
    <x v="2"/>
    <x v="2"/>
    <n v="1572.8"/>
    <n v="0"/>
    <x v="5"/>
    <x v="2"/>
    <s v="AutoPost 1908"/>
    <s v="AUD"/>
    <x v="25"/>
    <x v="1904"/>
  </r>
  <r>
    <x v="1909"/>
    <x v="401"/>
    <x v="3"/>
    <x v="3"/>
    <n v="284.08"/>
    <n v="0"/>
    <x v="3"/>
    <x v="4"/>
    <s v="AutoPost 1909"/>
    <s v="AUD"/>
    <x v="5"/>
    <x v="1905"/>
  </r>
  <r>
    <x v="1910"/>
    <x v="427"/>
    <x v="4"/>
    <x v="4"/>
    <n v="0"/>
    <n v="2962.29"/>
    <x v="0"/>
    <x v="1"/>
    <s v="AutoPost 1910"/>
    <s v="USD"/>
    <x v="6"/>
    <x v="1906"/>
  </r>
  <r>
    <x v="1911"/>
    <x v="185"/>
    <x v="4"/>
    <x v="4"/>
    <n v="0"/>
    <n v="1937.71"/>
    <x v="2"/>
    <x v="4"/>
    <s v="AutoPost 1911"/>
    <s v="EUR"/>
    <x v="13"/>
    <x v="1907"/>
  </r>
  <r>
    <x v="1912"/>
    <x v="469"/>
    <x v="4"/>
    <x v="4"/>
    <n v="0"/>
    <n v="166.31"/>
    <x v="4"/>
    <x v="0"/>
    <s v="AutoPost 1912"/>
    <s v="CAD"/>
    <x v="27"/>
    <x v="1908"/>
  </r>
  <r>
    <x v="1913"/>
    <x v="142"/>
    <x v="0"/>
    <x v="0"/>
    <n v="0"/>
    <n v="1137.06"/>
    <x v="2"/>
    <x v="3"/>
    <s v="AutoPost 1913"/>
    <s v="EUR"/>
    <x v="8"/>
    <x v="1909"/>
  </r>
  <r>
    <x v="1914"/>
    <x v="397"/>
    <x v="4"/>
    <x v="4"/>
    <n v="0"/>
    <n v="993.38"/>
    <x v="4"/>
    <x v="4"/>
    <s v="AutoPost 1914"/>
    <s v="AUD"/>
    <x v="16"/>
    <x v="1910"/>
  </r>
  <r>
    <x v="1915"/>
    <x v="505"/>
    <x v="3"/>
    <x v="3"/>
    <n v="1915.74"/>
    <n v="0"/>
    <x v="4"/>
    <x v="1"/>
    <s v="AutoPost 1915"/>
    <s v="GBP"/>
    <x v="1"/>
    <x v="1911"/>
  </r>
  <r>
    <x v="1916"/>
    <x v="244"/>
    <x v="3"/>
    <x v="3"/>
    <n v="1850.88"/>
    <n v="0"/>
    <x v="3"/>
    <x v="1"/>
    <s v="AutoPost 1916"/>
    <s v="GBP"/>
    <x v="4"/>
    <x v="1912"/>
  </r>
  <r>
    <x v="1917"/>
    <x v="464"/>
    <x v="4"/>
    <x v="4"/>
    <n v="0"/>
    <n v="4525.68"/>
    <x v="0"/>
    <x v="4"/>
    <s v="AutoPost 1917"/>
    <s v="USD"/>
    <x v="4"/>
    <x v="1913"/>
  </r>
  <r>
    <x v="1918"/>
    <x v="398"/>
    <x v="3"/>
    <x v="3"/>
    <n v="854.45"/>
    <n v="0"/>
    <x v="3"/>
    <x v="4"/>
    <s v="AutoPost 1918"/>
    <s v="GBP"/>
    <x v="14"/>
    <x v="1914"/>
  </r>
  <r>
    <x v="1919"/>
    <x v="316"/>
    <x v="1"/>
    <x v="1"/>
    <n v="198.43"/>
    <n v="0"/>
    <x v="2"/>
    <x v="2"/>
    <s v="AutoPost 1919"/>
    <s v="AUD"/>
    <x v="26"/>
    <x v="1915"/>
  </r>
  <r>
    <x v="1920"/>
    <x v="419"/>
    <x v="2"/>
    <x v="2"/>
    <n v="1818.32"/>
    <n v="0"/>
    <x v="4"/>
    <x v="1"/>
    <s v="AutoPost 1920"/>
    <s v="CAD"/>
    <x v="13"/>
    <x v="1916"/>
  </r>
  <r>
    <x v="1921"/>
    <x v="157"/>
    <x v="4"/>
    <x v="4"/>
    <n v="0"/>
    <n v="2638.4"/>
    <x v="5"/>
    <x v="4"/>
    <s v="AutoPost 1921"/>
    <s v="USD"/>
    <x v="7"/>
    <x v="1917"/>
  </r>
  <r>
    <x v="1922"/>
    <x v="808"/>
    <x v="4"/>
    <x v="4"/>
    <n v="0"/>
    <n v="2791.71"/>
    <x v="1"/>
    <x v="3"/>
    <s v="AutoPost 1922"/>
    <s v="CAD"/>
    <x v="18"/>
    <x v="1918"/>
  </r>
  <r>
    <x v="1923"/>
    <x v="355"/>
    <x v="1"/>
    <x v="1"/>
    <n v="726.03"/>
    <n v="0"/>
    <x v="1"/>
    <x v="4"/>
    <s v="AutoPost 1923"/>
    <s v="USD"/>
    <x v="20"/>
    <x v="1919"/>
  </r>
  <r>
    <x v="1924"/>
    <x v="338"/>
    <x v="1"/>
    <x v="1"/>
    <n v="1370.59"/>
    <n v="0"/>
    <x v="0"/>
    <x v="4"/>
    <s v="AutoPost 1924"/>
    <s v="AUD"/>
    <x v="29"/>
    <x v="1920"/>
  </r>
  <r>
    <x v="1925"/>
    <x v="769"/>
    <x v="3"/>
    <x v="3"/>
    <n v="263.16000000000003"/>
    <n v="0"/>
    <x v="2"/>
    <x v="2"/>
    <s v="AutoPost 1925"/>
    <s v="CAD"/>
    <x v="7"/>
    <x v="1921"/>
  </r>
  <r>
    <x v="1926"/>
    <x v="669"/>
    <x v="3"/>
    <x v="3"/>
    <n v="1336.28"/>
    <n v="0"/>
    <x v="2"/>
    <x v="1"/>
    <s v="AutoPost 1926"/>
    <s v="AUD"/>
    <x v="15"/>
    <x v="1922"/>
  </r>
  <r>
    <x v="1927"/>
    <x v="400"/>
    <x v="2"/>
    <x v="2"/>
    <n v="1661.05"/>
    <n v="0"/>
    <x v="3"/>
    <x v="2"/>
    <s v="AutoPost 1927"/>
    <s v="EUR"/>
    <x v="0"/>
    <x v="1923"/>
  </r>
  <r>
    <x v="1928"/>
    <x v="33"/>
    <x v="0"/>
    <x v="0"/>
    <n v="0"/>
    <n v="2221.86"/>
    <x v="5"/>
    <x v="1"/>
    <s v="AutoPost 1928"/>
    <s v="GBP"/>
    <x v="9"/>
    <x v="1924"/>
  </r>
  <r>
    <x v="1929"/>
    <x v="230"/>
    <x v="4"/>
    <x v="4"/>
    <n v="0"/>
    <n v="4064.87"/>
    <x v="0"/>
    <x v="1"/>
    <s v="AutoPost 1929"/>
    <s v="CAD"/>
    <x v="16"/>
    <x v="1925"/>
  </r>
  <r>
    <x v="1930"/>
    <x v="749"/>
    <x v="1"/>
    <x v="1"/>
    <n v="564.04"/>
    <n v="0"/>
    <x v="3"/>
    <x v="2"/>
    <s v="AutoPost 1930"/>
    <s v="USD"/>
    <x v="26"/>
    <x v="1926"/>
  </r>
  <r>
    <x v="1931"/>
    <x v="607"/>
    <x v="4"/>
    <x v="4"/>
    <n v="0"/>
    <n v="2394.69"/>
    <x v="5"/>
    <x v="1"/>
    <s v="AutoPost 1931"/>
    <s v="AUD"/>
    <x v="9"/>
    <x v="1927"/>
  </r>
  <r>
    <x v="1932"/>
    <x v="370"/>
    <x v="4"/>
    <x v="4"/>
    <n v="0"/>
    <n v="4484.1899999999996"/>
    <x v="3"/>
    <x v="0"/>
    <s v="AutoPost 1932"/>
    <s v="AUD"/>
    <x v="26"/>
    <x v="1928"/>
  </r>
  <r>
    <x v="1933"/>
    <x v="488"/>
    <x v="4"/>
    <x v="4"/>
    <n v="0"/>
    <n v="1838.71"/>
    <x v="3"/>
    <x v="2"/>
    <s v="AutoPost 1933"/>
    <s v="CAD"/>
    <x v="23"/>
    <x v="1929"/>
  </r>
  <r>
    <x v="1934"/>
    <x v="36"/>
    <x v="3"/>
    <x v="3"/>
    <n v="407.55"/>
    <n v="0"/>
    <x v="2"/>
    <x v="2"/>
    <s v="AutoPost 1934"/>
    <s v="GBP"/>
    <x v="12"/>
    <x v="1930"/>
  </r>
  <r>
    <x v="1935"/>
    <x v="459"/>
    <x v="0"/>
    <x v="0"/>
    <n v="0"/>
    <n v="1239.76"/>
    <x v="5"/>
    <x v="2"/>
    <s v="AutoPost 1935"/>
    <s v="CAD"/>
    <x v="9"/>
    <x v="1931"/>
  </r>
  <r>
    <x v="1936"/>
    <x v="809"/>
    <x v="3"/>
    <x v="3"/>
    <n v="721.91"/>
    <n v="0"/>
    <x v="3"/>
    <x v="0"/>
    <s v="AutoPost 1936"/>
    <s v="EUR"/>
    <x v="17"/>
    <x v="1932"/>
  </r>
  <r>
    <x v="1937"/>
    <x v="810"/>
    <x v="2"/>
    <x v="2"/>
    <n v="1506.81"/>
    <n v="0"/>
    <x v="3"/>
    <x v="3"/>
    <s v="AutoPost 1937"/>
    <s v="GBP"/>
    <x v="20"/>
    <x v="1933"/>
  </r>
  <r>
    <x v="1938"/>
    <x v="193"/>
    <x v="4"/>
    <x v="4"/>
    <n v="0"/>
    <n v="3376.73"/>
    <x v="2"/>
    <x v="2"/>
    <s v="AutoPost 1938"/>
    <s v="EUR"/>
    <x v="13"/>
    <x v="1934"/>
  </r>
  <r>
    <x v="1939"/>
    <x v="811"/>
    <x v="2"/>
    <x v="2"/>
    <n v="1023.13"/>
    <n v="0"/>
    <x v="3"/>
    <x v="4"/>
    <s v="AutoPost 1939"/>
    <s v="GBP"/>
    <x v="6"/>
    <x v="1935"/>
  </r>
  <r>
    <x v="1940"/>
    <x v="698"/>
    <x v="2"/>
    <x v="2"/>
    <n v="1885.62"/>
    <n v="0"/>
    <x v="4"/>
    <x v="3"/>
    <s v="AutoPost 1940"/>
    <s v="CAD"/>
    <x v="19"/>
    <x v="1936"/>
  </r>
  <r>
    <x v="1941"/>
    <x v="524"/>
    <x v="4"/>
    <x v="4"/>
    <n v="0"/>
    <n v="955.35"/>
    <x v="3"/>
    <x v="3"/>
    <s v="AutoPost 1941"/>
    <s v="CAD"/>
    <x v="0"/>
    <x v="1937"/>
  </r>
  <r>
    <x v="1942"/>
    <x v="461"/>
    <x v="3"/>
    <x v="3"/>
    <n v="1735.63"/>
    <n v="0"/>
    <x v="0"/>
    <x v="0"/>
    <s v="AutoPost 1942"/>
    <s v="CAD"/>
    <x v="14"/>
    <x v="1938"/>
  </r>
  <r>
    <x v="1943"/>
    <x v="584"/>
    <x v="1"/>
    <x v="1"/>
    <n v="1311.61"/>
    <n v="0"/>
    <x v="5"/>
    <x v="4"/>
    <s v="AutoPost 1943"/>
    <s v="AUD"/>
    <x v="17"/>
    <x v="1939"/>
  </r>
  <r>
    <x v="1944"/>
    <x v="362"/>
    <x v="4"/>
    <x v="4"/>
    <n v="0"/>
    <n v="3124.09"/>
    <x v="5"/>
    <x v="0"/>
    <s v="AutoPost 1944"/>
    <s v="USD"/>
    <x v="9"/>
    <x v="1940"/>
  </r>
  <r>
    <x v="1945"/>
    <x v="308"/>
    <x v="3"/>
    <x v="3"/>
    <n v="1453.46"/>
    <n v="0"/>
    <x v="4"/>
    <x v="2"/>
    <s v="AutoPost 1945"/>
    <s v="USD"/>
    <x v="25"/>
    <x v="1941"/>
  </r>
  <r>
    <x v="1946"/>
    <x v="15"/>
    <x v="2"/>
    <x v="2"/>
    <n v="502.87"/>
    <n v="0"/>
    <x v="1"/>
    <x v="0"/>
    <s v="AutoPost 1946"/>
    <s v="CAD"/>
    <x v="8"/>
    <x v="1942"/>
  </r>
  <r>
    <x v="1947"/>
    <x v="424"/>
    <x v="2"/>
    <x v="2"/>
    <n v="845.04"/>
    <n v="0"/>
    <x v="3"/>
    <x v="1"/>
    <s v="AutoPost 1947"/>
    <s v="EUR"/>
    <x v="4"/>
    <x v="1943"/>
  </r>
  <r>
    <x v="1948"/>
    <x v="771"/>
    <x v="4"/>
    <x v="4"/>
    <n v="0"/>
    <n v="2650.78"/>
    <x v="4"/>
    <x v="2"/>
    <s v="AutoPost 1948"/>
    <s v="AUD"/>
    <x v="23"/>
    <x v="1944"/>
  </r>
  <r>
    <x v="1949"/>
    <x v="236"/>
    <x v="0"/>
    <x v="0"/>
    <n v="0"/>
    <n v="3701"/>
    <x v="1"/>
    <x v="4"/>
    <s v="AutoPost 1949"/>
    <s v="AUD"/>
    <x v="2"/>
    <x v="1945"/>
  </r>
  <r>
    <x v="1950"/>
    <x v="305"/>
    <x v="2"/>
    <x v="2"/>
    <n v="866.51"/>
    <n v="0"/>
    <x v="2"/>
    <x v="3"/>
    <s v="AutoPost 1950"/>
    <s v="CAD"/>
    <x v="25"/>
    <x v="1946"/>
  </r>
  <r>
    <x v="1951"/>
    <x v="555"/>
    <x v="1"/>
    <x v="1"/>
    <n v="1517.29"/>
    <n v="0"/>
    <x v="2"/>
    <x v="4"/>
    <s v="AutoPost 1951"/>
    <s v="EUR"/>
    <x v="7"/>
    <x v="1947"/>
  </r>
  <r>
    <x v="1952"/>
    <x v="250"/>
    <x v="1"/>
    <x v="1"/>
    <n v="58.18"/>
    <n v="0"/>
    <x v="0"/>
    <x v="3"/>
    <s v="AutoPost 1952"/>
    <s v="EUR"/>
    <x v="2"/>
    <x v="1948"/>
  </r>
  <r>
    <x v="1953"/>
    <x v="736"/>
    <x v="0"/>
    <x v="0"/>
    <n v="0"/>
    <n v="944.88"/>
    <x v="3"/>
    <x v="1"/>
    <s v="AutoPost 1953"/>
    <s v="AUD"/>
    <x v="23"/>
    <x v="1949"/>
  </r>
  <r>
    <x v="1954"/>
    <x v="118"/>
    <x v="2"/>
    <x v="2"/>
    <n v="394.98"/>
    <n v="0"/>
    <x v="1"/>
    <x v="1"/>
    <s v="AutoPost 1954"/>
    <s v="CAD"/>
    <x v="2"/>
    <x v="1950"/>
  </r>
  <r>
    <x v="1955"/>
    <x v="531"/>
    <x v="1"/>
    <x v="1"/>
    <n v="1322.13"/>
    <n v="0"/>
    <x v="2"/>
    <x v="3"/>
    <s v="AutoPost 1955"/>
    <s v="CAD"/>
    <x v="22"/>
    <x v="1951"/>
  </r>
  <r>
    <x v="1956"/>
    <x v="151"/>
    <x v="3"/>
    <x v="3"/>
    <n v="780.7"/>
    <n v="0"/>
    <x v="2"/>
    <x v="1"/>
    <s v="AutoPost 1956"/>
    <s v="USD"/>
    <x v="1"/>
    <x v="1952"/>
  </r>
  <r>
    <x v="1957"/>
    <x v="352"/>
    <x v="1"/>
    <x v="1"/>
    <n v="1051.1600000000001"/>
    <n v="0"/>
    <x v="0"/>
    <x v="1"/>
    <s v="AutoPost 1957"/>
    <s v="GBP"/>
    <x v="28"/>
    <x v="1953"/>
  </r>
  <r>
    <x v="1958"/>
    <x v="281"/>
    <x v="4"/>
    <x v="4"/>
    <n v="0"/>
    <n v="3466.47"/>
    <x v="4"/>
    <x v="2"/>
    <s v="AutoPost 1958"/>
    <s v="AUD"/>
    <x v="9"/>
    <x v="1954"/>
  </r>
  <r>
    <x v="1959"/>
    <x v="176"/>
    <x v="0"/>
    <x v="0"/>
    <n v="0"/>
    <n v="2900.85"/>
    <x v="3"/>
    <x v="3"/>
    <s v="AutoPost 1959"/>
    <s v="CAD"/>
    <x v="20"/>
    <x v="1955"/>
  </r>
  <r>
    <x v="1960"/>
    <x v="496"/>
    <x v="3"/>
    <x v="3"/>
    <n v="852.05"/>
    <n v="0"/>
    <x v="2"/>
    <x v="1"/>
    <s v="AutoPost 1960"/>
    <s v="CAD"/>
    <x v="23"/>
    <x v="1956"/>
  </r>
  <r>
    <x v="1961"/>
    <x v="294"/>
    <x v="2"/>
    <x v="2"/>
    <n v="1137.76"/>
    <n v="0"/>
    <x v="1"/>
    <x v="4"/>
    <s v="AutoPost 1961"/>
    <s v="AUD"/>
    <x v="29"/>
    <x v="1957"/>
  </r>
  <r>
    <x v="1962"/>
    <x v="755"/>
    <x v="2"/>
    <x v="2"/>
    <n v="1927.94"/>
    <n v="0"/>
    <x v="5"/>
    <x v="4"/>
    <s v="AutoPost 1962"/>
    <s v="CAD"/>
    <x v="1"/>
    <x v="1958"/>
  </r>
  <r>
    <x v="1963"/>
    <x v="587"/>
    <x v="4"/>
    <x v="4"/>
    <n v="0"/>
    <n v="2609.17"/>
    <x v="1"/>
    <x v="0"/>
    <s v="AutoPost 1963"/>
    <s v="GBP"/>
    <x v="28"/>
    <x v="1959"/>
  </r>
  <r>
    <x v="1964"/>
    <x v="752"/>
    <x v="1"/>
    <x v="1"/>
    <n v="1813.3"/>
    <n v="0"/>
    <x v="5"/>
    <x v="2"/>
    <s v="AutoPost 1964"/>
    <s v="AUD"/>
    <x v="12"/>
    <x v="1960"/>
  </r>
  <r>
    <x v="1965"/>
    <x v="519"/>
    <x v="0"/>
    <x v="0"/>
    <n v="0"/>
    <n v="2658.68"/>
    <x v="5"/>
    <x v="2"/>
    <s v="AutoPost 1965"/>
    <s v="GBP"/>
    <x v="4"/>
    <x v="1961"/>
  </r>
  <r>
    <x v="1966"/>
    <x v="583"/>
    <x v="4"/>
    <x v="4"/>
    <n v="0"/>
    <n v="4776.24"/>
    <x v="1"/>
    <x v="2"/>
    <s v="AutoPost 1966"/>
    <s v="AUD"/>
    <x v="3"/>
    <x v="1962"/>
  </r>
  <r>
    <x v="1967"/>
    <x v="184"/>
    <x v="1"/>
    <x v="1"/>
    <n v="839.33"/>
    <n v="0"/>
    <x v="5"/>
    <x v="4"/>
    <s v="AutoPost 1967"/>
    <s v="USD"/>
    <x v="15"/>
    <x v="1963"/>
  </r>
  <r>
    <x v="1968"/>
    <x v="548"/>
    <x v="2"/>
    <x v="2"/>
    <n v="961.76"/>
    <n v="0"/>
    <x v="3"/>
    <x v="2"/>
    <s v="AutoPost 1968"/>
    <s v="AUD"/>
    <x v="27"/>
    <x v="1964"/>
  </r>
  <r>
    <x v="1969"/>
    <x v="165"/>
    <x v="4"/>
    <x v="4"/>
    <n v="0"/>
    <n v="1071.52"/>
    <x v="2"/>
    <x v="2"/>
    <s v="AutoPost 1969"/>
    <s v="USD"/>
    <x v="12"/>
    <x v="1965"/>
  </r>
  <r>
    <x v="1970"/>
    <x v="208"/>
    <x v="1"/>
    <x v="1"/>
    <n v="512.01"/>
    <n v="0"/>
    <x v="2"/>
    <x v="4"/>
    <s v="AutoPost 1970"/>
    <s v="CAD"/>
    <x v="26"/>
    <x v="1966"/>
  </r>
  <r>
    <x v="1971"/>
    <x v="364"/>
    <x v="4"/>
    <x v="4"/>
    <n v="0"/>
    <n v="876.89"/>
    <x v="2"/>
    <x v="3"/>
    <s v="AutoPost 1971"/>
    <s v="CAD"/>
    <x v="0"/>
    <x v="1967"/>
  </r>
  <r>
    <x v="1972"/>
    <x v="320"/>
    <x v="4"/>
    <x v="4"/>
    <n v="0"/>
    <n v="214.94"/>
    <x v="5"/>
    <x v="4"/>
    <s v="AutoPost 1972"/>
    <s v="USD"/>
    <x v="9"/>
    <x v="1968"/>
  </r>
  <r>
    <x v="1973"/>
    <x v="490"/>
    <x v="3"/>
    <x v="3"/>
    <n v="318.63"/>
    <n v="0"/>
    <x v="5"/>
    <x v="2"/>
    <s v="AutoPost 1973"/>
    <s v="CAD"/>
    <x v="16"/>
    <x v="1969"/>
  </r>
  <r>
    <x v="1974"/>
    <x v="766"/>
    <x v="2"/>
    <x v="2"/>
    <n v="1505.25"/>
    <n v="0"/>
    <x v="5"/>
    <x v="3"/>
    <s v="AutoPost 1974"/>
    <s v="USD"/>
    <x v="8"/>
    <x v="1970"/>
  </r>
  <r>
    <x v="1975"/>
    <x v="730"/>
    <x v="3"/>
    <x v="3"/>
    <n v="1165.8499999999999"/>
    <n v="0"/>
    <x v="1"/>
    <x v="4"/>
    <s v="AutoPost 1975"/>
    <s v="AUD"/>
    <x v="21"/>
    <x v="1971"/>
  </r>
  <r>
    <x v="1976"/>
    <x v="568"/>
    <x v="1"/>
    <x v="1"/>
    <n v="424.86"/>
    <n v="0"/>
    <x v="4"/>
    <x v="2"/>
    <s v="AutoPost 1976"/>
    <s v="CAD"/>
    <x v="23"/>
    <x v="1972"/>
  </r>
  <r>
    <x v="1977"/>
    <x v="445"/>
    <x v="1"/>
    <x v="1"/>
    <n v="1626.39"/>
    <n v="0"/>
    <x v="1"/>
    <x v="3"/>
    <s v="AutoPost 1977"/>
    <s v="EUR"/>
    <x v="27"/>
    <x v="1973"/>
  </r>
  <r>
    <x v="1978"/>
    <x v="53"/>
    <x v="2"/>
    <x v="2"/>
    <n v="559.39"/>
    <n v="0"/>
    <x v="3"/>
    <x v="4"/>
    <s v="AutoPost 1978"/>
    <s v="USD"/>
    <x v="7"/>
    <x v="1974"/>
  </r>
  <r>
    <x v="1979"/>
    <x v="524"/>
    <x v="1"/>
    <x v="1"/>
    <n v="1234.21"/>
    <n v="0"/>
    <x v="4"/>
    <x v="3"/>
    <s v="AutoPost 1979"/>
    <s v="CAD"/>
    <x v="0"/>
    <x v="1975"/>
  </r>
  <r>
    <x v="1980"/>
    <x v="240"/>
    <x v="2"/>
    <x v="2"/>
    <n v="704.55"/>
    <n v="0"/>
    <x v="3"/>
    <x v="0"/>
    <s v="AutoPost 1980"/>
    <s v="EUR"/>
    <x v="11"/>
    <x v="1976"/>
  </r>
  <r>
    <x v="1981"/>
    <x v="42"/>
    <x v="4"/>
    <x v="4"/>
    <n v="0"/>
    <n v="118.67"/>
    <x v="0"/>
    <x v="2"/>
    <s v="AutoPost 1981"/>
    <s v="CAD"/>
    <x v="24"/>
    <x v="1977"/>
  </r>
  <r>
    <x v="1982"/>
    <x v="812"/>
    <x v="0"/>
    <x v="0"/>
    <n v="0"/>
    <n v="1819.43"/>
    <x v="0"/>
    <x v="0"/>
    <s v="AutoPost 1982"/>
    <s v="EUR"/>
    <x v="22"/>
    <x v="1978"/>
  </r>
  <r>
    <x v="1983"/>
    <x v="813"/>
    <x v="3"/>
    <x v="3"/>
    <n v="1104.31"/>
    <n v="0"/>
    <x v="3"/>
    <x v="0"/>
    <s v="AutoPost 1983"/>
    <s v="AUD"/>
    <x v="3"/>
    <x v="1979"/>
  </r>
  <r>
    <x v="1984"/>
    <x v="582"/>
    <x v="1"/>
    <x v="1"/>
    <n v="698.67"/>
    <n v="0"/>
    <x v="5"/>
    <x v="2"/>
    <s v="AutoPost 1984"/>
    <s v="AUD"/>
    <x v="14"/>
    <x v="1980"/>
  </r>
  <r>
    <x v="1985"/>
    <x v="814"/>
    <x v="0"/>
    <x v="0"/>
    <n v="0"/>
    <n v="3256.52"/>
    <x v="3"/>
    <x v="3"/>
    <s v="AutoPost 1985"/>
    <s v="EUR"/>
    <x v="26"/>
    <x v="1981"/>
  </r>
  <r>
    <x v="1986"/>
    <x v="434"/>
    <x v="2"/>
    <x v="2"/>
    <n v="415.73"/>
    <n v="0"/>
    <x v="3"/>
    <x v="0"/>
    <s v="AutoPost 1986"/>
    <s v="USD"/>
    <x v="27"/>
    <x v="1982"/>
  </r>
  <r>
    <x v="1987"/>
    <x v="530"/>
    <x v="1"/>
    <x v="1"/>
    <n v="798.68"/>
    <n v="0"/>
    <x v="3"/>
    <x v="0"/>
    <s v="AutoPost 1987"/>
    <s v="CAD"/>
    <x v="13"/>
    <x v="1983"/>
  </r>
  <r>
    <x v="1988"/>
    <x v="528"/>
    <x v="3"/>
    <x v="3"/>
    <n v="829.83"/>
    <n v="0"/>
    <x v="1"/>
    <x v="1"/>
    <s v="AutoPost 1988"/>
    <s v="AUD"/>
    <x v="18"/>
    <x v="1984"/>
  </r>
  <r>
    <x v="1989"/>
    <x v="50"/>
    <x v="3"/>
    <x v="3"/>
    <n v="247.03"/>
    <n v="0"/>
    <x v="3"/>
    <x v="3"/>
    <s v="AutoPost 1989"/>
    <s v="USD"/>
    <x v="26"/>
    <x v="1985"/>
  </r>
  <r>
    <x v="1990"/>
    <x v="396"/>
    <x v="1"/>
    <x v="1"/>
    <n v="688.11"/>
    <n v="0"/>
    <x v="1"/>
    <x v="3"/>
    <s v="AutoPost 1990"/>
    <s v="USD"/>
    <x v="3"/>
    <x v="1986"/>
  </r>
  <r>
    <x v="1991"/>
    <x v="557"/>
    <x v="2"/>
    <x v="2"/>
    <n v="1196.93"/>
    <n v="0"/>
    <x v="3"/>
    <x v="1"/>
    <s v="AutoPost 1991"/>
    <s v="USD"/>
    <x v="25"/>
    <x v="1987"/>
  </r>
  <r>
    <x v="1992"/>
    <x v="665"/>
    <x v="4"/>
    <x v="4"/>
    <n v="0"/>
    <n v="2003.64"/>
    <x v="4"/>
    <x v="0"/>
    <s v="AutoPost 1992"/>
    <s v="CAD"/>
    <x v="1"/>
    <x v="1988"/>
  </r>
  <r>
    <x v="1993"/>
    <x v="500"/>
    <x v="0"/>
    <x v="0"/>
    <n v="0"/>
    <n v="1233.1300000000001"/>
    <x v="0"/>
    <x v="3"/>
    <s v="AutoPost 1993"/>
    <s v="GBP"/>
    <x v="10"/>
    <x v="1989"/>
  </r>
  <r>
    <x v="1994"/>
    <x v="476"/>
    <x v="4"/>
    <x v="4"/>
    <n v="0"/>
    <n v="767.31"/>
    <x v="0"/>
    <x v="4"/>
    <s v="AutoPost 1994"/>
    <s v="USD"/>
    <x v="20"/>
    <x v="1990"/>
  </r>
  <r>
    <x v="1995"/>
    <x v="588"/>
    <x v="3"/>
    <x v="3"/>
    <n v="719.33"/>
    <n v="0"/>
    <x v="2"/>
    <x v="1"/>
    <s v="AutoPost 1995"/>
    <s v="EUR"/>
    <x v="19"/>
    <x v="1991"/>
  </r>
  <r>
    <x v="1996"/>
    <x v="128"/>
    <x v="0"/>
    <x v="0"/>
    <n v="0"/>
    <n v="2016.99"/>
    <x v="1"/>
    <x v="2"/>
    <s v="AutoPost 1996"/>
    <s v="CAD"/>
    <x v="4"/>
    <x v="1992"/>
  </r>
  <r>
    <x v="1997"/>
    <x v="52"/>
    <x v="0"/>
    <x v="0"/>
    <n v="0"/>
    <n v="4719.37"/>
    <x v="5"/>
    <x v="4"/>
    <s v="AutoPost 1997"/>
    <s v="CAD"/>
    <x v="9"/>
    <x v="1993"/>
  </r>
  <r>
    <x v="1998"/>
    <x v="761"/>
    <x v="4"/>
    <x v="4"/>
    <n v="0"/>
    <n v="4523.09"/>
    <x v="5"/>
    <x v="0"/>
    <s v="AutoPost 1998"/>
    <s v="AUD"/>
    <x v="18"/>
    <x v="1994"/>
  </r>
  <r>
    <x v="1999"/>
    <x v="261"/>
    <x v="0"/>
    <x v="0"/>
    <n v="0"/>
    <n v="354.88"/>
    <x v="1"/>
    <x v="0"/>
    <s v="AutoPost 1999"/>
    <s v="USD"/>
    <x v="15"/>
    <x v="1995"/>
  </r>
  <r>
    <x v="2000"/>
    <x v="815"/>
    <x v="5"/>
    <x v="5"/>
    <m/>
    <m/>
    <x v="6"/>
    <x v="5"/>
    <m/>
    <m/>
    <x v="30"/>
    <x v="199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x v="0"/>
    <x v="0"/>
    <n v="1"/>
    <n v="41215.19"/>
    <n v="39758.93"/>
    <n v="37613.910000000003"/>
    <n v="-3601.28"/>
    <m/>
  </r>
  <r>
    <x v="0"/>
    <x v="0"/>
    <n v="2"/>
    <n v="79918.89"/>
    <n v="84614.59"/>
    <n v="86720.13"/>
    <n v="6801.24"/>
    <m/>
  </r>
  <r>
    <x v="0"/>
    <x v="0"/>
    <n v="3"/>
    <n v="92014.18"/>
    <n v="100763.08"/>
    <n v="105980.31"/>
    <n v="13966.13"/>
    <m/>
  </r>
  <r>
    <x v="0"/>
    <x v="0"/>
    <n v="4"/>
    <n v="117680.6"/>
    <n v="106162.49"/>
    <n v="96071.26"/>
    <n v="-21609.34"/>
    <m/>
  </r>
  <r>
    <x v="0"/>
    <x v="1"/>
    <n v="1"/>
    <n v="32925.71"/>
    <n v="30364.35"/>
    <n v="30596.03"/>
    <n v="-2329.6799999999998"/>
    <m/>
  </r>
  <r>
    <x v="0"/>
    <x v="1"/>
    <n v="2"/>
    <n v="75074.820000000007"/>
    <n v="68249.88"/>
    <n v="68953.81"/>
    <n v="-6121.01"/>
    <m/>
  </r>
  <r>
    <x v="0"/>
    <x v="1"/>
    <n v="3"/>
    <n v="42503.06"/>
    <n v="44444.3"/>
    <n v="42652.11"/>
    <n v="149.05000000000001"/>
    <m/>
  </r>
  <r>
    <x v="0"/>
    <x v="1"/>
    <n v="4"/>
    <n v="31047.85"/>
    <n v="32495.4"/>
    <n v="33408.69"/>
    <n v="2360.84"/>
    <m/>
  </r>
  <r>
    <x v="0"/>
    <x v="2"/>
    <n v="1"/>
    <n v="26040.63"/>
    <n v="24585.53"/>
    <n v="22752.02"/>
    <n v="-3288.61"/>
    <m/>
  </r>
  <r>
    <x v="0"/>
    <x v="2"/>
    <n v="2"/>
    <n v="125902.24"/>
    <n v="121557.94"/>
    <n v="119490.08"/>
    <n v="-6412.16"/>
    <m/>
  </r>
  <r>
    <x v="0"/>
    <x v="2"/>
    <n v="3"/>
    <n v="100055.73"/>
    <n v="92809.65"/>
    <n v="94502.07"/>
    <n v="-5553.66"/>
    <m/>
  </r>
  <r>
    <x v="0"/>
    <x v="2"/>
    <n v="4"/>
    <n v="72786.960000000006"/>
    <n v="70901.78"/>
    <n v="72262.039999999994"/>
    <n v="-524.91999999999996"/>
    <m/>
  </r>
  <r>
    <x v="0"/>
    <x v="3"/>
    <n v="1"/>
    <n v="93664.65"/>
    <n v="99038.18"/>
    <n v="105900.34"/>
    <n v="12235.69"/>
    <m/>
  </r>
  <r>
    <x v="0"/>
    <x v="3"/>
    <n v="2"/>
    <n v="115140.75"/>
    <n v="115151.74"/>
    <n v="124609.39"/>
    <n v="9468.64"/>
    <m/>
  </r>
  <r>
    <x v="0"/>
    <x v="3"/>
    <n v="3"/>
    <n v="73898.42"/>
    <n v="73799.149999999994"/>
    <n v="78992.61"/>
    <n v="5094.1899999999996"/>
    <m/>
  </r>
  <r>
    <x v="0"/>
    <x v="3"/>
    <n v="4"/>
    <n v="46637.67"/>
    <n v="49635.65"/>
    <n v="46802.25"/>
    <n v="164.58"/>
    <m/>
  </r>
  <r>
    <x v="0"/>
    <x v="4"/>
    <n v="1"/>
    <n v="44332.15"/>
    <n v="41613.82"/>
    <n v="38572.49"/>
    <n v="-5759.66"/>
    <m/>
  </r>
  <r>
    <x v="0"/>
    <x v="4"/>
    <n v="2"/>
    <n v="112743.3"/>
    <n v="119526.72"/>
    <n v="125960.5"/>
    <n v="13217.2"/>
    <m/>
  </r>
  <r>
    <x v="0"/>
    <x v="4"/>
    <n v="3"/>
    <n v="141475.81"/>
    <n v="133345.42000000001"/>
    <n v="140285.03"/>
    <n v="-1190.78"/>
    <m/>
  </r>
  <r>
    <x v="0"/>
    <x v="4"/>
    <n v="4"/>
    <n v="102519.44"/>
    <n v="107453.3"/>
    <n v="115251.53"/>
    <n v="12732.09"/>
    <m/>
  </r>
  <r>
    <x v="0"/>
    <x v="5"/>
    <n v="1"/>
    <n v="100318.84"/>
    <n v="99411.77"/>
    <n v="102349.27"/>
    <n v="2030.43"/>
    <m/>
  </r>
  <r>
    <x v="0"/>
    <x v="5"/>
    <n v="2"/>
    <n v="51361.43"/>
    <n v="49600.67"/>
    <n v="50515.69"/>
    <n v="-845.74"/>
    <m/>
  </r>
  <r>
    <x v="0"/>
    <x v="5"/>
    <n v="3"/>
    <n v="29263.69"/>
    <n v="28094.51"/>
    <n v="28496.35"/>
    <n v="-767.34"/>
    <m/>
  </r>
  <r>
    <x v="0"/>
    <x v="5"/>
    <n v="4"/>
    <n v="146937.60999999999"/>
    <n v="139057.76"/>
    <n v="147123.70000000001"/>
    <n v="186.09"/>
    <m/>
  </r>
  <r>
    <x v="1"/>
    <x v="0"/>
    <n v="1"/>
    <n v="70700.52"/>
    <n v="71487.460000000006"/>
    <n v="70006.17"/>
    <n v="-694.35"/>
    <m/>
  </r>
  <r>
    <x v="1"/>
    <x v="0"/>
    <n v="2"/>
    <n v="61495.92"/>
    <n v="56931.54"/>
    <n v="61359.25"/>
    <n v="-136.66999999999999"/>
    <m/>
  </r>
  <r>
    <x v="1"/>
    <x v="0"/>
    <n v="3"/>
    <n v="55254.78"/>
    <n v="57681.72"/>
    <n v="57575"/>
    <n v="2320.2199999999998"/>
    <m/>
  </r>
  <r>
    <x v="1"/>
    <x v="0"/>
    <n v="4"/>
    <n v="124523.7"/>
    <n v="112740.47"/>
    <n v="118711.72"/>
    <n v="-5811.98"/>
    <m/>
  </r>
  <r>
    <x v="1"/>
    <x v="1"/>
    <n v="1"/>
    <n v="81015.75"/>
    <n v="81988.100000000006"/>
    <n v="86451.22"/>
    <n v="5435.47"/>
    <m/>
  </r>
  <r>
    <x v="1"/>
    <x v="1"/>
    <n v="2"/>
    <n v="55099.41"/>
    <n v="51780.92"/>
    <n v="56227.09"/>
    <n v="1127.68"/>
    <m/>
  </r>
  <r>
    <x v="1"/>
    <x v="1"/>
    <n v="3"/>
    <n v="120462.05"/>
    <n v="127306.15"/>
    <n v="128022.17"/>
    <n v="7560.12"/>
    <m/>
  </r>
  <r>
    <x v="1"/>
    <x v="1"/>
    <n v="4"/>
    <n v="90267.18"/>
    <n v="85027.32"/>
    <n v="88147.9"/>
    <n v="-2119.2800000000002"/>
    <m/>
  </r>
  <r>
    <x v="1"/>
    <x v="2"/>
    <n v="1"/>
    <n v="116604.87"/>
    <n v="125973.73"/>
    <n v="128463.24"/>
    <n v="11858.37"/>
    <m/>
  </r>
  <r>
    <x v="1"/>
    <x v="2"/>
    <n v="2"/>
    <n v="48595.51"/>
    <n v="43972.66"/>
    <n v="42981.29"/>
    <n v="-5614.22"/>
    <m/>
  </r>
  <r>
    <x v="1"/>
    <x v="2"/>
    <n v="3"/>
    <n v="28599.200000000001"/>
    <n v="28718.48"/>
    <n v="30923.94"/>
    <n v="2324.7399999999998"/>
    <m/>
  </r>
  <r>
    <x v="1"/>
    <x v="2"/>
    <n v="4"/>
    <n v="42077.120000000003"/>
    <n v="39403.9"/>
    <n v="39330.25"/>
    <n v="-2746.87"/>
    <m/>
  </r>
  <r>
    <x v="1"/>
    <x v="3"/>
    <n v="1"/>
    <n v="89482.9"/>
    <n v="97911.07"/>
    <n v="98559.24"/>
    <n v="9076.34"/>
    <m/>
  </r>
  <r>
    <x v="1"/>
    <x v="3"/>
    <n v="2"/>
    <n v="66730.62"/>
    <n v="63717.279999999999"/>
    <n v="67871.69"/>
    <n v="1141.07"/>
    <m/>
  </r>
  <r>
    <x v="1"/>
    <x v="3"/>
    <n v="3"/>
    <n v="127969.04"/>
    <n v="117894.18"/>
    <n v="115938.14"/>
    <n v="-12030.9"/>
    <m/>
  </r>
  <r>
    <x v="1"/>
    <x v="3"/>
    <n v="4"/>
    <n v="98859.83"/>
    <n v="100730.21"/>
    <n v="97863.73"/>
    <n v="-996.1"/>
    <m/>
  </r>
  <r>
    <x v="1"/>
    <x v="4"/>
    <n v="1"/>
    <n v="75571.7"/>
    <n v="80720.77"/>
    <n v="86587.65"/>
    <n v="11015.95"/>
    <m/>
  </r>
  <r>
    <x v="1"/>
    <x v="4"/>
    <n v="2"/>
    <n v="130984.44"/>
    <n v="142175.37"/>
    <n v="145492.07"/>
    <n v="14507.63"/>
    <m/>
  </r>
  <r>
    <x v="1"/>
    <x v="4"/>
    <n v="3"/>
    <n v="89085.04"/>
    <n v="89296.12"/>
    <n v="88359.56"/>
    <n v="-725.48"/>
    <m/>
  </r>
  <r>
    <x v="1"/>
    <x v="4"/>
    <n v="4"/>
    <n v="116081.08"/>
    <n v="119772.47"/>
    <n v="112381.38"/>
    <n v="-3699.7"/>
    <m/>
  </r>
  <r>
    <x v="1"/>
    <x v="5"/>
    <n v="1"/>
    <n v="64640.45"/>
    <n v="70051.16"/>
    <n v="66350.81"/>
    <n v="1710.36"/>
    <m/>
  </r>
  <r>
    <x v="1"/>
    <x v="5"/>
    <n v="2"/>
    <n v="21211.21"/>
    <n v="22362.69"/>
    <n v="22368.41"/>
    <n v="1157.2"/>
    <m/>
  </r>
  <r>
    <x v="1"/>
    <x v="5"/>
    <n v="3"/>
    <n v="37532.769999999997"/>
    <n v="38564.660000000003"/>
    <n v="37139"/>
    <n v="-393.77"/>
    <m/>
  </r>
  <r>
    <x v="1"/>
    <x v="5"/>
    <n v="4"/>
    <n v="28580.31"/>
    <n v="29613.63"/>
    <n v="28551.84"/>
    <n v="-28.47"/>
    <m/>
  </r>
  <r>
    <x v="2"/>
    <x v="6"/>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1">
  <r>
    <s v="GL000000"/>
    <d v="2024-05-05T00:00:00"/>
    <n v="4000"/>
    <x v="0"/>
    <n v="0"/>
    <n v="2505.15"/>
    <x v="0"/>
    <s v="CC500"/>
    <s v="AutoPost 0"/>
    <s v="GBP"/>
    <s v="2024-05"/>
    <n v="2505.15"/>
    <n v="41215.19"/>
  </r>
  <r>
    <s v="GL000001"/>
    <d v="2024-06-23T00:00:00"/>
    <n v="5000"/>
    <x v="1"/>
    <n v="1184.73"/>
    <n v="0"/>
    <x v="1"/>
    <s v="CC500"/>
    <s v="AutoPost 1"/>
    <s v="GBP"/>
    <s v="2024-06"/>
    <n v="-1184.73"/>
    <n v="79918.89"/>
  </r>
  <r>
    <s v="GL000002"/>
    <d v="2025-01-09T00:00:00"/>
    <n v="5000"/>
    <x v="1"/>
    <n v="748.25"/>
    <n v="0"/>
    <x v="2"/>
    <s v="CC300"/>
    <s v="AutoPost 2"/>
    <s v="EUR"/>
    <s v="2025-01"/>
    <n v="-748.25"/>
    <n v="92014.18"/>
  </r>
  <r>
    <s v="GL000003"/>
    <d v="2023-09-30T00:00:00"/>
    <n v="6000"/>
    <x v="2"/>
    <n v="1610.64"/>
    <n v="0"/>
    <x v="0"/>
    <s v="CC400"/>
    <s v="AutoPost 3"/>
    <s v="AUD"/>
    <s v="2023-09"/>
    <n v="-1610.64"/>
    <n v="117680.6"/>
  </r>
  <r>
    <s v="GL000004"/>
    <d v="2023-08-03T00:00:00"/>
    <n v="5000"/>
    <x v="1"/>
    <n v="1053.1199999999999"/>
    <n v="0"/>
    <x v="1"/>
    <s v="CC400"/>
    <s v="AutoPost 4"/>
    <s v="USD"/>
    <s v="2023-08"/>
    <n v="-1053.1199999999999"/>
    <n v="32925.71"/>
  </r>
  <r>
    <s v="GL000005"/>
    <d v="2025-05-11T00:00:00"/>
    <n v="6000"/>
    <x v="2"/>
    <n v="1653.64"/>
    <n v="0"/>
    <x v="3"/>
    <s v="CC400"/>
    <s v="AutoPost 5"/>
    <s v="USD"/>
    <s v="2025-05"/>
    <n v="-1653.64"/>
    <n v="75074.820000000007"/>
  </r>
  <r>
    <s v="GL000006"/>
    <d v="2023-08-04T00:00:00"/>
    <n v="5010"/>
    <x v="3"/>
    <n v="899.55"/>
    <n v="0"/>
    <x v="1"/>
    <s v="CC200"/>
    <s v="AutoPost 6"/>
    <s v="USD"/>
    <s v="2023-08"/>
    <n v="-899.55"/>
    <n v="42503.06"/>
  </r>
  <r>
    <s v="GL000007"/>
    <d v="2023-12-22T00:00:00"/>
    <n v="6000"/>
    <x v="2"/>
    <n v="247.27"/>
    <n v="0"/>
    <x v="3"/>
    <s v="CC500"/>
    <s v="AutoPost 7"/>
    <s v="USD"/>
    <s v="2023-12"/>
    <n v="-247.27"/>
    <n v="31047.85"/>
  </r>
  <r>
    <s v="GL000008"/>
    <d v="2024-04-30T00:00:00"/>
    <n v="5000"/>
    <x v="1"/>
    <n v="202.02"/>
    <n v="0"/>
    <x v="4"/>
    <s v="CC300"/>
    <s v="AutoPost 8"/>
    <s v="GBP"/>
    <s v="2024-04"/>
    <n v="-202.02"/>
    <n v="26040.63"/>
  </r>
  <r>
    <s v="GL000009"/>
    <d v="2023-04-13T00:00:00"/>
    <n v="5000"/>
    <x v="1"/>
    <n v="1093.72"/>
    <n v="0"/>
    <x v="1"/>
    <s v="CC400"/>
    <s v="AutoPost 9"/>
    <s v="USD"/>
    <s v="2023-04"/>
    <n v="-1093.72"/>
    <n v="125902.24"/>
  </r>
  <r>
    <s v="GL000010"/>
    <d v="2023-11-20T00:00:00"/>
    <n v="4010"/>
    <x v="4"/>
    <n v="0"/>
    <n v="3282.35"/>
    <x v="3"/>
    <s v="CC100"/>
    <s v="AutoPost 10"/>
    <s v="CAD"/>
    <s v="2023-11"/>
    <n v="3282.35"/>
    <n v="100055.73"/>
  </r>
  <r>
    <s v="GL000011"/>
    <d v="2024-11-12T00:00:00"/>
    <n v="4000"/>
    <x v="0"/>
    <n v="0"/>
    <n v="2452.1999999999998"/>
    <x v="3"/>
    <s v="CC200"/>
    <s v="AutoPost 11"/>
    <s v="EUR"/>
    <s v="2024-11"/>
    <n v="2452.1999999999998"/>
    <n v="72786.960000000006"/>
  </r>
  <r>
    <s v="GL000012"/>
    <d v="2024-05-25T00:00:00"/>
    <n v="4000"/>
    <x v="0"/>
    <n v="0"/>
    <n v="3490.39"/>
    <x v="3"/>
    <s v="CC500"/>
    <s v="AutoPost 12"/>
    <s v="CAD"/>
    <s v="2024-05"/>
    <n v="3490.39"/>
    <n v="93664.65"/>
  </r>
  <r>
    <s v="GL000013"/>
    <d v="2024-02-22T00:00:00"/>
    <n v="4000"/>
    <x v="0"/>
    <n v="0"/>
    <n v="3379.63"/>
    <x v="0"/>
    <s v="CC100"/>
    <s v="AutoPost 13"/>
    <s v="CAD"/>
    <s v="2024-02"/>
    <n v="3379.63"/>
    <n v="115140.75"/>
  </r>
  <r>
    <s v="GL000014"/>
    <d v="2025-04-29T00:00:00"/>
    <n v="4010"/>
    <x v="4"/>
    <n v="0"/>
    <n v="1490.43"/>
    <x v="0"/>
    <s v="CC400"/>
    <s v="AutoPost 14"/>
    <s v="GBP"/>
    <s v="2025-04"/>
    <n v="1490.43"/>
    <n v="73898.42"/>
  </r>
  <r>
    <s v="GL000015"/>
    <d v="2023-04-02T00:00:00"/>
    <n v="5000"/>
    <x v="1"/>
    <n v="1119.05"/>
    <n v="0"/>
    <x v="1"/>
    <s v="CC100"/>
    <s v="AutoPost 15"/>
    <s v="AUD"/>
    <s v="2023-04"/>
    <n v="-1119.05"/>
    <n v="46637.67"/>
  </r>
  <r>
    <s v="GL000016"/>
    <d v="2025-03-06T00:00:00"/>
    <n v="4010"/>
    <x v="4"/>
    <n v="0"/>
    <n v="4006.73"/>
    <x v="0"/>
    <s v="CC200"/>
    <s v="AutoPost 16"/>
    <s v="EUR"/>
    <s v="2025-03"/>
    <n v="4006.73"/>
    <n v="44332.15"/>
  </r>
  <r>
    <s v="GL000017"/>
    <d v="2024-11-09T00:00:00"/>
    <n v="4000"/>
    <x v="0"/>
    <n v="0"/>
    <n v="259.83999999999997"/>
    <x v="5"/>
    <s v="CC100"/>
    <s v="AutoPost 17"/>
    <s v="AUD"/>
    <s v="2024-11"/>
    <n v="259.83999999999997"/>
    <n v="112743.3"/>
  </r>
  <r>
    <s v="GL000018"/>
    <d v="2023-01-27T00:00:00"/>
    <n v="5010"/>
    <x v="3"/>
    <n v="735.45"/>
    <n v="0"/>
    <x v="2"/>
    <s v="CC100"/>
    <s v="AutoPost 18"/>
    <s v="CAD"/>
    <s v="2023-01"/>
    <n v="-735.45"/>
    <n v="141475.81"/>
  </r>
  <r>
    <s v="GL000019"/>
    <d v="2024-09-02T00:00:00"/>
    <n v="5000"/>
    <x v="1"/>
    <n v="154.43"/>
    <n v="0"/>
    <x v="5"/>
    <s v="CC300"/>
    <s v="AutoPost 19"/>
    <s v="CAD"/>
    <s v="2024-09"/>
    <n v="-154.43"/>
    <n v="102519.44"/>
  </r>
  <r>
    <s v="GL000020"/>
    <d v="2024-03-28T00:00:00"/>
    <n v="6000"/>
    <x v="2"/>
    <n v="359.1"/>
    <n v="0"/>
    <x v="2"/>
    <s v="CC300"/>
    <s v="AutoPost 20"/>
    <s v="CAD"/>
    <s v="2024-03"/>
    <n v="-359.1"/>
    <n v="100318.84"/>
  </r>
  <r>
    <s v="GL000021"/>
    <d v="2023-07-01T00:00:00"/>
    <n v="4010"/>
    <x v="4"/>
    <n v="0"/>
    <n v="1632.86"/>
    <x v="2"/>
    <s v="CC500"/>
    <s v="AutoPost 21"/>
    <s v="CAD"/>
    <s v="2023-07"/>
    <n v="1632.86"/>
    <n v="51361.43"/>
  </r>
  <r>
    <s v="GL000022"/>
    <d v="2024-05-29T00:00:00"/>
    <n v="5000"/>
    <x v="1"/>
    <n v="319.7"/>
    <n v="0"/>
    <x v="2"/>
    <s v="CC500"/>
    <s v="AutoPost 22"/>
    <s v="USD"/>
    <s v="2024-05"/>
    <n v="-319.7"/>
    <n v="29263.69"/>
  </r>
  <r>
    <s v="GL000023"/>
    <d v="2023-03-22T00:00:00"/>
    <n v="5000"/>
    <x v="1"/>
    <n v="546.02"/>
    <n v="0"/>
    <x v="2"/>
    <s v="CC200"/>
    <s v="AutoPost 23"/>
    <s v="CAD"/>
    <s v="2023-03"/>
    <n v="-546.02"/>
    <n v="146937.60999999999"/>
  </r>
  <r>
    <s v="GL000024"/>
    <d v="2023-04-09T00:00:00"/>
    <n v="5010"/>
    <x v="3"/>
    <n v="267.04000000000002"/>
    <n v="0"/>
    <x v="1"/>
    <s v="CC200"/>
    <s v="AutoPost 24"/>
    <s v="AUD"/>
    <s v="2023-04"/>
    <n v="-267.04000000000002"/>
    <n v="70700.52"/>
  </r>
  <r>
    <s v="GL000025"/>
    <d v="2025-05-25T00:00:00"/>
    <n v="4000"/>
    <x v="0"/>
    <n v="0"/>
    <n v="1650.08"/>
    <x v="2"/>
    <s v="CC200"/>
    <s v="AutoPost 25"/>
    <s v="USD"/>
    <s v="2025-05"/>
    <n v="1650.08"/>
    <n v="61495.92"/>
  </r>
  <r>
    <s v="GL000026"/>
    <d v="2024-11-14T00:00:00"/>
    <n v="5000"/>
    <x v="1"/>
    <n v="115"/>
    <n v="0"/>
    <x v="0"/>
    <s v="CC100"/>
    <s v="AutoPost 26"/>
    <s v="AUD"/>
    <s v="2024-11"/>
    <n v="-115"/>
    <n v="55254.78"/>
  </r>
  <r>
    <s v="GL000027"/>
    <d v="2025-06-12T00:00:00"/>
    <n v="4010"/>
    <x v="4"/>
    <n v="0"/>
    <n v="1073.4100000000001"/>
    <x v="0"/>
    <s v="CC400"/>
    <s v="AutoPost 27"/>
    <s v="AUD"/>
    <s v="2025-06"/>
    <n v="1073.4100000000001"/>
    <n v="124523.7"/>
  </r>
  <r>
    <s v="GL000028"/>
    <d v="2025-03-19T00:00:00"/>
    <n v="4010"/>
    <x v="4"/>
    <n v="0"/>
    <n v="3466"/>
    <x v="4"/>
    <s v="CC400"/>
    <s v="AutoPost 28"/>
    <s v="GBP"/>
    <s v="2025-03"/>
    <n v="3466"/>
    <n v="81015.75"/>
  </r>
  <r>
    <s v="GL000029"/>
    <d v="2024-03-26T00:00:00"/>
    <n v="5010"/>
    <x v="3"/>
    <n v="947.43"/>
    <n v="0"/>
    <x v="0"/>
    <s v="CC300"/>
    <s v="AutoPost 29"/>
    <s v="CAD"/>
    <s v="2024-03"/>
    <n v="-947.43"/>
    <n v="55099.41"/>
  </r>
  <r>
    <s v="GL000030"/>
    <d v="2024-01-07T00:00:00"/>
    <n v="4010"/>
    <x v="4"/>
    <n v="0"/>
    <n v="4495.8900000000003"/>
    <x v="0"/>
    <s v="CC400"/>
    <s v="AutoPost 30"/>
    <s v="GBP"/>
    <s v="2024-01"/>
    <n v="4495.8900000000003"/>
    <n v="120462.05"/>
  </r>
  <r>
    <s v="GL000031"/>
    <d v="2024-05-04T00:00:00"/>
    <n v="5000"/>
    <x v="1"/>
    <n v="72.88"/>
    <n v="0"/>
    <x v="0"/>
    <s v="CC500"/>
    <s v="AutoPost 31"/>
    <s v="CAD"/>
    <s v="2024-05"/>
    <n v="-72.88"/>
    <n v="90267.18"/>
  </r>
  <r>
    <s v="GL000032"/>
    <d v="2023-01-15T00:00:00"/>
    <n v="4010"/>
    <x v="4"/>
    <n v="0"/>
    <n v="867.61"/>
    <x v="2"/>
    <s v="CC500"/>
    <s v="AutoPost 32"/>
    <s v="AUD"/>
    <s v="2023-01"/>
    <n v="867.61"/>
    <n v="116604.87"/>
  </r>
  <r>
    <s v="GL000033"/>
    <d v="2023-11-17T00:00:00"/>
    <n v="5010"/>
    <x v="3"/>
    <n v="1416.83"/>
    <n v="0"/>
    <x v="5"/>
    <s v="CC500"/>
    <s v="AutoPost 33"/>
    <s v="USD"/>
    <s v="2023-11"/>
    <n v="-1416.83"/>
    <n v="48595.51"/>
  </r>
  <r>
    <s v="GL000034"/>
    <d v="2024-07-28T00:00:00"/>
    <n v="5010"/>
    <x v="3"/>
    <n v="806.72"/>
    <n v="0"/>
    <x v="0"/>
    <s v="CC100"/>
    <s v="AutoPost 34"/>
    <s v="AUD"/>
    <s v="2024-07"/>
    <n v="-806.72"/>
    <n v="28599.200000000001"/>
  </r>
  <r>
    <s v="GL000035"/>
    <d v="2024-05-13T00:00:00"/>
    <n v="4000"/>
    <x v="0"/>
    <n v="0"/>
    <n v="391.57"/>
    <x v="4"/>
    <s v="CC200"/>
    <s v="AutoPost 35"/>
    <s v="EUR"/>
    <s v="2024-05"/>
    <n v="391.57"/>
    <n v="42077.120000000003"/>
  </r>
  <r>
    <s v="GL000036"/>
    <d v="2025-04-20T00:00:00"/>
    <n v="5000"/>
    <x v="1"/>
    <n v="248.09"/>
    <n v="0"/>
    <x v="4"/>
    <s v="CC500"/>
    <s v="AutoPost 36"/>
    <s v="EUR"/>
    <s v="2025-04"/>
    <n v="-248.09"/>
    <n v="89482.9"/>
  </r>
  <r>
    <s v="GL000037"/>
    <d v="2023-06-19T00:00:00"/>
    <n v="5010"/>
    <x v="3"/>
    <n v="1469.2"/>
    <n v="0"/>
    <x v="2"/>
    <s v="CC500"/>
    <s v="AutoPost 37"/>
    <s v="USD"/>
    <s v="2023-06"/>
    <n v="-1469.2"/>
    <n v="66730.62"/>
  </r>
  <r>
    <s v="GL000038"/>
    <d v="2025-01-03T00:00:00"/>
    <n v="6000"/>
    <x v="2"/>
    <n v="1924.85"/>
    <n v="0"/>
    <x v="4"/>
    <s v="CC100"/>
    <s v="AutoPost 38"/>
    <s v="EUR"/>
    <s v="2025-01"/>
    <n v="-1924.85"/>
    <n v="127969.04"/>
  </r>
  <r>
    <s v="GL000039"/>
    <d v="2024-02-03T00:00:00"/>
    <n v="5010"/>
    <x v="3"/>
    <n v="1416.63"/>
    <n v="0"/>
    <x v="2"/>
    <s v="CC400"/>
    <s v="AutoPost 39"/>
    <s v="CAD"/>
    <s v="2024-02"/>
    <n v="-1416.63"/>
    <n v="98859.83"/>
  </r>
  <r>
    <s v="GL000040"/>
    <d v="2024-12-22T00:00:00"/>
    <n v="6000"/>
    <x v="2"/>
    <n v="358.23"/>
    <n v="0"/>
    <x v="0"/>
    <s v="CC400"/>
    <s v="AutoPost 40"/>
    <s v="AUD"/>
    <s v="2024-12"/>
    <n v="-358.23"/>
    <n v="75571.7"/>
  </r>
  <r>
    <s v="GL000041"/>
    <d v="2023-09-27T00:00:00"/>
    <n v="5010"/>
    <x v="3"/>
    <n v="1647.4"/>
    <n v="0"/>
    <x v="1"/>
    <s v="CC100"/>
    <s v="AutoPost 41"/>
    <s v="EUR"/>
    <s v="2023-09"/>
    <n v="-1647.4"/>
    <n v="130984.44"/>
  </r>
  <r>
    <s v="GL000042"/>
    <d v="2023-02-08T00:00:00"/>
    <n v="5000"/>
    <x v="1"/>
    <n v="945.76"/>
    <n v="0"/>
    <x v="3"/>
    <s v="CC300"/>
    <s v="AutoPost 42"/>
    <s v="AUD"/>
    <s v="2023-02"/>
    <n v="-945.76"/>
    <n v="89085.04"/>
  </r>
  <r>
    <s v="GL000043"/>
    <d v="2023-03-15T00:00:00"/>
    <n v="6000"/>
    <x v="2"/>
    <n v="941.14"/>
    <n v="0"/>
    <x v="4"/>
    <s v="CC400"/>
    <s v="AutoPost 43"/>
    <s v="EUR"/>
    <s v="2023-03"/>
    <n v="-941.14"/>
    <n v="116081.08"/>
  </r>
  <r>
    <s v="GL000044"/>
    <d v="2024-08-28T00:00:00"/>
    <n v="6000"/>
    <x v="2"/>
    <n v="142.16"/>
    <n v="0"/>
    <x v="5"/>
    <s v="CC200"/>
    <s v="AutoPost 44"/>
    <s v="EUR"/>
    <s v="2024-08"/>
    <n v="-142.16"/>
    <n v="64640.45"/>
  </r>
  <r>
    <s v="GL000045"/>
    <d v="2024-03-19T00:00:00"/>
    <n v="4010"/>
    <x v="4"/>
    <n v="0"/>
    <n v="1368.77"/>
    <x v="3"/>
    <s v="CC500"/>
    <s v="AutoPost 45"/>
    <s v="EUR"/>
    <s v="2024-03"/>
    <n v="1368.77"/>
    <n v="21211.21"/>
  </r>
  <r>
    <s v="GL000046"/>
    <d v="2023-01-25T00:00:00"/>
    <n v="4000"/>
    <x v="0"/>
    <n v="0"/>
    <n v="2507.52"/>
    <x v="3"/>
    <s v="CC400"/>
    <s v="AutoPost 46"/>
    <s v="EUR"/>
    <s v="2023-01"/>
    <n v="2507.52"/>
    <n v="37532.769999999997"/>
  </r>
  <r>
    <s v="GL000047"/>
    <d v="2024-03-08T00:00:00"/>
    <n v="4000"/>
    <x v="0"/>
    <n v="0"/>
    <n v="1744.89"/>
    <x v="4"/>
    <s v="CC400"/>
    <s v="AutoPost 47"/>
    <s v="USD"/>
    <s v="2024-03"/>
    <n v="1744.89"/>
    <n v="28580.31"/>
  </r>
  <r>
    <s v="GL000048"/>
    <d v="2025-05-11T00:00:00"/>
    <n v="6000"/>
    <x v="2"/>
    <n v="1408.09"/>
    <n v="0"/>
    <x v="2"/>
    <s v="CC400"/>
    <s v="AutoPost 48"/>
    <s v="CAD"/>
    <s v="2025-05"/>
    <n v="-1408.09"/>
    <m/>
  </r>
  <r>
    <s v="GL000049"/>
    <d v="2023-03-14T00:00:00"/>
    <n v="6000"/>
    <x v="2"/>
    <n v="480.19"/>
    <n v="0"/>
    <x v="3"/>
    <s v="CC100"/>
    <s v="AutoPost 49"/>
    <s v="EUR"/>
    <s v="2023-03"/>
    <n v="-480.19"/>
    <m/>
  </r>
  <r>
    <s v="GL000050"/>
    <d v="2024-09-18T00:00:00"/>
    <n v="5000"/>
    <x v="1"/>
    <n v="1444.62"/>
    <n v="0"/>
    <x v="3"/>
    <s v="CC100"/>
    <s v="AutoPost 50"/>
    <s v="CAD"/>
    <s v="2024-09"/>
    <n v="-1444.62"/>
    <m/>
  </r>
  <r>
    <s v="GL000051"/>
    <d v="2024-10-26T00:00:00"/>
    <n v="4000"/>
    <x v="0"/>
    <n v="0"/>
    <n v="4456.24"/>
    <x v="1"/>
    <s v="CC400"/>
    <s v="AutoPost 51"/>
    <s v="CAD"/>
    <s v="2024-10"/>
    <n v="4456.24"/>
    <m/>
  </r>
  <r>
    <s v="GL000052"/>
    <d v="2025-06-09T00:00:00"/>
    <n v="4000"/>
    <x v="0"/>
    <n v="0"/>
    <n v="4800.28"/>
    <x v="5"/>
    <s v="CC400"/>
    <s v="AutoPost 52"/>
    <s v="CAD"/>
    <s v="2025-06"/>
    <n v="4800.28"/>
    <m/>
  </r>
  <r>
    <s v="GL000053"/>
    <d v="2023-11-19T00:00:00"/>
    <n v="5000"/>
    <x v="1"/>
    <n v="425.12"/>
    <n v="0"/>
    <x v="3"/>
    <s v="CC500"/>
    <s v="AutoPost 53"/>
    <s v="AUD"/>
    <s v="2023-11"/>
    <n v="-425.12"/>
    <m/>
  </r>
  <r>
    <s v="GL000054"/>
    <d v="2024-04-26T00:00:00"/>
    <n v="6000"/>
    <x v="2"/>
    <n v="1830.18"/>
    <n v="0"/>
    <x v="4"/>
    <s v="CC500"/>
    <s v="AutoPost 54"/>
    <s v="EUR"/>
    <s v="2024-04"/>
    <n v="-1830.18"/>
    <m/>
  </r>
  <r>
    <s v="GL000055"/>
    <d v="2024-11-02T00:00:00"/>
    <n v="4000"/>
    <x v="0"/>
    <n v="0"/>
    <n v="4128.6400000000003"/>
    <x v="0"/>
    <s v="CC100"/>
    <s v="AutoPost 55"/>
    <s v="AUD"/>
    <s v="2024-11"/>
    <n v="4128.6400000000003"/>
    <m/>
  </r>
  <r>
    <s v="GL000056"/>
    <d v="2023-04-25T00:00:00"/>
    <n v="5000"/>
    <x v="1"/>
    <n v="609.79999999999995"/>
    <n v="0"/>
    <x v="1"/>
    <s v="CC300"/>
    <s v="AutoPost 56"/>
    <s v="CAD"/>
    <s v="2023-04"/>
    <n v="-609.79999999999995"/>
    <m/>
  </r>
  <r>
    <s v="GL000057"/>
    <d v="2023-12-19T00:00:00"/>
    <n v="5010"/>
    <x v="3"/>
    <n v="279.32"/>
    <n v="0"/>
    <x v="3"/>
    <s v="CC400"/>
    <s v="AutoPost 57"/>
    <s v="USD"/>
    <s v="2023-12"/>
    <n v="-279.32"/>
    <m/>
  </r>
  <r>
    <s v="GL000058"/>
    <d v="2024-09-11T00:00:00"/>
    <n v="4010"/>
    <x v="4"/>
    <n v="0"/>
    <n v="1790.31"/>
    <x v="4"/>
    <s v="CC500"/>
    <s v="AutoPost 58"/>
    <s v="CAD"/>
    <s v="2024-09"/>
    <n v="1790.31"/>
    <m/>
  </r>
  <r>
    <s v="GL000059"/>
    <d v="2024-02-02T00:00:00"/>
    <n v="5010"/>
    <x v="3"/>
    <n v="1635.65"/>
    <n v="0"/>
    <x v="1"/>
    <s v="CC400"/>
    <s v="AutoPost 59"/>
    <s v="CAD"/>
    <s v="2024-02"/>
    <n v="-1635.65"/>
    <m/>
  </r>
  <r>
    <s v="GL000060"/>
    <d v="2024-04-30T00:00:00"/>
    <n v="4000"/>
    <x v="0"/>
    <n v="0"/>
    <n v="3300.5"/>
    <x v="4"/>
    <s v="CC400"/>
    <s v="AutoPost 60"/>
    <s v="USD"/>
    <s v="2024-04"/>
    <n v="3300.5"/>
    <m/>
  </r>
  <r>
    <s v="GL000061"/>
    <d v="2024-06-22T00:00:00"/>
    <n v="6000"/>
    <x v="2"/>
    <n v="1704.76"/>
    <n v="0"/>
    <x v="3"/>
    <s v="CC300"/>
    <s v="AutoPost 61"/>
    <s v="AUD"/>
    <s v="2024-06"/>
    <n v="-1704.76"/>
    <m/>
  </r>
  <r>
    <s v="GL000062"/>
    <d v="2023-09-16T00:00:00"/>
    <n v="5010"/>
    <x v="3"/>
    <n v="145.25"/>
    <n v="0"/>
    <x v="2"/>
    <s v="CC300"/>
    <s v="AutoPost 62"/>
    <s v="EUR"/>
    <s v="2023-09"/>
    <n v="-145.25"/>
    <m/>
  </r>
  <r>
    <s v="GL000063"/>
    <d v="2024-08-25T00:00:00"/>
    <n v="6000"/>
    <x v="2"/>
    <n v="1423.44"/>
    <n v="0"/>
    <x v="3"/>
    <s v="CC300"/>
    <s v="AutoPost 63"/>
    <s v="EUR"/>
    <s v="2024-08"/>
    <n v="-1423.44"/>
    <m/>
  </r>
  <r>
    <s v="GL000064"/>
    <d v="2023-09-03T00:00:00"/>
    <n v="5010"/>
    <x v="3"/>
    <n v="793.01"/>
    <n v="0"/>
    <x v="2"/>
    <s v="CC100"/>
    <s v="AutoPost 64"/>
    <s v="CAD"/>
    <s v="2023-09"/>
    <n v="-793.01"/>
    <m/>
  </r>
  <r>
    <s v="GL000065"/>
    <d v="2023-02-27T00:00:00"/>
    <n v="4010"/>
    <x v="4"/>
    <n v="0"/>
    <n v="2977.78"/>
    <x v="3"/>
    <s v="CC300"/>
    <s v="AutoPost 65"/>
    <s v="USD"/>
    <s v="2023-02"/>
    <n v="2977.78"/>
    <m/>
  </r>
  <r>
    <s v="GL000066"/>
    <d v="2023-10-15T00:00:00"/>
    <n v="5010"/>
    <x v="3"/>
    <n v="1212.6500000000001"/>
    <n v="0"/>
    <x v="5"/>
    <s v="CC500"/>
    <s v="AutoPost 66"/>
    <s v="EUR"/>
    <s v="2023-10"/>
    <n v="-1212.6500000000001"/>
    <m/>
  </r>
  <r>
    <s v="GL000067"/>
    <d v="2025-05-01T00:00:00"/>
    <n v="4000"/>
    <x v="0"/>
    <n v="0"/>
    <n v="1204.96"/>
    <x v="5"/>
    <s v="CC300"/>
    <s v="AutoPost 67"/>
    <s v="GBP"/>
    <s v="2025-05"/>
    <n v="1204.96"/>
    <m/>
  </r>
  <r>
    <s v="GL000068"/>
    <d v="2025-06-23T00:00:00"/>
    <n v="5010"/>
    <x v="3"/>
    <n v="1735.7"/>
    <n v="0"/>
    <x v="3"/>
    <s v="CC100"/>
    <s v="AutoPost 68"/>
    <s v="USD"/>
    <s v="2025-06"/>
    <n v="-1735.7"/>
    <m/>
  </r>
  <r>
    <s v="GL000069"/>
    <d v="2025-06-18T00:00:00"/>
    <n v="6000"/>
    <x v="2"/>
    <n v="1095.32"/>
    <n v="0"/>
    <x v="4"/>
    <s v="CC500"/>
    <s v="AutoPost 69"/>
    <s v="AUD"/>
    <s v="2025-06"/>
    <n v="-1095.32"/>
    <m/>
  </r>
  <r>
    <s v="GL000070"/>
    <d v="2024-05-18T00:00:00"/>
    <n v="6000"/>
    <x v="2"/>
    <n v="553.17999999999995"/>
    <n v="0"/>
    <x v="2"/>
    <s v="CC300"/>
    <s v="AutoPost 70"/>
    <s v="USD"/>
    <s v="2024-05"/>
    <n v="-553.17999999999995"/>
    <m/>
  </r>
  <r>
    <s v="GL000071"/>
    <d v="2025-05-04T00:00:00"/>
    <n v="4000"/>
    <x v="0"/>
    <n v="0"/>
    <n v="2434.5500000000002"/>
    <x v="4"/>
    <s v="CC300"/>
    <s v="AutoPost 71"/>
    <s v="CAD"/>
    <s v="2025-05"/>
    <n v="2434.5500000000002"/>
    <m/>
  </r>
  <r>
    <s v="GL000072"/>
    <d v="2024-02-21T00:00:00"/>
    <n v="5000"/>
    <x v="1"/>
    <n v="156.53"/>
    <n v="0"/>
    <x v="4"/>
    <s v="CC500"/>
    <s v="AutoPost 72"/>
    <s v="USD"/>
    <s v="2024-02"/>
    <n v="-156.53"/>
    <m/>
  </r>
  <r>
    <s v="GL000073"/>
    <d v="2025-02-02T00:00:00"/>
    <n v="6000"/>
    <x v="2"/>
    <n v="1231.32"/>
    <n v="0"/>
    <x v="1"/>
    <s v="CC200"/>
    <s v="AutoPost 73"/>
    <s v="GBP"/>
    <s v="2025-02"/>
    <n v="-1231.32"/>
    <m/>
  </r>
  <r>
    <s v="GL000074"/>
    <d v="2024-09-16T00:00:00"/>
    <n v="5010"/>
    <x v="3"/>
    <n v="1844.88"/>
    <n v="0"/>
    <x v="0"/>
    <s v="CC100"/>
    <s v="AutoPost 74"/>
    <s v="AUD"/>
    <s v="2024-09"/>
    <n v="-1844.88"/>
    <m/>
  </r>
  <r>
    <s v="GL000075"/>
    <d v="2025-04-04T00:00:00"/>
    <n v="5010"/>
    <x v="3"/>
    <n v="1368.26"/>
    <n v="0"/>
    <x v="4"/>
    <s v="CC500"/>
    <s v="AutoPost 75"/>
    <s v="GBP"/>
    <s v="2025-04"/>
    <n v="-1368.26"/>
    <m/>
  </r>
  <r>
    <s v="GL000076"/>
    <d v="2024-05-25T00:00:00"/>
    <n v="4000"/>
    <x v="0"/>
    <n v="0"/>
    <n v="2609.56"/>
    <x v="0"/>
    <s v="CC400"/>
    <s v="AutoPost 76"/>
    <s v="GBP"/>
    <s v="2024-05"/>
    <n v="2609.56"/>
    <m/>
  </r>
  <r>
    <s v="GL000077"/>
    <d v="2023-03-27T00:00:00"/>
    <n v="6000"/>
    <x v="2"/>
    <n v="1420.84"/>
    <n v="0"/>
    <x v="2"/>
    <s v="CC400"/>
    <s v="AutoPost 77"/>
    <s v="AUD"/>
    <s v="2023-03"/>
    <n v="-1420.84"/>
    <m/>
  </r>
  <r>
    <s v="GL000078"/>
    <d v="2025-03-26T00:00:00"/>
    <n v="5000"/>
    <x v="1"/>
    <n v="1671.57"/>
    <n v="0"/>
    <x v="4"/>
    <s v="CC300"/>
    <s v="AutoPost 78"/>
    <s v="GBP"/>
    <s v="2025-03"/>
    <n v="-1671.57"/>
    <m/>
  </r>
  <r>
    <s v="GL000079"/>
    <d v="2023-03-16T00:00:00"/>
    <n v="6000"/>
    <x v="2"/>
    <n v="498.83"/>
    <n v="0"/>
    <x v="5"/>
    <s v="CC300"/>
    <s v="AutoPost 79"/>
    <s v="AUD"/>
    <s v="2023-03"/>
    <n v="-498.83"/>
    <m/>
  </r>
  <r>
    <s v="GL000080"/>
    <d v="2025-05-22T00:00:00"/>
    <n v="5010"/>
    <x v="3"/>
    <n v="1528.9"/>
    <n v="0"/>
    <x v="0"/>
    <s v="CC200"/>
    <s v="AutoPost 80"/>
    <s v="USD"/>
    <s v="2025-05"/>
    <n v="-1528.9"/>
    <m/>
  </r>
  <r>
    <s v="GL000081"/>
    <d v="2023-09-03T00:00:00"/>
    <n v="4000"/>
    <x v="0"/>
    <n v="0"/>
    <n v="4706.6099999999997"/>
    <x v="2"/>
    <s v="CC300"/>
    <s v="AutoPost 81"/>
    <s v="EUR"/>
    <s v="2023-09"/>
    <n v="4706.6099999999997"/>
    <m/>
  </r>
  <r>
    <s v="GL000082"/>
    <d v="2023-12-24T00:00:00"/>
    <n v="5010"/>
    <x v="3"/>
    <n v="1105.6300000000001"/>
    <n v="0"/>
    <x v="0"/>
    <s v="CC300"/>
    <s v="AutoPost 82"/>
    <s v="AUD"/>
    <s v="2023-12"/>
    <n v="-1105.6300000000001"/>
    <m/>
  </r>
  <r>
    <s v="GL000083"/>
    <d v="2023-10-23T00:00:00"/>
    <n v="4010"/>
    <x v="4"/>
    <n v="0"/>
    <n v="3399.04"/>
    <x v="2"/>
    <s v="CC200"/>
    <s v="AutoPost 83"/>
    <s v="AUD"/>
    <s v="2023-10"/>
    <n v="3399.04"/>
    <m/>
  </r>
  <r>
    <s v="GL000084"/>
    <d v="2023-12-31T00:00:00"/>
    <n v="5010"/>
    <x v="3"/>
    <n v="1163.98"/>
    <n v="0"/>
    <x v="0"/>
    <s v="CC100"/>
    <s v="AutoPost 84"/>
    <s v="GBP"/>
    <s v="2023-12"/>
    <n v="-1163.98"/>
    <m/>
  </r>
  <r>
    <s v="GL000085"/>
    <d v="2023-10-22T00:00:00"/>
    <n v="4000"/>
    <x v="0"/>
    <n v="0"/>
    <n v="3532.66"/>
    <x v="2"/>
    <s v="CC300"/>
    <s v="AutoPost 85"/>
    <s v="USD"/>
    <s v="2023-10"/>
    <n v="3532.66"/>
    <m/>
  </r>
  <r>
    <s v="GL000086"/>
    <d v="2025-02-21T00:00:00"/>
    <n v="5010"/>
    <x v="3"/>
    <n v="1395.59"/>
    <n v="0"/>
    <x v="1"/>
    <s v="CC100"/>
    <s v="AutoPost 86"/>
    <s v="USD"/>
    <s v="2025-02"/>
    <n v="-1395.59"/>
    <m/>
  </r>
  <r>
    <s v="GL000087"/>
    <d v="2024-11-22T00:00:00"/>
    <n v="5000"/>
    <x v="1"/>
    <n v="1441.07"/>
    <n v="0"/>
    <x v="4"/>
    <s v="CC100"/>
    <s v="AutoPost 87"/>
    <s v="CAD"/>
    <s v="2024-11"/>
    <n v="-1441.07"/>
    <m/>
  </r>
  <r>
    <s v="GL000088"/>
    <d v="2023-12-15T00:00:00"/>
    <n v="4010"/>
    <x v="4"/>
    <n v="0"/>
    <n v="3845.76"/>
    <x v="0"/>
    <s v="CC500"/>
    <s v="AutoPost 88"/>
    <s v="USD"/>
    <s v="2023-12"/>
    <n v="3845.76"/>
    <m/>
  </r>
  <r>
    <s v="GL000089"/>
    <d v="2023-07-28T00:00:00"/>
    <n v="6000"/>
    <x v="2"/>
    <n v="1448.69"/>
    <n v="0"/>
    <x v="3"/>
    <s v="CC300"/>
    <s v="AutoPost 89"/>
    <s v="CAD"/>
    <s v="2023-07"/>
    <n v="-1448.69"/>
    <m/>
  </r>
  <r>
    <s v="GL000090"/>
    <d v="2024-04-14T00:00:00"/>
    <n v="5000"/>
    <x v="1"/>
    <n v="74.5"/>
    <n v="0"/>
    <x v="2"/>
    <s v="CC500"/>
    <s v="AutoPost 90"/>
    <s v="GBP"/>
    <s v="2024-04"/>
    <n v="-74.5"/>
    <m/>
  </r>
  <r>
    <s v="GL000091"/>
    <d v="2024-11-24T00:00:00"/>
    <n v="4000"/>
    <x v="0"/>
    <n v="0"/>
    <n v="1071.73"/>
    <x v="5"/>
    <s v="CC400"/>
    <s v="AutoPost 91"/>
    <s v="USD"/>
    <s v="2024-11"/>
    <n v="1071.73"/>
    <m/>
  </r>
  <r>
    <s v="GL000092"/>
    <d v="2025-02-21T00:00:00"/>
    <n v="5000"/>
    <x v="1"/>
    <n v="1875.56"/>
    <n v="0"/>
    <x v="4"/>
    <s v="CC300"/>
    <s v="AutoPost 92"/>
    <s v="GBP"/>
    <s v="2025-02"/>
    <n v="-1875.56"/>
    <m/>
  </r>
  <r>
    <s v="GL000093"/>
    <d v="2024-05-12T00:00:00"/>
    <n v="6000"/>
    <x v="2"/>
    <n v="1449.67"/>
    <n v="0"/>
    <x v="0"/>
    <s v="CC200"/>
    <s v="AutoPost 93"/>
    <s v="USD"/>
    <s v="2024-05"/>
    <n v="-1449.67"/>
    <m/>
  </r>
  <r>
    <s v="GL000094"/>
    <d v="2023-10-16T00:00:00"/>
    <n v="5000"/>
    <x v="1"/>
    <n v="1782.21"/>
    <n v="0"/>
    <x v="5"/>
    <s v="CC500"/>
    <s v="AutoPost 94"/>
    <s v="AUD"/>
    <s v="2023-10"/>
    <n v="-1782.21"/>
    <m/>
  </r>
  <r>
    <s v="GL000095"/>
    <d v="2023-04-25T00:00:00"/>
    <n v="4010"/>
    <x v="4"/>
    <n v="0"/>
    <n v="4889.25"/>
    <x v="5"/>
    <s v="CC300"/>
    <s v="AutoPost 95"/>
    <s v="AUD"/>
    <s v="2023-04"/>
    <n v="4889.25"/>
    <m/>
  </r>
  <r>
    <s v="GL000096"/>
    <d v="2023-10-12T00:00:00"/>
    <n v="6000"/>
    <x v="2"/>
    <n v="1101.33"/>
    <n v="0"/>
    <x v="0"/>
    <s v="CC500"/>
    <s v="AutoPost 96"/>
    <s v="GBP"/>
    <s v="2023-10"/>
    <n v="-1101.33"/>
    <m/>
  </r>
  <r>
    <s v="GL000097"/>
    <d v="2025-05-12T00:00:00"/>
    <n v="5010"/>
    <x v="3"/>
    <n v="121.65"/>
    <n v="0"/>
    <x v="1"/>
    <s v="CC200"/>
    <s v="AutoPost 97"/>
    <s v="USD"/>
    <s v="2025-05"/>
    <n v="-121.65"/>
    <m/>
  </r>
  <r>
    <s v="GL000098"/>
    <d v="2023-02-15T00:00:00"/>
    <n v="5010"/>
    <x v="3"/>
    <n v="137.87"/>
    <n v="0"/>
    <x v="0"/>
    <s v="CC500"/>
    <s v="AutoPost 98"/>
    <s v="AUD"/>
    <s v="2023-02"/>
    <n v="-137.87"/>
    <m/>
  </r>
  <r>
    <s v="GL000099"/>
    <d v="2023-01-09T00:00:00"/>
    <n v="4000"/>
    <x v="0"/>
    <n v="0"/>
    <n v="792.94"/>
    <x v="4"/>
    <s v="CC400"/>
    <s v="AutoPost 99"/>
    <s v="CAD"/>
    <s v="2023-01"/>
    <n v="792.94"/>
    <m/>
  </r>
  <r>
    <s v="GL000100"/>
    <d v="2025-01-10T00:00:00"/>
    <n v="4010"/>
    <x v="4"/>
    <n v="0"/>
    <n v="1346.1"/>
    <x v="1"/>
    <s v="CC300"/>
    <s v="AutoPost 100"/>
    <s v="USD"/>
    <s v="2025-01"/>
    <n v="1346.1"/>
    <m/>
  </r>
  <r>
    <s v="GL000101"/>
    <d v="2024-07-05T00:00:00"/>
    <n v="4010"/>
    <x v="4"/>
    <n v="0"/>
    <n v="961.26"/>
    <x v="5"/>
    <s v="CC300"/>
    <s v="AutoPost 101"/>
    <s v="CAD"/>
    <s v="2024-07"/>
    <n v="961.26"/>
    <m/>
  </r>
  <r>
    <s v="GL000102"/>
    <d v="2024-10-07T00:00:00"/>
    <n v="5000"/>
    <x v="1"/>
    <n v="421.91"/>
    <n v="0"/>
    <x v="5"/>
    <s v="CC300"/>
    <s v="AutoPost 102"/>
    <s v="EUR"/>
    <s v="2024-10"/>
    <n v="-421.91"/>
    <m/>
  </r>
  <r>
    <s v="GL000103"/>
    <d v="2025-05-22T00:00:00"/>
    <n v="4000"/>
    <x v="0"/>
    <n v="0"/>
    <n v="1902.45"/>
    <x v="2"/>
    <s v="CC500"/>
    <s v="AutoPost 103"/>
    <s v="GBP"/>
    <s v="2025-05"/>
    <n v="1902.45"/>
    <m/>
  </r>
  <r>
    <s v="GL000104"/>
    <d v="2023-09-01T00:00:00"/>
    <n v="6000"/>
    <x v="2"/>
    <n v="764.96"/>
    <n v="0"/>
    <x v="4"/>
    <s v="CC200"/>
    <s v="AutoPost 104"/>
    <s v="USD"/>
    <s v="2023-09"/>
    <n v="-764.96"/>
    <m/>
  </r>
  <r>
    <s v="GL000105"/>
    <d v="2023-08-24T00:00:00"/>
    <n v="4000"/>
    <x v="0"/>
    <n v="0"/>
    <n v="734.03"/>
    <x v="0"/>
    <s v="CC100"/>
    <s v="AutoPost 105"/>
    <s v="EUR"/>
    <s v="2023-08"/>
    <n v="734.03"/>
    <m/>
  </r>
  <r>
    <s v="GL000106"/>
    <d v="2023-06-30T00:00:00"/>
    <n v="5000"/>
    <x v="1"/>
    <n v="1157.81"/>
    <n v="0"/>
    <x v="3"/>
    <s v="CC400"/>
    <s v="AutoPost 106"/>
    <s v="AUD"/>
    <s v="2023-06"/>
    <n v="-1157.81"/>
    <m/>
  </r>
  <r>
    <s v="GL000107"/>
    <d v="2025-06-15T00:00:00"/>
    <n v="5010"/>
    <x v="3"/>
    <n v="1552.29"/>
    <n v="0"/>
    <x v="4"/>
    <s v="CC400"/>
    <s v="AutoPost 107"/>
    <s v="GBP"/>
    <s v="2025-06"/>
    <n v="-1552.29"/>
    <m/>
  </r>
  <r>
    <s v="GL000108"/>
    <d v="2024-01-28T00:00:00"/>
    <n v="6000"/>
    <x v="2"/>
    <n v="1400.69"/>
    <n v="0"/>
    <x v="1"/>
    <s v="CC400"/>
    <s v="AutoPost 108"/>
    <s v="GBP"/>
    <s v="2024-01"/>
    <n v="-1400.69"/>
    <m/>
  </r>
  <r>
    <s v="GL000109"/>
    <d v="2024-03-04T00:00:00"/>
    <n v="5010"/>
    <x v="3"/>
    <n v="1548.81"/>
    <n v="0"/>
    <x v="5"/>
    <s v="CC100"/>
    <s v="AutoPost 109"/>
    <s v="AUD"/>
    <s v="2024-03"/>
    <n v="-1548.81"/>
    <m/>
  </r>
  <r>
    <s v="GL000110"/>
    <d v="2025-02-14T00:00:00"/>
    <n v="6000"/>
    <x v="2"/>
    <n v="1166.95"/>
    <n v="0"/>
    <x v="0"/>
    <s v="CC100"/>
    <s v="AutoPost 110"/>
    <s v="GBP"/>
    <s v="2025-02"/>
    <n v="-1166.95"/>
    <m/>
  </r>
  <r>
    <s v="GL000111"/>
    <d v="2023-06-25T00:00:00"/>
    <n v="4000"/>
    <x v="0"/>
    <n v="0"/>
    <n v="3630.78"/>
    <x v="4"/>
    <s v="CC300"/>
    <s v="AutoPost 111"/>
    <s v="CAD"/>
    <s v="2023-06"/>
    <n v="3630.78"/>
    <m/>
  </r>
  <r>
    <s v="GL000112"/>
    <d v="2024-03-30T00:00:00"/>
    <n v="4000"/>
    <x v="0"/>
    <n v="0"/>
    <n v="1148.97"/>
    <x v="1"/>
    <s v="CC100"/>
    <s v="AutoPost 112"/>
    <s v="CAD"/>
    <s v="2024-03"/>
    <n v="1148.97"/>
    <m/>
  </r>
  <r>
    <s v="GL000113"/>
    <d v="2024-09-10T00:00:00"/>
    <n v="4000"/>
    <x v="0"/>
    <n v="0"/>
    <n v="1826.98"/>
    <x v="4"/>
    <s v="CC200"/>
    <s v="AutoPost 113"/>
    <s v="AUD"/>
    <s v="2024-09"/>
    <n v="1826.98"/>
    <m/>
  </r>
  <r>
    <s v="GL000114"/>
    <d v="2023-10-28T00:00:00"/>
    <n v="5010"/>
    <x v="3"/>
    <n v="464.27"/>
    <n v="0"/>
    <x v="4"/>
    <s v="CC500"/>
    <s v="AutoPost 114"/>
    <s v="USD"/>
    <s v="2023-10"/>
    <n v="-464.27"/>
    <m/>
  </r>
  <r>
    <s v="GL000115"/>
    <d v="2025-04-15T00:00:00"/>
    <n v="5010"/>
    <x v="3"/>
    <n v="325.08999999999997"/>
    <n v="0"/>
    <x v="4"/>
    <s v="CC400"/>
    <s v="AutoPost 115"/>
    <s v="USD"/>
    <s v="2025-04"/>
    <n v="-325.08999999999997"/>
    <m/>
  </r>
  <r>
    <s v="GL000116"/>
    <d v="2023-04-13T00:00:00"/>
    <n v="4000"/>
    <x v="0"/>
    <n v="0"/>
    <n v="3674.13"/>
    <x v="1"/>
    <s v="CC100"/>
    <s v="AutoPost 116"/>
    <s v="CAD"/>
    <s v="2023-04"/>
    <n v="3674.13"/>
    <m/>
  </r>
  <r>
    <s v="GL000117"/>
    <d v="2023-09-01T00:00:00"/>
    <n v="4010"/>
    <x v="4"/>
    <n v="0"/>
    <n v="2578.4299999999998"/>
    <x v="4"/>
    <s v="CC300"/>
    <s v="AutoPost 117"/>
    <s v="GBP"/>
    <s v="2023-09"/>
    <n v="2578.4299999999998"/>
    <m/>
  </r>
  <r>
    <s v="GL000118"/>
    <d v="2025-01-12T00:00:00"/>
    <n v="6000"/>
    <x v="2"/>
    <n v="523.80999999999995"/>
    <n v="0"/>
    <x v="3"/>
    <s v="CC500"/>
    <s v="AutoPost 118"/>
    <s v="AUD"/>
    <s v="2025-01"/>
    <n v="-523.80999999999995"/>
    <m/>
  </r>
  <r>
    <s v="GL000119"/>
    <d v="2024-11-30T00:00:00"/>
    <n v="5010"/>
    <x v="3"/>
    <n v="1120.46"/>
    <n v="0"/>
    <x v="4"/>
    <s v="CC300"/>
    <s v="AutoPost 119"/>
    <s v="AUD"/>
    <s v="2024-11"/>
    <n v="-1120.46"/>
    <m/>
  </r>
  <r>
    <s v="GL000120"/>
    <d v="2023-03-15T00:00:00"/>
    <n v="5000"/>
    <x v="1"/>
    <n v="547.59"/>
    <n v="0"/>
    <x v="2"/>
    <s v="CC500"/>
    <s v="AutoPost 120"/>
    <s v="AUD"/>
    <s v="2023-03"/>
    <n v="-547.59"/>
    <m/>
  </r>
  <r>
    <s v="GL000121"/>
    <d v="2025-01-24T00:00:00"/>
    <n v="4010"/>
    <x v="4"/>
    <n v="0"/>
    <n v="2032.52"/>
    <x v="5"/>
    <s v="CC400"/>
    <s v="AutoPost 121"/>
    <s v="CAD"/>
    <s v="2025-01"/>
    <n v="2032.52"/>
    <m/>
  </r>
  <r>
    <s v="GL000122"/>
    <d v="2023-07-21T00:00:00"/>
    <n v="6000"/>
    <x v="2"/>
    <n v="1405.18"/>
    <n v="0"/>
    <x v="5"/>
    <s v="CC300"/>
    <s v="AutoPost 122"/>
    <s v="GBP"/>
    <s v="2023-07"/>
    <n v="-1405.18"/>
    <m/>
  </r>
  <r>
    <s v="GL000123"/>
    <d v="2024-02-23T00:00:00"/>
    <n v="5000"/>
    <x v="1"/>
    <n v="150.66999999999999"/>
    <n v="0"/>
    <x v="3"/>
    <s v="CC500"/>
    <s v="AutoPost 123"/>
    <s v="CAD"/>
    <s v="2024-02"/>
    <n v="-150.66999999999999"/>
    <m/>
  </r>
  <r>
    <s v="GL000124"/>
    <d v="2024-08-06T00:00:00"/>
    <n v="4010"/>
    <x v="4"/>
    <n v="0"/>
    <n v="902.67"/>
    <x v="2"/>
    <s v="CC300"/>
    <s v="AutoPost 124"/>
    <s v="CAD"/>
    <s v="2024-08"/>
    <n v="902.67"/>
    <m/>
  </r>
  <r>
    <s v="GL000125"/>
    <d v="2023-11-30T00:00:00"/>
    <n v="4000"/>
    <x v="0"/>
    <n v="0"/>
    <n v="160.09"/>
    <x v="4"/>
    <s v="CC500"/>
    <s v="AutoPost 125"/>
    <s v="CAD"/>
    <s v="2023-11"/>
    <n v="160.09"/>
    <m/>
  </r>
  <r>
    <s v="GL000126"/>
    <d v="2023-12-16T00:00:00"/>
    <n v="5010"/>
    <x v="3"/>
    <n v="367.4"/>
    <n v="0"/>
    <x v="2"/>
    <s v="CC500"/>
    <s v="AutoPost 126"/>
    <s v="AUD"/>
    <s v="2023-12"/>
    <n v="-367.4"/>
    <m/>
  </r>
  <r>
    <s v="GL000127"/>
    <d v="2023-02-05T00:00:00"/>
    <n v="4000"/>
    <x v="0"/>
    <n v="0"/>
    <n v="4964.84"/>
    <x v="1"/>
    <s v="CC500"/>
    <s v="AutoPost 127"/>
    <s v="GBP"/>
    <s v="2023-02"/>
    <n v="4964.84"/>
    <m/>
  </r>
  <r>
    <s v="GL000128"/>
    <d v="2025-04-15T00:00:00"/>
    <n v="5010"/>
    <x v="3"/>
    <n v="925"/>
    <n v="0"/>
    <x v="0"/>
    <s v="CC500"/>
    <s v="AutoPost 128"/>
    <s v="EUR"/>
    <s v="2025-04"/>
    <n v="-925"/>
    <m/>
  </r>
  <r>
    <s v="GL000129"/>
    <d v="2025-01-14T00:00:00"/>
    <n v="5000"/>
    <x v="1"/>
    <n v="1697.34"/>
    <n v="0"/>
    <x v="2"/>
    <s v="CC500"/>
    <s v="AutoPost 129"/>
    <s v="EUR"/>
    <s v="2025-01"/>
    <n v="-1697.34"/>
    <m/>
  </r>
  <r>
    <s v="GL000130"/>
    <d v="2023-09-05T00:00:00"/>
    <n v="5000"/>
    <x v="1"/>
    <n v="308.37"/>
    <n v="0"/>
    <x v="5"/>
    <s v="CC500"/>
    <s v="AutoPost 130"/>
    <s v="CAD"/>
    <s v="2023-09"/>
    <n v="-308.37"/>
    <m/>
  </r>
  <r>
    <s v="GL000131"/>
    <d v="2024-07-05T00:00:00"/>
    <n v="5000"/>
    <x v="1"/>
    <n v="1304.32"/>
    <n v="0"/>
    <x v="5"/>
    <s v="CC400"/>
    <s v="AutoPost 131"/>
    <s v="USD"/>
    <s v="2024-07"/>
    <n v="-1304.32"/>
    <m/>
  </r>
  <r>
    <s v="GL000132"/>
    <d v="2024-03-04T00:00:00"/>
    <n v="4010"/>
    <x v="4"/>
    <n v="0"/>
    <n v="3993.88"/>
    <x v="2"/>
    <s v="CC100"/>
    <s v="AutoPost 132"/>
    <s v="AUD"/>
    <s v="2024-03"/>
    <n v="3993.88"/>
    <m/>
  </r>
  <r>
    <s v="GL000133"/>
    <d v="2025-02-22T00:00:00"/>
    <n v="4000"/>
    <x v="0"/>
    <n v="0"/>
    <n v="703.6"/>
    <x v="3"/>
    <s v="CC100"/>
    <s v="AutoPost 133"/>
    <s v="GBP"/>
    <s v="2025-02"/>
    <n v="703.6"/>
    <m/>
  </r>
  <r>
    <s v="GL000134"/>
    <d v="2024-08-31T00:00:00"/>
    <n v="5010"/>
    <x v="3"/>
    <n v="355.53"/>
    <n v="0"/>
    <x v="3"/>
    <s v="CC400"/>
    <s v="AutoPost 134"/>
    <s v="EUR"/>
    <s v="2024-08"/>
    <n v="-355.53"/>
    <m/>
  </r>
  <r>
    <s v="GL000135"/>
    <d v="2024-09-02T00:00:00"/>
    <n v="5000"/>
    <x v="1"/>
    <n v="1915.19"/>
    <n v="0"/>
    <x v="1"/>
    <s v="CC300"/>
    <s v="AutoPost 135"/>
    <s v="USD"/>
    <s v="2024-09"/>
    <n v="-1915.19"/>
    <m/>
  </r>
  <r>
    <s v="GL000136"/>
    <d v="2023-09-08T00:00:00"/>
    <n v="4010"/>
    <x v="4"/>
    <n v="0"/>
    <n v="877.66"/>
    <x v="1"/>
    <s v="CC300"/>
    <s v="AutoPost 136"/>
    <s v="AUD"/>
    <s v="2023-09"/>
    <n v="877.66"/>
    <m/>
  </r>
  <r>
    <s v="GL000137"/>
    <d v="2024-10-17T00:00:00"/>
    <n v="4010"/>
    <x v="4"/>
    <n v="0"/>
    <n v="2719.49"/>
    <x v="3"/>
    <s v="CC300"/>
    <s v="AutoPost 137"/>
    <s v="USD"/>
    <s v="2024-10"/>
    <n v="2719.49"/>
    <m/>
  </r>
  <r>
    <s v="GL000138"/>
    <d v="2025-01-04T00:00:00"/>
    <n v="5010"/>
    <x v="3"/>
    <n v="1695.8"/>
    <n v="0"/>
    <x v="1"/>
    <s v="CC100"/>
    <s v="AutoPost 138"/>
    <s v="EUR"/>
    <s v="2025-01"/>
    <n v="-1695.8"/>
    <m/>
  </r>
  <r>
    <s v="GL000139"/>
    <d v="2024-09-23T00:00:00"/>
    <n v="6000"/>
    <x v="2"/>
    <n v="1304.8399999999999"/>
    <n v="0"/>
    <x v="1"/>
    <s v="CC100"/>
    <s v="AutoPost 139"/>
    <s v="AUD"/>
    <s v="2024-09"/>
    <n v="-1304.8399999999999"/>
    <m/>
  </r>
  <r>
    <s v="GL000140"/>
    <d v="2025-06-24T00:00:00"/>
    <n v="4000"/>
    <x v="0"/>
    <n v="0"/>
    <n v="708.58"/>
    <x v="2"/>
    <s v="CC200"/>
    <s v="AutoPost 140"/>
    <s v="GBP"/>
    <s v="2025-06"/>
    <n v="708.58"/>
    <m/>
  </r>
  <r>
    <s v="GL000141"/>
    <d v="2023-12-25T00:00:00"/>
    <n v="5010"/>
    <x v="3"/>
    <n v="1650.46"/>
    <n v="0"/>
    <x v="3"/>
    <s v="CC100"/>
    <s v="AutoPost 141"/>
    <s v="CAD"/>
    <s v="2023-12"/>
    <n v="-1650.46"/>
    <m/>
  </r>
  <r>
    <s v="GL000142"/>
    <d v="2023-08-09T00:00:00"/>
    <n v="4010"/>
    <x v="4"/>
    <n v="0"/>
    <n v="1112.1600000000001"/>
    <x v="4"/>
    <s v="CC200"/>
    <s v="AutoPost 142"/>
    <s v="CAD"/>
    <s v="2023-08"/>
    <n v="1112.1600000000001"/>
    <m/>
  </r>
  <r>
    <s v="GL000143"/>
    <d v="2024-06-18T00:00:00"/>
    <n v="4000"/>
    <x v="0"/>
    <n v="0"/>
    <n v="3711.83"/>
    <x v="0"/>
    <s v="CC400"/>
    <s v="AutoPost 143"/>
    <s v="CAD"/>
    <s v="2024-06"/>
    <n v="3711.83"/>
    <m/>
  </r>
  <r>
    <s v="GL000144"/>
    <d v="2023-04-30T00:00:00"/>
    <n v="5000"/>
    <x v="1"/>
    <n v="715.32"/>
    <n v="0"/>
    <x v="3"/>
    <s v="CC300"/>
    <s v="AutoPost 144"/>
    <s v="GBP"/>
    <s v="2023-04"/>
    <n v="-715.32"/>
    <m/>
  </r>
  <r>
    <s v="GL000145"/>
    <d v="2023-06-03T00:00:00"/>
    <n v="6000"/>
    <x v="2"/>
    <n v="1366.61"/>
    <n v="0"/>
    <x v="1"/>
    <s v="CC200"/>
    <s v="AutoPost 145"/>
    <s v="USD"/>
    <s v="2023-06"/>
    <n v="-1366.61"/>
    <m/>
  </r>
  <r>
    <s v="GL000146"/>
    <d v="2023-05-22T00:00:00"/>
    <n v="5000"/>
    <x v="1"/>
    <n v="1091.43"/>
    <n v="0"/>
    <x v="2"/>
    <s v="CC200"/>
    <s v="AutoPost 146"/>
    <s v="CAD"/>
    <s v="2023-05"/>
    <n v="-1091.43"/>
    <m/>
  </r>
  <r>
    <s v="GL000147"/>
    <d v="2024-06-25T00:00:00"/>
    <n v="4000"/>
    <x v="0"/>
    <n v="0"/>
    <n v="1164.3499999999999"/>
    <x v="5"/>
    <s v="CC200"/>
    <s v="AutoPost 147"/>
    <s v="GBP"/>
    <s v="2024-06"/>
    <n v="1164.3499999999999"/>
    <m/>
  </r>
  <r>
    <s v="GL000148"/>
    <d v="2024-03-01T00:00:00"/>
    <n v="5010"/>
    <x v="3"/>
    <n v="1139.5"/>
    <n v="0"/>
    <x v="5"/>
    <s v="CC200"/>
    <s v="AutoPost 148"/>
    <s v="AUD"/>
    <s v="2024-03"/>
    <n v="-1139.5"/>
    <m/>
  </r>
  <r>
    <s v="GL000149"/>
    <d v="2025-01-11T00:00:00"/>
    <n v="4000"/>
    <x v="0"/>
    <n v="0"/>
    <n v="338.86"/>
    <x v="4"/>
    <s v="CC400"/>
    <s v="AutoPost 149"/>
    <s v="USD"/>
    <s v="2025-01"/>
    <n v="338.86"/>
    <m/>
  </r>
  <r>
    <s v="GL000150"/>
    <d v="2025-02-18T00:00:00"/>
    <n v="5000"/>
    <x v="1"/>
    <n v="1379.51"/>
    <n v="0"/>
    <x v="1"/>
    <s v="CC400"/>
    <s v="AutoPost 150"/>
    <s v="USD"/>
    <s v="2025-02"/>
    <n v="-1379.51"/>
    <m/>
  </r>
  <r>
    <s v="GL000151"/>
    <d v="2024-03-17T00:00:00"/>
    <n v="4010"/>
    <x v="4"/>
    <n v="0"/>
    <n v="978.34"/>
    <x v="3"/>
    <s v="CC300"/>
    <s v="AutoPost 151"/>
    <s v="AUD"/>
    <s v="2024-03"/>
    <n v="978.34"/>
    <m/>
  </r>
  <r>
    <s v="GL000152"/>
    <d v="2025-06-03T00:00:00"/>
    <n v="6000"/>
    <x v="2"/>
    <n v="1490.29"/>
    <n v="0"/>
    <x v="0"/>
    <s v="CC300"/>
    <s v="AutoPost 152"/>
    <s v="EUR"/>
    <s v="2025-06"/>
    <n v="-1490.29"/>
    <m/>
  </r>
  <r>
    <s v="GL000153"/>
    <d v="2024-10-11T00:00:00"/>
    <n v="5010"/>
    <x v="3"/>
    <n v="1515.7"/>
    <n v="0"/>
    <x v="5"/>
    <s v="CC400"/>
    <s v="AutoPost 153"/>
    <s v="USD"/>
    <s v="2024-10"/>
    <n v="-1515.7"/>
    <m/>
  </r>
  <r>
    <s v="GL000154"/>
    <d v="2025-06-14T00:00:00"/>
    <n v="4000"/>
    <x v="0"/>
    <n v="0"/>
    <n v="1736.2"/>
    <x v="5"/>
    <s v="CC400"/>
    <s v="AutoPost 154"/>
    <s v="GBP"/>
    <s v="2025-06"/>
    <n v="1736.2"/>
    <m/>
  </r>
  <r>
    <s v="GL000155"/>
    <d v="2023-07-09T00:00:00"/>
    <n v="6000"/>
    <x v="2"/>
    <n v="1711.43"/>
    <n v="0"/>
    <x v="4"/>
    <s v="CC400"/>
    <s v="AutoPost 155"/>
    <s v="CAD"/>
    <s v="2023-07"/>
    <n v="-1711.43"/>
    <m/>
  </r>
  <r>
    <s v="GL000156"/>
    <d v="2023-04-19T00:00:00"/>
    <n v="6000"/>
    <x v="2"/>
    <n v="511.34"/>
    <n v="0"/>
    <x v="3"/>
    <s v="CC200"/>
    <s v="AutoPost 156"/>
    <s v="GBP"/>
    <s v="2023-04"/>
    <n v="-511.34"/>
    <m/>
  </r>
  <r>
    <s v="GL000157"/>
    <d v="2023-04-21T00:00:00"/>
    <n v="4000"/>
    <x v="0"/>
    <n v="0"/>
    <n v="4520.9799999999996"/>
    <x v="0"/>
    <s v="CC400"/>
    <s v="AutoPost 157"/>
    <s v="AUD"/>
    <s v="2023-04"/>
    <n v="4520.9799999999996"/>
    <m/>
  </r>
  <r>
    <s v="GL000158"/>
    <d v="2023-01-29T00:00:00"/>
    <n v="5000"/>
    <x v="1"/>
    <n v="1483.66"/>
    <n v="0"/>
    <x v="2"/>
    <s v="CC200"/>
    <s v="AutoPost 158"/>
    <s v="AUD"/>
    <s v="2023-01"/>
    <n v="-1483.66"/>
    <m/>
  </r>
  <r>
    <s v="GL000159"/>
    <d v="2025-06-20T00:00:00"/>
    <n v="5010"/>
    <x v="3"/>
    <n v="571.01"/>
    <n v="0"/>
    <x v="4"/>
    <s v="CC300"/>
    <s v="AutoPost 159"/>
    <s v="EUR"/>
    <s v="2025-06"/>
    <n v="-571.01"/>
    <m/>
  </r>
  <r>
    <s v="GL000160"/>
    <d v="2023-12-09T00:00:00"/>
    <n v="6000"/>
    <x v="2"/>
    <n v="1556.44"/>
    <n v="0"/>
    <x v="5"/>
    <s v="CC400"/>
    <s v="AutoPost 160"/>
    <s v="USD"/>
    <s v="2023-12"/>
    <n v="-1556.44"/>
    <m/>
  </r>
  <r>
    <s v="GL000161"/>
    <d v="2025-02-17T00:00:00"/>
    <n v="4000"/>
    <x v="0"/>
    <n v="0"/>
    <n v="2614.6799999999998"/>
    <x v="1"/>
    <s v="CC100"/>
    <s v="AutoPost 161"/>
    <s v="AUD"/>
    <s v="2025-02"/>
    <n v="2614.6799999999998"/>
    <m/>
  </r>
  <r>
    <s v="GL000162"/>
    <d v="2024-12-21T00:00:00"/>
    <n v="4000"/>
    <x v="0"/>
    <n v="0"/>
    <n v="3901.69"/>
    <x v="5"/>
    <s v="CC100"/>
    <s v="AutoPost 162"/>
    <s v="EUR"/>
    <s v="2024-12"/>
    <n v="3901.69"/>
    <m/>
  </r>
  <r>
    <s v="GL000163"/>
    <d v="2025-02-26T00:00:00"/>
    <n v="4010"/>
    <x v="4"/>
    <n v="0"/>
    <n v="1890.76"/>
    <x v="1"/>
    <s v="CC200"/>
    <s v="AutoPost 163"/>
    <s v="CAD"/>
    <s v="2025-02"/>
    <n v="1890.76"/>
    <m/>
  </r>
  <r>
    <s v="GL000164"/>
    <d v="2024-07-17T00:00:00"/>
    <n v="4010"/>
    <x v="4"/>
    <n v="0"/>
    <n v="1829.98"/>
    <x v="1"/>
    <s v="CC100"/>
    <s v="AutoPost 164"/>
    <s v="CAD"/>
    <s v="2024-07"/>
    <n v="1829.98"/>
    <m/>
  </r>
  <r>
    <s v="GL000165"/>
    <d v="2024-06-04T00:00:00"/>
    <n v="4000"/>
    <x v="0"/>
    <n v="0"/>
    <n v="1161.94"/>
    <x v="4"/>
    <s v="CC300"/>
    <s v="AutoPost 165"/>
    <s v="EUR"/>
    <s v="2024-06"/>
    <n v="1161.94"/>
    <m/>
  </r>
  <r>
    <s v="GL000166"/>
    <d v="2023-11-22T00:00:00"/>
    <n v="6000"/>
    <x v="2"/>
    <n v="1114.08"/>
    <n v="0"/>
    <x v="0"/>
    <s v="CC100"/>
    <s v="AutoPost 166"/>
    <s v="EUR"/>
    <s v="2023-11"/>
    <n v="-1114.08"/>
    <m/>
  </r>
  <r>
    <s v="GL000167"/>
    <d v="2024-05-06T00:00:00"/>
    <n v="4010"/>
    <x v="4"/>
    <n v="0"/>
    <n v="859.97"/>
    <x v="0"/>
    <s v="CC100"/>
    <s v="AutoPost 167"/>
    <s v="EUR"/>
    <s v="2024-05"/>
    <n v="859.97"/>
    <m/>
  </r>
  <r>
    <s v="GL000168"/>
    <d v="2023-09-13T00:00:00"/>
    <n v="5000"/>
    <x v="1"/>
    <n v="1369.63"/>
    <n v="0"/>
    <x v="0"/>
    <s v="CC100"/>
    <s v="AutoPost 168"/>
    <s v="USD"/>
    <s v="2023-09"/>
    <n v="-1369.63"/>
    <m/>
  </r>
  <r>
    <s v="GL000169"/>
    <d v="2023-01-17T00:00:00"/>
    <n v="6000"/>
    <x v="2"/>
    <n v="1174.4100000000001"/>
    <n v="0"/>
    <x v="0"/>
    <s v="CC500"/>
    <s v="AutoPost 169"/>
    <s v="AUD"/>
    <s v="2023-01"/>
    <n v="-1174.4100000000001"/>
    <m/>
  </r>
  <r>
    <s v="GL000170"/>
    <d v="2024-09-29T00:00:00"/>
    <n v="5010"/>
    <x v="3"/>
    <n v="605.78"/>
    <n v="0"/>
    <x v="3"/>
    <s v="CC200"/>
    <s v="AutoPost 170"/>
    <s v="EUR"/>
    <s v="2024-09"/>
    <n v="-605.78"/>
    <m/>
  </r>
  <r>
    <s v="GL000171"/>
    <d v="2024-04-02T00:00:00"/>
    <n v="5000"/>
    <x v="1"/>
    <n v="60.93"/>
    <n v="0"/>
    <x v="4"/>
    <s v="CC400"/>
    <s v="AutoPost 171"/>
    <s v="AUD"/>
    <s v="2024-04"/>
    <n v="-60.93"/>
    <m/>
  </r>
  <r>
    <s v="GL000172"/>
    <d v="2024-07-16T00:00:00"/>
    <n v="5010"/>
    <x v="3"/>
    <n v="210.91"/>
    <n v="0"/>
    <x v="2"/>
    <s v="CC400"/>
    <s v="AutoPost 172"/>
    <s v="EUR"/>
    <s v="2024-07"/>
    <n v="-210.91"/>
    <m/>
  </r>
  <r>
    <s v="GL000173"/>
    <d v="2025-03-13T00:00:00"/>
    <n v="5010"/>
    <x v="3"/>
    <n v="763.11"/>
    <n v="0"/>
    <x v="4"/>
    <s v="CC100"/>
    <s v="AutoPost 173"/>
    <s v="EUR"/>
    <s v="2025-03"/>
    <n v="-763.11"/>
    <m/>
  </r>
  <r>
    <s v="GL000174"/>
    <d v="2024-08-22T00:00:00"/>
    <n v="5000"/>
    <x v="1"/>
    <n v="858.91"/>
    <n v="0"/>
    <x v="3"/>
    <s v="CC400"/>
    <s v="AutoPost 174"/>
    <s v="EUR"/>
    <s v="2024-08"/>
    <n v="-858.91"/>
    <m/>
  </r>
  <r>
    <s v="GL000175"/>
    <d v="2024-02-08T00:00:00"/>
    <n v="5010"/>
    <x v="3"/>
    <n v="1330.42"/>
    <n v="0"/>
    <x v="0"/>
    <s v="CC300"/>
    <s v="AutoPost 175"/>
    <s v="USD"/>
    <s v="2024-02"/>
    <n v="-1330.42"/>
    <m/>
  </r>
  <r>
    <s v="GL000176"/>
    <d v="2024-08-07T00:00:00"/>
    <n v="4000"/>
    <x v="0"/>
    <n v="0"/>
    <n v="1750.45"/>
    <x v="1"/>
    <s v="CC400"/>
    <s v="AutoPost 176"/>
    <s v="USD"/>
    <s v="2024-08"/>
    <n v="1750.45"/>
    <m/>
  </r>
  <r>
    <s v="GL000177"/>
    <d v="2023-12-09T00:00:00"/>
    <n v="4000"/>
    <x v="0"/>
    <n v="0"/>
    <n v="335.99"/>
    <x v="2"/>
    <s v="CC500"/>
    <s v="AutoPost 177"/>
    <s v="GBP"/>
    <s v="2023-12"/>
    <n v="335.99"/>
    <m/>
  </r>
  <r>
    <s v="GL000178"/>
    <d v="2025-06-08T00:00:00"/>
    <n v="6000"/>
    <x v="2"/>
    <n v="1783.05"/>
    <n v="0"/>
    <x v="2"/>
    <s v="CC200"/>
    <s v="AutoPost 178"/>
    <s v="USD"/>
    <s v="2025-06"/>
    <n v="-1783.05"/>
    <m/>
  </r>
  <r>
    <s v="GL000179"/>
    <d v="2023-04-20T00:00:00"/>
    <n v="5010"/>
    <x v="3"/>
    <n v="278.89"/>
    <n v="0"/>
    <x v="0"/>
    <s v="CC400"/>
    <s v="AutoPost 179"/>
    <s v="CAD"/>
    <s v="2023-04"/>
    <n v="-278.89"/>
    <m/>
  </r>
  <r>
    <s v="GL000180"/>
    <d v="2025-04-23T00:00:00"/>
    <n v="4010"/>
    <x v="4"/>
    <n v="0"/>
    <n v="4714.1099999999997"/>
    <x v="0"/>
    <s v="CC500"/>
    <s v="AutoPost 180"/>
    <s v="GBP"/>
    <s v="2025-04"/>
    <n v="4714.1099999999997"/>
    <m/>
  </r>
  <r>
    <s v="GL000181"/>
    <d v="2023-01-10T00:00:00"/>
    <n v="5010"/>
    <x v="3"/>
    <n v="782.32"/>
    <n v="0"/>
    <x v="3"/>
    <s v="CC100"/>
    <s v="AutoPost 181"/>
    <s v="USD"/>
    <s v="2023-01"/>
    <n v="-782.32"/>
    <m/>
  </r>
  <r>
    <s v="GL000182"/>
    <d v="2024-09-10T00:00:00"/>
    <n v="5000"/>
    <x v="1"/>
    <n v="209.01"/>
    <n v="0"/>
    <x v="3"/>
    <s v="CC200"/>
    <s v="AutoPost 182"/>
    <s v="GBP"/>
    <s v="2024-09"/>
    <n v="-209.01"/>
    <m/>
  </r>
  <r>
    <s v="GL000183"/>
    <d v="2024-03-01T00:00:00"/>
    <n v="5000"/>
    <x v="1"/>
    <n v="449.54"/>
    <n v="0"/>
    <x v="5"/>
    <s v="CC100"/>
    <s v="AutoPost 183"/>
    <s v="EUR"/>
    <s v="2024-03"/>
    <n v="-449.54"/>
    <m/>
  </r>
  <r>
    <s v="GL000184"/>
    <d v="2023-09-18T00:00:00"/>
    <n v="6000"/>
    <x v="2"/>
    <n v="1740.12"/>
    <n v="0"/>
    <x v="3"/>
    <s v="CC100"/>
    <s v="AutoPost 184"/>
    <s v="AUD"/>
    <s v="2023-09"/>
    <n v="-1740.12"/>
    <m/>
  </r>
  <r>
    <s v="GL000185"/>
    <d v="2023-05-23T00:00:00"/>
    <n v="5000"/>
    <x v="1"/>
    <n v="1625.69"/>
    <n v="0"/>
    <x v="3"/>
    <s v="CC300"/>
    <s v="AutoPost 185"/>
    <s v="GBP"/>
    <s v="2023-05"/>
    <n v="-1625.69"/>
    <m/>
  </r>
  <r>
    <s v="GL000186"/>
    <d v="2024-12-09T00:00:00"/>
    <n v="5000"/>
    <x v="1"/>
    <n v="586.76"/>
    <n v="0"/>
    <x v="4"/>
    <s v="CC400"/>
    <s v="AutoPost 186"/>
    <s v="AUD"/>
    <s v="2024-12"/>
    <n v="-586.76"/>
    <m/>
  </r>
  <r>
    <s v="GL000187"/>
    <d v="2023-03-20T00:00:00"/>
    <n v="4000"/>
    <x v="0"/>
    <n v="0"/>
    <n v="2824.84"/>
    <x v="3"/>
    <s v="CC100"/>
    <s v="AutoPost 187"/>
    <s v="GBP"/>
    <s v="2023-03"/>
    <n v="2824.84"/>
    <m/>
  </r>
  <r>
    <s v="GL000188"/>
    <d v="2024-11-01T00:00:00"/>
    <n v="4000"/>
    <x v="0"/>
    <n v="0"/>
    <n v="1046.78"/>
    <x v="3"/>
    <s v="CC500"/>
    <s v="AutoPost 188"/>
    <s v="AUD"/>
    <s v="2024-11"/>
    <n v="1046.78"/>
    <m/>
  </r>
  <r>
    <s v="GL000189"/>
    <d v="2023-02-06T00:00:00"/>
    <n v="4010"/>
    <x v="4"/>
    <n v="0"/>
    <n v="3930.36"/>
    <x v="0"/>
    <s v="CC300"/>
    <s v="AutoPost 189"/>
    <s v="GBP"/>
    <s v="2023-02"/>
    <n v="3930.36"/>
    <m/>
  </r>
  <r>
    <s v="GL000190"/>
    <d v="2024-09-11T00:00:00"/>
    <n v="4000"/>
    <x v="0"/>
    <n v="0"/>
    <n v="2772.6"/>
    <x v="4"/>
    <s v="CC200"/>
    <s v="AutoPost 190"/>
    <s v="AUD"/>
    <s v="2024-09"/>
    <n v="2772.6"/>
    <m/>
  </r>
  <r>
    <s v="GL000191"/>
    <d v="2025-06-30T00:00:00"/>
    <n v="5000"/>
    <x v="1"/>
    <n v="1409.16"/>
    <n v="0"/>
    <x v="2"/>
    <s v="CC500"/>
    <s v="AutoPost 191"/>
    <s v="EUR"/>
    <s v="2025-06"/>
    <n v="-1409.16"/>
    <m/>
  </r>
  <r>
    <s v="GL000192"/>
    <d v="2023-12-16T00:00:00"/>
    <n v="4000"/>
    <x v="0"/>
    <n v="0"/>
    <n v="1470.69"/>
    <x v="2"/>
    <s v="CC300"/>
    <s v="AutoPost 192"/>
    <s v="GBP"/>
    <s v="2023-12"/>
    <n v="1470.69"/>
    <m/>
  </r>
  <r>
    <s v="GL000193"/>
    <d v="2024-08-18T00:00:00"/>
    <n v="4010"/>
    <x v="4"/>
    <n v="0"/>
    <n v="3549.99"/>
    <x v="0"/>
    <s v="CC100"/>
    <s v="AutoPost 193"/>
    <s v="EUR"/>
    <s v="2024-08"/>
    <n v="3549.99"/>
    <m/>
  </r>
  <r>
    <s v="GL000194"/>
    <d v="2023-01-29T00:00:00"/>
    <n v="4000"/>
    <x v="0"/>
    <n v="0"/>
    <n v="2371.4"/>
    <x v="3"/>
    <s v="CC200"/>
    <s v="AutoPost 194"/>
    <s v="CAD"/>
    <s v="2023-01"/>
    <n v="2371.4"/>
    <m/>
  </r>
  <r>
    <s v="GL000195"/>
    <d v="2023-02-13T00:00:00"/>
    <n v="6000"/>
    <x v="2"/>
    <n v="1869.71"/>
    <n v="0"/>
    <x v="1"/>
    <s v="CC400"/>
    <s v="AutoPost 195"/>
    <s v="AUD"/>
    <s v="2023-02"/>
    <n v="-1869.71"/>
    <m/>
  </r>
  <r>
    <s v="GL000196"/>
    <d v="2024-01-15T00:00:00"/>
    <n v="5000"/>
    <x v="1"/>
    <n v="1812.22"/>
    <n v="0"/>
    <x v="3"/>
    <s v="CC200"/>
    <s v="AutoPost 196"/>
    <s v="CAD"/>
    <s v="2024-01"/>
    <n v="-1812.22"/>
    <m/>
  </r>
  <r>
    <s v="GL000197"/>
    <d v="2023-02-12T00:00:00"/>
    <n v="5000"/>
    <x v="1"/>
    <n v="218.2"/>
    <n v="0"/>
    <x v="5"/>
    <s v="CC500"/>
    <s v="AutoPost 197"/>
    <s v="GBP"/>
    <s v="2023-02"/>
    <n v="-218.2"/>
    <m/>
  </r>
  <r>
    <s v="GL000198"/>
    <d v="2023-03-12T00:00:00"/>
    <n v="4010"/>
    <x v="4"/>
    <n v="0"/>
    <n v="965.46"/>
    <x v="2"/>
    <s v="CC100"/>
    <s v="AutoPost 198"/>
    <s v="AUD"/>
    <s v="2023-03"/>
    <n v="965.46"/>
    <m/>
  </r>
  <r>
    <s v="GL000199"/>
    <d v="2024-09-14T00:00:00"/>
    <n v="4000"/>
    <x v="0"/>
    <n v="0"/>
    <n v="321.5"/>
    <x v="2"/>
    <s v="CC100"/>
    <s v="AutoPost 199"/>
    <s v="AUD"/>
    <s v="2024-09"/>
    <n v="321.5"/>
    <m/>
  </r>
  <r>
    <s v="GL000200"/>
    <d v="2024-02-25T00:00:00"/>
    <n v="6000"/>
    <x v="2"/>
    <n v="763.01"/>
    <n v="0"/>
    <x v="1"/>
    <s v="CC100"/>
    <s v="AutoPost 200"/>
    <s v="GBP"/>
    <s v="2024-02"/>
    <n v="-763.01"/>
    <m/>
  </r>
  <r>
    <s v="GL000201"/>
    <d v="2023-01-28T00:00:00"/>
    <n v="4010"/>
    <x v="4"/>
    <n v="0"/>
    <n v="2497.61"/>
    <x v="2"/>
    <s v="CC400"/>
    <s v="AutoPost 201"/>
    <s v="USD"/>
    <s v="2023-01"/>
    <n v="2497.61"/>
    <m/>
  </r>
  <r>
    <s v="GL000202"/>
    <d v="2024-09-03T00:00:00"/>
    <n v="4000"/>
    <x v="0"/>
    <n v="0"/>
    <n v="4299.82"/>
    <x v="0"/>
    <s v="CC200"/>
    <s v="AutoPost 202"/>
    <s v="CAD"/>
    <s v="2024-09"/>
    <n v="4299.82"/>
    <m/>
  </r>
  <r>
    <s v="GL000203"/>
    <d v="2024-10-26T00:00:00"/>
    <n v="6000"/>
    <x v="2"/>
    <n v="492.26"/>
    <n v="0"/>
    <x v="0"/>
    <s v="CC400"/>
    <s v="AutoPost 203"/>
    <s v="USD"/>
    <s v="2024-10"/>
    <n v="-492.26"/>
    <m/>
  </r>
  <r>
    <s v="GL000204"/>
    <d v="2023-08-18T00:00:00"/>
    <n v="4000"/>
    <x v="0"/>
    <n v="0"/>
    <n v="4036.79"/>
    <x v="2"/>
    <s v="CC500"/>
    <s v="AutoPost 204"/>
    <s v="EUR"/>
    <s v="2023-08"/>
    <n v="4036.79"/>
    <m/>
  </r>
  <r>
    <s v="GL000205"/>
    <d v="2024-09-13T00:00:00"/>
    <n v="4010"/>
    <x v="4"/>
    <n v="0"/>
    <n v="3885.84"/>
    <x v="2"/>
    <s v="CC300"/>
    <s v="AutoPost 205"/>
    <s v="GBP"/>
    <s v="2024-09"/>
    <n v="3885.84"/>
    <m/>
  </r>
  <r>
    <s v="GL000206"/>
    <d v="2023-02-08T00:00:00"/>
    <n v="6000"/>
    <x v="2"/>
    <n v="1161.43"/>
    <n v="0"/>
    <x v="2"/>
    <s v="CC500"/>
    <s v="AutoPost 206"/>
    <s v="GBP"/>
    <s v="2023-02"/>
    <n v="-1161.43"/>
    <m/>
  </r>
  <r>
    <s v="GL000207"/>
    <d v="2025-04-04T00:00:00"/>
    <n v="4000"/>
    <x v="0"/>
    <n v="0"/>
    <n v="4478.0600000000004"/>
    <x v="1"/>
    <s v="CC200"/>
    <s v="AutoPost 207"/>
    <s v="AUD"/>
    <s v="2025-04"/>
    <n v="4478.0600000000004"/>
    <m/>
  </r>
  <r>
    <s v="GL000208"/>
    <d v="2025-03-23T00:00:00"/>
    <n v="6000"/>
    <x v="2"/>
    <n v="169.1"/>
    <n v="0"/>
    <x v="5"/>
    <s v="CC500"/>
    <s v="AutoPost 208"/>
    <s v="CAD"/>
    <s v="2025-03"/>
    <n v="-169.1"/>
    <m/>
  </r>
  <r>
    <s v="GL000209"/>
    <d v="2023-09-13T00:00:00"/>
    <n v="5000"/>
    <x v="1"/>
    <n v="1138.92"/>
    <n v="0"/>
    <x v="1"/>
    <s v="CC100"/>
    <s v="AutoPost 209"/>
    <s v="AUD"/>
    <s v="2023-09"/>
    <n v="-1138.92"/>
    <m/>
  </r>
  <r>
    <s v="GL000210"/>
    <d v="2023-08-21T00:00:00"/>
    <n v="4010"/>
    <x v="4"/>
    <n v="0"/>
    <n v="3750.39"/>
    <x v="4"/>
    <s v="CC300"/>
    <s v="AutoPost 210"/>
    <s v="CAD"/>
    <s v="2023-08"/>
    <n v="3750.39"/>
    <m/>
  </r>
  <r>
    <s v="GL000211"/>
    <d v="2023-11-29T00:00:00"/>
    <n v="5010"/>
    <x v="3"/>
    <n v="1619.58"/>
    <n v="0"/>
    <x v="0"/>
    <s v="CC400"/>
    <s v="AutoPost 211"/>
    <s v="USD"/>
    <s v="2023-11"/>
    <n v="-1619.58"/>
    <m/>
  </r>
  <r>
    <s v="GL000212"/>
    <d v="2024-11-12T00:00:00"/>
    <n v="4010"/>
    <x v="4"/>
    <n v="0"/>
    <n v="668.17"/>
    <x v="0"/>
    <s v="CC400"/>
    <s v="AutoPost 212"/>
    <s v="CAD"/>
    <s v="2024-11"/>
    <n v="668.17"/>
    <m/>
  </r>
  <r>
    <s v="GL000213"/>
    <d v="2025-02-19T00:00:00"/>
    <n v="5000"/>
    <x v="1"/>
    <n v="1003.8"/>
    <n v="0"/>
    <x v="3"/>
    <s v="CC100"/>
    <s v="AutoPost 213"/>
    <s v="AUD"/>
    <s v="2025-02"/>
    <n v="-1003.8"/>
    <m/>
  </r>
  <r>
    <s v="GL000214"/>
    <d v="2023-08-14T00:00:00"/>
    <n v="4010"/>
    <x v="4"/>
    <n v="0"/>
    <n v="1941.69"/>
    <x v="0"/>
    <s v="CC200"/>
    <s v="AutoPost 214"/>
    <s v="EUR"/>
    <s v="2023-08"/>
    <n v="1941.69"/>
    <m/>
  </r>
  <r>
    <s v="GL000215"/>
    <d v="2024-01-18T00:00:00"/>
    <n v="5010"/>
    <x v="3"/>
    <n v="521.33000000000004"/>
    <n v="0"/>
    <x v="4"/>
    <s v="CC100"/>
    <s v="AutoPost 215"/>
    <s v="AUD"/>
    <s v="2024-01"/>
    <n v="-521.33000000000004"/>
    <m/>
  </r>
  <r>
    <s v="GL000216"/>
    <d v="2024-05-06T00:00:00"/>
    <n v="5010"/>
    <x v="3"/>
    <n v="1612.68"/>
    <n v="0"/>
    <x v="0"/>
    <s v="CC500"/>
    <s v="AutoPost 216"/>
    <s v="AUD"/>
    <s v="2024-05"/>
    <n v="-1612.68"/>
    <m/>
  </r>
  <r>
    <s v="GL000217"/>
    <d v="2023-11-01T00:00:00"/>
    <n v="5000"/>
    <x v="1"/>
    <n v="1386.6"/>
    <n v="0"/>
    <x v="2"/>
    <s v="CC100"/>
    <s v="AutoPost 217"/>
    <s v="USD"/>
    <s v="2023-11"/>
    <n v="-1386.6"/>
    <m/>
  </r>
  <r>
    <s v="GL000218"/>
    <d v="2024-02-12T00:00:00"/>
    <n v="5010"/>
    <x v="3"/>
    <n v="1060.0999999999999"/>
    <n v="0"/>
    <x v="5"/>
    <s v="CC100"/>
    <s v="AutoPost 218"/>
    <s v="EUR"/>
    <s v="2024-02"/>
    <n v="-1060.0999999999999"/>
    <m/>
  </r>
  <r>
    <s v="GL000219"/>
    <d v="2025-03-07T00:00:00"/>
    <n v="5000"/>
    <x v="1"/>
    <n v="558.04"/>
    <n v="0"/>
    <x v="2"/>
    <s v="CC300"/>
    <s v="AutoPost 219"/>
    <s v="AUD"/>
    <s v="2025-03"/>
    <n v="-558.04"/>
    <m/>
  </r>
  <r>
    <s v="GL000220"/>
    <d v="2024-12-10T00:00:00"/>
    <n v="4000"/>
    <x v="0"/>
    <n v="0"/>
    <n v="345.31"/>
    <x v="0"/>
    <s v="CC200"/>
    <s v="AutoPost 220"/>
    <s v="AUD"/>
    <s v="2024-12"/>
    <n v="345.31"/>
    <m/>
  </r>
  <r>
    <s v="GL000221"/>
    <d v="2024-05-17T00:00:00"/>
    <n v="4010"/>
    <x v="4"/>
    <n v="0"/>
    <n v="1449.49"/>
    <x v="0"/>
    <s v="CC200"/>
    <s v="AutoPost 221"/>
    <s v="EUR"/>
    <s v="2024-05"/>
    <n v="1449.49"/>
    <m/>
  </r>
  <r>
    <s v="GL000222"/>
    <d v="2023-11-21T00:00:00"/>
    <n v="6000"/>
    <x v="2"/>
    <n v="491.91"/>
    <n v="0"/>
    <x v="0"/>
    <s v="CC500"/>
    <s v="AutoPost 222"/>
    <s v="USD"/>
    <s v="2023-11"/>
    <n v="-491.91"/>
    <m/>
  </r>
  <r>
    <s v="GL000223"/>
    <d v="2024-03-16T00:00:00"/>
    <n v="5000"/>
    <x v="1"/>
    <n v="1439"/>
    <n v="0"/>
    <x v="5"/>
    <s v="CC300"/>
    <s v="AutoPost 223"/>
    <s v="AUD"/>
    <s v="2024-03"/>
    <n v="-1439"/>
    <m/>
  </r>
  <r>
    <s v="GL000224"/>
    <d v="2023-04-11T00:00:00"/>
    <n v="6000"/>
    <x v="2"/>
    <n v="858.22"/>
    <n v="0"/>
    <x v="0"/>
    <s v="CC300"/>
    <s v="AutoPost 224"/>
    <s v="GBP"/>
    <s v="2023-04"/>
    <n v="-858.22"/>
    <m/>
  </r>
  <r>
    <s v="GL000225"/>
    <d v="2023-12-20T00:00:00"/>
    <n v="4010"/>
    <x v="4"/>
    <n v="0"/>
    <n v="4850.6400000000003"/>
    <x v="5"/>
    <s v="CC300"/>
    <s v="AutoPost 225"/>
    <s v="GBP"/>
    <s v="2023-12"/>
    <n v="4850.6400000000003"/>
    <m/>
  </r>
  <r>
    <s v="GL000226"/>
    <d v="2024-11-11T00:00:00"/>
    <n v="6000"/>
    <x v="2"/>
    <n v="103.53"/>
    <n v="0"/>
    <x v="2"/>
    <s v="CC400"/>
    <s v="AutoPost 226"/>
    <s v="CAD"/>
    <s v="2024-11"/>
    <n v="-103.53"/>
    <m/>
  </r>
  <r>
    <s v="GL000227"/>
    <d v="2025-05-02T00:00:00"/>
    <n v="4010"/>
    <x v="4"/>
    <n v="0"/>
    <n v="4048.34"/>
    <x v="4"/>
    <s v="CC300"/>
    <s v="AutoPost 227"/>
    <s v="GBP"/>
    <s v="2025-05"/>
    <n v="4048.34"/>
    <m/>
  </r>
  <r>
    <s v="GL000228"/>
    <d v="2025-06-14T00:00:00"/>
    <n v="5010"/>
    <x v="3"/>
    <n v="581.82000000000005"/>
    <n v="0"/>
    <x v="3"/>
    <s v="CC200"/>
    <s v="AutoPost 228"/>
    <s v="USD"/>
    <s v="2025-06"/>
    <n v="-581.82000000000005"/>
    <m/>
  </r>
  <r>
    <s v="GL000229"/>
    <d v="2023-08-10T00:00:00"/>
    <n v="6000"/>
    <x v="2"/>
    <n v="539.15"/>
    <n v="0"/>
    <x v="2"/>
    <s v="CC500"/>
    <s v="AutoPost 229"/>
    <s v="USD"/>
    <s v="2023-08"/>
    <n v="-539.15"/>
    <m/>
  </r>
  <r>
    <s v="GL000230"/>
    <d v="2025-02-16T00:00:00"/>
    <n v="4000"/>
    <x v="0"/>
    <n v="0"/>
    <n v="2862.93"/>
    <x v="1"/>
    <s v="CC500"/>
    <s v="AutoPost 230"/>
    <s v="EUR"/>
    <s v="2025-02"/>
    <n v="2862.93"/>
    <m/>
  </r>
  <r>
    <s v="GL000231"/>
    <d v="2024-01-03T00:00:00"/>
    <n v="4010"/>
    <x v="4"/>
    <n v="0"/>
    <n v="3938.51"/>
    <x v="3"/>
    <s v="CC200"/>
    <s v="AutoPost 231"/>
    <s v="GBP"/>
    <s v="2024-01"/>
    <n v="3938.51"/>
    <m/>
  </r>
  <r>
    <s v="GL000232"/>
    <d v="2023-08-12T00:00:00"/>
    <n v="5010"/>
    <x v="3"/>
    <n v="871.28"/>
    <n v="0"/>
    <x v="2"/>
    <s v="CC300"/>
    <s v="AutoPost 232"/>
    <s v="CAD"/>
    <s v="2023-08"/>
    <n v="-871.28"/>
    <m/>
  </r>
  <r>
    <s v="GL000233"/>
    <d v="2023-07-14T00:00:00"/>
    <n v="5000"/>
    <x v="1"/>
    <n v="1527.74"/>
    <n v="0"/>
    <x v="5"/>
    <s v="CC500"/>
    <s v="AutoPost 233"/>
    <s v="GBP"/>
    <s v="2023-07"/>
    <n v="-1527.74"/>
    <m/>
  </r>
  <r>
    <s v="GL000234"/>
    <d v="2023-12-15T00:00:00"/>
    <n v="4000"/>
    <x v="0"/>
    <n v="0"/>
    <n v="1075.51"/>
    <x v="2"/>
    <s v="CC100"/>
    <s v="AutoPost 234"/>
    <s v="USD"/>
    <s v="2023-12"/>
    <n v="1075.51"/>
    <m/>
  </r>
  <r>
    <s v="GL000235"/>
    <d v="2024-04-15T00:00:00"/>
    <n v="4000"/>
    <x v="0"/>
    <n v="0"/>
    <n v="2361.1799999999998"/>
    <x v="2"/>
    <s v="CC100"/>
    <s v="AutoPost 235"/>
    <s v="USD"/>
    <s v="2024-04"/>
    <n v="2361.1799999999998"/>
    <m/>
  </r>
  <r>
    <s v="GL000236"/>
    <d v="2024-10-21T00:00:00"/>
    <n v="5010"/>
    <x v="3"/>
    <n v="151.34"/>
    <n v="0"/>
    <x v="3"/>
    <s v="CC500"/>
    <s v="AutoPost 236"/>
    <s v="AUD"/>
    <s v="2024-10"/>
    <n v="-151.34"/>
    <m/>
  </r>
  <r>
    <s v="GL000237"/>
    <d v="2023-01-24T00:00:00"/>
    <n v="4010"/>
    <x v="4"/>
    <n v="0"/>
    <n v="1299.3699999999999"/>
    <x v="3"/>
    <s v="CC300"/>
    <s v="AutoPost 237"/>
    <s v="USD"/>
    <s v="2023-01"/>
    <n v="1299.3699999999999"/>
    <m/>
  </r>
  <r>
    <s v="GL000238"/>
    <d v="2024-08-30T00:00:00"/>
    <n v="5000"/>
    <x v="1"/>
    <n v="118.21"/>
    <n v="0"/>
    <x v="2"/>
    <s v="CC300"/>
    <s v="AutoPost 238"/>
    <s v="EUR"/>
    <s v="2024-08"/>
    <n v="-118.21"/>
    <m/>
  </r>
  <r>
    <s v="GL000239"/>
    <d v="2023-07-06T00:00:00"/>
    <n v="4000"/>
    <x v="0"/>
    <n v="0"/>
    <n v="4864.04"/>
    <x v="1"/>
    <s v="CC500"/>
    <s v="AutoPost 239"/>
    <s v="GBP"/>
    <s v="2023-07"/>
    <n v="4864.04"/>
    <m/>
  </r>
  <r>
    <s v="GL000240"/>
    <d v="2025-02-24T00:00:00"/>
    <n v="4000"/>
    <x v="0"/>
    <n v="0"/>
    <n v="4495.32"/>
    <x v="4"/>
    <s v="CC200"/>
    <s v="AutoPost 240"/>
    <s v="GBP"/>
    <s v="2025-02"/>
    <n v="4495.32"/>
    <m/>
  </r>
  <r>
    <s v="GL000241"/>
    <d v="2023-03-26T00:00:00"/>
    <n v="6000"/>
    <x v="2"/>
    <n v="1121.29"/>
    <n v="0"/>
    <x v="2"/>
    <s v="CC100"/>
    <s v="AutoPost 241"/>
    <s v="EUR"/>
    <s v="2023-03"/>
    <n v="-1121.29"/>
    <m/>
  </r>
  <r>
    <s v="GL000242"/>
    <d v="2023-01-14T00:00:00"/>
    <n v="6000"/>
    <x v="2"/>
    <n v="908.7"/>
    <n v="0"/>
    <x v="1"/>
    <s v="CC100"/>
    <s v="AutoPost 242"/>
    <s v="EUR"/>
    <s v="2023-01"/>
    <n v="-908.7"/>
    <m/>
  </r>
  <r>
    <s v="GL000243"/>
    <d v="2023-05-14T00:00:00"/>
    <n v="4010"/>
    <x v="4"/>
    <n v="0"/>
    <n v="3760.55"/>
    <x v="2"/>
    <s v="CC300"/>
    <s v="AutoPost 243"/>
    <s v="AUD"/>
    <s v="2023-05"/>
    <n v="3760.55"/>
    <m/>
  </r>
  <r>
    <s v="GL000244"/>
    <d v="2025-03-09T00:00:00"/>
    <n v="5000"/>
    <x v="1"/>
    <n v="86.6"/>
    <n v="0"/>
    <x v="0"/>
    <s v="CC300"/>
    <s v="AutoPost 244"/>
    <s v="GBP"/>
    <s v="2025-03"/>
    <n v="-86.6"/>
    <m/>
  </r>
  <r>
    <s v="GL000245"/>
    <d v="2024-07-22T00:00:00"/>
    <n v="4010"/>
    <x v="4"/>
    <n v="0"/>
    <n v="4264.16"/>
    <x v="1"/>
    <s v="CC300"/>
    <s v="AutoPost 245"/>
    <s v="GBP"/>
    <s v="2024-07"/>
    <n v="4264.16"/>
    <m/>
  </r>
  <r>
    <s v="GL000246"/>
    <d v="2023-11-04T00:00:00"/>
    <n v="4010"/>
    <x v="4"/>
    <n v="0"/>
    <n v="4005.6"/>
    <x v="0"/>
    <s v="CC200"/>
    <s v="AutoPost 246"/>
    <s v="USD"/>
    <s v="2023-11"/>
    <n v="4005.6"/>
    <m/>
  </r>
  <r>
    <s v="GL000247"/>
    <d v="2025-06-16T00:00:00"/>
    <n v="5000"/>
    <x v="1"/>
    <n v="736.75"/>
    <n v="0"/>
    <x v="3"/>
    <s v="CC200"/>
    <s v="AutoPost 247"/>
    <s v="EUR"/>
    <s v="2025-06"/>
    <n v="-736.75"/>
    <m/>
  </r>
  <r>
    <s v="GL000248"/>
    <d v="2024-06-12T00:00:00"/>
    <n v="4010"/>
    <x v="4"/>
    <n v="0"/>
    <n v="4679.5"/>
    <x v="1"/>
    <s v="CC500"/>
    <s v="AutoPost 248"/>
    <s v="AUD"/>
    <s v="2024-06"/>
    <n v="4679.5"/>
    <m/>
  </r>
  <r>
    <s v="GL000249"/>
    <d v="2025-03-27T00:00:00"/>
    <n v="5010"/>
    <x v="3"/>
    <n v="1226.52"/>
    <n v="0"/>
    <x v="5"/>
    <s v="CC200"/>
    <s v="AutoPost 249"/>
    <s v="USD"/>
    <s v="2025-03"/>
    <n v="-1226.52"/>
    <m/>
  </r>
  <r>
    <s v="GL000250"/>
    <d v="2024-07-02T00:00:00"/>
    <n v="4000"/>
    <x v="0"/>
    <n v="0"/>
    <n v="2655.25"/>
    <x v="1"/>
    <s v="CC500"/>
    <s v="AutoPost 250"/>
    <s v="USD"/>
    <s v="2024-07"/>
    <n v="2655.25"/>
    <m/>
  </r>
  <r>
    <s v="GL000251"/>
    <d v="2023-07-08T00:00:00"/>
    <n v="4000"/>
    <x v="0"/>
    <n v="0"/>
    <n v="889.23"/>
    <x v="2"/>
    <s v="CC400"/>
    <s v="AutoPost 251"/>
    <s v="CAD"/>
    <s v="2023-07"/>
    <n v="889.23"/>
    <m/>
  </r>
  <r>
    <s v="GL000252"/>
    <d v="2024-06-08T00:00:00"/>
    <n v="6000"/>
    <x v="2"/>
    <n v="734.75"/>
    <n v="0"/>
    <x v="3"/>
    <s v="CC200"/>
    <s v="AutoPost 252"/>
    <s v="GBP"/>
    <s v="2024-06"/>
    <n v="-734.75"/>
    <m/>
  </r>
  <r>
    <s v="GL000253"/>
    <d v="2025-04-21T00:00:00"/>
    <n v="6000"/>
    <x v="2"/>
    <n v="1799.36"/>
    <n v="0"/>
    <x v="4"/>
    <s v="CC400"/>
    <s v="AutoPost 253"/>
    <s v="CAD"/>
    <s v="2025-04"/>
    <n v="-1799.36"/>
    <m/>
  </r>
  <r>
    <s v="GL000254"/>
    <d v="2023-01-22T00:00:00"/>
    <n v="6000"/>
    <x v="2"/>
    <n v="950.03"/>
    <n v="0"/>
    <x v="3"/>
    <s v="CC200"/>
    <s v="AutoPost 254"/>
    <s v="EUR"/>
    <s v="2023-01"/>
    <n v="-950.03"/>
    <m/>
  </r>
  <r>
    <s v="GL000255"/>
    <d v="2024-11-26T00:00:00"/>
    <n v="4000"/>
    <x v="0"/>
    <n v="0"/>
    <n v="1523.43"/>
    <x v="4"/>
    <s v="CC500"/>
    <s v="AutoPost 255"/>
    <s v="GBP"/>
    <s v="2024-11"/>
    <n v="1523.43"/>
    <m/>
  </r>
  <r>
    <s v="GL000256"/>
    <d v="2025-04-18T00:00:00"/>
    <n v="4000"/>
    <x v="0"/>
    <n v="0"/>
    <n v="2725.09"/>
    <x v="4"/>
    <s v="CC500"/>
    <s v="AutoPost 256"/>
    <s v="GBP"/>
    <s v="2025-04"/>
    <n v="2725.09"/>
    <m/>
  </r>
  <r>
    <s v="GL000257"/>
    <d v="2024-05-02T00:00:00"/>
    <n v="6000"/>
    <x v="2"/>
    <n v="1186.77"/>
    <n v="0"/>
    <x v="1"/>
    <s v="CC200"/>
    <s v="AutoPost 257"/>
    <s v="USD"/>
    <s v="2024-05"/>
    <n v="-1186.77"/>
    <m/>
  </r>
  <r>
    <s v="GL000258"/>
    <d v="2024-03-05T00:00:00"/>
    <n v="4010"/>
    <x v="4"/>
    <n v="0"/>
    <n v="3404.96"/>
    <x v="0"/>
    <s v="CC500"/>
    <s v="AutoPost 258"/>
    <s v="AUD"/>
    <s v="2024-03"/>
    <n v="3404.96"/>
    <m/>
  </r>
  <r>
    <s v="GL000259"/>
    <d v="2023-06-04T00:00:00"/>
    <n v="5010"/>
    <x v="3"/>
    <n v="436.8"/>
    <n v="0"/>
    <x v="1"/>
    <s v="CC200"/>
    <s v="AutoPost 259"/>
    <s v="AUD"/>
    <s v="2023-06"/>
    <n v="-436.8"/>
    <m/>
  </r>
  <r>
    <s v="GL000260"/>
    <d v="2023-07-31T00:00:00"/>
    <n v="5000"/>
    <x v="1"/>
    <n v="1095.1300000000001"/>
    <n v="0"/>
    <x v="1"/>
    <s v="CC100"/>
    <s v="AutoPost 260"/>
    <s v="GBP"/>
    <s v="2023-07"/>
    <n v="-1095.1300000000001"/>
    <m/>
  </r>
  <r>
    <s v="GL000261"/>
    <d v="2024-02-26T00:00:00"/>
    <n v="5010"/>
    <x v="3"/>
    <n v="393.67"/>
    <n v="0"/>
    <x v="3"/>
    <s v="CC400"/>
    <s v="AutoPost 261"/>
    <s v="AUD"/>
    <s v="2024-02"/>
    <n v="-393.67"/>
    <m/>
  </r>
  <r>
    <s v="GL000262"/>
    <d v="2025-02-09T00:00:00"/>
    <n v="4000"/>
    <x v="0"/>
    <n v="0"/>
    <n v="799.77"/>
    <x v="5"/>
    <s v="CC300"/>
    <s v="AutoPost 262"/>
    <s v="GBP"/>
    <s v="2025-02"/>
    <n v="799.77"/>
    <m/>
  </r>
  <r>
    <s v="GL000263"/>
    <d v="2024-01-09T00:00:00"/>
    <n v="4000"/>
    <x v="0"/>
    <n v="0"/>
    <n v="4354.13"/>
    <x v="3"/>
    <s v="CC400"/>
    <s v="AutoPost 263"/>
    <s v="EUR"/>
    <s v="2024-01"/>
    <n v="4354.13"/>
    <m/>
  </r>
  <r>
    <s v="GL000264"/>
    <d v="2025-01-06T00:00:00"/>
    <n v="5000"/>
    <x v="1"/>
    <n v="1157.8"/>
    <n v="0"/>
    <x v="0"/>
    <s v="CC500"/>
    <s v="AutoPost 264"/>
    <s v="CAD"/>
    <s v="2025-01"/>
    <n v="-1157.8"/>
    <m/>
  </r>
  <r>
    <s v="GL000265"/>
    <d v="2023-10-21T00:00:00"/>
    <n v="4000"/>
    <x v="0"/>
    <n v="0"/>
    <n v="2597.25"/>
    <x v="5"/>
    <s v="CC500"/>
    <s v="AutoPost 265"/>
    <s v="AUD"/>
    <s v="2023-10"/>
    <n v="2597.25"/>
    <m/>
  </r>
  <r>
    <s v="GL000266"/>
    <d v="2025-05-27T00:00:00"/>
    <n v="5000"/>
    <x v="1"/>
    <n v="1343.21"/>
    <n v="0"/>
    <x v="3"/>
    <s v="CC200"/>
    <s v="AutoPost 266"/>
    <s v="EUR"/>
    <s v="2025-05"/>
    <n v="-1343.21"/>
    <m/>
  </r>
  <r>
    <s v="GL000267"/>
    <d v="2023-09-22T00:00:00"/>
    <n v="5010"/>
    <x v="3"/>
    <n v="1498.82"/>
    <n v="0"/>
    <x v="1"/>
    <s v="CC100"/>
    <s v="AutoPost 267"/>
    <s v="EUR"/>
    <s v="2023-09"/>
    <n v="-1498.82"/>
    <m/>
  </r>
  <r>
    <s v="GL000268"/>
    <d v="2024-02-16T00:00:00"/>
    <n v="4000"/>
    <x v="0"/>
    <n v="0"/>
    <n v="4728.58"/>
    <x v="3"/>
    <s v="CC400"/>
    <s v="AutoPost 268"/>
    <s v="AUD"/>
    <s v="2024-02"/>
    <n v="4728.58"/>
    <m/>
  </r>
  <r>
    <s v="GL000269"/>
    <d v="2024-02-10T00:00:00"/>
    <n v="4010"/>
    <x v="4"/>
    <n v="0"/>
    <n v="3612.83"/>
    <x v="5"/>
    <s v="CC100"/>
    <s v="AutoPost 269"/>
    <s v="EUR"/>
    <s v="2024-02"/>
    <n v="3612.83"/>
    <m/>
  </r>
  <r>
    <s v="GL000270"/>
    <d v="2023-06-14T00:00:00"/>
    <n v="4010"/>
    <x v="4"/>
    <n v="0"/>
    <n v="4506.28"/>
    <x v="3"/>
    <s v="CC300"/>
    <s v="AutoPost 270"/>
    <s v="EUR"/>
    <s v="2023-06"/>
    <n v="4506.28"/>
    <m/>
  </r>
  <r>
    <s v="GL000271"/>
    <d v="2023-11-24T00:00:00"/>
    <n v="5010"/>
    <x v="3"/>
    <n v="1000.3"/>
    <n v="0"/>
    <x v="5"/>
    <s v="CC100"/>
    <s v="AutoPost 271"/>
    <s v="CAD"/>
    <s v="2023-11"/>
    <n v="-1000.3"/>
    <m/>
  </r>
  <r>
    <s v="GL000272"/>
    <d v="2023-08-07T00:00:00"/>
    <n v="5000"/>
    <x v="1"/>
    <n v="991.08"/>
    <n v="0"/>
    <x v="4"/>
    <s v="CC300"/>
    <s v="AutoPost 272"/>
    <s v="CAD"/>
    <s v="2023-08"/>
    <n v="-991.08"/>
    <m/>
  </r>
  <r>
    <s v="GL000273"/>
    <d v="2024-04-07T00:00:00"/>
    <n v="5000"/>
    <x v="1"/>
    <n v="1499.52"/>
    <n v="0"/>
    <x v="4"/>
    <s v="CC500"/>
    <s v="AutoPost 273"/>
    <s v="AUD"/>
    <s v="2024-04"/>
    <n v="-1499.52"/>
    <m/>
  </r>
  <r>
    <s v="GL000274"/>
    <d v="2023-05-06T00:00:00"/>
    <n v="4010"/>
    <x v="4"/>
    <n v="0"/>
    <n v="1203.8"/>
    <x v="4"/>
    <s v="CC500"/>
    <s v="AutoPost 274"/>
    <s v="GBP"/>
    <s v="2023-05"/>
    <n v="1203.8"/>
    <m/>
  </r>
  <r>
    <s v="GL000275"/>
    <d v="2024-01-25T00:00:00"/>
    <n v="4000"/>
    <x v="0"/>
    <n v="0"/>
    <n v="656.25"/>
    <x v="3"/>
    <s v="CC200"/>
    <s v="AutoPost 275"/>
    <s v="AUD"/>
    <s v="2024-01"/>
    <n v="656.25"/>
    <m/>
  </r>
  <r>
    <s v="GL000276"/>
    <d v="2025-02-06T00:00:00"/>
    <n v="5000"/>
    <x v="1"/>
    <n v="620.29999999999995"/>
    <n v="0"/>
    <x v="1"/>
    <s v="CC100"/>
    <s v="AutoPost 276"/>
    <s v="CAD"/>
    <s v="2025-02"/>
    <n v="-620.29999999999995"/>
    <m/>
  </r>
  <r>
    <s v="GL000277"/>
    <d v="2025-04-28T00:00:00"/>
    <n v="6000"/>
    <x v="2"/>
    <n v="85.24"/>
    <n v="0"/>
    <x v="4"/>
    <s v="CC200"/>
    <s v="AutoPost 277"/>
    <s v="CAD"/>
    <s v="2025-04"/>
    <n v="-85.24"/>
    <m/>
  </r>
  <r>
    <s v="GL000278"/>
    <d v="2023-09-05T00:00:00"/>
    <n v="5010"/>
    <x v="3"/>
    <n v="628.62"/>
    <n v="0"/>
    <x v="1"/>
    <s v="CC200"/>
    <s v="AutoPost 278"/>
    <s v="AUD"/>
    <s v="2023-09"/>
    <n v="-628.62"/>
    <m/>
  </r>
  <r>
    <s v="GL000279"/>
    <d v="2023-04-09T00:00:00"/>
    <n v="4000"/>
    <x v="0"/>
    <n v="0"/>
    <n v="1358.19"/>
    <x v="3"/>
    <s v="CC400"/>
    <s v="AutoPost 279"/>
    <s v="GBP"/>
    <s v="2023-04"/>
    <n v="1358.19"/>
    <m/>
  </r>
  <r>
    <s v="GL000280"/>
    <d v="2024-07-02T00:00:00"/>
    <n v="4010"/>
    <x v="4"/>
    <n v="0"/>
    <n v="2329.64"/>
    <x v="4"/>
    <s v="CC400"/>
    <s v="AutoPost 280"/>
    <s v="USD"/>
    <s v="2024-07"/>
    <n v="2329.64"/>
    <m/>
  </r>
  <r>
    <s v="GL000281"/>
    <d v="2025-01-05T00:00:00"/>
    <n v="6000"/>
    <x v="2"/>
    <n v="1039.56"/>
    <n v="0"/>
    <x v="0"/>
    <s v="CC200"/>
    <s v="AutoPost 281"/>
    <s v="CAD"/>
    <s v="2025-01"/>
    <n v="-1039.56"/>
    <m/>
  </r>
  <r>
    <s v="GL000282"/>
    <d v="2023-03-15T00:00:00"/>
    <n v="5010"/>
    <x v="3"/>
    <n v="1441.17"/>
    <n v="0"/>
    <x v="1"/>
    <s v="CC400"/>
    <s v="AutoPost 282"/>
    <s v="CAD"/>
    <s v="2023-03"/>
    <n v="-1441.17"/>
    <m/>
  </r>
  <r>
    <s v="GL000283"/>
    <d v="2023-04-15T00:00:00"/>
    <n v="4000"/>
    <x v="0"/>
    <n v="0"/>
    <n v="873.53"/>
    <x v="2"/>
    <s v="CC200"/>
    <s v="AutoPost 283"/>
    <s v="EUR"/>
    <s v="2023-04"/>
    <n v="873.53"/>
    <m/>
  </r>
  <r>
    <s v="GL000284"/>
    <d v="2025-01-28T00:00:00"/>
    <n v="4000"/>
    <x v="0"/>
    <n v="0"/>
    <n v="1932.35"/>
    <x v="0"/>
    <s v="CC400"/>
    <s v="AutoPost 284"/>
    <s v="AUD"/>
    <s v="2025-01"/>
    <n v="1932.35"/>
    <m/>
  </r>
  <r>
    <s v="GL000285"/>
    <d v="2025-06-25T00:00:00"/>
    <n v="5000"/>
    <x v="1"/>
    <n v="1733.12"/>
    <n v="0"/>
    <x v="0"/>
    <s v="CC500"/>
    <s v="AutoPost 285"/>
    <s v="CAD"/>
    <s v="2025-06"/>
    <n v="-1733.12"/>
    <m/>
  </r>
  <r>
    <s v="GL000286"/>
    <d v="2024-11-26T00:00:00"/>
    <n v="4000"/>
    <x v="0"/>
    <n v="0"/>
    <n v="3004.12"/>
    <x v="0"/>
    <s v="CC200"/>
    <s v="AutoPost 286"/>
    <s v="EUR"/>
    <s v="2024-11"/>
    <n v="3004.12"/>
    <m/>
  </r>
  <r>
    <s v="GL000287"/>
    <d v="2024-04-01T00:00:00"/>
    <n v="5010"/>
    <x v="3"/>
    <n v="1521.85"/>
    <n v="0"/>
    <x v="2"/>
    <s v="CC100"/>
    <s v="AutoPost 287"/>
    <s v="AUD"/>
    <s v="2024-04"/>
    <n v="-1521.85"/>
    <m/>
  </r>
  <r>
    <s v="GL000288"/>
    <d v="2025-02-24T00:00:00"/>
    <n v="5000"/>
    <x v="1"/>
    <n v="1486.16"/>
    <n v="0"/>
    <x v="3"/>
    <s v="CC500"/>
    <s v="AutoPost 288"/>
    <s v="AUD"/>
    <s v="2025-02"/>
    <n v="-1486.16"/>
    <m/>
  </r>
  <r>
    <s v="GL000289"/>
    <d v="2025-04-30T00:00:00"/>
    <n v="5000"/>
    <x v="1"/>
    <n v="1308.19"/>
    <n v="0"/>
    <x v="0"/>
    <s v="CC400"/>
    <s v="AutoPost 289"/>
    <s v="USD"/>
    <s v="2025-04"/>
    <n v="-1308.19"/>
    <m/>
  </r>
  <r>
    <s v="GL000290"/>
    <d v="2025-02-02T00:00:00"/>
    <n v="5000"/>
    <x v="1"/>
    <n v="1765.16"/>
    <n v="0"/>
    <x v="3"/>
    <s v="CC200"/>
    <s v="AutoPost 290"/>
    <s v="AUD"/>
    <s v="2025-02"/>
    <n v="-1765.16"/>
    <m/>
  </r>
  <r>
    <s v="GL000291"/>
    <d v="2024-05-10T00:00:00"/>
    <n v="5010"/>
    <x v="3"/>
    <n v="842.35"/>
    <n v="0"/>
    <x v="3"/>
    <s v="CC200"/>
    <s v="AutoPost 291"/>
    <s v="USD"/>
    <s v="2024-05"/>
    <n v="-842.35"/>
    <m/>
  </r>
  <r>
    <s v="GL000292"/>
    <d v="2024-02-29T00:00:00"/>
    <n v="5010"/>
    <x v="3"/>
    <n v="788.28"/>
    <n v="0"/>
    <x v="1"/>
    <s v="CC500"/>
    <s v="AutoPost 292"/>
    <s v="EUR"/>
    <s v="2024-02"/>
    <n v="-788.28"/>
    <m/>
  </r>
  <r>
    <s v="GL000293"/>
    <d v="2024-08-31T00:00:00"/>
    <n v="4000"/>
    <x v="0"/>
    <n v="0"/>
    <n v="239.94"/>
    <x v="4"/>
    <s v="CC200"/>
    <s v="AutoPost 293"/>
    <s v="EUR"/>
    <s v="2024-08"/>
    <n v="239.94"/>
    <m/>
  </r>
  <r>
    <s v="GL000294"/>
    <d v="2025-01-22T00:00:00"/>
    <n v="4000"/>
    <x v="0"/>
    <n v="0"/>
    <n v="4378.1899999999996"/>
    <x v="3"/>
    <s v="CC400"/>
    <s v="AutoPost 294"/>
    <s v="EUR"/>
    <s v="2025-01"/>
    <n v="4378.1899999999996"/>
    <m/>
  </r>
  <r>
    <s v="GL000295"/>
    <d v="2023-12-08T00:00:00"/>
    <n v="6000"/>
    <x v="2"/>
    <n v="1116.99"/>
    <n v="0"/>
    <x v="0"/>
    <s v="CC500"/>
    <s v="AutoPost 295"/>
    <s v="AUD"/>
    <s v="2023-12"/>
    <n v="-1116.99"/>
    <m/>
  </r>
  <r>
    <s v="GL000296"/>
    <d v="2023-12-09T00:00:00"/>
    <n v="5010"/>
    <x v="3"/>
    <n v="1902.75"/>
    <n v="0"/>
    <x v="4"/>
    <s v="CC400"/>
    <s v="AutoPost 296"/>
    <s v="GBP"/>
    <s v="2023-12"/>
    <n v="-1902.75"/>
    <m/>
  </r>
  <r>
    <s v="GL000297"/>
    <d v="2024-11-29T00:00:00"/>
    <n v="5010"/>
    <x v="3"/>
    <n v="275.93"/>
    <n v="0"/>
    <x v="1"/>
    <s v="CC300"/>
    <s v="AutoPost 297"/>
    <s v="USD"/>
    <s v="2024-11"/>
    <n v="-275.93"/>
    <m/>
  </r>
  <r>
    <s v="GL000298"/>
    <d v="2024-09-20T00:00:00"/>
    <n v="6000"/>
    <x v="2"/>
    <n v="1761.1"/>
    <n v="0"/>
    <x v="3"/>
    <s v="CC400"/>
    <s v="AutoPost 298"/>
    <s v="AUD"/>
    <s v="2024-09"/>
    <n v="-1761.1"/>
    <m/>
  </r>
  <r>
    <s v="GL000299"/>
    <d v="2024-01-17T00:00:00"/>
    <n v="4010"/>
    <x v="4"/>
    <n v="0"/>
    <n v="4260.88"/>
    <x v="1"/>
    <s v="CC200"/>
    <s v="AutoPost 299"/>
    <s v="USD"/>
    <s v="2024-01"/>
    <n v="4260.88"/>
    <m/>
  </r>
  <r>
    <s v="GL000300"/>
    <d v="2023-10-10T00:00:00"/>
    <n v="4000"/>
    <x v="0"/>
    <n v="0"/>
    <n v="1229.46"/>
    <x v="3"/>
    <s v="CC500"/>
    <s v="AutoPost 300"/>
    <s v="CAD"/>
    <s v="2023-10"/>
    <n v="1229.46"/>
    <m/>
  </r>
  <r>
    <s v="GL000301"/>
    <d v="2024-11-12T00:00:00"/>
    <n v="5000"/>
    <x v="1"/>
    <n v="1804.04"/>
    <n v="0"/>
    <x v="1"/>
    <s v="CC200"/>
    <s v="AutoPost 301"/>
    <s v="GBP"/>
    <s v="2024-11"/>
    <n v="-1804.04"/>
    <m/>
  </r>
  <r>
    <s v="GL000302"/>
    <d v="2024-10-02T00:00:00"/>
    <n v="5000"/>
    <x v="1"/>
    <n v="1637.96"/>
    <n v="0"/>
    <x v="1"/>
    <s v="CC500"/>
    <s v="AutoPost 302"/>
    <s v="AUD"/>
    <s v="2024-10"/>
    <n v="-1637.96"/>
    <m/>
  </r>
  <r>
    <s v="GL000303"/>
    <d v="2024-07-31T00:00:00"/>
    <n v="4000"/>
    <x v="0"/>
    <n v="0"/>
    <n v="1400.77"/>
    <x v="0"/>
    <s v="CC200"/>
    <s v="AutoPost 303"/>
    <s v="EUR"/>
    <s v="2024-07"/>
    <n v="1400.77"/>
    <m/>
  </r>
  <r>
    <s v="GL000304"/>
    <d v="2025-03-13T00:00:00"/>
    <n v="5010"/>
    <x v="3"/>
    <n v="1010.88"/>
    <n v="0"/>
    <x v="0"/>
    <s v="CC400"/>
    <s v="AutoPost 304"/>
    <s v="AUD"/>
    <s v="2025-03"/>
    <n v="-1010.88"/>
    <m/>
  </r>
  <r>
    <s v="GL000305"/>
    <d v="2024-04-03T00:00:00"/>
    <n v="4000"/>
    <x v="0"/>
    <n v="0"/>
    <n v="1059.18"/>
    <x v="2"/>
    <s v="CC400"/>
    <s v="AutoPost 305"/>
    <s v="USD"/>
    <s v="2024-04"/>
    <n v="1059.18"/>
    <m/>
  </r>
  <r>
    <s v="GL000306"/>
    <d v="2023-08-14T00:00:00"/>
    <n v="4010"/>
    <x v="4"/>
    <n v="0"/>
    <n v="951.38"/>
    <x v="0"/>
    <s v="CC500"/>
    <s v="AutoPost 306"/>
    <s v="GBP"/>
    <s v="2023-08"/>
    <n v="951.38"/>
    <m/>
  </r>
  <r>
    <s v="GL000307"/>
    <d v="2023-01-23T00:00:00"/>
    <n v="4000"/>
    <x v="0"/>
    <n v="0"/>
    <n v="2648.82"/>
    <x v="5"/>
    <s v="CC200"/>
    <s v="AutoPost 307"/>
    <s v="GBP"/>
    <s v="2023-01"/>
    <n v="2648.82"/>
    <m/>
  </r>
  <r>
    <s v="GL000308"/>
    <d v="2023-03-04T00:00:00"/>
    <n v="4010"/>
    <x v="4"/>
    <n v="0"/>
    <n v="2008.6"/>
    <x v="4"/>
    <s v="CC400"/>
    <s v="AutoPost 308"/>
    <s v="USD"/>
    <s v="2023-03"/>
    <n v="2008.6"/>
    <m/>
  </r>
  <r>
    <s v="GL000309"/>
    <d v="2024-05-30T00:00:00"/>
    <n v="6000"/>
    <x v="2"/>
    <n v="1604.44"/>
    <n v="0"/>
    <x v="2"/>
    <s v="CC500"/>
    <s v="AutoPost 309"/>
    <s v="CAD"/>
    <s v="2024-05"/>
    <n v="-1604.44"/>
    <m/>
  </r>
  <r>
    <s v="GL000310"/>
    <d v="2024-10-01T00:00:00"/>
    <n v="5010"/>
    <x v="3"/>
    <n v="350.19"/>
    <n v="0"/>
    <x v="4"/>
    <s v="CC500"/>
    <s v="AutoPost 310"/>
    <s v="GBP"/>
    <s v="2024-10"/>
    <n v="-350.19"/>
    <m/>
  </r>
  <r>
    <s v="GL000311"/>
    <d v="2024-02-04T00:00:00"/>
    <n v="5000"/>
    <x v="1"/>
    <n v="547.95000000000005"/>
    <n v="0"/>
    <x v="4"/>
    <s v="CC500"/>
    <s v="AutoPost 311"/>
    <s v="GBP"/>
    <s v="2024-02"/>
    <n v="-547.95000000000005"/>
    <m/>
  </r>
  <r>
    <s v="GL000312"/>
    <d v="2025-05-19T00:00:00"/>
    <n v="4000"/>
    <x v="0"/>
    <n v="0"/>
    <n v="561.46"/>
    <x v="4"/>
    <s v="CC100"/>
    <s v="AutoPost 312"/>
    <s v="GBP"/>
    <s v="2025-05"/>
    <n v="561.46"/>
    <m/>
  </r>
  <r>
    <s v="GL000313"/>
    <d v="2023-08-12T00:00:00"/>
    <n v="6000"/>
    <x v="2"/>
    <n v="737.29"/>
    <n v="0"/>
    <x v="0"/>
    <s v="CC100"/>
    <s v="AutoPost 313"/>
    <s v="AUD"/>
    <s v="2023-08"/>
    <n v="-737.29"/>
    <m/>
  </r>
  <r>
    <s v="GL000314"/>
    <d v="2025-06-21T00:00:00"/>
    <n v="4010"/>
    <x v="4"/>
    <n v="0"/>
    <n v="963.96"/>
    <x v="2"/>
    <s v="CC400"/>
    <s v="AutoPost 314"/>
    <s v="GBP"/>
    <s v="2025-06"/>
    <n v="963.96"/>
    <m/>
  </r>
  <r>
    <s v="GL000315"/>
    <d v="2023-07-11T00:00:00"/>
    <n v="5010"/>
    <x v="3"/>
    <n v="1233.1600000000001"/>
    <n v="0"/>
    <x v="0"/>
    <s v="CC100"/>
    <s v="AutoPost 315"/>
    <s v="USD"/>
    <s v="2023-07"/>
    <n v="-1233.1600000000001"/>
    <m/>
  </r>
  <r>
    <s v="GL000316"/>
    <d v="2023-12-03T00:00:00"/>
    <n v="4000"/>
    <x v="0"/>
    <n v="0"/>
    <n v="1228"/>
    <x v="4"/>
    <s v="CC500"/>
    <s v="AutoPost 316"/>
    <s v="USD"/>
    <s v="2023-12"/>
    <n v="1228"/>
    <m/>
  </r>
  <r>
    <s v="GL000317"/>
    <d v="2023-01-17T00:00:00"/>
    <n v="4000"/>
    <x v="0"/>
    <n v="0"/>
    <n v="1067.1500000000001"/>
    <x v="0"/>
    <s v="CC400"/>
    <s v="AutoPost 317"/>
    <s v="CAD"/>
    <s v="2023-01"/>
    <n v="1067.1500000000001"/>
    <m/>
  </r>
  <r>
    <s v="GL000318"/>
    <d v="2024-01-10T00:00:00"/>
    <n v="4010"/>
    <x v="4"/>
    <n v="0"/>
    <n v="1167.53"/>
    <x v="1"/>
    <s v="CC300"/>
    <s v="AutoPost 318"/>
    <s v="AUD"/>
    <s v="2024-01"/>
    <n v="1167.53"/>
    <m/>
  </r>
  <r>
    <s v="GL000319"/>
    <d v="2024-02-18T00:00:00"/>
    <n v="5010"/>
    <x v="3"/>
    <n v="1808.37"/>
    <n v="0"/>
    <x v="4"/>
    <s v="CC400"/>
    <s v="AutoPost 319"/>
    <s v="CAD"/>
    <s v="2024-02"/>
    <n v="-1808.37"/>
    <m/>
  </r>
  <r>
    <s v="GL000320"/>
    <d v="2024-05-04T00:00:00"/>
    <n v="4000"/>
    <x v="0"/>
    <n v="0"/>
    <n v="3683.59"/>
    <x v="1"/>
    <s v="CC200"/>
    <s v="AutoPost 320"/>
    <s v="CAD"/>
    <s v="2024-05"/>
    <n v="3683.59"/>
    <m/>
  </r>
  <r>
    <s v="GL000321"/>
    <d v="2023-04-07T00:00:00"/>
    <n v="4010"/>
    <x v="4"/>
    <n v="0"/>
    <n v="2268.92"/>
    <x v="4"/>
    <s v="CC500"/>
    <s v="AutoPost 321"/>
    <s v="GBP"/>
    <s v="2023-04"/>
    <n v="2268.92"/>
    <m/>
  </r>
  <r>
    <s v="GL000322"/>
    <d v="2024-01-26T00:00:00"/>
    <n v="6000"/>
    <x v="2"/>
    <n v="791.64"/>
    <n v="0"/>
    <x v="4"/>
    <s v="CC200"/>
    <s v="AutoPost 322"/>
    <s v="CAD"/>
    <s v="2024-01"/>
    <n v="-791.64"/>
    <m/>
  </r>
  <r>
    <s v="GL000323"/>
    <d v="2024-08-13T00:00:00"/>
    <n v="4000"/>
    <x v="0"/>
    <n v="0"/>
    <n v="381.77"/>
    <x v="5"/>
    <s v="CC100"/>
    <s v="AutoPost 323"/>
    <s v="GBP"/>
    <s v="2024-08"/>
    <n v="381.77"/>
    <m/>
  </r>
  <r>
    <s v="GL000324"/>
    <d v="2023-02-15T00:00:00"/>
    <n v="6000"/>
    <x v="2"/>
    <n v="603.09"/>
    <n v="0"/>
    <x v="2"/>
    <s v="CC200"/>
    <s v="AutoPost 324"/>
    <s v="USD"/>
    <s v="2023-02"/>
    <n v="-603.09"/>
    <m/>
  </r>
  <r>
    <s v="GL000325"/>
    <d v="2023-11-21T00:00:00"/>
    <n v="5000"/>
    <x v="1"/>
    <n v="76.959999999999994"/>
    <n v="0"/>
    <x v="4"/>
    <s v="CC400"/>
    <s v="AutoPost 325"/>
    <s v="GBP"/>
    <s v="2023-11"/>
    <n v="-76.959999999999994"/>
    <m/>
  </r>
  <r>
    <s v="GL000326"/>
    <d v="2023-11-13T00:00:00"/>
    <n v="6000"/>
    <x v="2"/>
    <n v="870.26"/>
    <n v="0"/>
    <x v="5"/>
    <s v="CC400"/>
    <s v="AutoPost 326"/>
    <s v="CAD"/>
    <s v="2023-11"/>
    <n v="-870.26"/>
    <m/>
  </r>
  <r>
    <s v="GL000327"/>
    <d v="2024-02-06T00:00:00"/>
    <n v="4000"/>
    <x v="0"/>
    <n v="0"/>
    <n v="195.85"/>
    <x v="5"/>
    <s v="CC300"/>
    <s v="AutoPost 327"/>
    <s v="AUD"/>
    <s v="2024-02"/>
    <n v="195.85"/>
    <m/>
  </r>
  <r>
    <s v="GL000328"/>
    <d v="2024-05-15T00:00:00"/>
    <n v="4000"/>
    <x v="0"/>
    <n v="0"/>
    <n v="3924.16"/>
    <x v="4"/>
    <s v="CC500"/>
    <s v="AutoPost 328"/>
    <s v="AUD"/>
    <s v="2024-05"/>
    <n v="3924.16"/>
    <m/>
  </r>
  <r>
    <s v="GL000329"/>
    <d v="2025-05-06T00:00:00"/>
    <n v="5010"/>
    <x v="3"/>
    <n v="745.46"/>
    <n v="0"/>
    <x v="4"/>
    <s v="CC500"/>
    <s v="AutoPost 329"/>
    <s v="EUR"/>
    <s v="2025-05"/>
    <n v="-745.46"/>
    <m/>
  </r>
  <r>
    <s v="GL000330"/>
    <d v="2023-11-08T00:00:00"/>
    <n v="4000"/>
    <x v="0"/>
    <n v="0"/>
    <n v="2579.5"/>
    <x v="0"/>
    <s v="CC300"/>
    <s v="AutoPost 330"/>
    <s v="EUR"/>
    <s v="2023-11"/>
    <n v="2579.5"/>
    <m/>
  </r>
  <r>
    <s v="GL000331"/>
    <d v="2024-10-05T00:00:00"/>
    <n v="5000"/>
    <x v="1"/>
    <n v="1763.39"/>
    <n v="0"/>
    <x v="4"/>
    <s v="CC100"/>
    <s v="AutoPost 331"/>
    <s v="USD"/>
    <s v="2024-10"/>
    <n v="-1763.39"/>
    <m/>
  </r>
  <r>
    <s v="GL000332"/>
    <d v="2024-10-01T00:00:00"/>
    <n v="5000"/>
    <x v="1"/>
    <n v="957.72"/>
    <n v="0"/>
    <x v="4"/>
    <s v="CC400"/>
    <s v="AutoPost 332"/>
    <s v="EUR"/>
    <s v="2024-10"/>
    <n v="-957.72"/>
    <m/>
  </r>
  <r>
    <s v="GL000333"/>
    <d v="2023-09-27T00:00:00"/>
    <n v="4000"/>
    <x v="0"/>
    <n v="0"/>
    <n v="312.52"/>
    <x v="0"/>
    <s v="CC400"/>
    <s v="AutoPost 333"/>
    <s v="USD"/>
    <s v="2023-09"/>
    <n v="312.52"/>
    <m/>
  </r>
  <r>
    <s v="GL000334"/>
    <d v="2023-11-02T00:00:00"/>
    <n v="4010"/>
    <x v="4"/>
    <n v="0"/>
    <n v="4032.89"/>
    <x v="1"/>
    <s v="CC300"/>
    <s v="AutoPost 334"/>
    <s v="GBP"/>
    <s v="2023-11"/>
    <n v="4032.89"/>
    <m/>
  </r>
  <r>
    <s v="GL000335"/>
    <d v="2024-01-25T00:00:00"/>
    <n v="5000"/>
    <x v="1"/>
    <n v="822.42"/>
    <n v="0"/>
    <x v="4"/>
    <s v="CC400"/>
    <s v="AutoPost 335"/>
    <s v="USD"/>
    <s v="2024-01"/>
    <n v="-822.42"/>
    <m/>
  </r>
  <r>
    <s v="GL000336"/>
    <d v="2023-02-19T00:00:00"/>
    <n v="4010"/>
    <x v="4"/>
    <n v="0"/>
    <n v="2096.4299999999998"/>
    <x v="3"/>
    <s v="CC100"/>
    <s v="AutoPost 336"/>
    <s v="EUR"/>
    <s v="2023-02"/>
    <n v="2096.4299999999998"/>
    <m/>
  </r>
  <r>
    <s v="GL000337"/>
    <d v="2024-11-03T00:00:00"/>
    <n v="4000"/>
    <x v="0"/>
    <n v="0"/>
    <n v="2254.64"/>
    <x v="3"/>
    <s v="CC500"/>
    <s v="AutoPost 337"/>
    <s v="EUR"/>
    <s v="2024-11"/>
    <n v="2254.64"/>
    <m/>
  </r>
  <r>
    <s v="GL000338"/>
    <d v="2024-09-19T00:00:00"/>
    <n v="5010"/>
    <x v="3"/>
    <n v="1898.13"/>
    <n v="0"/>
    <x v="5"/>
    <s v="CC200"/>
    <s v="AutoPost 338"/>
    <s v="AUD"/>
    <s v="2024-09"/>
    <n v="-1898.13"/>
    <m/>
  </r>
  <r>
    <s v="GL000339"/>
    <d v="2023-10-04T00:00:00"/>
    <n v="5000"/>
    <x v="1"/>
    <n v="92.89"/>
    <n v="0"/>
    <x v="2"/>
    <s v="CC100"/>
    <s v="AutoPost 339"/>
    <s v="EUR"/>
    <s v="2023-10"/>
    <n v="-92.89"/>
    <m/>
  </r>
  <r>
    <s v="GL000340"/>
    <d v="2024-12-11T00:00:00"/>
    <n v="5000"/>
    <x v="1"/>
    <n v="192.59"/>
    <n v="0"/>
    <x v="2"/>
    <s v="CC400"/>
    <s v="AutoPost 340"/>
    <s v="EUR"/>
    <s v="2024-12"/>
    <n v="-192.59"/>
    <m/>
  </r>
  <r>
    <s v="GL000341"/>
    <d v="2024-01-20T00:00:00"/>
    <n v="4000"/>
    <x v="0"/>
    <n v="0"/>
    <n v="1924.88"/>
    <x v="5"/>
    <s v="CC100"/>
    <s v="AutoPost 341"/>
    <s v="CAD"/>
    <s v="2024-01"/>
    <n v="1924.88"/>
    <m/>
  </r>
  <r>
    <s v="GL000342"/>
    <d v="2023-05-04T00:00:00"/>
    <n v="5000"/>
    <x v="1"/>
    <n v="1161.96"/>
    <n v="0"/>
    <x v="1"/>
    <s v="CC100"/>
    <s v="AutoPost 342"/>
    <s v="GBP"/>
    <s v="2023-05"/>
    <n v="-1161.96"/>
    <m/>
  </r>
  <r>
    <s v="GL000343"/>
    <d v="2024-10-15T00:00:00"/>
    <n v="5010"/>
    <x v="3"/>
    <n v="1693.2"/>
    <n v="0"/>
    <x v="2"/>
    <s v="CC300"/>
    <s v="AutoPost 343"/>
    <s v="EUR"/>
    <s v="2024-10"/>
    <n v="-1693.2"/>
    <m/>
  </r>
  <r>
    <s v="GL000344"/>
    <d v="2023-10-13T00:00:00"/>
    <n v="4010"/>
    <x v="4"/>
    <n v="0"/>
    <n v="535.42999999999995"/>
    <x v="0"/>
    <s v="CC300"/>
    <s v="AutoPost 344"/>
    <s v="GBP"/>
    <s v="2023-10"/>
    <n v="535.42999999999995"/>
    <m/>
  </r>
  <r>
    <s v="GL000345"/>
    <d v="2024-08-02T00:00:00"/>
    <n v="5000"/>
    <x v="1"/>
    <n v="449.09"/>
    <n v="0"/>
    <x v="3"/>
    <s v="CC100"/>
    <s v="AutoPost 345"/>
    <s v="GBP"/>
    <s v="2024-08"/>
    <n v="-449.09"/>
    <m/>
  </r>
  <r>
    <s v="GL000346"/>
    <d v="2023-09-04T00:00:00"/>
    <n v="5010"/>
    <x v="3"/>
    <n v="938.21"/>
    <n v="0"/>
    <x v="1"/>
    <s v="CC100"/>
    <s v="AutoPost 346"/>
    <s v="GBP"/>
    <s v="2023-09"/>
    <n v="-938.21"/>
    <m/>
  </r>
  <r>
    <s v="GL000347"/>
    <d v="2025-02-14T00:00:00"/>
    <n v="5010"/>
    <x v="3"/>
    <n v="131.84"/>
    <n v="0"/>
    <x v="5"/>
    <s v="CC200"/>
    <s v="AutoPost 347"/>
    <s v="EUR"/>
    <s v="2025-02"/>
    <n v="-131.84"/>
    <m/>
  </r>
  <r>
    <s v="GL000348"/>
    <d v="2023-09-14T00:00:00"/>
    <n v="4000"/>
    <x v="0"/>
    <n v="0"/>
    <n v="3658.34"/>
    <x v="2"/>
    <s v="CC300"/>
    <s v="AutoPost 348"/>
    <s v="AUD"/>
    <s v="2023-09"/>
    <n v="3658.34"/>
    <m/>
  </r>
  <r>
    <s v="GL000349"/>
    <d v="2023-04-14T00:00:00"/>
    <n v="5000"/>
    <x v="1"/>
    <n v="509.89"/>
    <n v="0"/>
    <x v="1"/>
    <s v="CC500"/>
    <s v="AutoPost 349"/>
    <s v="EUR"/>
    <s v="2023-04"/>
    <n v="-509.89"/>
    <m/>
  </r>
  <r>
    <s v="GL000350"/>
    <d v="2024-08-17T00:00:00"/>
    <n v="5000"/>
    <x v="1"/>
    <n v="697.58"/>
    <n v="0"/>
    <x v="2"/>
    <s v="CC200"/>
    <s v="AutoPost 350"/>
    <s v="CAD"/>
    <s v="2024-08"/>
    <n v="-697.58"/>
    <m/>
  </r>
  <r>
    <s v="GL000351"/>
    <d v="2024-10-17T00:00:00"/>
    <n v="5010"/>
    <x v="3"/>
    <n v="1580.47"/>
    <n v="0"/>
    <x v="4"/>
    <s v="CC100"/>
    <s v="AutoPost 351"/>
    <s v="AUD"/>
    <s v="2024-10"/>
    <n v="-1580.47"/>
    <m/>
  </r>
  <r>
    <s v="GL000352"/>
    <d v="2024-01-17T00:00:00"/>
    <n v="5000"/>
    <x v="1"/>
    <n v="1567.36"/>
    <n v="0"/>
    <x v="4"/>
    <s v="CC300"/>
    <s v="AutoPost 352"/>
    <s v="EUR"/>
    <s v="2024-01"/>
    <n v="-1567.36"/>
    <m/>
  </r>
  <r>
    <s v="GL000353"/>
    <d v="2025-02-27T00:00:00"/>
    <n v="5010"/>
    <x v="3"/>
    <n v="443.79"/>
    <n v="0"/>
    <x v="1"/>
    <s v="CC400"/>
    <s v="AutoPost 353"/>
    <s v="AUD"/>
    <s v="2025-02"/>
    <n v="-443.79"/>
    <m/>
  </r>
  <r>
    <s v="GL000354"/>
    <d v="2023-11-02T00:00:00"/>
    <n v="5010"/>
    <x v="3"/>
    <n v="889.34"/>
    <n v="0"/>
    <x v="2"/>
    <s v="CC500"/>
    <s v="AutoPost 354"/>
    <s v="USD"/>
    <s v="2023-11"/>
    <n v="-889.34"/>
    <m/>
  </r>
  <r>
    <s v="GL000355"/>
    <d v="2025-05-24T00:00:00"/>
    <n v="4010"/>
    <x v="4"/>
    <n v="0"/>
    <n v="2239.96"/>
    <x v="4"/>
    <s v="CC500"/>
    <s v="AutoPost 355"/>
    <s v="USD"/>
    <s v="2025-05"/>
    <n v="2239.96"/>
    <m/>
  </r>
  <r>
    <s v="GL000356"/>
    <d v="2024-01-02T00:00:00"/>
    <n v="5010"/>
    <x v="3"/>
    <n v="1291.24"/>
    <n v="0"/>
    <x v="4"/>
    <s v="CC400"/>
    <s v="AutoPost 356"/>
    <s v="AUD"/>
    <s v="2024-01"/>
    <n v="-1291.24"/>
    <m/>
  </r>
  <r>
    <s v="GL000357"/>
    <d v="2023-08-03T00:00:00"/>
    <n v="5010"/>
    <x v="3"/>
    <n v="397.07"/>
    <n v="0"/>
    <x v="4"/>
    <s v="CC300"/>
    <s v="AutoPost 357"/>
    <s v="CAD"/>
    <s v="2023-08"/>
    <n v="-397.07"/>
    <m/>
  </r>
  <r>
    <s v="GL000358"/>
    <d v="2024-08-21T00:00:00"/>
    <n v="6000"/>
    <x v="2"/>
    <n v="803.21"/>
    <n v="0"/>
    <x v="0"/>
    <s v="CC100"/>
    <s v="AutoPost 358"/>
    <s v="AUD"/>
    <s v="2024-08"/>
    <n v="-803.21"/>
    <m/>
  </r>
  <r>
    <s v="GL000359"/>
    <d v="2024-06-18T00:00:00"/>
    <n v="4000"/>
    <x v="0"/>
    <n v="0"/>
    <n v="1032.8399999999999"/>
    <x v="2"/>
    <s v="CC200"/>
    <s v="AutoPost 359"/>
    <s v="CAD"/>
    <s v="2024-06"/>
    <n v="1032.8399999999999"/>
    <m/>
  </r>
  <r>
    <s v="GL000360"/>
    <d v="2025-05-29T00:00:00"/>
    <n v="6000"/>
    <x v="2"/>
    <n v="1071.7"/>
    <n v="0"/>
    <x v="3"/>
    <s v="CC200"/>
    <s v="AutoPost 360"/>
    <s v="USD"/>
    <s v="2025-05"/>
    <n v="-1071.7"/>
    <m/>
  </r>
  <r>
    <s v="GL000361"/>
    <d v="2024-06-01T00:00:00"/>
    <n v="5000"/>
    <x v="1"/>
    <n v="842.82"/>
    <n v="0"/>
    <x v="2"/>
    <s v="CC200"/>
    <s v="AutoPost 361"/>
    <s v="GBP"/>
    <s v="2024-06"/>
    <n v="-842.82"/>
    <m/>
  </r>
  <r>
    <s v="GL000362"/>
    <d v="2024-08-01T00:00:00"/>
    <n v="5010"/>
    <x v="3"/>
    <n v="1375.81"/>
    <n v="0"/>
    <x v="0"/>
    <s v="CC400"/>
    <s v="AutoPost 362"/>
    <s v="CAD"/>
    <s v="2024-08"/>
    <n v="-1375.81"/>
    <m/>
  </r>
  <r>
    <s v="GL000363"/>
    <d v="2024-01-22T00:00:00"/>
    <n v="4000"/>
    <x v="0"/>
    <n v="0"/>
    <n v="4517.55"/>
    <x v="2"/>
    <s v="CC400"/>
    <s v="AutoPost 363"/>
    <s v="CAD"/>
    <s v="2024-01"/>
    <n v="4517.55"/>
    <m/>
  </r>
  <r>
    <s v="GL000364"/>
    <d v="2024-12-09T00:00:00"/>
    <n v="5010"/>
    <x v="3"/>
    <n v="837.89"/>
    <n v="0"/>
    <x v="1"/>
    <s v="CC400"/>
    <s v="AutoPost 364"/>
    <s v="EUR"/>
    <s v="2024-12"/>
    <n v="-837.89"/>
    <m/>
  </r>
  <r>
    <s v="GL000365"/>
    <d v="2023-03-14T00:00:00"/>
    <n v="5010"/>
    <x v="3"/>
    <n v="426.78"/>
    <n v="0"/>
    <x v="0"/>
    <s v="CC400"/>
    <s v="AutoPost 365"/>
    <s v="CAD"/>
    <s v="2023-03"/>
    <n v="-426.78"/>
    <m/>
  </r>
  <r>
    <s v="GL000366"/>
    <d v="2025-04-14T00:00:00"/>
    <n v="6000"/>
    <x v="2"/>
    <n v="999.72"/>
    <n v="0"/>
    <x v="5"/>
    <s v="CC300"/>
    <s v="AutoPost 366"/>
    <s v="EUR"/>
    <s v="2025-04"/>
    <n v="-999.72"/>
    <m/>
  </r>
  <r>
    <s v="GL000367"/>
    <d v="2023-04-07T00:00:00"/>
    <n v="5000"/>
    <x v="1"/>
    <n v="74.209999999999994"/>
    <n v="0"/>
    <x v="3"/>
    <s v="CC100"/>
    <s v="AutoPost 367"/>
    <s v="CAD"/>
    <s v="2023-04"/>
    <n v="-74.209999999999994"/>
    <m/>
  </r>
  <r>
    <s v="GL000368"/>
    <d v="2023-01-08T00:00:00"/>
    <n v="4000"/>
    <x v="0"/>
    <n v="0"/>
    <n v="1158.73"/>
    <x v="5"/>
    <s v="CC500"/>
    <s v="AutoPost 368"/>
    <s v="EUR"/>
    <s v="2023-01"/>
    <n v="1158.73"/>
    <m/>
  </r>
  <r>
    <s v="GL000369"/>
    <d v="2023-09-13T00:00:00"/>
    <n v="6000"/>
    <x v="2"/>
    <n v="1129.06"/>
    <n v="0"/>
    <x v="5"/>
    <s v="CC400"/>
    <s v="AutoPost 369"/>
    <s v="EUR"/>
    <s v="2023-09"/>
    <n v="-1129.06"/>
    <m/>
  </r>
  <r>
    <s v="GL000370"/>
    <d v="2024-02-27T00:00:00"/>
    <n v="5010"/>
    <x v="3"/>
    <n v="1450.58"/>
    <n v="0"/>
    <x v="2"/>
    <s v="CC400"/>
    <s v="AutoPost 370"/>
    <s v="USD"/>
    <s v="2024-02"/>
    <n v="-1450.58"/>
    <m/>
  </r>
  <r>
    <s v="GL000371"/>
    <d v="2023-01-04T00:00:00"/>
    <n v="6000"/>
    <x v="2"/>
    <n v="820.46"/>
    <n v="0"/>
    <x v="4"/>
    <s v="CC500"/>
    <s v="AutoPost 371"/>
    <s v="GBP"/>
    <s v="2023-01"/>
    <n v="-820.46"/>
    <m/>
  </r>
  <r>
    <s v="GL000372"/>
    <d v="2025-03-02T00:00:00"/>
    <n v="5000"/>
    <x v="1"/>
    <n v="1027.96"/>
    <n v="0"/>
    <x v="1"/>
    <s v="CC200"/>
    <s v="AutoPost 372"/>
    <s v="CAD"/>
    <s v="2025-03"/>
    <n v="-1027.96"/>
    <m/>
  </r>
  <r>
    <s v="GL000373"/>
    <d v="2023-01-19T00:00:00"/>
    <n v="4000"/>
    <x v="0"/>
    <n v="0"/>
    <n v="2599.69"/>
    <x v="0"/>
    <s v="CC200"/>
    <s v="AutoPost 373"/>
    <s v="AUD"/>
    <s v="2023-01"/>
    <n v="2599.69"/>
    <m/>
  </r>
  <r>
    <s v="GL000374"/>
    <d v="2024-10-09T00:00:00"/>
    <n v="5010"/>
    <x v="3"/>
    <n v="903.24"/>
    <n v="0"/>
    <x v="2"/>
    <s v="CC400"/>
    <s v="AutoPost 374"/>
    <s v="EUR"/>
    <s v="2024-10"/>
    <n v="-903.24"/>
    <m/>
  </r>
  <r>
    <s v="GL000375"/>
    <d v="2024-03-12T00:00:00"/>
    <n v="5000"/>
    <x v="1"/>
    <n v="1037.05"/>
    <n v="0"/>
    <x v="0"/>
    <s v="CC500"/>
    <s v="AutoPost 375"/>
    <s v="EUR"/>
    <s v="2024-03"/>
    <n v="-1037.05"/>
    <m/>
  </r>
  <r>
    <s v="GL000376"/>
    <d v="2025-05-08T00:00:00"/>
    <n v="5010"/>
    <x v="3"/>
    <n v="390.22"/>
    <n v="0"/>
    <x v="1"/>
    <s v="CC200"/>
    <s v="AutoPost 376"/>
    <s v="EUR"/>
    <s v="2025-05"/>
    <n v="-390.22"/>
    <m/>
  </r>
  <r>
    <s v="GL000377"/>
    <d v="2025-02-11T00:00:00"/>
    <n v="4010"/>
    <x v="4"/>
    <n v="0"/>
    <n v="4450.59"/>
    <x v="3"/>
    <s v="CC100"/>
    <s v="AutoPost 377"/>
    <s v="USD"/>
    <s v="2025-02"/>
    <n v="4450.59"/>
    <m/>
  </r>
  <r>
    <s v="GL000378"/>
    <d v="2023-11-16T00:00:00"/>
    <n v="6000"/>
    <x v="2"/>
    <n v="1836.23"/>
    <n v="0"/>
    <x v="3"/>
    <s v="CC100"/>
    <s v="AutoPost 378"/>
    <s v="GBP"/>
    <s v="2023-11"/>
    <n v="-1836.23"/>
    <m/>
  </r>
  <r>
    <s v="GL000379"/>
    <d v="2024-09-14T00:00:00"/>
    <n v="6000"/>
    <x v="2"/>
    <n v="1033.93"/>
    <n v="0"/>
    <x v="5"/>
    <s v="CC300"/>
    <s v="AutoPost 379"/>
    <s v="USD"/>
    <s v="2024-09"/>
    <n v="-1033.93"/>
    <m/>
  </r>
  <r>
    <s v="GL000380"/>
    <d v="2023-07-03T00:00:00"/>
    <n v="5010"/>
    <x v="3"/>
    <n v="64.73"/>
    <n v="0"/>
    <x v="1"/>
    <s v="CC200"/>
    <s v="AutoPost 380"/>
    <s v="USD"/>
    <s v="2023-07"/>
    <n v="-64.73"/>
    <m/>
  </r>
  <r>
    <s v="GL000381"/>
    <d v="2023-01-30T00:00:00"/>
    <n v="5010"/>
    <x v="3"/>
    <n v="891.36"/>
    <n v="0"/>
    <x v="3"/>
    <s v="CC400"/>
    <s v="AutoPost 381"/>
    <s v="EUR"/>
    <s v="2023-01"/>
    <n v="-891.36"/>
    <m/>
  </r>
  <r>
    <s v="GL000382"/>
    <d v="2023-04-26T00:00:00"/>
    <n v="5010"/>
    <x v="3"/>
    <n v="983.92"/>
    <n v="0"/>
    <x v="4"/>
    <s v="CC200"/>
    <s v="AutoPost 382"/>
    <s v="AUD"/>
    <s v="2023-04"/>
    <n v="-983.92"/>
    <m/>
  </r>
  <r>
    <s v="GL000383"/>
    <d v="2023-02-09T00:00:00"/>
    <n v="5010"/>
    <x v="3"/>
    <n v="412.44"/>
    <n v="0"/>
    <x v="0"/>
    <s v="CC100"/>
    <s v="AutoPost 383"/>
    <s v="EUR"/>
    <s v="2023-02"/>
    <n v="-412.44"/>
    <m/>
  </r>
  <r>
    <s v="GL000384"/>
    <d v="2023-05-12T00:00:00"/>
    <n v="4010"/>
    <x v="4"/>
    <n v="0"/>
    <n v="2409.8200000000002"/>
    <x v="0"/>
    <s v="CC500"/>
    <s v="AutoPost 384"/>
    <s v="CAD"/>
    <s v="2023-05"/>
    <n v="2409.8200000000002"/>
    <m/>
  </r>
  <r>
    <s v="GL000385"/>
    <d v="2025-05-15T00:00:00"/>
    <n v="5010"/>
    <x v="3"/>
    <n v="1490.61"/>
    <n v="0"/>
    <x v="5"/>
    <s v="CC500"/>
    <s v="AutoPost 385"/>
    <s v="CAD"/>
    <s v="2025-05"/>
    <n v="-1490.61"/>
    <m/>
  </r>
  <r>
    <s v="GL000386"/>
    <d v="2024-08-24T00:00:00"/>
    <n v="4000"/>
    <x v="0"/>
    <n v="0"/>
    <n v="2946.46"/>
    <x v="0"/>
    <s v="CC400"/>
    <s v="AutoPost 386"/>
    <s v="GBP"/>
    <s v="2024-08"/>
    <n v="2946.46"/>
    <m/>
  </r>
  <r>
    <s v="GL000387"/>
    <d v="2024-09-13T00:00:00"/>
    <n v="6000"/>
    <x v="2"/>
    <n v="542.61"/>
    <n v="0"/>
    <x v="4"/>
    <s v="CC200"/>
    <s v="AutoPost 387"/>
    <s v="USD"/>
    <s v="2024-09"/>
    <n v="-542.61"/>
    <m/>
  </r>
  <r>
    <s v="GL000388"/>
    <d v="2023-11-22T00:00:00"/>
    <n v="4010"/>
    <x v="4"/>
    <n v="0"/>
    <n v="3453.36"/>
    <x v="0"/>
    <s v="CC400"/>
    <s v="AutoPost 388"/>
    <s v="EUR"/>
    <s v="2023-11"/>
    <n v="3453.36"/>
    <m/>
  </r>
  <r>
    <s v="GL000389"/>
    <d v="2024-01-26T00:00:00"/>
    <n v="5000"/>
    <x v="1"/>
    <n v="1550.28"/>
    <n v="0"/>
    <x v="1"/>
    <s v="CC400"/>
    <s v="AutoPost 389"/>
    <s v="GBP"/>
    <s v="2024-01"/>
    <n v="-1550.28"/>
    <m/>
  </r>
  <r>
    <s v="GL000390"/>
    <d v="2023-08-26T00:00:00"/>
    <n v="4010"/>
    <x v="4"/>
    <n v="0"/>
    <n v="2348.4"/>
    <x v="5"/>
    <s v="CC100"/>
    <s v="AutoPost 390"/>
    <s v="CAD"/>
    <s v="2023-08"/>
    <n v="2348.4"/>
    <m/>
  </r>
  <r>
    <s v="GL000391"/>
    <d v="2023-07-21T00:00:00"/>
    <n v="5000"/>
    <x v="1"/>
    <n v="761.57"/>
    <n v="0"/>
    <x v="1"/>
    <s v="CC500"/>
    <s v="AutoPost 391"/>
    <s v="EUR"/>
    <s v="2023-07"/>
    <n v="-761.57"/>
    <m/>
  </r>
  <r>
    <s v="GL000392"/>
    <d v="2023-11-03T00:00:00"/>
    <n v="4000"/>
    <x v="0"/>
    <n v="0"/>
    <n v="958.3"/>
    <x v="1"/>
    <s v="CC200"/>
    <s v="AutoPost 392"/>
    <s v="CAD"/>
    <s v="2023-11"/>
    <n v="958.3"/>
    <m/>
  </r>
  <r>
    <s v="GL000393"/>
    <d v="2025-02-02T00:00:00"/>
    <n v="5000"/>
    <x v="1"/>
    <n v="618.6"/>
    <n v="0"/>
    <x v="4"/>
    <s v="CC500"/>
    <s v="AutoPost 393"/>
    <s v="USD"/>
    <s v="2025-02"/>
    <n v="-618.6"/>
    <m/>
  </r>
  <r>
    <s v="GL000394"/>
    <d v="2023-10-05T00:00:00"/>
    <n v="4000"/>
    <x v="0"/>
    <n v="0"/>
    <n v="334.65"/>
    <x v="3"/>
    <s v="CC500"/>
    <s v="AutoPost 394"/>
    <s v="GBP"/>
    <s v="2023-10"/>
    <n v="334.65"/>
    <m/>
  </r>
  <r>
    <s v="GL000395"/>
    <d v="2024-08-21T00:00:00"/>
    <n v="5000"/>
    <x v="1"/>
    <n v="1922.54"/>
    <n v="0"/>
    <x v="3"/>
    <s v="CC100"/>
    <s v="AutoPost 395"/>
    <s v="USD"/>
    <s v="2024-08"/>
    <n v="-1922.54"/>
    <m/>
  </r>
  <r>
    <s v="GL000396"/>
    <d v="2023-08-08T00:00:00"/>
    <n v="4000"/>
    <x v="0"/>
    <n v="0"/>
    <n v="3519.07"/>
    <x v="1"/>
    <s v="CC300"/>
    <s v="AutoPost 396"/>
    <s v="AUD"/>
    <s v="2023-08"/>
    <n v="3519.07"/>
    <m/>
  </r>
  <r>
    <s v="GL000397"/>
    <d v="2023-02-26T00:00:00"/>
    <n v="5010"/>
    <x v="3"/>
    <n v="1944.25"/>
    <n v="0"/>
    <x v="1"/>
    <s v="CC100"/>
    <s v="AutoPost 397"/>
    <s v="CAD"/>
    <s v="2023-02"/>
    <n v="-1944.25"/>
    <m/>
  </r>
  <r>
    <s v="GL000398"/>
    <d v="2023-01-31T00:00:00"/>
    <n v="5000"/>
    <x v="1"/>
    <n v="51.54"/>
    <n v="0"/>
    <x v="2"/>
    <s v="CC400"/>
    <s v="AutoPost 398"/>
    <s v="GBP"/>
    <s v="2023-01"/>
    <n v="-51.54"/>
    <m/>
  </r>
  <r>
    <s v="GL000399"/>
    <d v="2024-08-22T00:00:00"/>
    <n v="4010"/>
    <x v="4"/>
    <n v="0"/>
    <n v="952.59"/>
    <x v="1"/>
    <s v="CC300"/>
    <s v="AutoPost 399"/>
    <s v="GBP"/>
    <s v="2024-08"/>
    <n v="952.59"/>
    <m/>
  </r>
  <r>
    <s v="GL000400"/>
    <d v="2024-07-20T00:00:00"/>
    <n v="5010"/>
    <x v="3"/>
    <n v="312.45"/>
    <n v="0"/>
    <x v="1"/>
    <s v="CC500"/>
    <s v="AutoPost 400"/>
    <s v="GBP"/>
    <s v="2024-07"/>
    <n v="-312.45"/>
    <m/>
  </r>
  <r>
    <s v="GL000401"/>
    <d v="2025-01-22T00:00:00"/>
    <n v="5010"/>
    <x v="3"/>
    <n v="571.80999999999995"/>
    <n v="0"/>
    <x v="3"/>
    <s v="CC200"/>
    <s v="AutoPost 401"/>
    <s v="EUR"/>
    <s v="2025-01"/>
    <n v="-571.80999999999995"/>
    <m/>
  </r>
  <r>
    <s v="GL000402"/>
    <d v="2024-12-21T00:00:00"/>
    <n v="5010"/>
    <x v="3"/>
    <n v="750.55"/>
    <n v="0"/>
    <x v="1"/>
    <s v="CC400"/>
    <s v="AutoPost 402"/>
    <s v="CAD"/>
    <s v="2024-12"/>
    <n v="-750.55"/>
    <m/>
  </r>
  <r>
    <s v="GL000403"/>
    <d v="2023-02-28T00:00:00"/>
    <n v="4010"/>
    <x v="4"/>
    <n v="0"/>
    <n v="4835.87"/>
    <x v="2"/>
    <s v="CC500"/>
    <s v="AutoPost 403"/>
    <s v="EUR"/>
    <s v="2023-02"/>
    <n v="4835.87"/>
    <m/>
  </r>
  <r>
    <s v="GL000404"/>
    <d v="2025-01-27T00:00:00"/>
    <n v="4000"/>
    <x v="0"/>
    <n v="0"/>
    <n v="2979.48"/>
    <x v="5"/>
    <s v="CC500"/>
    <s v="AutoPost 404"/>
    <s v="GBP"/>
    <s v="2025-01"/>
    <n v="2979.48"/>
    <m/>
  </r>
  <r>
    <s v="GL000405"/>
    <d v="2024-05-20T00:00:00"/>
    <n v="5000"/>
    <x v="1"/>
    <n v="1288.94"/>
    <n v="0"/>
    <x v="0"/>
    <s v="CC500"/>
    <s v="AutoPost 405"/>
    <s v="GBP"/>
    <s v="2024-05"/>
    <n v="-1288.94"/>
    <m/>
  </r>
  <r>
    <s v="GL000406"/>
    <d v="2023-05-09T00:00:00"/>
    <n v="5000"/>
    <x v="1"/>
    <n v="578.6"/>
    <n v="0"/>
    <x v="0"/>
    <s v="CC200"/>
    <s v="AutoPost 406"/>
    <s v="AUD"/>
    <s v="2023-05"/>
    <n v="-578.6"/>
    <m/>
  </r>
  <r>
    <s v="GL000407"/>
    <d v="2025-03-26T00:00:00"/>
    <n v="5000"/>
    <x v="1"/>
    <n v="341.06"/>
    <n v="0"/>
    <x v="5"/>
    <s v="CC100"/>
    <s v="AutoPost 407"/>
    <s v="AUD"/>
    <s v="2025-03"/>
    <n v="-341.06"/>
    <m/>
  </r>
  <r>
    <s v="GL000408"/>
    <d v="2024-04-08T00:00:00"/>
    <n v="5010"/>
    <x v="3"/>
    <n v="1074.77"/>
    <n v="0"/>
    <x v="1"/>
    <s v="CC200"/>
    <s v="AutoPost 408"/>
    <s v="EUR"/>
    <s v="2024-04"/>
    <n v="-1074.77"/>
    <m/>
  </r>
  <r>
    <s v="GL000409"/>
    <d v="2024-05-21T00:00:00"/>
    <n v="4010"/>
    <x v="4"/>
    <n v="0"/>
    <n v="1025.56"/>
    <x v="1"/>
    <s v="CC500"/>
    <s v="AutoPost 409"/>
    <s v="GBP"/>
    <s v="2024-05"/>
    <n v="1025.56"/>
    <m/>
  </r>
  <r>
    <s v="GL000410"/>
    <d v="2024-03-17T00:00:00"/>
    <n v="4000"/>
    <x v="0"/>
    <n v="0"/>
    <n v="1148.8499999999999"/>
    <x v="4"/>
    <s v="CC400"/>
    <s v="AutoPost 410"/>
    <s v="GBP"/>
    <s v="2024-03"/>
    <n v="1148.8499999999999"/>
    <m/>
  </r>
  <r>
    <s v="GL000411"/>
    <d v="2023-11-12T00:00:00"/>
    <n v="5000"/>
    <x v="1"/>
    <n v="1644.1"/>
    <n v="0"/>
    <x v="0"/>
    <s v="CC400"/>
    <s v="AutoPost 411"/>
    <s v="EUR"/>
    <s v="2023-11"/>
    <n v="-1644.1"/>
    <m/>
  </r>
  <r>
    <s v="GL000412"/>
    <d v="2024-01-17T00:00:00"/>
    <n v="4010"/>
    <x v="4"/>
    <n v="0"/>
    <n v="3002.11"/>
    <x v="3"/>
    <s v="CC400"/>
    <s v="AutoPost 412"/>
    <s v="GBP"/>
    <s v="2024-01"/>
    <n v="3002.11"/>
    <m/>
  </r>
  <r>
    <s v="GL000413"/>
    <d v="2024-02-16T00:00:00"/>
    <n v="5010"/>
    <x v="3"/>
    <n v="327.57"/>
    <n v="0"/>
    <x v="1"/>
    <s v="CC100"/>
    <s v="AutoPost 413"/>
    <s v="EUR"/>
    <s v="2024-02"/>
    <n v="-327.57"/>
    <m/>
  </r>
  <r>
    <s v="GL000414"/>
    <d v="2023-08-29T00:00:00"/>
    <n v="4000"/>
    <x v="0"/>
    <n v="0"/>
    <n v="2146.0700000000002"/>
    <x v="3"/>
    <s v="CC500"/>
    <s v="AutoPost 414"/>
    <s v="AUD"/>
    <s v="2023-08"/>
    <n v="2146.0700000000002"/>
    <m/>
  </r>
  <r>
    <s v="GL000415"/>
    <d v="2024-08-13T00:00:00"/>
    <n v="4000"/>
    <x v="0"/>
    <n v="0"/>
    <n v="811.92"/>
    <x v="1"/>
    <s v="CC500"/>
    <s v="AutoPost 415"/>
    <s v="AUD"/>
    <s v="2024-08"/>
    <n v="811.92"/>
    <m/>
  </r>
  <r>
    <s v="GL000416"/>
    <d v="2024-08-09T00:00:00"/>
    <n v="5000"/>
    <x v="1"/>
    <n v="943.91"/>
    <n v="0"/>
    <x v="1"/>
    <s v="CC200"/>
    <s v="AutoPost 416"/>
    <s v="USD"/>
    <s v="2024-08"/>
    <n v="-943.91"/>
    <m/>
  </r>
  <r>
    <s v="GL000417"/>
    <d v="2025-01-10T00:00:00"/>
    <n v="5000"/>
    <x v="1"/>
    <n v="453.48"/>
    <n v="0"/>
    <x v="0"/>
    <s v="CC500"/>
    <s v="AutoPost 417"/>
    <s v="USD"/>
    <s v="2025-01"/>
    <n v="-453.48"/>
    <m/>
  </r>
  <r>
    <s v="GL000418"/>
    <d v="2023-07-13T00:00:00"/>
    <n v="4000"/>
    <x v="0"/>
    <n v="0"/>
    <n v="4075.25"/>
    <x v="1"/>
    <s v="CC300"/>
    <s v="AutoPost 418"/>
    <s v="USD"/>
    <s v="2023-07"/>
    <n v="4075.25"/>
    <m/>
  </r>
  <r>
    <s v="GL000419"/>
    <d v="2024-02-11T00:00:00"/>
    <n v="4000"/>
    <x v="0"/>
    <n v="0"/>
    <n v="4559.4399999999996"/>
    <x v="4"/>
    <s v="CC100"/>
    <s v="AutoPost 419"/>
    <s v="GBP"/>
    <s v="2024-02"/>
    <n v="4559.4399999999996"/>
    <m/>
  </r>
  <r>
    <s v="GL000420"/>
    <d v="2025-03-29T00:00:00"/>
    <n v="5010"/>
    <x v="3"/>
    <n v="50.64"/>
    <n v="0"/>
    <x v="0"/>
    <s v="CC400"/>
    <s v="AutoPost 420"/>
    <s v="EUR"/>
    <s v="2025-03"/>
    <n v="-50.64"/>
    <m/>
  </r>
  <r>
    <s v="GL000421"/>
    <d v="2023-07-07T00:00:00"/>
    <n v="5000"/>
    <x v="1"/>
    <n v="1277.92"/>
    <n v="0"/>
    <x v="1"/>
    <s v="CC100"/>
    <s v="AutoPost 421"/>
    <s v="EUR"/>
    <s v="2023-07"/>
    <n v="-1277.92"/>
    <m/>
  </r>
  <r>
    <s v="GL000422"/>
    <d v="2023-11-19T00:00:00"/>
    <n v="5010"/>
    <x v="3"/>
    <n v="707.53"/>
    <n v="0"/>
    <x v="1"/>
    <s v="CC400"/>
    <s v="AutoPost 422"/>
    <s v="USD"/>
    <s v="2023-11"/>
    <n v="-707.53"/>
    <m/>
  </r>
  <r>
    <s v="GL000423"/>
    <d v="2024-02-14T00:00:00"/>
    <n v="6000"/>
    <x v="2"/>
    <n v="356.21"/>
    <n v="0"/>
    <x v="5"/>
    <s v="CC500"/>
    <s v="AutoPost 423"/>
    <s v="EUR"/>
    <s v="2024-02"/>
    <n v="-356.21"/>
    <m/>
  </r>
  <r>
    <s v="GL000424"/>
    <d v="2024-11-15T00:00:00"/>
    <n v="5010"/>
    <x v="3"/>
    <n v="189.31"/>
    <n v="0"/>
    <x v="1"/>
    <s v="CC100"/>
    <s v="AutoPost 424"/>
    <s v="EUR"/>
    <s v="2024-11"/>
    <n v="-189.31"/>
    <m/>
  </r>
  <r>
    <s v="GL000425"/>
    <d v="2024-01-28T00:00:00"/>
    <n v="6000"/>
    <x v="2"/>
    <n v="519.61"/>
    <n v="0"/>
    <x v="3"/>
    <s v="CC300"/>
    <s v="AutoPost 425"/>
    <s v="GBP"/>
    <s v="2024-01"/>
    <n v="-519.61"/>
    <m/>
  </r>
  <r>
    <s v="GL000426"/>
    <d v="2024-02-19T00:00:00"/>
    <n v="4000"/>
    <x v="0"/>
    <n v="0"/>
    <n v="3923.81"/>
    <x v="5"/>
    <s v="CC400"/>
    <s v="AutoPost 426"/>
    <s v="AUD"/>
    <s v="2024-02"/>
    <n v="3923.81"/>
    <m/>
  </r>
  <r>
    <s v="GL000427"/>
    <d v="2023-10-28T00:00:00"/>
    <n v="5000"/>
    <x v="1"/>
    <n v="171.38"/>
    <n v="0"/>
    <x v="3"/>
    <s v="CC400"/>
    <s v="AutoPost 427"/>
    <s v="CAD"/>
    <s v="2023-10"/>
    <n v="-171.38"/>
    <m/>
  </r>
  <r>
    <s v="GL000428"/>
    <d v="2023-07-07T00:00:00"/>
    <n v="5000"/>
    <x v="1"/>
    <n v="960.38"/>
    <n v="0"/>
    <x v="3"/>
    <s v="CC100"/>
    <s v="AutoPost 428"/>
    <s v="EUR"/>
    <s v="2023-07"/>
    <n v="-960.38"/>
    <m/>
  </r>
  <r>
    <s v="GL000429"/>
    <d v="2023-03-16T00:00:00"/>
    <n v="5010"/>
    <x v="3"/>
    <n v="931.96"/>
    <n v="0"/>
    <x v="3"/>
    <s v="CC100"/>
    <s v="AutoPost 429"/>
    <s v="GBP"/>
    <s v="2023-03"/>
    <n v="-931.96"/>
    <m/>
  </r>
  <r>
    <s v="GL000430"/>
    <d v="2023-12-07T00:00:00"/>
    <n v="4000"/>
    <x v="0"/>
    <n v="0"/>
    <n v="353.32"/>
    <x v="4"/>
    <s v="CC300"/>
    <s v="AutoPost 430"/>
    <s v="USD"/>
    <s v="2023-12"/>
    <n v="353.32"/>
    <m/>
  </r>
  <r>
    <s v="GL000431"/>
    <d v="2025-02-07T00:00:00"/>
    <n v="6000"/>
    <x v="2"/>
    <n v="66.08"/>
    <n v="0"/>
    <x v="2"/>
    <s v="CC200"/>
    <s v="AutoPost 431"/>
    <s v="GBP"/>
    <s v="2025-02"/>
    <n v="-66.08"/>
    <m/>
  </r>
  <r>
    <s v="GL000432"/>
    <d v="2024-07-23T00:00:00"/>
    <n v="4000"/>
    <x v="0"/>
    <n v="0"/>
    <n v="361.74"/>
    <x v="3"/>
    <s v="CC100"/>
    <s v="AutoPost 432"/>
    <s v="GBP"/>
    <s v="2024-07"/>
    <n v="361.74"/>
    <m/>
  </r>
  <r>
    <s v="GL000433"/>
    <d v="2023-01-06T00:00:00"/>
    <n v="6000"/>
    <x v="2"/>
    <n v="1392.66"/>
    <n v="0"/>
    <x v="2"/>
    <s v="CC100"/>
    <s v="AutoPost 433"/>
    <s v="CAD"/>
    <s v="2023-01"/>
    <n v="-1392.66"/>
    <m/>
  </r>
  <r>
    <s v="GL000434"/>
    <d v="2024-01-29T00:00:00"/>
    <n v="4000"/>
    <x v="0"/>
    <n v="0"/>
    <n v="4172.26"/>
    <x v="3"/>
    <s v="CC100"/>
    <s v="AutoPost 434"/>
    <s v="USD"/>
    <s v="2024-01"/>
    <n v="4172.26"/>
    <m/>
  </r>
  <r>
    <s v="GL000435"/>
    <d v="2023-01-21T00:00:00"/>
    <n v="6000"/>
    <x v="2"/>
    <n v="1792.82"/>
    <n v="0"/>
    <x v="0"/>
    <s v="CC500"/>
    <s v="AutoPost 435"/>
    <s v="GBP"/>
    <s v="2023-01"/>
    <n v="-1792.82"/>
    <m/>
  </r>
  <r>
    <s v="GL000436"/>
    <d v="2023-11-20T00:00:00"/>
    <n v="5000"/>
    <x v="1"/>
    <n v="164.54"/>
    <n v="0"/>
    <x v="3"/>
    <s v="CC400"/>
    <s v="AutoPost 436"/>
    <s v="GBP"/>
    <s v="2023-11"/>
    <n v="-164.54"/>
    <m/>
  </r>
  <r>
    <s v="GL000437"/>
    <d v="2024-11-15T00:00:00"/>
    <n v="6000"/>
    <x v="2"/>
    <n v="217.44"/>
    <n v="0"/>
    <x v="0"/>
    <s v="CC200"/>
    <s v="AutoPost 437"/>
    <s v="EUR"/>
    <s v="2024-11"/>
    <n v="-217.44"/>
    <m/>
  </r>
  <r>
    <s v="GL000438"/>
    <d v="2025-01-03T00:00:00"/>
    <n v="6000"/>
    <x v="2"/>
    <n v="1899.59"/>
    <n v="0"/>
    <x v="4"/>
    <s v="CC500"/>
    <s v="AutoPost 438"/>
    <s v="USD"/>
    <s v="2025-01"/>
    <n v="-1899.59"/>
    <m/>
  </r>
  <r>
    <s v="GL000439"/>
    <d v="2024-06-12T00:00:00"/>
    <n v="5010"/>
    <x v="3"/>
    <n v="808.94"/>
    <n v="0"/>
    <x v="5"/>
    <s v="CC300"/>
    <s v="AutoPost 439"/>
    <s v="EUR"/>
    <s v="2024-06"/>
    <n v="-808.94"/>
    <m/>
  </r>
  <r>
    <s v="GL000440"/>
    <d v="2023-07-13T00:00:00"/>
    <n v="4000"/>
    <x v="0"/>
    <n v="0"/>
    <n v="3691.59"/>
    <x v="3"/>
    <s v="CC500"/>
    <s v="AutoPost 440"/>
    <s v="AUD"/>
    <s v="2023-07"/>
    <n v="3691.59"/>
    <m/>
  </r>
  <r>
    <s v="GL000441"/>
    <d v="2024-12-28T00:00:00"/>
    <n v="4010"/>
    <x v="4"/>
    <n v="0"/>
    <n v="2510.66"/>
    <x v="2"/>
    <s v="CC100"/>
    <s v="AutoPost 441"/>
    <s v="USD"/>
    <s v="2024-12"/>
    <n v="2510.66"/>
    <m/>
  </r>
  <r>
    <s v="GL000442"/>
    <d v="2024-06-24T00:00:00"/>
    <n v="4000"/>
    <x v="0"/>
    <n v="0"/>
    <n v="1959.12"/>
    <x v="2"/>
    <s v="CC100"/>
    <s v="AutoPost 442"/>
    <s v="EUR"/>
    <s v="2024-06"/>
    <n v="1959.12"/>
    <m/>
  </r>
  <r>
    <s v="GL000443"/>
    <d v="2024-10-09T00:00:00"/>
    <n v="5010"/>
    <x v="3"/>
    <n v="1541.66"/>
    <n v="0"/>
    <x v="2"/>
    <s v="CC400"/>
    <s v="AutoPost 443"/>
    <s v="CAD"/>
    <s v="2024-10"/>
    <n v="-1541.66"/>
    <m/>
  </r>
  <r>
    <s v="GL000444"/>
    <d v="2025-03-02T00:00:00"/>
    <n v="5010"/>
    <x v="3"/>
    <n v="1240.1400000000001"/>
    <n v="0"/>
    <x v="3"/>
    <s v="CC500"/>
    <s v="AutoPost 444"/>
    <s v="CAD"/>
    <s v="2025-03"/>
    <n v="-1240.1400000000001"/>
    <m/>
  </r>
  <r>
    <s v="GL000445"/>
    <d v="2025-01-31T00:00:00"/>
    <n v="5010"/>
    <x v="3"/>
    <n v="889.94"/>
    <n v="0"/>
    <x v="2"/>
    <s v="CC300"/>
    <s v="AutoPost 445"/>
    <s v="AUD"/>
    <s v="2025-01"/>
    <n v="-889.94"/>
    <m/>
  </r>
  <r>
    <s v="GL000446"/>
    <d v="2025-06-16T00:00:00"/>
    <n v="5000"/>
    <x v="1"/>
    <n v="1562.72"/>
    <n v="0"/>
    <x v="2"/>
    <s v="CC100"/>
    <s v="AutoPost 446"/>
    <s v="EUR"/>
    <s v="2025-06"/>
    <n v="-1562.72"/>
    <m/>
  </r>
  <r>
    <s v="GL000447"/>
    <d v="2024-09-17T00:00:00"/>
    <n v="6000"/>
    <x v="2"/>
    <n v="1182.8"/>
    <n v="0"/>
    <x v="1"/>
    <s v="CC200"/>
    <s v="AutoPost 447"/>
    <s v="EUR"/>
    <s v="2024-09"/>
    <n v="-1182.8"/>
    <m/>
  </r>
  <r>
    <s v="GL000448"/>
    <d v="2023-09-08T00:00:00"/>
    <n v="6000"/>
    <x v="2"/>
    <n v="489.72"/>
    <n v="0"/>
    <x v="4"/>
    <s v="CC100"/>
    <s v="AutoPost 448"/>
    <s v="CAD"/>
    <s v="2023-09"/>
    <n v="-489.72"/>
    <m/>
  </r>
  <r>
    <s v="GL000449"/>
    <d v="2023-03-22T00:00:00"/>
    <n v="6000"/>
    <x v="2"/>
    <n v="1003.21"/>
    <n v="0"/>
    <x v="3"/>
    <s v="CC200"/>
    <s v="AutoPost 449"/>
    <s v="EUR"/>
    <s v="2023-03"/>
    <n v="-1003.21"/>
    <m/>
  </r>
  <r>
    <s v="GL000450"/>
    <d v="2023-10-09T00:00:00"/>
    <n v="4000"/>
    <x v="0"/>
    <n v="0"/>
    <n v="1571.79"/>
    <x v="5"/>
    <s v="CC100"/>
    <s v="AutoPost 450"/>
    <s v="AUD"/>
    <s v="2023-10"/>
    <n v="1571.79"/>
    <m/>
  </r>
  <r>
    <s v="GL000451"/>
    <d v="2025-06-09T00:00:00"/>
    <n v="6000"/>
    <x v="2"/>
    <n v="1413.19"/>
    <n v="0"/>
    <x v="4"/>
    <s v="CC500"/>
    <s v="AutoPost 451"/>
    <s v="AUD"/>
    <s v="2025-06"/>
    <n v="-1413.19"/>
    <m/>
  </r>
  <r>
    <s v="GL000452"/>
    <d v="2023-11-26T00:00:00"/>
    <n v="6000"/>
    <x v="2"/>
    <n v="819.5"/>
    <n v="0"/>
    <x v="2"/>
    <s v="CC400"/>
    <s v="AutoPost 452"/>
    <s v="GBP"/>
    <s v="2023-11"/>
    <n v="-819.5"/>
    <m/>
  </r>
  <r>
    <s v="GL000453"/>
    <d v="2023-02-07T00:00:00"/>
    <n v="4010"/>
    <x v="4"/>
    <n v="0"/>
    <n v="1428.23"/>
    <x v="1"/>
    <s v="CC200"/>
    <s v="AutoPost 453"/>
    <s v="USD"/>
    <s v="2023-02"/>
    <n v="1428.23"/>
    <m/>
  </r>
  <r>
    <s v="GL000454"/>
    <d v="2023-01-09T00:00:00"/>
    <n v="4000"/>
    <x v="0"/>
    <n v="0"/>
    <n v="1859.84"/>
    <x v="0"/>
    <s v="CC200"/>
    <s v="AutoPost 454"/>
    <s v="EUR"/>
    <s v="2023-01"/>
    <n v="1859.84"/>
    <m/>
  </r>
  <r>
    <s v="GL000455"/>
    <d v="2024-05-31T00:00:00"/>
    <n v="5010"/>
    <x v="3"/>
    <n v="1060.6500000000001"/>
    <n v="0"/>
    <x v="1"/>
    <s v="CC100"/>
    <s v="AutoPost 455"/>
    <s v="USD"/>
    <s v="2024-05"/>
    <n v="-1060.6500000000001"/>
    <m/>
  </r>
  <r>
    <s v="GL000456"/>
    <d v="2024-11-30T00:00:00"/>
    <n v="6000"/>
    <x v="2"/>
    <n v="493.78"/>
    <n v="0"/>
    <x v="3"/>
    <s v="CC300"/>
    <s v="AutoPost 456"/>
    <s v="EUR"/>
    <s v="2024-11"/>
    <n v="-493.78"/>
    <m/>
  </r>
  <r>
    <s v="GL000457"/>
    <d v="2024-05-31T00:00:00"/>
    <n v="5010"/>
    <x v="3"/>
    <n v="911.05"/>
    <n v="0"/>
    <x v="3"/>
    <s v="CC400"/>
    <s v="AutoPost 457"/>
    <s v="USD"/>
    <s v="2024-05"/>
    <n v="-911.05"/>
    <m/>
  </r>
  <r>
    <s v="GL000458"/>
    <d v="2024-09-06T00:00:00"/>
    <n v="4010"/>
    <x v="4"/>
    <n v="0"/>
    <n v="855.46"/>
    <x v="3"/>
    <s v="CC500"/>
    <s v="AutoPost 458"/>
    <s v="GBP"/>
    <s v="2024-09"/>
    <n v="855.46"/>
    <m/>
  </r>
  <r>
    <s v="GL000459"/>
    <d v="2023-09-13T00:00:00"/>
    <n v="5000"/>
    <x v="1"/>
    <n v="1218.8900000000001"/>
    <n v="0"/>
    <x v="3"/>
    <s v="CC200"/>
    <s v="AutoPost 459"/>
    <s v="USD"/>
    <s v="2023-09"/>
    <n v="-1218.8900000000001"/>
    <m/>
  </r>
  <r>
    <s v="GL000460"/>
    <d v="2023-02-20T00:00:00"/>
    <n v="6000"/>
    <x v="2"/>
    <n v="670.27"/>
    <n v="0"/>
    <x v="3"/>
    <s v="CC100"/>
    <s v="AutoPost 460"/>
    <s v="USD"/>
    <s v="2023-02"/>
    <n v="-670.27"/>
    <m/>
  </r>
  <r>
    <s v="GL000461"/>
    <d v="2024-05-27T00:00:00"/>
    <n v="5010"/>
    <x v="3"/>
    <n v="579"/>
    <n v="0"/>
    <x v="4"/>
    <s v="CC400"/>
    <s v="AutoPost 461"/>
    <s v="GBP"/>
    <s v="2024-05"/>
    <n v="-579"/>
    <m/>
  </r>
  <r>
    <s v="GL000462"/>
    <d v="2024-10-26T00:00:00"/>
    <n v="4010"/>
    <x v="4"/>
    <n v="0"/>
    <n v="1322.5"/>
    <x v="1"/>
    <s v="CC500"/>
    <s v="AutoPost 462"/>
    <s v="GBP"/>
    <s v="2024-10"/>
    <n v="1322.5"/>
    <m/>
  </r>
  <r>
    <s v="GL000463"/>
    <d v="2025-01-10T00:00:00"/>
    <n v="5010"/>
    <x v="3"/>
    <n v="1920.52"/>
    <n v="0"/>
    <x v="0"/>
    <s v="CC300"/>
    <s v="AutoPost 463"/>
    <s v="EUR"/>
    <s v="2025-01"/>
    <n v="-1920.52"/>
    <m/>
  </r>
  <r>
    <s v="GL000464"/>
    <d v="2023-04-30T00:00:00"/>
    <n v="6000"/>
    <x v="2"/>
    <n v="417.54"/>
    <n v="0"/>
    <x v="3"/>
    <s v="CC300"/>
    <s v="AutoPost 464"/>
    <s v="CAD"/>
    <s v="2023-04"/>
    <n v="-417.54"/>
    <m/>
  </r>
  <r>
    <s v="GL000465"/>
    <d v="2025-05-21T00:00:00"/>
    <n v="5000"/>
    <x v="1"/>
    <n v="1832.61"/>
    <n v="0"/>
    <x v="3"/>
    <s v="CC500"/>
    <s v="AutoPost 465"/>
    <s v="CAD"/>
    <s v="2025-05"/>
    <n v="-1832.61"/>
    <m/>
  </r>
  <r>
    <s v="GL000466"/>
    <d v="2023-02-17T00:00:00"/>
    <n v="4000"/>
    <x v="0"/>
    <n v="0"/>
    <n v="1225.02"/>
    <x v="5"/>
    <s v="CC200"/>
    <s v="AutoPost 466"/>
    <s v="EUR"/>
    <s v="2023-02"/>
    <n v="1225.02"/>
    <m/>
  </r>
  <r>
    <s v="GL000467"/>
    <d v="2024-10-18T00:00:00"/>
    <n v="5000"/>
    <x v="1"/>
    <n v="973.97"/>
    <n v="0"/>
    <x v="4"/>
    <s v="CC500"/>
    <s v="AutoPost 467"/>
    <s v="GBP"/>
    <s v="2024-10"/>
    <n v="-973.97"/>
    <m/>
  </r>
  <r>
    <s v="GL000468"/>
    <d v="2024-01-28T00:00:00"/>
    <n v="6000"/>
    <x v="2"/>
    <n v="525.5"/>
    <n v="0"/>
    <x v="5"/>
    <s v="CC200"/>
    <s v="AutoPost 468"/>
    <s v="EUR"/>
    <s v="2024-01"/>
    <n v="-525.5"/>
    <m/>
  </r>
  <r>
    <s v="GL000469"/>
    <d v="2023-10-23T00:00:00"/>
    <n v="5000"/>
    <x v="1"/>
    <n v="805.56"/>
    <n v="0"/>
    <x v="0"/>
    <s v="CC400"/>
    <s v="AutoPost 469"/>
    <s v="CAD"/>
    <s v="2023-10"/>
    <n v="-805.56"/>
    <m/>
  </r>
  <r>
    <s v="GL000470"/>
    <d v="2023-12-01T00:00:00"/>
    <n v="6000"/>
    <x v="2"/>
    <n v="1466.97"/>
    <n v="0"/>
    <x v="1"/>
    <s v="CC200"/>
    <s v="AutoPost 470"/>
    <s v="AUD"/>
    <s v="2023-12"/>
    <n v="-1466.97"/>
    <m/>
  </r>
  <r>
    <s v="GL000471"/>
    <d v="2024-12-18T00:00:00"/>
    <n v="4010"/>
    <x v="4"/>
    <n v="0"/>
    <n v="4734.3599999999997"/>
    <x v="0"/>
    <s v="CC400"/>
    <s v="AutoPost 471"/>
    <s v="AUD"/>
    <s v="2024-12"/>
    <n v="4734.3599999999997"/>
    <m/>
  </r>
  <r>
    <s v="GL000472"/>
    <d v="2023-09-22T00:00:00"/>
    <n v="4010"/>
    <x v="4"/>
    <n v="0"/>
    <n v="1668.4"/>
    <x v="4"/>
    <s v="CC100"/>
    <s v="AutoPost 472"/>
    <s v="USD"/>
    <s v="2023-09"/>
    <n v="1668.4"/>
    <m/>
  </r>
  <r>
    <s v="GL000473"/>
    <d v="2023-12-16T00:00:00"/>
    <n v="4010"/>
    <x v="4"/>
    <n v="0"/>
    <n v="4991.26"/>
    <x v="3"/>
    <s v="CC200"/>
    <s v="AutoPost 473"/>
    <s v="USD"/>
    <s v="2023-12"/>
    <n v="4991.26"/>
    <m/>
  </r>
  <r>
    <s v="GL000474"/>
    <d v="2025-01-05T00:00:00"/>
    <n v="6000"/>
    <x v="2"/>
    <n v="445.53"/>
    <n v="0"/>
    <x v="2"/>
    <s v="CC100"/>
    <s v="AutoPost 474"/>
    <s v="GBP"/>
    <s v="2025-01"/>
    <n v="-445.53"/>
    <m/>
  </r>
  <r>
    <s v="GL000475"/>
    <d v="2024-07-21T00:00:00"/>
    <n v="6000"/>
    <x v="2"/>
    <n v="1464.99"/>
    <n v="0"/>
    <x v="3"/>
    <s v="CC100"/>
    <s v="AutoPost 475"/>
    <s v="EUR"/>
    <s v="2024-07"/>
    <n v="-1464.99"/>
    <m/>
  </r>
  <r>
    <s v="GL000476"/>
    <d v="2023-12-06T00:00:00"/>
    <n v="4010"/>
    <x v="4"/>
    <n v="0"/>
    <n v="1422.45"/>
    <x v="1"/>
    <s v="CC500"/>
    <s v="AutoPost 476"/>
    <s v="EUR"/>
    <s v="2023-12"/>
    <n v="1422.45"/>
    <m/>
  </r>
  <r>
    <s v="GL000477"/>
    <d v="2024-10-18T00:00:00"/>
    <n v="4010"/>
    <x v="4"/>
    <n v="0"/>
    <n v="2350.1999999999998"/>
    <x v="1"/>
    <s v="CC500"/>
    <s v="AutoPost 477"/>
    <s v="AUD"/>
    <s v="2024-10"/>
    <n v="2350.1999999999998"/>
    <m/>
  </r>
  <r>
    <s v="GL000478"/>
    <d v="2023-09-22T00:00:00"/>
    <n v="6000"/>
    <x v="2"/>
    <n v="1559.89"/>
    <n v="0"/>
    <x v="1"/>
    <s v="CC400"/>
    <s v="AutoPost 478"/>
    <s v="AUD"/>
    <s v="2023-09"/>
    <n v="-1559.89"/>
    <m/>
  </r>
  <r>
    <s v="GL000479"/>
    <d v="2024-10-21T00:00:00"/>
    <n v="5010"/>
    <x v="3"/>
    <n v="1570.96"/>
    <n v="0"/>
    <x v="0"/>
    <s v="CC500"/>
    <s v="AutoPost 479"/>
    <s v="USD"/>
    <s v="2024-10"/>
    <n v="-1570.96"/>
    <m/>
  </r>
  <r>
    <s v="GL000480"/>
    <d v="2023-10-03T00:00:00"/>
    <n v="4000"/>
    <x v="0"/>
    <n v="0"/>
    <n v="3947.32"/>
    <x v="0"/>
    <s v="CC400"/>
    <s v="AutoPost 480"/>
    <s v="GBP"/>
    <s v="2023-10"/>
    <n v="3947.32"/>
    <m/>
  </r>
  <r>
    <s v="GL000481"/>
    <d v="2024-11-03T00:00:00"/>
    <n v="6000"/>
    <x v="2"/>
    <n v="1467.92"/>
    <n v="0"/>
    <x v="0"/>
    <s v="CC300"/>
    <s v="AutoPost 481"/>
    <s v="USD"/>
    <s v="2024-11"/>
    <n v="-1467.92"/>
    <m/>
  </r>
  <r>
    <s v="GL000482"/>
    <d v="2023-06-23T00:00:00"/>
    <n v="5000"/>
    <x v="1"/>
    <n v="1843.54"/>
    <n v="0"/>
    <x v="4"/>
    <s v="CC500"/>
    <s v="AutoPost 482"/>
    <s v="GBP"/>
    <s v="2023-06"/>
    <n v="-1843.54"/>
    <m/>
  </r>
  <r>
    <s v="GL000483"/>
    <d v="2025-04-15T00:00:00"/>
    <n v="5010"/>
    <x v="3"/>
    <n v="134.56"/>
    <n v="0"/>
    <x v="0"/>
    <s v="CC100"/>
    <s v="AutoPost 483"/>
    <s v="EUR"/>
    <s v="2025-04"/>
    <n v="-134.56"/>
    <m/>
  </r>
  <r>
    <s v="GL000484"/>
    <d v="2025-01-18T00:00:00"/>
    <n v="4000"/>
    <x v="0"/>
    <n v="0"/>
    <n v="1712.94"/>
    <x v="4"/>
    <s v="CC500"/>
    <s v="AutoPost 484"/>
    <s v="EUR"/>
    <s v="2025-01"/>
    <n v="1712.94"/>
    <m/>
  </r>
  <r>
    <s v="GL000485"/>
    <d v="2023-08-01T00:00:00"/>
    <n v="5010"/>
    <x v="3"/>
    <n v="551.23"/>
    <n v="0"/>
    <x v="5"/>
    <s v="CC200"/>
    <s v="AutoPost 485"/>
    <s v="GBP"/>
    <s v="2023-08"/>
    <n v="-551.23"/>
    <m/>
  </r>
  <r>
    <s v="GL000486"/>
    <d v="2024-08-14T00:00:00"/>
    <n v="4000"/>
    <x v="0"/>
    <n v="0"/>
    <n v="588.37"/>
    <x v="0"/>
    <s v="CC400"/>
    <s v="AutoPost 486"/>
    <s v="GBP"/>
    <s v="2024-08"/>
    <n v="588.37"/>
    <m/>
  </r>
  <r>
    <s v="GL000487"/>
    <d v="2024-08-06T00:00:00"/>
    <n v="6000"/>
    <x v="2"/>
    <n v="134.5"/>
    <n v="0"/>
    <x v="4"/>
    <s v="CC500"/>
    <s v="AutoPost 487"/>
    <s v="CAD"/>
    <s v="2024-08"/>
    <n v="-134.5"/>
    <m/>
  </r>
  <r>
    <s v="GL000488"/>
    <d v="2024-11-14T00:00:00"/>
    <n v="5000"/>
    <x v="1"/>
    <n v="630.03"/>
    <n v="0"/>
    <x v="4"/>
    <s v="CC200"/>
    <s v="AutoPost 488"/>
    <s v="CAD"/>
    <s v="2024-11"/>
    <n v="-630.03"/>
    <m/>
  </r>
  <r>
    <s v="GL000489"/>
    <d v="2023-07-25T00:00:00"/>
    <n v="6000"/>
    <x v="2"/>
    <n v="1840.05"/>
    <n v="0"/>
    <x v="0"/>
    <s v="CC500"/>
    <s v="AutoPost 489"/>
    <s v="AUD"/>
    <s v="2023-07"/>
    <n v="-1840.05"/>
    <m/>
  </r>
  <r>
    <s v="GL000490"/>
    <d v="2023-04-20T00:00:00"/>
    <n v="5000"/>
    <x v="1"/>
    <n v="1943.87"/>
    <n v="0"/>
    <x v="3"/>
    <s v="CC100"/>
    <s v="AutoPost 490"/>
    <s v="AUD"/>
    <s v="2023-04"/>
    <n v="-1943.87"/>
    <m/>
  </r>
  <r>
    <s v="GL000491"/>
    <d v="2024-09-24T00:00:00"/>
    <n v="4000"/>
    <x v="0"/>
    <n v="0"/>
    <n v="2322.15"/>
    <x v="0"/>
    <s v="CC400"/>
    <s v="AutoPost 491"/>
    <s v="USD"/>
    <s v="2024-09"/>
    <n v="2322.15"/>
    <m/>
  </r>
  <r>
    <s v="GL000492"/>
    <d v="2025-03-25T00:00:00"/>
    <n v="4000"/>
    <x v="0"/>
    <n v="0"/>
    <n v="1615.42"/>
    <x v="3"/>
    <s v="CC300"/>
    <s v="AutoPost 492"/>
    <s v="CAD"/>
    <s v="2025-03"/>
    <n v="1615.42"/>
    <m/>
  </r>
  <r>
    <s v="GL000493"/>
    <d v="2024-05-03T00:00:00"/>
    <n v="4010"/>
    <x v="4"/>
    <n v="0"/>
    <n v="3274.24"/>
    <x v="1"/>
    <s v="CC100"/>
    <s v="AutoPost 493"/>
    <s v="CAD"/>
    <s v="2024-05"/>
    <n v="3274.24"/>
    <m/>
  </r>
  <r>
    <s v="GL000494"/>
    <d v="2023-11-10T00:00:00"/>
    <n v="5010"/>
    <x v="3"/>
    <n v="293.63"/>
    <n v="0"/>
    <x v="3"/>
    <s v="CC300"/>
    <s v="AutoPost 494"/>
    <s v="CAD"/>
    <s v="2023-11"/>
    <n v="-293.63"/>
    <m/>
  </r>
  <r>
    <s v="GL000495"/>
    <d v="2023-02-15T00:00:00"/>
    <n v="4000"/>
    <x v="0"/>
    <n v="0"/>
    <n v="2924.19"/>
    <x v="4"/>
    <s v="CC200"/>
    <s v="AutoPost 495"/>
    <s v="USD"/>
    <s v="2023-02"/>
    <n v="2924.19"/>
    <m/>
  </r>
  <r>
    <s v="GL000496"/>
    <d v="2024-11-06T00:00:00"/>
    <n v="5000"/>
    <x v="1"/>
    <n v="630.34"/>
    <n v="0"/>
    <x v="0"/>
    <s v="CC500"/>
    <s v="AutoPost 496"/>
    <s v="USD"/>
    <s v="2024-11"/>
    <n v="-630.34"/>
    <m/>
  </r>
  <r>
    <s v="GL000497"/>
    <d v="2024-02-14T00:00:00"/>
    <n v="4000"/>
    <x v="0"/>
    <n v="0"/>
    <n v="2794.59"/>
    <x v="1"/>
    <s v="CC200"/>
    <s v="AutoPost 497"/>
    <s v="EUR"/>
    <s v="2024-02"/>
    <n v="2794.59"/>
    <m/>
  </r>
  <r>
    <s v="GL000498"/>
    <d v="2023-09-13T00:00:00"/>
    <n v="5000"/>
    <x v="1"/>
    <n v="276.86"/>
    <n v="0"/>
    <x v="3"/>
    <s v="CC400"/>
    <s v="AutoPost 498"/>
    <s v="USD"/>
    <s v="2023-09"/>
    <n v="-276.86"/>
    <m/>
  </r>
  <r>
    <s v="GL000499"/>
    <d v="2023-07-06T00:00:00"/>
    <n v="5000"/>
    <x v="1"/>
    <n v="1358.2"/>
    <n v="0"/>
    <x v="0"/>
    <s v="CC200"/>
    <s v="AutoPost 499"/>
    <s v="GBP"/>
    <s v="2023-07"/>
    <n v="-1358.2"/>
    <m/>
  </r>
  <r>
    <s v="GL000500"/>
    <d v="2024-04-26T00:00:00"/>
    <n v="5010"/>
    <x v="3"/>
    <n v="701.01"/>
    <n v="0"/>
    <x v="3"/>
    <s v="CC100"/>
    <s v="AutoPost 500"/>
    <s v="GBP"/>
    <s v="2024-04"/>
    <n v="-701.01"/>
    <m/>
  </r>
  <r>
    <s v="GL000501"/>
    <d v="2024-10-11T00:00:00"/>
    <n v="4000"/>
    <x v="0"/>
    <n v="0"/>
    <n v="3951.26"/>
    <x v="4"/>
    <s v="CC500"/>
    <s v="AutoPost 501"/>
    <s v="AUD"/>
    <s v="2024-10"/>
    <n v="3951.26"/>
    <m/>
  </r>
  <r>
    <s v="GL000502"/>
    <d v="2023-06-28T00:00:00"/>
    <n v="4000"/>
    <x v="0"/>
    <n v="0"/>
    <n v="1521.81"/>
    <x v="3"/>
    <s v="CC200"/>
    <s v="AutoPost 502"/>
    <s v="EUR"/>
    <s v="2023-06"/>
    <n v="1521.81"/>
    <m/>
  </r>
  <r>
    <s v="GL000503"/>
    <d v="2023-08-22T00:00:00"/>
    <n v="5010"/>
    <x v="3"/>
    <n v="402.01"/>
    <n v="0"/>
    <x v="3"/>
    <s v="CC500"/>
    <s v="AutoPost 503"/>
    <s v="EUR"/>
    <s v="2023-08"/>
    <n v="-402.01"/>
    <m/>
  </r>
  <r>
    <s v="GL000504"/>
    <d v="2024-02-12T00:00:00"/>
    <n v="5000"/>
    <x v="1"/>
    <n v="610.08000000000004"/>
    <n v="0"/>
    <x v="0"/>
    <s v="CC100"/>
    <s v="AutoPost 504"/>
    <s v="CAD"/>
    <s v="2024-02"/>
    <n v="-610.08000000000004"/>
    <m/>
  </r>
  <r>
    <s v="GL000505"/>
    <d v="2024-01-04T00:00:00"/>
    <n v="4000"/>
    <x v="0"/>
    <n v="0"/>
    <n v="4713.8999999999996"/>
    <x v="1"/>
    <s v="CC100"/>
    <s v="AutoPost 505"/>
    <s v="EUR"/>
    <s v="2024-01"/>
    <n v="4713.8999999999996"/>
    <m/>
  </r>
  <r>
    <s v="GL000506"/>
    <d v="2023-03-02T00:00:00"/>
    <n v="6000"/>
    <x v="2"/>
    <n v="1547.67"/>
    <n v="0"/>
    <x v="0"/>
    <s v="CC500"/>
    <s v="AutoPost 506"/>
    <s v="EUR"/>
    <s v="2023-03"/>
    <n v="-1547.67"/>
    <m/>
  </r>
  <r>
    <s v="GL000507"/>
    <d v="2023-02-08T00:00:00"/>
    <n v="4010"/>
    <x v="4"/>
    <n v="0"/>
    <n v="3002.52"/>
    <x v="1"/>
    <s v="CC100"/>
    <s v="AutoPost 507"/>
    <s v="CAD"/>
    <s v="2023-02"/>
    <n v="3002.52"/>
    <m/>
  </r>
  <r>
    <s v="GL000508"/>
    <d v="2023-09-13T00:00:00"/>
    <n v="6000"/>
    <x v="2"/>
    <n v="1295.97"/>
    <n v="0"/>
    <x v="1"/>
    <s v="CC300"/>
    <s v="AutoPost 508"/>
    <s v="GBP"/>
    <s v="2023-09"/>
    <n v="-1295.97"/>
    <m/>
  </r>
  <r>
    <s v="GL000509"/>
    <d v="2024-12-21T00:00:00"/>
    <n v="5010"/>
    <x v="3"/>
    <n v="1648.77"/>
    <n v="0"/>
    <x v="5"/>
    <s v="CC100"/>
    <s v="AutoPost 509"/>
    <s v="CAD"/>
    <s v="2024-12"/>
    <n v="-1648.77"/>
    <m/>
  </r>
  <r>
    <s v="GL000510"/>
    <d v="2023-01-07T00:00:00"/>
    <n v="4010"/>
    <x v="4"/>
    <n v="0"/>
    <n v="1351.35"/>
    <x v="1"/>
    <s v="CC500"/>
    <s v="AutoPost 510"/>
    <s v="EUR"/>
    <s v="2023-01"/>
    <n v="1351.35"/>
    <m/>
  </r>
  <r>
    <s v="GL000511"/>
    <d v="2025-01-09T00:00:00"/>
    <n v="4010"/>
    <x v="4"/>
    <n v="0"/>
    <n v="1986.96"/>
    <x v="5"/>
    <s v="CC100"/>
    <s v="AutoPost 511"/>
    <s v="EUR"/>
    <s v="2025-01"/>
    <n v="1986.96"/>
    <m/>
  </r>
  <r>
    <s v="GL000512"/>
    <d v="2023-08-27T00:00:00"/>
    <n v="5010"/>
    <x v="3"/>
    <n v="1723.41"/>
    <n v="0"/>
    <x v="0"/>
    <s v="CC100"/>
    <s v="AutoPost 512"/>
    <s v="EUR"/>
    <s v="2023-08"/>
    <n v="-1723.41"/>
    <m/>
  </r>
  <r>
    <s v="GL000513"/>
    <d v="2023-03-22T00:00:00"/>
    <n v="4010"/>
    <x v="4"/>
    <n v="0"/>
    <n v="386.09"/>
    <x v="3"/>
    <s v="CC400"/>
    <s v="AutoPost 513"/>
    <s v="AUD"/>
    <s v="2023-03"/>
    <n v="386.09"/>
    <m/>
  </r>
  <r>
    <s v="GL000514"/>
    <d v="2024-09-12T00:00:00"/>
    <n v="4000"/>
    <x v="0"/>
    <n v="0"/>
    <n v="2180.11"/>
    <x v="1"/>
    <s v="CC400"/>
    <s v="AutoPost 514"/>
    <s v="EUR"/>
    <s v="2024-09"/>
    <n v="2180.11"/>
    <m/>
  </r>
  <r>
    <s v="GL000515"/>
    <d v="2024-09-19T00:00:00"/>
    <n v="6000"/>
    <x v="2"/>
    <n v="1283.72"/>
    <n v="0"/>
    <x v="0"/>
    <s v="CC200"/>
    <s v="AutoPost 515"/>
    <s v="AUD"/>
    <s v="2024-09"/>
    <n v="-1283.72"/>
    <m/>
  </r>
  <r>
    <s v="GL000516"/>
    <d v="2025-05-08T00:00:00"/>
    <n v="6000"/>
    <x v="2"/>
    <n v="1809.13"/>
    <n v="0"/>
    <x v="3"/>
    <s v="CC100"/>
    <s v="AutoPost 516"/>
    <s v="CAD"/>
    <s v="2025-05"/>
    <n v="-1809.13"/>
    <m/>
  </r>
  <r>
    <s v="GL000517"/>
    <d v="2025-03-23T00:00:00"/>
    <n v="5000"/>
    <x v="1"/>
    <n v="1785.9"/>
    <n v="0"/>
    <x v="4"/>
    <s v="CC500"/>
    <s v="AutoPost 517"/>
    <s v="AUD"/>
    <s v="2025-03"/>
    <n v="-1785.9"/>
    <m/>
  </r>
  <r>
    <s v="GL000518"/>
    <d v="2023-12-19T00:00:00"/>
    <n v="4010"/>
    <x v="4"/>
    <n v="0"/>
    <n v="4808.83"/>
    <x v="5"/>
    <s v="CC100"/>
    <s v="AutoPost 518"/>
    <s v="USD"/>
    <s v="2023-12"/>
    <n v="4808.83"/>
    <m/>
  </r>
  <r>
    <s v="GL000519"/>
    <d v="2024-10-06T00:00:00"/>
    <n v="5000"/>
    <x v="1"/>
    <n v="922.15"/>
    <n v="0"/>
    <x v="3"/>
    <s v="CC200"/>
    <s v="AutoPost 519"/>
    <s v="USD"/>
    <s v="2024-10"/>
    <n v="-922.15"/>
    <m/>
  </r>
  <r>
    <s v="GL000520"/>
    <d v="2024-12-06T00:00:00"/>
    <n v="4000"/>
    <x v="0"/>
    <n v="0"/>
    <n v="2754.43"/>
    <x v="0"/>
    <s v="CC100"/>
    <s v="AutoPost 520"/>
    <s v="USD"/>
    <s v="2024-12"/>
    <n v="2754.43"/>
    <m/>
  </r>
  <r>
    <s v="GL000521"/>
    <d v="2025-05-13T00:00:00"/>
    <n v="4000"/>
    <x v="0"/>
    <n v="0"/>
    <n v="2370.2800000000002"/>
    <x v="1"/>
    <s v="CC200"/>
    <s v="AutoPost 521"/>
    <s v="AUD"/>
    <s v="2025-05"/>
    <n v="2370.2800000000002"/>
    <m/>
  </r>
  <r>
    <s v="GL000522"/>
    <d v="2023-09-19T00:00:00"/>
    <n v="5000"/>
    <x v="1"/>
    <n v="649.98"/>
    <n v="0"/>
    <x v="2"/>
    <s v="CC200"/>
    <s v="AutoPost 522"/>
    <s v="EUR"/>
    <s v="2023-09"/>
    <n v="-649.98"/>
    <m/>
  </r>
  <r>
    <s v="GL000523"/>
    <d v="2024-05-29T00:00:00"/>
    <n v="4010"/>
    <x v="4"/>
    <n v="0"/>
    <n v="402.69"/>
    <x v="3"/>
    <s v="CC200"/>
    <s v="AutoPost 523"/>
    <s v="EUR"/>
    <s v="2024-05"/>
    <n v="402.69"/>
    <m/>
  </r>
  <r>
    <s v="GL000524"/>
    <d v="2023-11-20T00:00:00"/>
    <n v="6000"/>
    <x v="2"/>
    <n v="154.30000000000001"/>
    <n v="0"/>
    <x v="3"/>
    <s v="CC500"/>
    <s v="AutoPost 524"/>
    <s v="GBP"/>
    <s v="2023-11"/>
    <n v="-154.30000000000001"/>
    <m/>
  </r>
  <r>
    <s v="GL000525"/>
    <d v="2024-03-15T00:00:00"/>
    <n v="4000"/>
    <x v="0"/>
    <n v="0"/>
    <n v="3155.19"/>
    <x v="4"/>
    <s v="CC500"/>
    <s v="AutoPost 525"/>
    <s v="EUR"/>
    <s v="2024-03"/>
    <n v="3155.19"/>
    <m/>
  </r>
  <r>
    <s v="GL000526"/>
    <d v="2023-01-16T00:00:00"/>
    <n v="6000"/>
    <x v="2"/>
    <n v="1455.97"/>
    <n v="0"/>
    <x v="3"/>
    <s v="CC400"/>
    <s v="AutoPost 526"/>
    <s v="USD"/>
    <s v="2023-01"/>
    <n v="-1455.97"/>
    <m/>
  </r>
  <r>
    <s v="GL000527"/>
    <d v="2023-12-27T00:00:00"/>
    <n v="5000"/>
    <x v="1"/>
    <n v="133.86000000000001"/>
    <n v="0"/>
    <x v="5"/>
    <s v="CC200"/>
    <s v="AutoPost 527"/>
    <s v="EUR"/>
    <s v="2023-12"/>
    <n v="-133.86000000000001"/>
    <m/>
  </r>
  <r>
    <s v="GL000528"/>
    <d v="2024-05-23T00:00:00"/>
    <n v="5000"/>
    <x v="1"/>
    <n v="928.81"/>
    <n v="0"/>
    <x v="5"/>
    <s v="CC300"/>
    <s v="AutoPost 528"/>
    <s v="AUD"/>
    <s v="2024-05"/>
    <n v="-928.81"/>
    <m/>
  </r>
  <r>
    <s v="GL000529"/>
    <d v="2023-04-11T00:00:00"/>
    <n v="4010"/>
    <x v="4"/>
    <n v="0"/>
    <n v="4936.62"/>
    <x v="2"/>
    <s v="CC400"/>
    <s v="AutoPost 529"/>
    <s v="GBP"/>
    <s v="2023-04"/>
    <n v="4936.62"/>
    <m/>
  </r>
  <r>
    <s v="GL000530"/>
    <d v="2024-05-23T00:00:00"/>
    <n v="6000"/>
    <x v="2"/>
    <n v="1152.7"/>
    <n v="0"/>
    <x v="0"/>
    <s v="CC300"/>
    <s v="AutoPost 530"/>
    <s v="EUR"/>
    <s v="2024-05"/>
    <n v="-1152.7"/>
    <m/>
  </r>
  <r>
    <s v="GL000531"/>
    <d v="2024-12-18T00:00:00"/>
    <n v="5010"/>
    <x v="3"/>
    <n v="1793.92"/>
    <n v="0"/>
    <x v="4"/>
    <s v="CC100"/>
    <s v="AutoPost 531"/>
    <s v="AUD"/>
    <s v="2024-12"/>
    <n v="-1793.92"/>
    <m/>
  </r>
  <r>
    <s v="GL000532"/>
    <d v="2024-06-25T00:00:00"/>
    <n v="5000"/>
    <x v="1"/>
    <n v="1022.78"/>
    <n v="0"/>
    <x v="0"/>
    <s v="CC500"/>
    <s v="AutoPost 532"/>
    <s v="USD"/>
    <s v="2024-06"/>
    <n v="-1022.78"/>
    <m/>
  </r>
  <r>
    <s v="GL000533"/>
    <d v="2025-01-05T00:00:00"/>
    <n v="4000"/>
    <x v="0"/>
    <n v="0"/>
    <n v="1831.2"/>
    <x v="3"/>
    <s v="CC100"/>
    <s v="AutoPost 533"/>
    <s v="EUR"/>
    <s v="2025-01"/>
    <n v="1831.2"/>
    <m/>
  </r>
  <r>
    <s v="GL000534"/>
    <d v="2025-05-09T00:00:00"/>
    <n v="4000"/>
    <x v="0"/>
    <n v="0"/>
    <n v="1273.25"/>
    <x v="3"/>
    <s v="CC200"/>
    <s v="AutoPost 534"/>
    <s v="EUR"/>
    <s v="2025-05"/>
    <n v="1273.25"/>
    <m/>
  </r>
  <r>
    <s v="GL000535"/>
    <d v="2023-10-15T00:00:00"/>
    <n v="4010"/>
    <x v="4"/>
    <n v="0"/>
    <n v="3620.97"/>
    <x v="4"/>
    <s v="CC100"/>
    <s v="AutoPost 535"/>
    <s v="GBP"/>
    <s v="2023-10"/>
    <n v="3620.97"/>
    <m/>
  </r>
  <r>
    <s v="GL000536"/>
    <d v="2024-06-08T00:00:00"/>
    <n v="4000"/>
    <x v="0"/>
    <n v="0"/>
    <n v="2592.4299999999998"/>
    <x v="3"/>
    <s v="CC500"/>
    <s v="AutoPost 536"/>
    <s v="EUR"/>
    <s v="2024-06"/>
    <n v="2592.4299999999998"/>
    <m/>
  </r>
  <r>
    <s v="GL000537"/>
    <d v="2025-03-14T00:00:00"/>
    <n v="5000"/>
    <x v="1"/>
    <n v="1683.82"/>
    <n v="0"/>
    <x v="3"/>
    <s v="CC400"/>
    <s v="AutoPost 537"/>
    <s v="AUD"/>
    <s v="2025-03"/>
    <n v="-1683.82"/>
    <m/>
  </r>
  <r>
    <s v="GL000538"/>
    <d v="2023-09-21T00:00:00"/>
    <n v="5010"/>
    <x v="3"/>
    <n v="1735.98"/>
    <n v="0"/>
    <x v="0"/>
    <s v="CC500"/>
    <s v="AutoPost 538"/>
    <s v="AUD"/>
    <s v="2023-09"/>
    <n v="-1735.98"/>
    <m/>
  </r>
  <r>
    <s v="GL000539"/>
    <d v="2025-05-20T00:00:00"/>
    <n v="4000"/>
    <x v="0"/>
    <n v="0"/>
    <n v="3791.55"/>
    <x v="4"/>
    <s v="CC400"/>
    <s v="AutoPost 539"/>
    <s v="EUR"/>
    <s v="2025-05"/>
    <n v="3791.55"/>
    <m/>
  </r>
  <r>
    <s v="GL000540"/>
    <d v="2025-01-30T00:00:00"/>
    <n v="4010"/>
    <x v="4"/>
    <n v="0"/>
    <n v="2119.27"/>
    <x v="0"/>
    <s v="CC500"/>
    <s v="AutoPost 540"/>
    <s v="USD"/>
    <s v="2025-01"/>
    <n v="2119.27"/>
    <m/>
  </r>
  <r>
    <s v="GL000541"/>
    <d v="2024-10-21T00:00:00"/>
    <n v="4010"/>
    <x v="4"/>
    <n v="0"/>
    <n v="3802.31"/>
    <x v="3"/>
    <s v="CC400"/>
    <s v="AutoPost 541"/>
    <s v="CAD"/>
    <s v="2024-10"/>
    <n v="3802.31"/>
    <m/>
  </r>
  <r>
    <s v="GL000542"/>
    <d v="2025-01-13T00:00:00"/>
    <n v="4010"/>
    <x v="4"/>
    <n v="0"/>
    <n v="1414.25"/>
    <x v="0"/>
    <s v="CC200"/>
    <s v="AutoPost 542"/>
    <s v="USD"/>
    <s v="2025-01"/>
    <n v="1414.25"/>
    <m/>
  </r>
  <r>
    <s v="GL000543"/>
    <d v="2024-12-04T00:00:00"/>
    <n v="4000"/>
    <x v="0"/>
    <n v="0"/>
    <n v="1404.17"/>
    <x v="2"/>
    <s v="CC500"/>
    <s v="AutoPost 543"/>
    <s v="AUD"/>
    <s v="2024-12"/>
    <n v="1404.17"/>
    <m/>
  </r>
  <r>
    <s v="GL000544"/>
    <d v="2023-05-02T00:00:00"/>
    <n v="4010"/>
    <x v="4"/>
    <n v="0"/>
    <n v="3160.15"/>
    <x v="4"/>
    <s v="CC400"/>
    <s v="AutoPost 544"/>
    <s v="CAD"/>
    <s v="2023-05"/>
    <n v="3160.15"/>
    <m/>
  </r>
  <r>
    <s v="GL000545"/>
    <d v="2023-05-31T00:00:00"/>
    <n v="6000"/>
    <x v="2"/>
    <n v="344.52"/>
    <n v="0"/>
    <x v="4"/>
    <s v="CC400"/>
    <s v="AutoPost 545"/>
    <s v="AUD"/>
    <s v="2023-05"/>
    <n v="-344.52"/>
    <m/>
  </r>
  <r>
    <s v="GL000546"/>
    <d v="2024-09-17T00:00:00"/>
    <n v="6000"/>
    <x v="2"/>
    <n v="846.89"/>
    <n v="0"/>
    <x v="3"/>
    <s v="CC200"/>
    <s v="AutoPost 546"/>
    <s v="GBP"/>
    <s v="2024-09"/>
    <n v="-846.89"/>
    <m/>
  </r>
  <r>
    <s v="GL000547"/>
    <d v="2025-05-29T00:00:00"/>
    <n v="5010"/>
    <x v="3"/>
    <n v="1316.39"/>
    <n v="0"/>
    <x v="4"/>
    <s v="CC100"/>
    <s v="AutoPost 547"/>
    <s v="CAD"/>
    <s v="2025-05"/>
    <n v="-1316.39"/>
    <m/>
  </r>
  <r>
    <s v="GL000548"/>
    <d v="2024-11-04T00:00:00"/>
    <n v="5010"/>
    <x v="3"/>
    <n v="1731.71"/>
    <n v="0"/>
    <x v="0"/>
    <s v="CC400"/>
    <s v="AutoPost 548"/>
    <s v="GBP"/>
    <s v="2024-11"/>
    <n v="-1731.71"/>
    <m/>
  </r>
  <r>
    <s v="GL000549"/>
    <d v="2024-05-21T00:00:00"/>
    <n v="5000"/>
    <x v="1"/>
    <n v="1683.19"/>
    <n v="0"/>
    <x v="4"/>
    <s v="CC400"/>
    <s v="AutoPost 549"/>
    <s v="USD"/>
    <s v="2024-05"/>
    <n v="-1683.19"/>
    <m/>
  </r>
  <r>
    <s v="GL000550"/>
    <d v="2024-09-01T00:00:00"/>
    <n v="6000"/>
    <x v="2"/>
    <n v="225.82"/>
    <n v="0"/>
    <x v="3"/>
    <s v="CC400"/>
    <s v="AutoPost 550"/>
    <s v="GBP"/>
    <s v="2024-09"/>
    <n v="-225.82"/>
    <m/>
  </r>
  <r>
    <s v="GL000551"/>
    <d v="2023-05-04T00:00:00"/>
    <n v="4000"/>
    <x v="0"/>
    <n v="0"/>
    <n v="3218.47"/>
    <x v="2"/>
    <s v="CC400"/>
    <s v="AutoPost 551"/>
    <s v="AUD"/>
    <s v="2023-05"/>
    <n v="3218.47"/>
    <m/>
  </r>
  <r>
    <s v="GL000552"/>
    <d v="2023-09-13T00:00:00"/>
    <n v="4010"/>
    <x v="4"/>
    <n v="0"/>
    <n v="489.03"/>
    <x v="2"/>
    <s v="CC500"/>
    <s v="AutoPost 552"/>
    <s v="CAD"/>
    <s v="2023-09"/>
    <n v="489.03"/>
    <m/>
  </r>
  <r>
    <s v="GL000553"/>
    <d v="2025-06-12T00:00:00"/>
    <n v="5010"/>
    <x v="3"/>
    <n v="558.76"/>
    <n v="0"/>
    <x v="2"/>
    <s v="CC200"/>
    <s v="AutoPost 553"/>
    <s v="USD"/>
    <s v="2025-06"/>
    <n v="-558.76"/>
    <m/>
  </r>
  <r>
    <s v="GL000554"/>
    <d v="2023-01-23T00:00:00"/>
    <n v="4000"/>
    <x v="0"/>
    <n v="0"/>
    <n v="3368.07"/>
    <x v="3"/>
    <s v="CC300"/>
    <s v="AutoPost 554"/>
    <s v="GBP"/>
    <s v="2023-01"/>
    <n v="3368.07"/>
    <m/>
  </r>
  <r>
    <s v="GL000555"/>
    <d v="2025-02-21T00:00:00"/>
    <n v="5000"/>
    <x v="1"/>
    <n v="1354.74"/>
    <n v="0"/>
    <x v="1"/>
    <s v="CC500"/>
    <s v="AutoPost 555"/>
    <s v="CAD"/>
    <s v="2025-02"/>
    <n v="-1354.74"/>
    <m/>
  </r>
  <r>
    <s v="GL000556"/>
    <d v="2024-10-12T00:00:00"/>
    <n v="5010"/>
    <x v="3"/>
    <n v="421.39"/>
    <n v="0"/>
    <x v="4"/>
    <s v="CC400"/>
    <s v="AutoPost 556"/>
    <s v="USD"/>
    <s v="2024-10"/>
    <n v="-421.39"/>
    <m/>
  </r>
  <r>
    <s v="GL000557"/>
    <d v="2024-02-05T00:00:00"/>
    <n v="5010"/>
    <x v="3"/>
    <n v="618.39"/>
    <n v="0"/>
    <x v="1"/>
    <s v="CC400"/>
    <s v="AutoPost 557"/>
    <s v="GBP"/>
    <s v="2024-02"/>
    <n v="-618.39"/>
    <m/>
  </r>
  <r>
    <s v="GL000558"/>
    <d v="2025-04-29T00:00:00"/>
    <n v="6000"/>
    <x v="2"/>
    <n v="1649.25"/>
    <n v="0"/>
    <x v="3"/>
    <s v="CC300"/>
    <s v="AutoPost 558"/>
    <s v="AUD"/>
    <s v="2025-04"/>
    <n v="-1649.25"/>
    <m/>
  </r>
  <r>
    <s v="GL000559"/>
    <d v="2025-02-22T00:00:00"/>
    <n v="4000"/>
    <x v="0"/>
    <n v="0"/>
    <n v="3741.45"/>
    <x v="3"/>
    <s v="CC200"/>
    <s v="AutoPost 559"/>
    <s v="GBP"/>
    <s v="2025-02"/>
    <n v="3741.45"/>
    <m/>
  </r>
  <r>
    <s v="GL000560"/>
    <d v="2023-02-25T00:00:00"/>
    <n v="4000"/>
    <x v="0"/>
    <n v="0"/>
    <n v="3563.43"/>
    <x v="1"/>
    <s v="CC100"/>
    <s v="AutoPost 560"/>
    <s v="USD"/>
    <s v="2023-02"/>
    <n v="3563.43"/>
    <m/>
  </r>
  <r>
    <s v="GL000561"/>
    <d v="2024-11-24T00:00:00"/>
    <n v="6000"/>
    <x v="2"/>
    <n v="1010.12"/>
    <n v="0"/>
    <x v="1"/>
    <s v="CC400"/>
    <s v="AutoPost 561"/>
    <s v="USD"/>
    <s v="2024-11"/>
    <n v="-1010.12"/>
    <m/>
  </r>
  <r>
    <s v="GL000562"/>
    <d v="2025-05-06T00:00:00"/>
    <n v="4000"/>
    <x v="0"/>
    <n v="0"/>
    <n v="4926.55"/>
    <x v="2"/>
    <s v="CC200"/>
    <s v="AutoPost 562"/>
    <s v="USD"/>
    <s v="2025-05"/>
    <n v="4926.55"/>
    <m/>
  </r>
  <r>
    <s v="GL000563"/>
    <d v="2024-04-14T00:00:00"/>
    <n v="4000"/>
    <x v="0"/>
    <n v="0"/>
    <n v="3762.76"/>
    <x v="5"/>
    <s v="CC100"/>
    <s v="AutoPost 563"/>
    <s v="USD"/>
    <s v="2024-04"/>
    <n v="3762.76"/>
    <m/>
  </r>
  <r>
    <s v="GL000564"/>
    <d v="2023-08-27T00:00:00"/>
    <n v="5010"/>
    <x v="3"/>
    <n v="372.65"/>
    <n v="0"/>
    <x v="1"/>
    <s v="CC100"/>
    <s v="AutoPost 564"/>
    <s v="AUD"/>
    <s v="2023-08"/>
    <n v="-372.65"/>
    <m/>
  </r>
  <r>
    <s v="GL000565"/>
    <d v="2024-10-08T00:00:00"/>
    <n v="5010"/>
    <x v="3"/>
    <n v="1040.76"/>
    <n v="0"/>
    <x v="4"/>
    <s v="CC400"/>
    <s v="AutoPost 565"/>
    <s v="GBP"/>
    <s v="2024-10"/>
    <n v="-1040.76"/>
    <m/>
  </r>
  <r>
    <s v="GL000566"/>
    <d v="2024-11-29T00:00:00"/>
    <n v="5010"/>
    <x v="3"/>
    <n v="1458.37"/>
    <n v="0"/>
    <x v="2"/>
    <s v="CC500"/>
    <s v="AutoPost 566"/>
    <s v="AUD"/>
    <s v="2024-11"/>
    <n v="-1458.37"/>
    <m/>
  </r>
  <r>
    <s v="GL000567"/>
    <d v="2024-06-13T00:00:00"/>
    <n v="4010"/>
    <x v="4"/>
    <n v="0"/>
    <n v="529.02"/>
    <x v="4"/>
    <s v="CC200"/>
    <s v="AutoPost 567"/>
    <s v="GBP"/>
    <s v="2024-06"/>
    <n v="529.02"/>
    <m/>
  </r>
  <r>
    <s v="GL000568"/>
    <d v="2024-12-02T00:00:00"/>
    <n v="4010"/>
    <x v="4"/>
    <n v="0"/>
    <n v="4167.67"/>
    <x v="4"/>
    <s v="CC300"/>
    <s v="AutoPost 568"/>
    <s v="USD"/>
    <s v="2024-12"/>
    <n v="4167.67"/>
    <m/>
  </r>
  <r>
    <s v="GL000569"/>
    <d v="2023-05-02T00:00:00"/>
    <n v="5010"/>
    <x v="3"/>
    <n v="1788.83"/>
    <n v="0"/>
    <x v="2"/>
    <s v="CC500"/>
    <s v="AutoPost 569"/>
    <s v="EUR"/>
    <s v="2023-05"/>
    <n v="-1788.83"/>
    <m/>
  </r>
  <r>
    <s v="GL000570"/>
    <d v="2024-12-05T00:00:00"/>
    <n v="5010"/>
    <x v="3"/>
    <n v="929.85"/>
    <n v="0"/>
    <x v="2"/>
    <s v="CC400"/>
    <s v="AutoPost 570"/>
    <s v="USD"/>
    <s v="2024-12"/>
    <n v="-929.85"/>
    <m/>
  </r>
  <r>
    <s v="GL000571"/>
    <d v="2024-03-04T00:00:00"/>
    <n v="4000"/>
    <x v="0"/>
    <n v="0"/>
    <n v="3706.89"/>
    <x v="2"/>
    <s v="CC400"/>
    <s v="AutoPost 571"/>
    <s v="CAD"/>
    <s v="2024-03"/>
    <n v="3706.89"/>
    <m/>
  </r>
  <r>
    <s v="GL000572"/>
    <d v="2025-03-04T00:00:00"/>
    <n v="4000"/>
    <x v="0"/>
    <n v="0"/>
    <n v="4692.96"/>
    <x v="2"/>
    <s v="CC100"/>
    <s v="AutoPost 572"/>
    <s v="CAD"/>
    <s v="2025-03"/>
    <n v="4692.96"/>
    <m/>
  </r>
  <r>
    <s v="GL000573"/>
    <d v="2024-08-20T00:00:00"/>
    <n v="6000"/>
    <x v="2"/>
    <n v="179.56"/>
    <n v="0"/>
    <x v="4"/>
    <s v="CC500"/>
    <s v="AutoPost 573"/>
    <s v="GBP"/>
    <s v="2024-08"/>
    <n v="-179.56"/>
    <m/>
  </r>
  <r>
    <s v="GL000574"/>
    <d v="2024-10-29T00:00:00"/>
    <n v="5010"/>
    <x v="3"/>
    <n v="649.71"/>
    <n v="0"/>
    <x v="0"/>
    <s v="CC400"/>
    <s v="AutoPost 574"/>
    <s v="GBP"/>
    <s v="2024-10"/>
    <n v="-649.71"/>
    <m/>
  </r>
  <r>
    <s v="GL000575"/>
    <d v="2023-12-12T00:00:00"/>
    <n v="4010"/>
    <x v="4"/>
    <n v="0"/>
    <n v="3347.45"/>
    <x v="0"/>
    <s v="CC500"/>
    <s v="AutoPost 575"/>
    <s v="USD"/>
    <s v="2023-12"/>
    <n v="3347.45"/>
    <m/>
  </r>
  <r>
    <s v="GL000576"/>
    <d v="2025-06-06T00:00:00"/>
    <n v="4010"/>
    <x v="4"/>
    <n v="0"/>
    <n v="2584"/>
    <x v="1"/>
    <s v="CC200"/>
    <s v="AutoPost 576"/>
    <s v="EUR"/>
    <s v="2025-06"/>
    <n v="2584"/>
    <m/>
  </r>
  <r>
    <s v="GL000577"/>
    <d v="2023-08-23T00:00:00"/>
    <n v="4000"/>
    <x v="0"/>
    <n v="0"/>
    <n v="4254.54"/>
    <x v="3"/>
    <s v="CC300"/>
    <s v="AutoPost 577"/>
    <s v="CAD"/>
    <s v="2023-08"/>
    <n v="4254.54"/>
    <m/>
  </r>
  <r>
    <s v="GL000578"/>
    <d v="2024-12-02T00:00:00"/>
    <n v="4000"/>
    <x v="0"/>
    <n v="0"/>
    <n v="1301.08"/>
    <x v="2"/>
    <s v="CC200"/>
    <s v="AutoPost 578"/>
    <s v="GBP"/>
    <s v="2024-12"/>
    <n v="1301.08"/>
    <m/>
  </r>
  <r>
    <s v="GL000579"/>
    <d v="2023-05-24T00:00:00"/>
    <n v="4010"/>
    <x v="4"/>
    <n v="0"/>
    <n v="1565.18"/>
    <x v="1"/>
    <s v="CC400"/>
    <s v="AutoPost 579"/>
    <s v="USD"/>
    <s v="2023-05"/>
    <n v="1565.18"/>
    <m/>
  </r>
  <r>
    <s v="GL000580"/>
    <d v="2025-06-21T00:00:00"/>
    <n v="5000"/>
    <x v="1"/>
    <n v="69.31"/>
    <n v="0"/>
    <x v="0"/>
    <s v="CC100"/>
    <s v="AutoPost 580"/>
    <s v="USD"/>
    <s v="2025-06"/>
    <n v="-69.31"/>
    <m/>
  </r>
  <r>
    <s v="GL000581"/>
    <d v="2024-10-22T00:00:00"/>
    <n v="5000"/>
    <x v="1"/>
    <n v="1752.75"/>
    <n v="0"/>
    <x v="1"/>
    <s v="CC500"/>
    <s v="AutoPost 581"/>
    <s v="CAD"/>
    <s v="2024-10"/>
    <n v="-1752.75"/>
    <m/>
  </r>
  <r>
    <s v="GL000582"/>
    <d v="2023-10-09T00:00:00"/>
    <n v="4010"/>
    <x v="4"/>
    <n v="0"/>
    <n v="759.16"/>
    <x v="5"/>
    <s v="CC400"/>
    <s v="AutoPost 582"/>
    <s v="CAD"/>
    <s v="2023-10"/>
    <n v="759.16"/>
    <m/>
  </r>
  <r>
    <s v="GL000583"/>
    <d v="2023-12-02T00:00:00"/>
    <n v="6000"/>
    <x v="2"/>
    <n v="350.75"/>
    <n v="0"/>
    <x v="4"/>
    <s v="CC400"/>
    <s v="AutoPost 583"/>
    <s v="CAD"/>
    <s v="2023-12"/>
    <n v="-350.75"/>
    <m/>
  </r>
  <r>
    <s v="GL000584"/>
    <d v="2024-02-29T00:00:00"/>
    <n v="6000"/>
    <x v="2"/>
    <n v="1991.12"/>
    <n v="0"/>
    <x v="2"/>
    <s v="CC100"/>
    <s v="AutoPost 584"/>
    <s v="AUD"/>
    <s v="2024-02"/>
    <n v="-1991.12"/>
    <m/>
  </r>
  <r>
    <s v="GL000585"/>
    <d v="2023-05-09T00:00:00"/>
    <n v="5000"/>
    <x v="1"/>
    <n v="661.12"/>
    <n v="0"/>
    <x v="1"/>
    <s v="CC100"/>
    <s v="AutoPost 585"/>
    <s v="CAD"/>
    <s v="2023-05"/>
    <n v="-661.12"/>
    <m/>
  </r>
  <r>
    <s v="GL000586"/>
    <d v="2023-10-06T00:00:00"/>
    <n v="5010"/>
    <x v="3"/>
    <n v="1109.8599999999999"/>
    <n v="0"/>
    <x v="5"/>
    <s v="CC500"/>
    <s v="AutoPost 586"/>
    <s v="EUR"/>
    <s v="2023-10"/>
    <n v="-1109.8599999999999"/>
    <m/>
  </r>
  <r>
    <s v="GL000587"/>
    <d v="2025-05-05T00:00:00"/>
    <n v="4010"/>
    <x v="4"/>
    <n v="0"/>
    <n v="4533.8"/>
    <x v="5"/>
    <s v="CC200"/>
    <s v="AutoPost 587"/>
    <s v="CAD"/>
    <s v="2025-05"/>
    <n v="4533.8"/>
    <m/>
  </r>
  <r>
    <s v="GL000588"/>
    <d v="2025-04-10T00:00:00"/>
    <n v="5010"/>
    <x v="3"/>
    <n v="329.57"/>
    <n v="0"/>
    <x v="3"/>
    <s v="CC100"/>
    <s v="AutoPost 588"/>
    <s v="CAD"/>
    <s v="2025-04"/>
    <n v="-329.57"/>
    <m/>
  </r>
  <r>
    <s v="GL000589"/>
    <d v="2023-03-07T00:00:00"/>
    <n v="4000"/>
    <x v="0"/>
    <n v="0"/>
    <n v="4725.13"/>
    <x v="4"/>
    <s v="CC500"/>
    <s v="AutoPost 589"/>
    <s v="EUR"/>
    <s v="2023-03"/>
    <n v="4725.13"/>
    <m/>
  </r>
  <r>
    <s v="GL000590"/>
    <d v="2023-07-14T00:00:00"/>
    <n v="5010"/>
    <x v="3"/>
    <n v="206.46"/>
    <n v="0"/>
    <x v="1"/>
    <s v="CC200"/>
    <s v="AutoPost 590"/>
    <s v="AUD"/>
    <s v="2023-07"/>
    <n v="-206.46"/>
    <m/>
  </r>
  <r>
    <s v="GL000591"/>
    <d v="2025-05-18T00:00:00"/>
    <n v="6000"/>
    <x v="2"/>
    <n v="402.92"/>
    <n v="0"/>
    <x v="5"/>
    <s v="CC400"/>
    <s v="AutoPost 591"/>
    <s v="GBP"/>
    <s v="2025-05"/>
    <n v="-402.92"/>
    <m/>
  </r>
  <r>
    <s v="GL000592"/>
    <d v="2025-01-13T00:00:00"/>
    <n v="4010"/>
    <x v="4"/>
    <n v="0"/>
    <n v="4295.83"/>
    <x v="2"/>
    <s v="CC500"/>
    <s v="AutoPost 592"/>
    <s v="GBP"/>
    <s v="2025-01"/>
    <n v="4295.83"/>
    <m/>
  </r>
  <r>
    <s v="GL000593"/>
    <d v="2023-12-18T00:00:00"/>
    <n v="4010"/>
    <x v="4"/>
    <n v="0"/>
    <n v="3237.32"/>
    <x v="4"/>
    <s v="CC400"/>
    <s v="AutoPost 593"/>
    <s v="GBP"/>
    <s v="2023-12"/>
    <n v="3237.32"/>
    <m/>
  </r>
  <r>
    <s v="GL000594"/>
    <d v="2023-11-26T00:00:00"/>
    <n v="6000"/>
    <x v="2"/>
    <n v="648.30999999999995"/>
    <n v="0"/>
    <x v="4"/>
    <s v="CC300"/>
    <s v="AutoPost 594"/>
    <s v="GBP"/>
    <s v="2023-11"/>
    <n v="-648.30999999999995"/>
    <m/>
  </r>
  <r>
    <s v="GL000595"/>
    <d v="2024-05-06T00:00:00"/>
    <n v="5000"/>
    <x v="1"/>
    <n v="710.64"/>
    <n v="0"/>
    <x v="0"/>
    <s v="CC500"/>
    <s v="AutoPost 595"/>
    <s v="EUR"/>
    <s v="2024-05"/>
    <n v="-710.64"/>
    <m/>
  </r>
  <r>
    <s v="GL000596"/>
    <d v="2023-10-31T00:00:00"/>
    <n v="5000"/>
    <x v="1"/>
    <n v="309.33999999999997"/>
    <n v="0"/>
    <x v="4"/>
    <s v="CC300"/>
    <s v="AutoPost 596"/>
    <s v="EUR"/>
    <s v="2023-10"/>
    <n v="-309.33999999999997"/>
    <m/>
  </r>
  <r>
    <s v="GL000597"/>
    <d v="2023-03-03T00:00:00"/>
    <n v="6000"/>
    <x v="2"/>
    <n v="1657.7"/>
    <n v="0"/>
    <x v="0"/>
    <s v="CC300"/>
    <s v="AutoPost 597"/>
    <s v="AUD"/>
    <s v="2023-03"/>
    <n v="-1657.7"/>
    <m/>
  </r>
  <r>
    <s v="GL000598"/>
    <d v="2023-12-11T00:00:00"/>
    <n v="5010"/>
    <x v="3"/>
    <n v="1748.81"/>
    <n v="0"/>
    <x v="4"/>
    <s v="CC500"/>
    <s v="AutoPost 598"/>
    <s v="EUR"/>
    <s v="2023-12"/>
    <n v="-1748.81"/>
    <m/>
  </r>
  <r>
    <s v="GL000599"/>
    <d v="2024-07-19T00:00:00"/>
    <n v="6000"/>
    <x v="2"/>
    <n v="278.26"/>
    <n v="0"/>
    <x v="0"/>
    <s v="CC400"/>
    <s v="AutoPost 599"/>
    <s v="USD"/>
    <s v="2024-07"/>
    <n v="-278.26"/>
    <m/>
  </r>
  <r>
    <s v="GL000600"/>
    <d v="2023-06-26T00:00:00"/>
    <n v="5010"/>
    <x v="3"/>
    <n v="387.61"/>
    <n v="0"/>
    <x v="5"/>
    <s v="CC400"/>
    <s v="AutoPost 600"/>
    <s v="GBP"/>
    <s v="2023-06"/>
    <n v="-387.61"/>
    <m/>
  </r>
  <r>
    <s v="GL000601"/>
    <d v="2025-03-01T00:00:00"/>
    <n v="5000"/>
    <x v="1"/>
    <n v="930.92"/>
    <n v="0"/>
    <x v="1"/>
    <s v="CC500"/>
    <s v="AutoPost 601"/>
    <s v="CAD"/>
    <s v="2025-03"/>
    <n v="-930.92"/>
    <m/>
  </r>
  <r>
    <s v="GL000602"/>
    <d v="2025-04-25T00:00:00"/>
    <n v="5000"/>
    <x v="1"/>
    <n v="1231.94"/>
    <n v="0"/>
    <x v="3"/>
    <s v="CC300"/>
    <s v="AutoPost 602"/>
    <s v="GBP"/>
    <s v="2025-04"/>
    <n v="-1231.94"/>
    <m/>
  </r>
  <r>
    <s v="GL000603"/>
    <d v="2025-02-03T00:00:00"/>
    <n v="5010"/>
    <x v="3"/>
    <n v="1911.86"/>
    <n v="0"/>
    <x v="5"/>
    <s v="CC200"/>
    <s v="AutoPost 603"/>
    <s v="CAD"/>
    <s v="2025-02"/>
    <n v="-1911.86"/>
    <m/>
  </r>
  <r>
    <s v="GL000604"/>
    <d v="2023-05-13T00:00:00"/>
    <n v="4010"/>
    <x v="4"/>
    <n v="0"/>
    <n v="1161.8599999999999"/>
    <x v="3"/>
    <s v="CC400"/>
    <s v="AutoPost 604"/>
    <s v="AUD"/>
    <s v="2023-05"/>
    <n v="1161.8599999999999"/>
    <m/>
  </r>
  <r>
    <s v="GL000605"/>
    <d v="2023-09-25T00:00:00"/>
    <n v="5010"/>
    <x v="3"/>
    <n v="622.09"/>
    <n v="0"/>
    <x v="5"/>
    <s v="CC100"/>
    <s v="AutoPost 605"/>
    <s v="GBP"/>
    <s v="2023-09"/>
    <n v="-622.09"/>
    <m/>
  </r>
  <r>
    <s v="GL000606"/>
    <d v="2023-03-21T00:00:00"/>
    <n v="6000"/>
    <x v="2"/>
    <n v="895.07"/>
    <n v="0"/>
    <x v="5"/>
    <s v="CC200"/>
    <s v="AutoPost 606"/>
    <s v="USD"/>
    <s v="2023-03"/>
    <n v="-895.07"/>
    <m/>
  </r>
  <r>
    <s v="GL000607"/>
    <d v="2024-02-12T00:00:00"/>
    <n v="6000"/>
    <x v="2"/>
    <n v="1093.48"/>
    <n v="0"/>
    <x v="4"/>
    <s v="CC300"/>
    <s v="AutoPost 607"/>
    <s v="CAD"/>
    <s v="2024-02"/>
    <n v="-1093.48"/>
    <m/>
  </r>
  <r>
    <s v="GL000608"/>
    <d v="2023-10-25T00:00:00"/>
    <n v="4000"/>
    <x v="0"/>
    <n v="0"/>
    <n v="1178.75"/>
    <x v="0"/>
    <s v="CC100"/>
    <s v="AutoPost 608"/>
    <s v="AUD"/>
    <s v="2023-10"/>
    <n v="1178.75"/>
    <m/>
  </r>
  <r>
    <s v="GL000609"/>
    <d v="2024-10-19T00:00:00"/>
    <n v="4010"/>
    <x v="4"/>
    <n v="0"/>
    <n v="1843.27"/>
    <x v="0"/>
    <s v="CC300"/>
    <s v="AutoPost 609"/>
    <s v="CAD"/>
    <s v="2024-10"/>
    <n v="1843.27"/>
    <m/>
  </r>
  <r>
    <s v="GL000610"/>
    <d v="2024-06-25T00:00:00"/>
    <n v="6000"/>
    <x v="2"/>
    <n v="1239.45"/>
    <n v="0"/>
    <x v="2"/>
    <s v="CC300"/>
    <s v="AutoPost 610"/>
    <s v="EUR"/>
    <s v="2024-06"/>
    <n v="-1239.45"/>
    <m/>
  </r>
  <r>
    <s v="GL000611"/>
    <d v="2023-01-17T00:00:00"/>
    <n v="4000"/>
    <x v="0"/>
    <n v="0"/>
    <n v="3317.75"/>
    <x v="0"/>
    <s v="CC300"/>
    <s v="AutoPost 611"/>
    <s v="EUR"/>
    <s v="2023-01"/>
    <n v="3317.75"/>
    <m/>
  </r>
  <r>
    <s v="GL000612"/>
    <d v="2025-03-20T00:00:00"/>
    <n v="4000"/>
    <x v="0"/>
    <n v="0"/>
    <n v="493.21"/>
    <x v="3"/>
    <s v="CC300"/>
    <s v="AutoPost 612"/>
    <s v="CAD"/>
    <s v="2025-03"/>
    <n v="493.21"/>
    <m/>
  </r>
  <r>
    <s v="GL000613"/>
    <d v="2023-03-15T00:00:00"/>
    <n v="6000"/>
    <x v="2"/>
    <n v="1638.5"/>
    <n v="0"/>
    <x v="2"/>
    <s v="CC500"/>
    <s v="AutoPost 613"/>
    <s v="GBP"/>
    <s v="2023-03"/>
    <n v="-1638.5"/>
    <m/>
  </r>
  <r>
    <s v="GL000614"/>
    <d v="2023-12-31T00:00:00"/>
    <n v="4000"/>
    <x v="0"/>
    <n v="0"/>
    <n v="1848.61"/>
    <x v="1"/>
    <s v="CC300"/>
    <s v="AutoPost 614"/>
    <s v="GBP"/>
    <s v="2023-12"/>
    <n v="1848.61"/>
    <m/>
  </r>
  <r>
    <s v="GL000615"/>
    <d v="2023-04-06T00:00:00"/>
    <n v="5010"/>
    <x v="3"/>
    <n v="436.93"/>
    <n v="0"/>
    <x v="1"/>
    <s v="CC200"/>
    <s v="AutoPost 615"/>
    <s v="CAD"/>
    <s v="2023-04"/>
    <n v="-436.93"/>
    <m/>
  </r>
  <r>
    <s v="GL000616"/>
    <d v="2024-07-02T00:00:00"/>
    <n v="5000"/>
    <x v="1"/>
    <n v="1498.49"/>
    <n v="0"/>
    <x v="1"/>
    <s v="CC400"/>
    <s v="AutoPost 616"/>
    <s v="USD"/>
    <s v="2024-07"/>
    <n v="-1498.49"/>
    <m/>
  </r>
  <r>
    <s v="GL000617"/>
    <d v="2025-05-04T00:00:00"/>
    <n v="6000"/>
    <x v="2"/>
    <n v="1030.46"/>
    <n v="0"/>
    <x v="2"/>
    <s v="CC500"/>
    <s v="AutoPost 617"/>
    <s v="USD"/>
    <s v="2025-05"/>
    <n v="-1030.46"/>
    <m/>
  </r>
  <r>
    <s v="GL000618"/>
    <d v="2025-06-30T00:00:00"/>
    <n v="4010"/>
    <x v="4"/>
    <n v="0"/>
    <n v="2665.08"/>
    <x v="4"/>
    <s v="CC500"/>
    <s v="AutoPost 618"/>
    <s v="CAD"/>
    <s v="2025-06"/>
    <n v="2665.08"/>
    <m/>
  </r>
  <r>
    <s v="GL000619"/>
    <d v="2024-08-05T00:00:00"/>
    <n v="5010"/>
    <x v="3"/>
    <n v="416.41"/>
    <n v="0"/>
    <x v="3"/>
    <s v="CC300"/>
    <s v="AutoPost 619"/>
    <s v="CAD"/>
    <s v="2024-08"/>
    <n v="-416.41"/>
    <m/>
  </r>
  <r>
    <s v="GL000620"/>
    <d v="2025-02-08T00:00:00"/>
    <n v="4000"/>
    <x v="0"/>
    <n v="0"/>
    <n v="2058.4"/>
    <x v="2"/>
    <s v="CC200"/>
    <s v="AutoPost 620"/>
    <s v="GBP"/>
    <s v="2025-02"/>
    <n v="2058.4"/>
    <m/>
  </r>
  <r>
    <s v="GL000621"/>
    <d v="2025-01-12T00:00:00"/>
    <n v="4000"/>
    <x v="0"/>
    <n v="0"/>
    <n v="203.81"/>
    <x v="5"/>
    <s v="CC500"/>
    <s v="AutoPost 621"/>
    <s v="AUD"/>
    <s v="2025-01"/>
    <n v="203.81"/>
    <m/>
  </r>
  <r>
    <s v="GL000622"/>
    <d v="2024-10-30T00:00:00"/>
    <n v="5010"/>
    <x v="3"/>
    <n v="1876.28"/>
    <n v="0"/>
    <x v="4"/>
    <s v="CC400"/>
    <s v="AutoPost 622"/>
    <s v="CAD"/>
    <s v="2024-10"/>
    <n v="-1876.28"/>
    <m/>
  </r>
  <r>
    <s v="GL000623"/>
    <d v="2023-10-03T00:00:00"/>
    <n v="5000"/>
    <x v="1"/>
    <n v="1047.55"/>
    <n v="0"/>
    <x v="1"/>
    <s v="CC400"/>
    <s v="AutoPost 623"/>
    <s v="AUD"/>
    <s v="2023-10"/>
    <n v="-1047.55"/>
    <m/>
  </r>
  <r>
    <s v="GL000624"/>
    <d v="2023-01-17T00:00:00"/>
    <n v="4000"/>
    <x v="0"/>
    <n v="0"/>
    <n v="3567.5"/>
    <x v="4"/>
    <s v="CC200"/>
    <s v="AutoPost 624"/>
    <s v="EUR"/>
    <s v="2023-01"/>
    <n v="3567.5"/>
    <m/>
  </r>
  <r>
    <s v="GL000625"/>
    <d v="2024-02-16T00:00:00"/>
    <n v="4000"/>
    <x v="0"/>
    <n v="0"/>
    <n v="1073.3499999999999"/>
    <x v="1"/>
    <s v="CC500"/>
    <s v="AutoPost 625"/>
    <s v="CAD"/>
    <s v="2024-02"/>
    <n v="1073.3499999999999"/>
    <m/>
  </r>
  <r>
    <s v="GL000626"/>
    <d v="2025-02-21T00:00:00"/>
    <n v="6000"/>
    <x v="2"/>
    <n v="1340.18"/>
    <n v="0"/>
    <x v="0"/>
    <s v="CC500"/>
    <s v="AutoPost 626"/>
    <s v="USD"/>
    <s v="2025-02"/>
    <n v="-1340.18"/>
    <m/>
  </r>
  <r>
    <s v="GL000627"/>
    <d v="2024-03-16T00:00:00"/>
    <n v="4010"/>
    <x v="4"/>
    <n v="0"/>
    <n v="2847.98"/>
    <x v="0"/>
    <s v="CC100"/>
    <s v="AutoPost 627"/>
    <s v="USD"/>
    <s v="2024-03"/>
    <n v="2847.98"/>
    <m/>
  </r>
  <r>
    <s v="GL000628"/>
    <d v="2025-01-24T00:00:00"/>
    <n v="5000"/>
    <x v="1"/>
    <n v="1084.3800000000001"/>
    <n v="0"/>
    <x v="5"/>
    <s v="CC500"/>
    <s v="AutoPost 628"/>
    <s v="GBP"/>
    <s v="2025-01"/>
    <n v="-1084.3800000000001"/>
    <m/>
  </r>
  <r>
    <s v="GL000629"/>
    <d v="2025-06-01T00:00:00"/>
    <n v="5000"/>
    <x v="1"/>
    <n v="1437.11"/>
    <n v="0"/>
    <x v="4"/>
    <s v="CC200"/>
    <s v="AutoPost 629"/>
    <s v="USD"/>
    <s v="2025-06"/>
    <n v="-1437.11"/>
    <m/>
  </r>
  <r>
    <s v="GL000630"/>
    <d v="2024-06-27T00:00:00"/>
    <n v="4000"/>
    <x v="0"/>
    <n v="0"/>
    <n v="4116.3900000000003"/>
    <x v="1"/>
    <s v="CC100"/>
    <s v="AutoPost 630"/>
    <s v="GBP"/>
    <s v="2024-06"/>
    <n v="4116.3900000000003"/>
    <m/>
  </r>
  <r>
    <s v="GL000631"/>
    <d v="2023-02-22T00:00:00"/>
    <n v="5010"/>
    <x v="3"/>
    <n v="1732.79"/>
    <n v="0"/>
    <x v="1"/>
    <s v="CC400"/>
    <s v="AutoPost 631"/>
    <s v="CAD"/>
    <s v="2023-02"/>
    <n v="-1732.79"/>
    <m/>
  </r>
  <r>
    <s v="GL000632"/>
    <d v="2024-01-07T00:00:00"/>
    <n v="5000"/>
    <x v="1"/>
    <n v="1107.71"/>
    <n v="0"/>
    <x v="5"/>
    <s v="CC300"/>
    <s v="AutoPost 632"/>
    <s v="GBP"/>
    <s v="2024-01"/>
    <n v="-1107.71"/>
    <m/>
  </r>
  <r>
    <s v="GL000633"/>
    <d v="2023-08-07T00:00:00"/>
    <n v="4010"/>
    <x v="4"/>
    <n v="0"/>
    <n v="303.27"/>
    <x v="1"/>
    <s v="CC200"/>
    <s v="AutoPost 633"/>
    <s v="AUD"/>
    <s v="2023-08"/>
    <n v="303.27"/>
    <m/>
  </r>
  <r>
    <s v="GL000634"/>
    <d v="2023-01-07T00:00:00"/>
    <n v="5000"/>
    <x v="1"/>
    <n v="608.84"/>
    <n v="0"/>
    <x v="5"/>
    <s v="CC100"/>
    <s v="AutoPost 634"/>
    <s v="AUD"/>
    <s v="2023-01"/>
    <n v="-608.84"/>
    <m/>
  </r>
  <r>
    <s v="GL000635"/>
    <d v="2023-06-27T00:00:00"/>
    <n v="6000"/>
    <x v="2"/>
    <n v="1438.43"/>
    <n v="0"/>
    <x v="1"/>
    <s v="CC400"/>
    <s v="AutoPost 635"/>
    <s v="CAD"/>
    <s v="2023-06"/>
    <n v="-1438.43"/>
    <m/>
  </r>
  <r>
    <s v="GL000636"/>
    <d v="2023-03-04T00:00:00"/>
    <n v="4000"/>
    <x v="0"/>
    <n v="0"/>
    <n v="1141.46"/>
    <x v="4"/>
    <s v="CC100"/>
    <s v="AutoPost 636"/>
    <s v="EUR"/>
    <s v="2023-03"/>
    <n v="1141.46"/>
    <m/>
  </r>
  <r>
    <s v="GL000637"/>
    <d v="2024-08-19T00:00:00"/>
    <n v="6000"/>
    <x v="2"/>
    <n v="1263.43"/>
    <n v="0"/>
    <x v="4"/>
    <s v="CC300"/>
    <s v="AutoPost 637"/>
    <s v="CAD"/>
    <s v="2024-08"/>
    <n v="-1263.43"/>
    <m/>
  </r>
  <r>
    <s v="GL000638"/>
    <d v="2023-07-14T00:00:00"/>
    <n v="4000"/>
    <x v="0"/>
    <n v="0"/>
    <n v="3107.95"/>
    <x v="1"/>
    <s v="CC500"/>
    <s v="AutoPost 638"/>
    <s v="GBP"/>
    <s v="2023-07"/>
    <n v="3107.95"/>
    <m/>
  </r>
  <r>
    <s v="GL000639"/>
    <d v="2024-10-24T00:00:00"/>
    <n v="5000"/>
    <x v="1"/>
    <n v="1600.99"/>
    <n v="0"/>
    <x v="4"/>
    <s v="CC100"/>
    <s v="AutoPost 639"/>
    <s v="CAD"/>
    <s v="2024-10"/>
    <n v="-1600.99"/>
    <m/>
  </r>
  <r>
    <s v="GL000640"/>
    <d v="2024-12-06T00:00:00"/>
    <n v="5000"/>
    <x v="1"/>
    <n v="563.6"/>
    <n v="0"/>
    <x v="0"/>
    <s v="CC200"/>
    <s v="AutoPost 640"/>
    <s v="USD"/>
    <s v="2024-12"/>
    <n v="-563.6"/>
    <m/>
  </r>
  <r>
    <s v="GL000641"/>
    <d v="2023-06-19T00:00:00"/>
    <n v="5000"/>
    <x v="1"/>
    <n v="961.83"/>
    <n v="0"/>
    <x v="3"/>
    <s v="CC100"/>
    <s v="AutoPost 641"/>
    <s v="GBP"/>
    <s v="2023-06"/>
    <n v="-961.83"/>
    <m/>
  </r>
  <r>
    <s v="GL000642"/>
    <d v="2025-05-02T00:00:00"/>
    <n v="6000"/>
    <x v="2"/>
    <n v="1455.41"/>
    <n v="0"/>
    <x v="4"/>
    <s v="CC400"/>
    <s v="AutoPost 642"/>
    <s v="USD"/>
    <s v="2025-05"/>
    <n v="-1455.41"/>
    <m/>
  </r>
  <r>
    <s v="GL000643"/>
    <d v="2023-01-30T00:00:00"/>
    <n v="5000"/>
    <x v="1"/>
    <n v="1057.3599999999999"/>
    <n v="0"/>
    <x v="0"/>
    <s v="CC300"/>
    <s v="AutoPost 643"/>
    <s v="USD"/>
    <s v="2023-01"/>
    <n v="-1057.3599999999999"/>
    <m/>
  </r>
  <r>
    <s v="GL000644"/>
    <d v="2024-05-20T00:00:00"/>
    <n v="4010"/>
    <x v="4"/>
    <n v="0"/>
    <n v="3358.16"/>
    <x v="1"/>
    <s v="CC100"/>
    <s v="AutoPost 644"/>
    <s v="EUR"/>
    <s v="2024-05"/>
    <n v="3358.16"/>
    <m/>
  </r>
  <r>
    <s v="GL000645"/>
    <d v="2023-05-09T00:00:00"/>
    <n v="4010"/>
    <x v="4"/>
    <n v="0"/>
    <n v="1525.47"/>
    <x v="2"/>
    <s v="CC200"/>
    <s v="AutoPost 645"/>
    <s v="GBP"/>
    <s v="2023-05"/>
    <n v="1525.47"/>
    <m/>
  </r>
  <r>
    <s v="GL000646"/>
    <d v="2023-03-08T00:00:00"/>
    <n v="5010"/>
    <x v="3"/>
    <n v="707.2"/>
    <n v="0"/>
    <x v="4"/>
    <s v="CC500"/>
    <s v="AutoPost 646"/>
    <s v="EUR"/>
    <s v="2023-03"/>
    <n v="-707.2"/>
    <m/>
  </r>
  <r>
    <s v="GL000647"/>
    <d v="2023-10-28T00:00:00"/>
    <n v="6000"/>
    <x v="2"/>
    <n v="1209.72"/>
    <n v="0"/>
    <x v="2"/>
    <s v="CC400"/>
    <s v="AutoPost 647"/>
    <s v="AUD"/>
    <s v="2023-10"/>
    <n v="-1209.72"/>
    <m/>
  </r>
  <r>
    <s v="GL000648"/>
    <d v="2024-05-29T00:00:00"/>
    <n v="5000"/>
    <x v="1"/>
    <n v="1696.57"/>
    <n v="0"/>
    <x v="0"/>
    <s v="CC400"/>
    <s v="AutoPost 648"/>
    <s v="GBP"/>
    <s v="2024-05"/>
    <n v="-1696.57"/>
    <m/>
  </r>
  <r>
    <s v="GL000649"/>
    <d v="2024-02-19T00:00:00"/>
    <n v="4000"/>
    <x v="0"/>
    <n v="0"/>
    <n v="2657.38"/>
    <x v="5"/>
    <s v="CC300"/>
    <s v="AutoPost 649"/>
    <s v="GBP"/>
    <s v="2024-02"/>
    <n v="2657.38"/>
    <m/>
  </r>
  <r>
    <s v="GL000650"/>
    <d v="2025-03-26T00:00:00"/>
    <n v="4000"/>
    <x v="0"/>
    <n v="0"/>
    <n v="4294.0600000000004"/>
    <x v="1"/>
    <s v="CC200"/>
    <s v="AutoPost 650"/>
    <s v="USD"/>
    <s v="2025-03"/>
    <n v="4294.0600000000004"/>
    <m/>
  </r>
  <r>
    <s v="GL000651"/>
    <d v="2023-11-23T00:00:00"/>
    <n v="4000"/>
    <x v="0"/>
    <n v="0"/>
    <n v="451.28"/>
    <x v="4"/>
    <s v="CC300"/>
    <s v="AutoPost 651"/>
    <s v="USD"/>
    <s v="2023-11"/>
    <n v="451.28"/>
    <m/>
  </r>
  <r>
    <s v="GL000652"/>
    <d v="2024-08-23T00:00:00"/>
    <n v="5010"/>
    <x v="3"/>
    <n v="1730.45"/>
    <n v="0"/>
    <x v="1"/>
    <s v="CC200"/>
    <s v="AutoPost 652"/>
    <s v="USD"/>
    <s v="2024-08"/>
    <n v="-1730.45"/>
    <m/>
  </r>
  <r>
    <s v="GL000653"/>
    <d v="2023-01-01T00:00:00"/>
    <n v="4000"/>
    <x v="0"/>
    <n v="0"/>
    <n v="4570.1099999999997"/>
    <x v="4"/>
    <s v="CC100"/>
    <s v="AutoPost 653"/>
    <s v="USD"/>
    <s v="2023-01"/>
    <n v="4570.1099999999997"/>
    <m/>
  </r>
  <r>
    <s v="GL000654"/>
    <d v="2024-12-12T00:00:00"/>
    <n v="5010"/>
    <x v="3"/>
    <n v="1200.67"/>
    <n v="0"/>
    <x v="5"/>
    <s v="CC500"/>
    <s v="AutoPost 654"/>
    <s v="CAD"/>
    <s v="2024-12"/>
    <n v="-1200.67"/>
    <m/>
  </r>
  <r>
    <s v="GL000655"/>
    <d v="2024-04-06T00:00:00"/>
    <n v="5000"/>
    <x v="1"/>
    <n v="1429.26"/>
    <n v="0"/>
    <x v="5"/>
    <s v="CC200"/>
    <s v="AutoPost 655"/>
    <s v="EUR"/>
    <s v="2024-04"/>
    <n v="-1429.26"/>
    <m/>
  </r>
  <r>
    <s v="GL000656"/>
    <d v="2023-08-05T00:00:00"/>
    <n v="5010"/>
    <x v="3"/>
    <n v="1489.09"/>
    <n v="0"/>
    <x v="0"/>
    <s v="CC400"/>
    <s v="AutoPost 656"/>
    <s v="EUR"/>
    <s v="2023-08"/>
    <n v="-1489.09"/>
    <m/>
  </r>
  <r>
    <s v="GL000657"/>
    <d v="2024-05-26T00:00:00"/>
    <n v="4000"/>
    <x v="0"/>
    <n v="0"/>
    <n v="1528.95"/>
    <x v="3"/>
    <s v="CC100"/>
    <s v="AutoPost 657"/>
    <s v="CAD"/>
    <s v="2024-05"/>
    <n v="1528.95"/>
    <m/>
  </r>
  <r>
    <s v="GL000658"/>
    <d v="2024-11-24T00:00:00"/>
    <n v="4010"/>
    <x v="4"/>
    <n v="0"/>
    <n v="4139.3100000000004"/>
    <x v="1"/>
    <s v="CC300"/>
    <s v="AutoPost 658"/>
    <s v="CAD"/>
    <s v="2024-11"/>
    <n v="4139.3100000000004"/>
    <m/>
  </r>
  <r>
    <s v="GL000659"/>
    <d v="2024-06-20T00:00:00"/>
    <n v="6000"/>
    <x v="2"/>
    <n v="1781.01"/>
    <n v="0"/>
    <x v="0"/>
    <s v="CC100"/>
    <s v="AutoPost 659"/>
    <s v="CAD"/>
    <s v="2024-06"/>
    <n v="-1781.01"/>
    <m/>
  </r>
  <r>
    <s v="GL000660"/>
    <d v="2023-09-19T00:00:00"/>
    <n v="5000"/>
    <x v="1"/>
    <n v="1659.6"/>
    <n v="0"/>
    <x v="1"/>
    <s v="CC200"/>
    <s v="AutoPost 660"/>
    <s v="GBP"/>
    <s v="2023-09"/>
    <n v="-1659.6"/>
    <m/>
  </r>
  <r>
    <s v="GL000661"/>
    <d v="2025-04-30T00:00:00"/>
    <n v="6000"/>
    <x v="2"/>
    <n v="1220.3"/>
    <n v="0"/>
    <x v="2"/>
    <s v="CC300"/>
    <s v="AutoPost 661"/>
    <s v="USD"/>
    <s v="2025-04"/>
    <n v="-1220.3"/>
    <m/>
  </r>
  <r>
    <s v="GL000662"/>
    <d v="2024-10-04T00:00:00"/>
    <n v="5000"/>
    <x v="1"/>
    <n v="1327.71"/>
    <n v="0"/>
    <x v="3"/>
    <s v="CC200"/>
    <s v="AutoPost 662"/>
    <s v="EUR"/>
    <s v="2024-10"/>
    <n v="-1327.71"/>
    <m/>
  </r>
  <r>
    <s v="GL000663"/>
    <d v="2024-12-05T00:00:00"/>
    <n v="5000"/>
    <x v="1"/>
    <n v="1760.57"/>
    <n v="0"/>
    <x v="3"/>
    <s v="CC300"/>
    <s v="AutoPost 663"/>
    <s v="GBP"/>
    <s v="2024-12"/>
    <n v="-1760.57"/>
    <m/>
  </r>
  <r>
    <s v="GL000664"/>
    <d v="2024-03-16T00:00:00"/>
    <n v="6000"/>
    <x v="2"/>
    <n v="832.19"/>
    <n v="0"/>
    <x v="2"/>
    <s v="CC500"/>
    <s v="AutoPost 664"/>
    <s v="AUD"/>
    <s v="2024-03"/>
    <n v="-832.19"/>
    <m/>
  </r>
  <r>
    <s v="GL000665"/>
    <d v="2023-01-25T00:00:00"/>
    <n v="5000"/>
    <x v="1"/>
    <n v="243.79"/>
    <n v="0"/>
    <x v="1"/>
    <s v="CC400"/>
    <s v="AutoPost 665"/>
    <s v="CAD"/>
    <s v="2023-01"/>
    <n v="-243.79"/>
    <m/>
  </r>
  <r>
    <s v="GL000666"/>
    <d v="2025-04-23T00:00:00"/>
    <n v="5010"/>
    <x v="3"/>
    <n v="560.62"/>
    <n v="0"/>
    <x v="0"/>
    <s v="CC300"/>
    <s v="AutoPost 666"/>
    <s v="AUD"/>
    <s v="2025-04"/>
    <n v="-560.62"/>
    <m/>
  </r>
  <r>
    <s v="GL000667"/>
    <d v="2023-10-25T00:00:00"/>
    <n v="4010"/>
    <x v="4"/>
    <n v="0"/>
    <n v="4106.57"/>
    <x v="3"/>
    <s v="CC500"/>
    <s v="AutoPost 667"/>
    <s v="GBP"/>
    <s v="2023-10"/>
    <n v="4106.57"/>
    <m/>
  </r>
  <r>
    <s v="GL000668"/>
    <d v="2025-03-08T00:00:00"/>
    <n v="5010"/>
    <x v="3"/>
    <n v="873.19"/>
    <n v="0"/>
    <x v="2"/>
    <s v="CC300"/>
    <s v="AutoPost 668"/>
    <s v="GBP"/>
    <s v="2025-03"/>
    <n v="-873.19"/>
    <m/>
  </r>
  <r>
    <s v="GL000669"/>
    <d v="2023-10-24T00:00:00"/>
    <n v="4010"/>
    <x v="4"/>
    <n v="0"/>
    <n v="541.23"/>
    <x v="3"/>
    <s v="CC400"/>
    <s v="AutoPost 669"/>
    <s v="CAD"/>
    <s v="2023-10"/>
    <n v="541.23"/>
    <m/>
  </r>
  <r>
    <s v="GL000670"/>
    <d v="2024-04-20T00:00:00"/>
    <n v="5000"/>
    <x v="1"/>
    <n v="793.98"/>
    <n v="0"/>
    <x v="2"/>
    <s v="CC200"/>
    <s v="AutoPost 670"/>
    <s v="EUR"/>
    <s v="2024-04"/>
    <n v="-793.98"/>
    <m/>
  </r>
  <r>
    <s v="GL000671"/>
    <d v="2023-06-22T00:00:00"/>
    <n v="5010"/>
    <x v="3"/>
    <n v="644.58000000000004"/>
    <n v="0"/>
    <x v="5"/>
    <s v="CC400"/>
    <s v="AutoPost 671"/>
    <s v="USD"/>
    <s v="2023-06"/>
    <n v="-644.58000000000004"/>
    <m/>
  </r>
  <r>
    <s v="GL000672"/>
    <d v="2023-02-12T00:00:00"/>
    <n v="5010"/>
    <x v="3"/>
    <n v="222.19"/>
    <n v="0"/>
    <x v="3"/>
    <s v="CC200"/>
    <s v="AutoPost 672"/>
    <s v="GBP"/>
    <s v="2023-02"/>
    <n v="-222.19"/>
    <m/>
  </r>
  <r>
    <s v="GL000673"/>
    <d v="2024-03-30T00:00:00"/>
    <n v="6000"/>
    <x v="2"/>
    <n v="296.98"/>
    <n v="0"/>
    <x v="5"/>
    <s v="CC100"/>
    <s v="AutoPost 673"/>
    <s v="AUD"/>
    <s v="2024-03"/>
    <n v="-296.98"/>
    <m/>
  </r>
  <r>
    <s v="GL000674"/>
    <d v="2024-04-26T00:00:00"/>
    <n v="5010"/>
    <x v="3"/>
    <n v="1919.89"/>
    <n v="0"/>
    <x v="0"/>
    <s v="CC200"/>
    <s v="AutoPost 674"/>
    <s v="CAD"/>
    <s v="2024-04"/>
    <n v="-1919.89"/>
    <m/>
  </r>
  <r>
    <s v="GL000675"/>
    <d v="2024-06-24T00:00:00"/>
    <n v="4010"/>
    <x v="4"/>
    <n v="0"/>
    <n v="3948.96"/>
    <x v="3"/>
    <s v="CC200"/>
    <s v="AutoPost 675"/>
    <s v="EUR"/>
    <s v="2024-06"/>
    <n v="3948.96"/>
    <m/>
  </r>
  <r>
    <s v="GL000676"/>
    <d v="2023-08-27T00:00:00"/>
    <n v="4000"/>
    <x v="0"/>
    <n v="0"/>
    <n v="1952.91"/>
    <x v="4"/>
    <s v="CC500"/>
    <s v="AutoPost 676"/>
    <s v="EUR"/>
    <s v="2023-08"/>
    <n v="1952.91"/>
    <m/>
  </r>
  <r>
    <s v="GL000677"/>
    <d v="2023-12-18T00:00:00"/>
    <n v="4000"/>
    <x v="0"/>
    <n v="0"/>
    <n v="4819.25"/>
    <x v="5"/>
    <s v="CC500"/>
    <s v="AutoPost 677"/>
    <s v="USD"/>
    <s v="2023-12"/>
    <n v="4819.25"/>
    <m/>
  </r>
  <r>
    <s v="GL000678"/>
    <d v="2023-05-15T00:00:00"/>
    <n v="6000"/>
    <x v="2"/>
    <n v="385.69"/>
    <n v="0"/>
    <x v="3"/>
    <s v="CC100"/>
    <s v="AutoPost 678"/>
    <s v="AUD"/>
    <s v="2023-05"/>
    <n v="-385.69"/>
    <m/>
  </r>
  <r>
    <s v="GL000679"/>
    <d v="2023-01-23T00:00:00"/>
    <n v="5010"/>
    <x v="3"/>
    <n v="269.3"/>
    <n v="0"/>
    <x v="4"/>
    <s v="CC100"/>
    <s v="AutoPost 679"/>
    <s v="EUR"/>
    <s v="2023-01"/>
    <n v="-269.3"/>
    <m/>
  </r>
  <r>
    <s v="GL000680"/>
    <d v="2024-07-31T00:00:00"/>
    <n v="4010"/>
    <x v="4"/>
    <n v="0"/>
    <n v="4910.29"/>
    <x v="0"/>
    <s v="CC100"/>
    <s v="AutoPost 680"/>
    <s v="GBP"/>
    <s v="2024-07"/>
    <n v="4910.29"/>
    <m/>
  </r>
  <r>
    <s v="GL000681"/>
    <d v="2024-04-15T00:00:00"/>
    <n v="4010"/>
    <x v="4"/>
    <n v="0"/>
    <n v="2866.16"/>
    <x v="4"/>
    <s v="CC200"/>
    <s v="AutoPost 681"/>
    <s v="AUD"/>
    <s v="2024-04"/>
    <n v="2866.16"/>
    <m/>
  </r>
  <r>
    <s v="GL000682"/>
    <d v="2025-06-24T00:00:00"/>
    <n v="5010"/>
    <x v="3"/>
    <n v="151.68"/>
    <n v="0"/>
    <x v="2"/>
    <s v="CC200"/>
    <s v="AutoPost 682"/>
    <s v="AUD"/>
    <s v="2025-06"/>
    <n v="-151.68"/>
    <m/>
  </r>
  <r>
    <s v="GL000683"/>
    <d v="2023-08-11T00:00:00"/>
    <n v="4010"/>
    <x v="4"/>
    <n v="0"/>
    <n v="1246.53"/>
    <x v="2"/>
    <s v="CC400"/>
    <s v="AutoPost 683"/>
    <s v="USD"/>
    <s v="2023-08"/>
    <n v="1246.53"/>
    <m/>
  </r>
  <r>
    <s v="GL000684"/>
    <d v="2024-12-20T00:00:00"/>
    <n v="6000"/>
    <x v="2"/>
    <n v="1724.65"/>
    <n v="0"/>
    <x v="4"/>
    <s v="CC500"/>
    <s v="AutoPost 684"/>
    <s v="GBP"/>
    <s v="2024-12"/>
    <n v="-1724.65"/>
    <m/>
  </r>
  <r>
    <s v="GL000685"/>
    <d v="2025-02-28T00:00:00"/>
    <n v="5010"/>
    <x v="3"/>
    <n v="1411.99"/>
    <n v="0"/>
    <x v="0"/>
    <s v="CC200"/>
    <s v="AutoPost 685"/>
    <s v="USD"/>
    <s v="2025-02"/>
    <n v="-1411.99"/>
    <m/>
  </r>
  <r>
    <s v="GL000686"/>
    <d v="2024-01-08T00:00:00"/>
    <n v="5010"/>
    <x v="3"/>
    <n v="753.12"/>
    <n v="0"/>
    <x v="4"/>
    <s v="CC400"/>
    <s v="AutoPost 686"/>
    <s v="USD"/>
    <s v="2024-01"/>
    <n v="-753.12"/>
    <m/>
  </r>
  <r>
    <s v="GL000687"/>
    <d v="2024-11-17T00:00:00"/>
    <n v="4000"/>
    <x v="0"/>
    <n v="0"/>
    <n v="3744.19"/>
    <x v="4"/>
    <s v="CC100"/>
    <s v="AutoPost 687"/>
    <s v="EUR"/>
    <s v="2024-11"/>
    <n v="3744.19"/>
    <m/>
  </r>
  <r>
    <s v="GL000688"/>
    <d v="2024-03-14T00:00:00"/>
    <n v="5000"/>
    <x v="1"/>
    <n v="906.55"/>
    <n v="0"/>
    <x v="0"/>
    <s v="CC200"/>
    <s v="AutoPost 688"/>
    <s v="CAD"/>
    <s v="2024-03"/>
    <n v="-906.55"/>
    <m/>
  </r>
  <r>
    <s v="GL000689"/>
    <d v="2023-02-25T00:00:00"/>
    <n v="5010"/>
    <x v="3"/>
    <n v="215.69"/>
    <n v="0"/>
    <x v="2"/>
    <s v="CC300"/>
    <s v="AutoPost 689"/>
    <s v="AUD"/>
    <s v="2023-02"/>
    <n v="-215.69"/>
    <m/>
  </r>
  <r>
    <s v="GL000690"/>
    <d v="2024-12-05T00:00:00"/>
    <n v="5000"/>
    <x v="1"/>
    <n v="1478.7"/>
    <n v="0"/>
    <x v="1"/>
    <s v="CC100"/>
    <s v="AutoPost 690"/>
    <s v="AUD"/>
    <s v="2024-12"/>
    <n v="-1478.7"/>
    <m/>
  </r>
  <r>
    <s v="GL000691"/>
    <d v="2025-03-17T00:00:00"/>
    <n v="4000"/>
    <x v="0"/>
    <n v="0"/>
    <n v="3502.79"/>
    <x v="5"/>
    <s v="CC500"/>
    <s v="AutoPost 691"/>
    <s v="GBP"/>
    <s v="2025-03"/>
    <n v="3502.79"/>
    <m/>
  </r>
  <r>
    <s v="GL000692"/>
    <d v="2024-03-16T00:00:00"/>
    <n v="4000"/>
    <x v="0"/>
    <n v="0"/>
    <n v="2828.86"/>
    <x v="0"/>
    <s v="CC500"/>
    <s v="AutoPost 692"/>
    <s v="USD"/>
    <s v="2024-03"/>
    <n v="2828.86"/>
    <m/>
  </r>
  <r>
    <s v="GL000693"/>
    <d v="2023-04-09T00:00:00"/>
    <n v="6000"/>
    <x v="2"/>
    <n v="130.63999999999999"/>
    <n v="0"/>
    <x v="4"/>
    <s v="CC500"/>
    <s v="AutoPost 693"/>
    <s v="EUR"/>
    <s v="2023-04"/>
    <n v="-130.63999999999999"/>
    <m/>
  </r>
  <r>
    <s v="GL000694"/>
    <d v="2024-05-11T00:00:00"/>
    <n v="6000"/>
    <x v="2"/>
    <n v="1824.18"/>
    <n v="0"/>
    <x v="2"/>
    <s v="CC300"/>
    <s v="AutoPost 694"/>
    <s v="CAD"/>
    <s v="2024-05"/>
    <n v="-1824.18"/>
    <m/>
  </r>
  <r>
    <s v="GL000695"/>
    <d v="2024-12-08T00:00:00"/>
    <n v="4010"/>
    <x v="4"/>
    <n v="0"/>
    <n v="2401.06"/>
    <x v="0"/>
    <s v="CC500"/>
    <s v="AutoPost 695"/>
    <s v="EUR"/>
    <s v="2024-12"/>
    <n v="2401.06"/>
    <m/>
  </r>
  <r>
    <s v="GL000696"/>
    <d v="2023-10-27T00:00:00"/>
    <n v="4010"/>
    <x v="4"/>
    <n v="0"/>
    <n v="3086.33"/>
    <x v="1"/>
    <s v="CC400"/>
    <s v="AutoPost 696"/>
    <s v="EUR"/>
    <s v="2023-10"/>
    <n v="3086.33"/>
    <m/>
  </r>
  <r>
    <s v="GL000697"/>
    <d v="2025-01-24T00:00:00"/>
    <n v="5000"/>
    <x v="1"/>
    <n v="1546.69"/>
    <n v="0"/>
    <x v="1"/>
    <s v="CC200"/>
    <s v="AutoPost 697"/>
    <s v="GBP"/>
    <s v="2025-01"/>
    <n v="-1546.69"/>
    <m/>
  </r>
  <r>
    <s v="GL000698"/>
    <d v="2024-03-18T00:00:00"/>
    <n v="4010"/>
    <x v="4"/>
    <n v="0"/>
    <n v="2135.0700000000002"/>
    <x v="2"/>
    <s v="CC300"/>
    <s v="AutoPost 698"/>
    <s v="USD"/>
    <s v="2024-03"/>
    <n v="2135.0700000000002"/>
    <m/>
  </r>
  <r>
    <s v="GL000699"/>
    <d v="2023-04-14T00:00:00"/>
    <n v="4000"/>
    <x v="0"/>
    <n v="0"/>
    <n v="337.27"/>
    <x v="4"/>
    <s v="CC200"/>
    <s v="AutoPost 699"/>
    <s v="EUR"/>
    <s v="2023-04"/>
    <n v="337.27"/>
    <m/>
  </r>
  <r>
    <s v="GL000700"/>
    <d v="2023-03-03T00:00:00"/>
    <n v="4010"/>
    <x v="4"/>
    <n v="0"/>
    <n v="4145.3100000000004"/>
    <x v="3"/>
    <s v="CC100"/>
    <s v="AutoPost 700"/>
    <s v="GBP"/>
    <s v="2023-03"/>
    <n v="4145.3100000000004"/>
    <m/>
  </r>
  <r>
    <s v="GL000701"/>
    <d v="2023-11-19T00:00:00"/>
    <n v="5010"/>
    <x v="3"/>
    <n v="322.43"/>
    <n v="0"/>
    <x v="4"/>
    <s v="CC200"/>
    <s v="AutoPost 701"/>
    <s v="CAD"/>
    <s v="2023-11"/>
    <n v="-322.43"/>
    <m/>
  </r>
  <r>
    <s v="GL000702"/>
    <d v="2024-07-01T00:00:00"/>
    <n v="6000"/>
    <x v="2"/>
    <n v="1350.68"/>
    <n v="0"/>
    <x v="0"/>
    <s v="CC200"/>
    <s v="AutoPost 702"/>
    <s v="USD"/>
    <s v="2024-07"/>
    <n v="-1350.68"/>
    <m/>
  </r>
  <r>
    <s v="GL000703"/>
    <d v="2023-12-04T00:00:00"/>
    <n v="6000"/>
    <x v="2"/>
    <n v="1038.71"/>
    <n v="0"/>
    <x v="2"/>
    <s v="CC300"/>
    <s v="AutoPost 703"/>
    <s v="EUR"/>
    <s v="2023-12"/>
    <n v="-1038.71"/>
    <m/>
  </r>
  <r>
    <s v="GL000704"/>
    <d v="2025-01-15T00:00:00"/>
    <n v="5000"/>
    <x v="1"/>
    <n v="1455.61"/>
    <n v="0"/>
    <x v="2"/>
    <s v="CC500"/>
    <s v="AutoPost 704"/>
    <s v="EUR"/>
    <s v="2025-01"/>
    <n v="-1455.61"/>
    <m/>
  </r>
  <r>
    <s v="GL000705"/>
    <d v="2024-01-12T00:00:00"/>
    <n v="6000"/>
    <x v="2"/>
    <n v="1723.07"/>
    <n v="0"/>
    <x v="5"/>
    <s v="CC100"/>
    <s v="AutoPost 705"/>
    <s v="GBP"/>
    <s v="2024-01"/>
    <n v="-1723.07"/>
    <m/>
  </r>
  <r>
    <s v="GL000706"/>
    <d v="2023-12-22T00:00:00"/>
    <n v="4010"/>
    <x v="4"/>
    <n v="0"/>
    <n v="965.55"/>
    <x v="0"/>
    <s v="CC300"/>
    <s v="AutoPost 706"/>
    <s v="EUR"/>
    <s v="2023-12"/>
    <n v="965.55"/>
    <m/>
  </r>
  <r>
    <s v="GL000707"/>
    <d v="2024-12-30T00:00:00"/>
    <n v="4010"/>
    <x v="4"/>
    <n v="0"/>
    <n v="1927.89"/>
    <x v="1"/>
    <s v="CC500"/>
    <s v="AutoPost 707"/>
    <s v="GBP"/>
    <s v="2024-12"/>
    <n v="1927.89"/>
    <m/>
  </r>
  <r>
    <s v="GL000708"/>
    <d v="2025-06-19T00:00:00"/>
    <n v="5010"/>
    <x v="3"/>
    <n v="1789.3"/>
    <n v="0"/>
    <x v="3"/>
    <s v="CC100"/>
    <s v="AutoPost 708"/>
    <s v="EUR"/>
    <s v="2025-06"/>
    <n v="-1789.3"/>
    <m/>
  </r>
  <r>
    <s v="GL000709"/>
    <d v="2024-03-11T00:00:00"/>
    <n v="4010"/>
    <x v="4"/>
    <n v="0"/>
    <n v="1155.8499999999999"/>
    <x v="4"/>
    <s v="CC100"/>
    <s v="AutoPost 709"/>
    <s v="CAD"/>
    <s v="2024-03"/>
    <n v="1155.8499999999999"/>
    <m/>
  </r>
  <r>
    <s v="GL000710"/>
    <d v="2023-05-22T00:00:00"/>
    <n v="4000"/>
    <x v="0"/>
    <n v="0"/>
    <n v="1701.37"/>
    <x v="3"/>
    <s v="CC400"/>
    <s v="AutoPost 710"/>
    <s v="USD"/>
    <s v="2023-05"/>
    <n v="1701.37"/>
    <m/>
  </r>
  <r>
    <s v="GL000711"/>
    <d v="2025-05-26T00:00:00"/>
    <n v="5010"/>
    <x v="3"/>
    <n v="706.44"/>
    <n v="0"/>
    <x v="1"/>
    <s v="CC400"/>
    <s v="AutoPost 711"/>
    <s v="USD"/>
    <s v="2025-05"/>
    <n v="-706.44"/>
    <m/>
  </r>
  <r>
    <s v="GL000712"/>
    <d v="2024-10-23T00:00:00"/>
    <n v="4000"/>
    <x v="0"/>
    <n v="0"/>
    <n v="734.04"/>
    <x v="0"/>
    <s v="CC100"/>
    <s v="AutoPost 712"/>
    <s v="AUD"/>
    <s v="2024-10"/>
    <n v="734.04"/>
    <m/>
  </r>
  <r>
    <s v="GL000713"/>
    <d v="2025-04-05T00:00:00"/>
    <n v="5010"/>
    <x v="3"/>
    <n v="1551.77"/>
    <n v="0"/>
    <x v="0"/>
    <s v="CC400"/>
    <s v="AutoPost 713"/>
    <s v="AUD"/>
    <s v="2025-04"/>
    <n v="-1551.77"/>
    <m/>
  </r>
  <r>
    <s v="GL000714"/>
    <d v="2024-03-17T00:00:00"/>
    <n v="6000"/>
    <x v="2"/>
    <n v="176.54"/>
    <n v="0"/>
    <x v="5"/>
    <s v="CC200"/>
    <s v="AutoPost 714"/>
    <s v="EUR"/>
    <s v="2024-03"/>
    <n v="-176.54"/>
    <m/>
  </r>
  <r>
    <s v="GL000715"/>
    <d v="2023-10-23T00:00:00"/>
    <n v="4010"/>
    <x v="4"/>
    <n v="0"/>
    <n v="1019.92"/>
    <x v="2"/>
    <s v="CC300"/>
    <s v="AutoPost 715"/>
    <s v="AUD"/>
    <s v="2023-10"/>
    <n v="1019.92"/>
    <m/>
  </r>
  <r>
    <s v="GL000716"/>
    <d v="2024-07-03T00:00:00"/>
    <n v="6000"/>
    <x v="2"/>
    <n v="1858.28"/>
    <n v="0"/>
    <x v="5"/>
    <s v="CC400"/>
    <s v="AutoPost 716"/>
    <s v="USD"/>
    <s v="2024-07"/>
    <n v="-1858.28"/>
    <m/>
  </r>
  <r>
    <s v="GL000717"/>
    <d v="2025-03-02T00:00:00"/>
    <n v="6000"/>
    <x v="2"/>
    <n v="682.74"/>
    <n v="0"/>
    <x v="0"/>
    <s v="CC200"/>
    <s v="AutoPost 717"/>
    <s v="USD"/>
    <s v="2025-03"/>
    <n v="-682.74"/>
    <m/>
  </r>
  <r>
    <s v="GL000718"/>
    <d v="2025-02-01T00:00:00"/>
    <n v="6000"/>
    <x v="2"/>
    <n v="958.28"/>
    <n v="0"/>
    <x v="3"/>
    <s v="CC500"/>
    <s v="AutoPost 718"/>
    <s v="USD"/>
    <s v="2025-02"/>
    <n v="-958.28"/>
    <m/>
  </r>
  <r>
    <s v="GL000719"/>
    <d v="2024-12-15T00:00:00"/>
    <n v="4010"/>
    <x v="4"/>
    <n v="0"/>
    <n v="3448.25"/>
    <x v="4"/>
    <s v="CC100"/>
    <s v="AutoPost 719"/>
    <s v="USD"/>
    <s v="2024-12"/>
    <n v="3448.25"/>
    <m/>
  </r>
  <r>
    <s v="GL000720"/>
    <d v="2025-02-12T00:00:00"/>
    <n v="5000"/>
    <x v="1"/>
    <n v="863.44"/>
    <n v="0"/>
    <x v="3"/>
    <s v="CC200"/>
    <s v="AutoPost 720"/>
    <s v="USD"/>
    <s v="2025-02"/>
    <n v="-863.44"/>
    <m/>
  </r>
  <r>
    <s v="GL000721"/>
    <d v="2023-03-02T00:00:00"/>
    <n v="6000"/>
    <x v="2"/>
    <n v="1764.03"/>
    <n v="0"/>
    <x v="1"/>
    <s v="CC500"/>
    <s v="AutoPost 721"/>
    <s v="AUD"/>
    <s v="2023-03"/>
    <n v="-1764.03"/>
    <m/>
  </r>
  <r>
    <s v="GL000722"/>
    <d v="2024-12-06T00:00:00"/>
    <n v="5010"/>
    <x v="3"/>
    <n v="1182.72"/>
    <n v="0"/>
    <x v="4"/>
    <s v="CC100"/>
    <s v="AutoPost 722"/>
    <s v="EUR"/>
    <s v="2024-12"/>
    <n v="-1182.72"/>
    <m/>
  </r>
  <r>
    <s v="GL000723"/>
    <d v="2025-04-09T00:00:00"/>
    <n v="6000"/>
    <x v="2"/>
    <n v="1094.9100000000001"/>
    <n v="0"/>
    <x v="1"/>
    <s v="CC400"/>
    <s v="AutoPost 723"/>
    <s v="GBP"/>
    <s v="2025-04"/>
    <n v="-1094.9100000000001"/>
    <m/>
  </r>
  <r>
    <s v="GL000724"/>
    <d v="2025-06-13T00:00:00"/>
    <n v="5010"/>
    <x v="3"/>
    <n v="889.16"/>
    <n v="0"/>
    <x v="1"/>
    <s v="CC100"/>
    <s v="AutoPost 724"/>
    <s v="GBP"/>
    <s v="2025-06"/>
    <n v="-889.16"/>
    <m/>
  </r>
  <r>
    <s v="GL000725"/>
    <d v="2024-05-30T00:00:00"/>
    <n v="5000"/>
    <x v="1"/>
    <n v="1474.83"/>
    <n v="0"/>
    <x v="1"/>
    <s v="CC200"/>
    <s v="AutoPost 725"/>
    <s v="USD"/>
    <s v="2024-05"/>
    <n v="-1474.83"/>
    <m/>
  </r>
  <r>
    <s v="GL000726"/>
    <d v="2024-02-04T00:00:00"/>
    <n v="5000"/>
    <x v="1"/>
    <n v="1846.14"/>
    <n v="0"/>
    <x v="1"/>
    <s v="CC300"/>
    <s v="AutoPost 726"/>
    <s v="CAD"/>
    <s v="2024-02"/>
    <n v="-1846.14"/>
    <m/>
  </r>
  <r>
    <s v="GL000727"/>
    <d v="2025-02-16T00:00:00"/>
    <n v="4000"/>
    <x v="0"/>
    <n v="0"/>
    <n v="4903.1499999999996"/>
    <x v="2"/>
    <s v="CC400"/>
    <s v="AutoPost 727"/>
    <s v="AUD"/>
    <s v="2025-02"/>
    <n v="4903.1499999999996"/>
    <m/>
  </r>
  <r>
    <s v="GL000728"/>
    <d v="2024-11-19T00:00:00"/>
    <n v="4000"/>
    <x v="0"/>
    <n v="0"/>
    <n v="2093.2399999999998"/>
    <x v="5"/>
    <s v="CC100"/>
    <s v="AutoPost 728"/>
    <s v="AUD"/>
    <s v="2024-11"/>
    <n v="2093.2399999999998"/>
    <m/>
  </r>
  <r>
    <s v="GL000729"/>
    <d v="2024-06-07T00:00:00"/>
    <n v="6000"/>
    <x v="2"/>
    <n v="1171.3"/>
    <n v="0"/>
    <x v="0"/>
    <s v="CC500"/>
    <s v="AutoPost 729"/>
    <s v="CAD"/>
    <s v="2024-06"/>
    <n v="-1171.3"/>
    <m/>
  </r>
  <r>
    <s v="GL000730"/>
    <d v="2024-09-05T00:00:00"/>
    <n v="5010"/>
    <x v="3"/>
    <n v="930.25"/>
    <n v="0"/>
    <x v="2"/>
    <s v="CC500"/>
    <s v="AutoPost 730"/>
    <s v="GBP"/>
    <s v="2024-09"/>
    <n v="-930.25"/>
    <m/>
  </r>
  <r>
    <s v="GL000731"/>
    <d v="2024-09-08T00:00:00"/>
    <n v="4000"/>
    <x v="0"/>
    <n v="0"/>
    <n v="4977.82"/>
    <x v="2"/>
    <s v="CC400"/>
    <s v="AutoPost 731"/>
    <s v="CAD"/>
    <s v="2024-09"/>
    <n v="4977.82"/>
    <m/>
  </r>
  <r>
    <s v="GL000732"/>
    <d v="2023-06-03T00:00:00"/>
    <n v="5010"/>
    <x v="3"/>
    <n v="1937.34"/>
    <n v="0"/>
    <x v="3"/>
    <s v="CC100"/>
    <s v="AutoPost 732"/>
    <s v="AUD"/>
    <s v="2023-06"/>
    <n v="-1937.34"/>
    <m/>
  </r>
  <r>
    <s v="GL000733"/>
    <d v="2025-05-17T00:00:00"/>
    <n v="4000"/>
    <x v="0"/>
    <n v="0"/>
    <n v="1978.42"/>
    <x v="3"/>
    <s v="CC100"/>
    <s v="AutoPost 733"/>
    <s v="EUR"/>
    <s v="2025-05"/>
    <n v="1978.42"/>
    <m/>
  </r>
  <r>
    <s v="GL000734"/>
    <d v="2024-06-02T00:00:00"/>
    <n v="6000"/>
    <x v="2"/>
    <n v="678.83"/>
    <n v="0"/>
    <x v="4"/>
    <s v="CC200"/>
    <s v="AutoPost 734"/>
    <s v="AUD"/>
    <s v="2024-06"/>
    <n v="-678.83"/>
    <m/>
  </r>
  <r>
    <s v="GL000735"/>
    <d v="2024-02-22T00:00:00"/>
    <n v="4010"/>
    <x v="4"/>
    <n v="0"/>
    <n v="463.02"/>
    <x v="5"/>
    <s v="CC500"/>
    <s v="AutoPost 735"/>
    <s v="GBP"/>
    <s v="2024-02"/>
    <n v="463.02"/>
    <m/>
  </r>
  <r>
    <s v="GL000736"/>
    <d v="2024-04-21T00:00:00"/>
    <n v="5010"/>
    <x v="3"/>
    <n v="1296.07"/>
    <n v="0"/>
    <x v="1"/>
    <s v="CC100"/>
    <s v="AutoPost 736"/>
    <s v="AUD"/>
    <s v="2024-04"/>
    <n v="-1296.07"/>
    <m/>
  </r>
  <r>
    <s v="GL000737"/>
    <d v="2023-12-11T00:00:00"/>
    <n v="4010"/>
    <x v="4"/>
    <n v="0"/>
    <n v="3270.5"/>
    <x v="0"/>
    <s v="CC300"/>
    <s v="AutoPost 737"/>
    <s v="EUR"/>
    <s v="2023-12"/>
    <n v="3270.5"/>
    <m/>
  </r>
  <r>
    <s v="GL000738"/>
    <d v="2024-03-29T00:00:00"/>
    <n v="4010"/>
    <x v="4"/>
    <n v="0"/>
    <n v="2188.77"/>
    <x v="4"/>
    <s v="CC200"/>
    <s v="AutoPost 738"/>
    <s v="CAD"/>
    <s v="2024-03"/>
    <n v="2188.77"/>
    <m/>
  </r>
  <r>
    <s v="GL000739"/>
    <d v="2024-10-04T00:00:00"/>
    <n v="5000"/>
    <x v="1"/>
    <n v="655.77"/>
    <n v="0"/>
    <x v="1"/>
    <s v="CC100"/>
    <s v="AutoPost 739"/>
    <s v="AUD"/>
    <s v="2024-10"/>
    <n v="-655.77"/>
    <m/>
  </r>
  <r>
    <s v="GL000740"/>
    <d v="2024-08-20T00:00:00"/>
    <n v="6000"/>
    <x v="2"/>
    <n v="407.27"/>
    <n v="0"/>
    <x v="4"/>
    <s v="CC200"/>
    <s v="AutoPost 740"/>
    <s v="GBP"/>
    <s v="2024-08"/>
    <n v="-407.27"/>
    <m/>
  </r>
  <r>
    <s v="GL000741"/>
    <d v="2023-12-13T00:00:00"/>
    <n v="5010"/>
    <x v="3"/>
    <n v="744.16"/>
    <n v="0"/>
    <x v="1"/>
    <s v="CC500"/>
    <s v="AutoPost 741"/>
    <s v="GBP"/>
    <s v="2023-12"/>
    <n v="-744.16"/>
    <m/>
  </r>
  <r>
    <s v="GL000742"/>
    <d v="2023-08-01T00:00:00"/>
    <n v="4010"/>
    <x v="4"/>
    <n v="0"/>
    <n v="4474.66"/>
    <x v="1"/>
    <s v="CC300"/>
    <s v="AutoPost 742"/>
    <s v="GBP"/>
    <s v="2023-08"/>
    <n v="4474.66"/>
    <m/>
  </r>
  <r>
    <s v="GL000743"/>
    <d v="2025-04-07T00:00:00"/>
    <n v="5000"/>
    <x v="1"/>
    <n v="75.27"/>
    <n v="0"/>
    <x v="5"/>
    <s v="CC400"/>
    <s v="AutoPost 743"/>
    <s v="EUR"/>
    <s v="2025-04"/>
    <n v="-75.27"/>
    <m/>
  </r>
  <r>
    <s v="GL000744"/>
    <d v="2025-01-06T00:00:00"/>
    <n v="5000"/>
    <x v="1"/>
    <n v="1164.26"/>
    <n v="0"/>
    <x v="1"/>
    <s v="CC400"/>
    <s v="AutoPost 744"/>
    <s v="EUR"/>
    <s v="2025-01"/>
    <n v="-1164.26"/>
    <m/>
  </r>
  <r>
    <s v="GL000745"/>
    <d v="2023-03-03T00:00:00"/>
    <n v="5000"/>
    <x v="1"/>
    <n v="937.56"/>
    <n v="0"/>
    <x v="0"/>
    <s v="CC100"/>
    <s v="AutoPost 745"/>
    <s v="AUD"/>
    <s v="2023-03"/>
    <n v="-937.56"/>
    <m/>
  </r>
  <r>
    <s v="GL000746"/>
    <d v="2024-10-13T00:00:00"/>
    <n v="4010"/>
    <x v="4"/>
    <n v="0"/>
    <n v="4164.95"/>
    <x v="0"/>
    <s v="CC300"/>
    <s v="AutoPost 746"/>
    <s v="GBP"/>
    <s v="2024-10"/>
    <n v="4164.95"/>
    <m/>
  </r>
  <r>
    <s v="GL000747"/>
    <d v="2023-01-23T00:00:00"/>
    <n v="4000"/>
    <x v="0"/>
    <n v="0"/>
    <n v="2820.1"/>
    <x v="4"/>
    <s v="CC200"/>
    <s v="AutoPost 747"/>
    <s v="GBP"/>
    <s v="2023-01"/>
    <n v="2820.1"/>
    <m/>
  </r>
  <r>
    <s v="GL000748"/>
    <d v="2023-04-03T00:00:00"/>
    <n v="4000"/>
    <x v="0"/>
    <n v="0"/>
    <n v="2983.93"/>
    <x v="2"/>
    <s v="CC500"/>
    <s v="AutoPost 748"/>
    <s v="AUD"/>
    <s v="2023-04"/>
    <n v="2983.93"/>
    <m/>
  </r>
  <r>
    <s v="GL000749"/>
    <d v="2024-02-28T00:00:00"/>
    <n v="5000"/>
    <x v="1"/>
    <n v="319.47000000000003"/>
    <n v="0"/>
    <x v="2"/>
    <s v="CC100"/>
    <s v="AutoPost 749"/>
    <s v="GBP"/>
    <s v="2024-02"/>
    <n v="-319.47000000000003"/>
    <m/>
  </r>
  <r>
    <s v="GL000750"/>
    <d v="2023-12-08T00:00:00"/>
    <n v="4000"/>
    <x v="0"/>
    <n v="0"/>
    <n v="1222.08"/>
    <x v="1"/>
    <s v="CC500"/>
    <s v="AutoPost 750"/>
    <s v="USD"/>
    <s v="2023-12"/>
    <n v="1222.08"/>
    <m/>
  </r>
  <r>
    <s v="GL000751"/>
    <d v="2023-08-23T00:00:00"/>
    <n v="5010"/>
    <x v="3"/>
    <n v="199.77"/>
    <n v="0"/>
    <x v="5"/>
    <s v="CC300"/>
    <s v="AutoPost 751"/>
    <s v="AUD"/>
    <s v="2023-08"/>
    <n v="-199.77"/>
    <m/>
  </r>
  <r>
    <s v="GL000752"/>
    <d v="2023-01-31T00:00:00"/>
    <n v="4000"/>
    <x v="0"/>
    <n v="0"/>
    <n v="4349.28"/>
    <x v="1"/>
    <s v="CC300"/>
    <s v="AutoPost 752"/>
    <s v="AUD"/>
    <s v="2023-01"/>
    <n v="4349.28"/>
    <m/>
  </r>
  <r>
    <s v="GL000753"/>
    <d v="2025-02-14T00:00:00"/>
    <n v="5010"/>
    <x v="3"/>
    <n v="1496.23"/>
    <n v="0"/>
    <x v="2"/>
    <s v="CC100"/>
    <s v="AutoPost 753"/>
    <s v="EUR"/>
    <s v="2025-02"/>
    <n v="-1496.23"/>
    <m/>
  </r>
  <r>
    <s v="GL000754"/>
    <d v="2025-02-22T00:00:00"/>
    <n v="4010"/>
    <x v="4"/>
    <n v="0"/>
    <n v="324.7"/>
    <x v="0"/>
    <s v="CC300"/>
    <s v="AutoPost 754"/>
    <s v="EUR"/>
    <s v="2025-02"/>
    <n v="324.7"/>
    <m/>
  </r>
  <r>
    <s v="GL000755"/>
    <d v="2023-01-21T00:00:00"/>
    <n v="5000"/>
    <x v="1"/>
    <n v="1504.62"/>
    <n v="0"/>
    <x v="0"/>
    <s v="CC200"/>
    <s v="AutoPost 755"/>
    <s v="USD"/>
    <s v="2023-01"/>
    <n v="-1504.62"/>
    <m/>
  </r>
  <r>
    <s v="GL000756"/>
    <d v="2025-03-24T00:00:00"/>
    <n v="4010"/>
    <x v="4"/>
    <n v="0"/>
    <n v="2507.58"/>
    <x v="5"/>
    <s v="CC300"/>
    <s v="AutoPost 756"/>
    <s v="AUD"/>
    <s v="2025-03"/>
    <n v="2507.58"/>
    <m/>
  </r>
  <r>
    <s v="GL000757"/>
    <d v="2023-10-03T00:00:00"/>
    <n v="5010"/>
    <x v="3"/>
    <n v="837.65"/>
    <n v="0"/>
    <x v="1"/>
    <s v="CC200"/>
    <s v="AutoPost 757"/>
    <s v="EUR"/>
    <s v="2023-10"/>
    <n v="-837.65"/>
    <m/>
  </r>
  <r>
    <s v="GL000758"/>
    <d v="2024-08-29T00:00:00"/>
    <n v="6000"/>
    <x v="2"/>
    <n v="787.73"/>
    <n v="0"/>
    <x v="0"/>
    <s v="CC300"/>
    <s v="AutoPost 758"/>
    <s v="USD"/>
    <s v="2024-08"/>
    <n v="-787.73"/>
    <m/>
  </r>
  <r>
    <s v="GL000759"/>
    <d v="2024-11-13T00:00:00"/>
    <n v="6000"/>
    <x v="2"/>
    <n v="910.72"/>
    <n v="0"/>
    <x v="3"/>
    <s v="CC500"/>
    <s v="AutoPost 759"/>
    <s v="AUD"/>
    <s v="2024-11"/>
    <n v="-910.72"/>
    <m/>
  </r>
  <r>
    <s v="GL000760"/>
    <d v="2023-01-03T00:00:00"/>
    <n v="5010"/>
    <x v="3"/>
    <n v="1362.52"/>
    <n v="0"/>
    <x v="3"/>
    <s v="CC500"/>
    <s v="AutoPost 760"/>
    <s v="USD"/>
    <s v="2023-01"/>
    <n v="-1362.52"/>
    <m/>
  </r>
  <r>
    <s v="GL000761"/>
    <d v="2025-01-04T00:00:00"/>
    <n v="5000"/>
    <x v="1"/>
    <n v="1261.48"/>
    <n v="0"/>
    <x v="3"/>
    <s v="CC300"/>
    <s v="AutoPost 761"/>
    <s v="USD"/>
    <s v="2025-01"/>
    <n v="-1261.48"/>
    <m/>
  </r>
  <r>
    <s v="GL000762"/>
    <d v="2025-06-15T00:00:00"/>
    <n v="4010"/>
    <x v="4"/>
    <n v="0"/>
    <n v="3519.33"/>
    <x v="4"/>
    <s v="CC400"/>
    <s v="AutoPost 762"/>
    <s v="GBP"/>
    <s v="2025-06"/>
    <n v="3519.33"/>
    <m/>
  </r>
  <r>
    <s v="GL000763"/>
    <d v="2025-02-18T00:00:00"/>
    <n v="5000"/>
    <x v="1"/>
    <n v="1425.68"/>
    <n v="0"/>
    <x v="2"/>
    <s v="CC300"/>
    <s v="AutoPost 763"/>
    <s v="USD"/>
    <s v="2025-02"/>
    <n v="-1425.68"/>
    <m/>
  </r>
  <r>
    <s v="GL000764"/>
    <d v="2024-07-19T00:00:00"/>
    <n v="4010"/>
    <x v="4"/>
    <n v="0"/>
    <n v="4831.59"/>
    <x v="5"/>
    <s v="CC100"/>
    <s v="AutoPost 764"/>
    <s v="CAD"/>
    <s v="2024-07"/>
    <n v="4831.59"/>
    <m/>
  </r>
  <r>
    <s v="GL000765"/>
    <d v="2024-06-01T00:00:00"/>
    <n v="4010"/>
    <x v="4"/>
    <n v="0"/>
    <n v="3282.7"/>
    <x v="4"/>
    <s v="CC500"/>
    <s v="AutoPost 765"/>
    <s v="AUD"/>
    <s v="2024-06"/>
    <n v="3282.7"/>
    <m/>
  </r>
  <r>
    <s v="GL000766"/>
    <d v="2025-05-23T00:00:00"/>
    <n v="5000"/>
    <x v="1"/>
    <n v="1789.76"/>
    <n v="0"/>
    <x v="2"/>
    <s v="CC400"/>
    <s v="AutoPost 766"/>
    <s v="AUD"/>
    <s v="2025-05"/>
    <n v="-1789.76"/>
    <m/>
  </r>
  <r>
    <s v="GL000767"/>
    <d v="2023-03-07T00:00:00"/>
    <n v="5000"/>
    <x v="1"/>
    <n v="1557.62"/>
    <n v="0"/>
    <x v="4"/>
    <s v="CC200"/>
    <s v="AutoPost 767"/>
    <s v="EUR"/>
    <s v="2023-03"/>
    <n v="-1557.62"/>
    <m/>
  </r>
  <r>
    <s v="GL000768"/>
    <d v="2025-03-04T00:00:00"/>
    <n v="4000"/>
    <x v="0"/>
    <n v="0"/>
    <n v="4262.2299999999996"/>
    <x v="5"/>
    <s v="CC300"/>
    <s v="AutoPost 768"/>
    <s v="EUR"/>
    <s v="2025-03"/>
    <n v="4262.2299999999996"/>
    <m/>
  </r>
  <r>
    <s v="GL000769"/>
    <d v="2024-06-02T00:00:00"/>
    <n v="5000"/>
    <x v="1"/>
    <n v="1754.04"/>
    <n v="0"/>
    <x v="3"/>
    <s v="CC200"/>
    <s v="AutoPost 769"/>
    <s v="EUR"/>
    <s v="2024-06"/>
    <n v="-1754.04"/>
    <m/>
  </r>
  <r>
    <s v="GL000770"/>
    <d v="2024-11-28T00:00:00"/>
    <n v="5010"/>
    <x v="3"/>
    <n v="604.27"/>
    <n v="0"/>
    <x v="5"/>
    <s v="CC200"/>
    <s v="AutoPost 770"/>
    <s v="EUR"/>
    <s v="2024-11"/>
    <n v="-604.27"/>
    <m/>
  </r>
  <r>
    <s v="GL000771"/>
    <d v="2024-10-06T00:00:00"/>
    <n v="5010"/>
    <x v="3"/>
    <n v="788.46"/>
    <n v="0"/>
    <x v="4"/>
    <s v="CC200"/>
    <s v="AutoPost 771"/>
    <s v="CAD"/>
    <s v="2024-10"/>
    <n v="-788.46"/>
    <m/>
  </r>
  <r>
    <s v="GL000772"/>
    <d v="2023-08-28T00:00:00"/>
    <n v="4000"/>
    <x v="0"/>
    <n v="0"/>
    <n v="1493.92"/>
    <x v="1"/>
    <s v="CC300"/>
    <s v="AutoPost 772"/>
    <s v="USD"/>
    <s v="2023-08"/>
    <n v="1493.92"/>
    <m/>
  </r>
  <r>
    <s v="GL000773"/>
    <d v="2024-05-11T00:00:00"/>
    <n v="5000"/>
    <x v="1"/>
    <n v="588.44000000000005"/>
    <n v="0"/>
    <x v="3"/>
    <s v="CC300"/>
    <s v="AutoPost 773"/>
    <s v="CAD"/>
    <s v="2024-05"/>
    <n v="-588.44000000000005"/>
    <m/>
  </r>
  <r>
    <s v="GL000774"/>
    <d v="2024-09-03T00:00:00"/>
    <n v="5000"/>
    <x v="1"/>
    <n v="1078.52"/>
    <n v="0"/>
    <x v="3"/>
    <s v="CC300"/>
    <s v="AutoPost 774"/>
    <s v="AUD"/>
    <s v="2024-09"/>
    <n v="-1078.52"/>
    <m/>
  </r>
  <r>
    <s v="GL000775"/>
    <d v="2024-04-18T00:00:00"/>
    <n v="4010"/>
    <x v="4"/>
    <n v="0"/>
    <n v="4324.54"/>
    <x v="2"/>
    <s v="CC500"/>
    <s v="AutoPost 775"/>
    <s v="EUR"/>
    <s v="2024-04"/>
    <n v="4324.54"/>
    <m/>
  </r>
  <r>
    <s v="GL000776"/>
    <d v="2024-06-29T00:00:00"/>
    <n v="4010"/>
    <x v="4"/>
    <n v="0"/>
    <n v="2300.21"/>
    <x v="4"/>
    <s v="CC300"/>
    <s v="AutoPost 776"/>
    <s v="GBP"/>
    <s v="2024-06"/>
    <n v="2300.21"/>
    <m/>
  </r>
  <r>
    <s v="GL000777"/>
    <d v="2023-09-01T00:00:00"/>
    <n v="6000"/>
    <x v="2"/>
    <n v="446.19"/>
    <n v="0"/>
    <x v="5"/>
    <s v="CC200"/>
    <s v="AutoPost 777"/>
    <s v="GBP"/>
    <s v="2023-09"/>
    <n v="-446.19"/>
    <m/>
  </r>
  <r>
    <s v="GL000778"/>
    <d v="2024-03-16T00:00:00"/>
    <n v="4000"/>
    <x v="0"/>
    <n v="0"/>
    <n v="1518.24"/>
    <x v="3"/>
    <s v="CC200"/>
    <s v="AutoPost 778"/>
    <s v="AUD"/>
    <s v="2024-03"/>
    <n v="1518.24"/>
    <m/>
  </r>
  <r>
    <s v="GL000779"/>
    <d v="2024-04-04T00:00:00"/>
    <n v="6000"/>
    <x v="2"/>
    <n v="1385.02"/>
    <n v="0"/>
    <x v="3"/>
    <s v="CC200"/>
    <s v="AutoPost 779"/>
    <s v="AUD"/>
    <s v="2024-04"/>
    <n v="-1385.02"/>
    <m/>
  </r>
  <r>
    <s v="GL000780"/>
    <d v="2024-06-03T00:00:00"/>
    <n v="6000"/>
    <x v="2"/>
    <n v="1887.31"/>
    <n v="0"/>
    <x v="3"/>
    <s v="CC500"/>
    <s v="AutoPost 780"/>
    <s v="GBP"/>
    <s v="2024-06"/>
    <n v="-1887.31"/>
    <m/>
  </r>
  <r>
    <s v="GL000781"/>
    <d v="2024-08-24T00:00:00"/>
    <n v="4000"/>
    <x v="0"/>
    <n v="0"/>
    <n v="4476.07"/>
    <x v="5"/>
    <s v="CC200"/>
    <s v="AutoPost 781"/>
    <s v="AUD"/>
    <s v="2024-08"/>
    <n v="4476.07"/>
    <m/>
  </r>
  <r>
    <s v="GL000782"/>
    <d v="2024-05-09T00:00:00"/>
    <n v="6000"/>
    <x v="2"/>
    <n v="170.41"/>
    <n v="0"/>
    <x v="5"/>
    <s v="CC200"/>
    <s v="AutoPost 782"/>
    <s v="USD"/>
    <s v="2024-05"/>
    <n v="-170.41"/>
    <m/>
  </r>
  <r>
    <s v="GL000783"/>
    <d v="2023-03-31T00:00:00"/>
    <n v="5010"/>
    <x v="3"/>
    <n v="1650.02"/>
    <n v="0"/>
    <x v="5"/>
    <s v="CC400"/>
    <s v="AutoPost 783"/>
    <s v="GBP"/>
    <s v="2023-03"/>
    <n v="-1650.02"/>
    <m/>
  </r>
  <r>
    <s v="GL000784"/>
    <d v="2025-06-18T00:00:00"/>
    <n v="4010"/>
    <x v="4"/>
    <n v="0"/>
    <n v="3235.44"/>
    <x v="0"/>
    <s v="CC500"/>
    <s v="AutoPost 784"/>
    <s v="AUD"/>
    <s v="2025-06"/>
    <n v="3235.44"/>
    <m/>
  </r>
  <r>
    <s v="GL000785"/>
    <d v="2024-01-21T00:00:00"/>
    <n v="5000"/>
    <x v="1"/>
    <n v="459.65"/>
    <n v="0"/>
    <x v="0"/>
    <s v="CC500"/>
    <s v="AutoPost 785"/>
    <s v="CAD"/>
    <s v="2024-01"/>
    <n v="-459.65"/>
    <m/>
  </r>
  <r>
    <s v="GL000786"/>
    <d v="2023-10-27T00:00:00"/>
    <n v="5010"/>
    <x v="3"/>
    <n v="882.11"/>
    <n v="0"/>
    <x v="5"/>
    <s v="CC200"/>
    <s v="AutoPost 786"/>
    <s v="CAD"/>
    <s v="2023-10"/>
    <n v="-882.11"/>
    <m/>
  </r>
  <r>
    <s v="GL000787"/>
    <d v="2024-11-01T00:00:00"/>
    <n v="6000"/>
    <x v="2"/>
    <n v="1023.17"/>
    <n v="0"/>
    <x v="5"/>
    <s v="CC200"/>
    <s v="AutoPost 787"/>
    <s v="GBP"/>
    <s v="2024-11"/>
    <n v="-1023.17"/>
    <m/>
  </r>
  <r>
    <s v="GL000788"/>
    <d v="2024-03-27T00:00:00"/>
    <n v="5010"/>
    <x v="3"/>
    <n v="510.05"/>
    <n v="0"/>
    <x v="3"/>
    <s v="CC500"/>
    <s v="AutoPost 788"/>
    <s v="CAD"/>
    <s v="2024-03"/>
    <n v="-510.05"/>
    <m/>
  </r>
  <r>
    <s v="GL000789"/>
    <d v="2023-03-23T00:00:00"/>
    <n v="4010"/>
    <x v="4"/>
    <n v="0"/>
    <n v="3848.25"/>
    <x v="0"/>
    <s v="CC300"/>
    <s v="AutoPost 789"/>
    <s v="AUD"/>
    <s v="2023-03"/>
    <n v="3848.25"/>
    <m/>
  </r>
  <r>
    <s v="GL000790"/>
    <d v="2024-04-07T00:00:00"/>
    <n v="5000"/>
    <x v="1"/>
    <n v="315.25"/>
    <n v="0"/>
    <x v="3"/>
    <s v="CC200"/>
    <s v="AutoPost 790"/>
    <s v="AUD"/>
    <s v="2024-04"/>
    <n v="-315.25"/>
    <m/>
  </r>
  <r>
    <s v="GL000791"/>
    <d v="2024-04-03T00:00:00"/>
    <n v="4010"/>
    <x v="4"/>
    <n v="0"/>
    <n v="4030.96"/>
    <x v="5"/>
    <s v="CC300"/>
    <s v="AutoPost 791"/>
    <s v="USD"/>
    <s v="2024-04"/>
    <n v="4030.96"/>
    <m/>
  </r>
  <r>
    <s v="GL000792"/>
    <d v="2023-02-08T00:00:00"/>
    <n v="4000"/>
    <x v="0"/>
    <n v="0"/>
    <n v="1965.39"/>
    <x v="3"/>
    <s v="CC300"/>
    <s v="AutoPost 792"/>
    <s v="CAD"/>
    <s v="2023-02"/>
    <n v="1965.39"/>
    <m/>
  </r>
  <r>
    <s v="GL000793"/>
    <d v="2024-08-12T00:00:00"/>
    <n v="4010"/>
    <x v="4"/>
    <n v="0"/>
    <n v="3170.84"/>
    <x v="4"/>
    <s v="CC100"/>
    <s v="AutoPost 793"/>
    <s v="USD"/>
    <s v="2024-08"/>
    <n v="3170.84"/>
    <m/>
  </r>
  <r>
    <s v="GL000794"/>
    <d v="2024-04-15T00:00:00"/>
    <n v="4010"/>
    <x v="4"/>
    <n v="0"/>
    <n v="3010.78"/>
    <x v="3"/>
    <s v="CC300"/>
    <s v="AutoPost 794"/>
    <s v="USD"/>
    <s v="2024-04"/>
    <n v="3010.78"/>
    <m/>
  </r>
  <r>
    <s v="GL000795"/>
    <d v="2025-03-31T00:00:00"/>
    <n v="6000"/>
    <x v="2"/>
    <n v="1953.3"/>
    <n v="0"/>
    <x v="4"/>
    <s v="CC300"/>
    <s v="AutoPost 795"/>
    <s v="CAD"/>
    <s v="2025-03"/>
    <n v="-1953.3"/>
    <m/>
  </r>
  <r>
    <s v="GL000796"/>
    <d v="2024-07-21T00:00:00"/>
    <n v="5010"/>
    <x v="3"/>
    <n v="1420.92"/>
    <n v="0"/>
    <x v="4"/>
    <s v="CC500"/>
    <s v="AutoPost 796"/>
    <s v="AUD"/>
    <s v="2024-07"/>
    <n v="-1420.92"/>
    <m/>
  </r>
  <r>
    <s v="GL000797"/>
    <d v="2024-01-03T00:00:00"/>
    <n v="6000"/>
    <x v="2"/>
    <n v="203.96"/>
    <n v="0"/>
    <x v="5"/>
    <s v="CC400"/>
    <s v="AutoPost 797"/>
    <s v="USD"/>
    <s v="2024-01"/>
    <n v="-203.96"/>
    <m/>
  </r>
  <r>
    <s v="GL000798"/>
    <d v="2023-06-05T00:00:00"/>
    <n v="4010"/>
    <x v="4"/>
    <n v="0"/>
    <n v="2860.2"/>
    <x v="3"/>
    <s v="CC300"/>
    <s v="AutoPost 798"/>
    <s v="CAD"/>
    <s v="2023-06"/>
    <n v="2860.2"/>
    <m/>
  </r>
  <r>
    <s v="GL000799"/>
    <d v="2023-08-21T00:00:00"/>
    <n v="5010"/>
    <x v="3"/>
    <n v="1363.92"/>
    <n v="0"/>
    <x v="5"/>
    <s v="CC300"/>
    <s v="AutoPost 799"/>
    <s v="CAD"/>
    <s v="2023-08"/>
    <n v="-1363.92"/>
    <m/>
  </r>
  <r>
    <s v="GL000800"/>
    <d v="2024-01-12T00:00:00"/>
    <n v="4000"/>
    <x v="0"/>
    <n v="0"/>
    <n v="4449.82"/>
    <x v="3"/>
    <s v="CC300"/>
    <s v="AutoPost 800"/>
    <s v="CAD"/>
    <s v="2024-01"/>
    <n v="4449.82"/>
    <m/>
  </r>
  <r>
    <s v="GL000801"/>
    <d v="2023-05-10T00:00:00"/>
    <n v="5010"/>
    <x v="3"/>
    <n v="256.63"/>
    <n v="0"/>
    <x v="3"/>
    <s v="CC200"/>
    <s v="AutoPost 801"/>
    <s v="AUD"/>
    <s v="2023-05"/>
    <n v="-256.63"/>
    <m/>
  </r>
  <r>
    <s v="GL000802"/>
    <d v="2024-07-31T00:00:00"/>
    <n v="4000"/>
    <x v="0"/>
    <n v="0"/>
    <n v="303.74"/>
    <x v="0"/>
    <s v="CC200"/>
    <s v="AutoPost 802"/>
    <s v="EUR"/>
    <s v="2024-07"/>
    <n v="303.74"/>
    <m/>
  </r>
  <r>
    <s v="GL000803"/>
    <d v="2024-11-04T00:00:00"/>
    <n v="5000"/>
    <x v="1"/>
    <n v="1181.69"/>
    <n v="0"/>
    <x v="0"/>
    <s v="CC100"/>
    <s v="AutoPost 803"/>
    <s v="GBP"/>
    <s v="2024-11"/>
    <n v="-1181.69"/>
    <m/>
  </r>
  <r>
    <s v="GL000804"/>
    <d v="2023-10-01T00:00:00"/>
    <n v="4010"/>
    <x v="4"/>
    <n v="0"/>
    <n v="2568.02"/>
    <x v="5"/>
    <s v="CC500"/>
    <s v="AutoPost 804"/>
    <s v="AUD"/>
    <s v="2023-10"/>
    <n v="2568.02"/>
    <m/>
  </r>
  <r>
    <s v="GL000805"/>
    <d v="2023-10-10T00:00:00"/>
    <n v="5000"/>
    <x v="1"/>
    <n v="1567.28"/>
    <n v="0"/>
    <x v="3"/>
    <s v="CC100"/>
    <s v="AutoPost 805"/>
    <s v="AUD"/>
    <s v="2023-10"/>
    <n v="-1567.28"/>
    <m/>
  </r>
  <r>
    <s v="GL000806"/>
    <d v="2025-04-25T00:00:00"/>
    <n v="4010"/>
    <x v="4"/>
    <n v="0"/>
    <n v="1614.33"/>
    <x v="0"/>
    <s v="CC200"/>
    <s v="AutoPost 806"/>
    <s v="GBP"/>
    <s v="2025-04"/>
    <n v="1614.33"/>
    <m/>
  </r>
  <r>
    <s v="GL000807"/>
    <d v="2024-07-12T00:00:00"/>
    <n v="6000"/>
    <x v="2"/>
    <n v="335.31"/>
    <n v="0"/>
    <x v="0"/>
    <s v="CC500"/>
    <s v="AutoPost 807"/>
    <s v="GBP"/>
    <s v="2024-07"/>
    <n v="-335.31"/>
    <m/>
  </r>
  <r>
    <s v="GL000808"/>
    <d v="2025-06-24T00:00:00"/>
    <n v="5010"/>
    <x v="3"/>
    <n v="1491.54"/>
    <n v="0"/>
    <x v="3"/>
    <s v="CC100"/>
    <s v="AutoPost 808"/>
    <s v="USD"/>
    <s v="2025-06"/>
    <n v="-1491.54"/>
    <m/>
  </r>
  <r>
    <s v="GL000809"/>
    <d v="2025-02-11T00:00:00"/>
    <n v="4010"/>
    <x v="4"/>
    <n v="0"/>
    <n v="2809.76"/>
    <x v="4"/>
    <s v="CC300"/>
    <s v="AutoPost 809"/>
    <s v="USD"/>
    <s v="2025-02"/>
    <n v="2809.76"/>
    <m/>
  </r>
  <r>
    <s v="GL000810"/>
    <d v="2023-10-30T00:00:00"/>
    <n v="4000"/>
    <x v="0"/>
    <n v="0"/>
    <n v="460.23"/>
    <x v="2"/>
    <s v="CC200"/>
    <s v="AutoPost 810"/>
    <s v="USD"/>
    <s v="2023-10"/>
    <n v="460.23"/>
    <m/>
  </r>
  <r>
    <s v="GL000811"/>
    <d v="2023-09-12T00:00:00"/>
    <n v="4010"/>
    <x v="4"/>
    <n v="0"/>
    <n v="2788.91"/>
    <x v="5"/>
    <s v="CC200"/>
    <s v="AutoPost 811"/>
    <s v="GBP"/>
    <s v="2023-09"/>
    <n v="2788.91"/>
    <m/>
  </r>
  <r>
    <s v="GL000812"/>
    <d v="2025-04-28T00:00:00"/>
    <n v="6000"/>
    <x v="2"/>
    <n v="695.92"/>
    <n v="0"/>
    <x v="1"/>
    <s v="CC400"/>
    <s v="AutoPost 812"/>
    <s v="GBP"/>
    <s v="2025-04"/>
    <n v="-695.92"/>
    <m/>
  </r>
  <r>
    <s v="GL000813"/>
    <d v="2025-04-17T00:00:00"/>
    <n v="5010"/>
    <x v="3"/>
    <n v="1845.75"/>
    <n v="0"/>
    <x v="0"/>
    <s v="CC200"/>
    <s v="AutoPost 813"/>
    <s v="GBP"/>
    <s v="2025-04"/>
    <n v="-1845.75"/>
    <m/>
  </r>
  <r>
    <s v="GL000814"/>
    <d v="2025-01-30T00:00:00"/>
    <n v="5000"/>
    <x v="1"/>
    <n v="892.42"/>
    <n v="0"/>
    <x v="4"/>
    <s v="CC500"/>
    <s v="AutoPost 814"/>
    <s v="CAD"/>
    <s v="2025-01"/>
    <n v="-892.42"/>
    <m/>
  </r>
  <r>
    <s v="GL000815"/>
    <d v="2023-09-01T00:00:00"/>
    <n v="5010"/>
    <x v="3"/>
    <n v="1024.68"/>
    <n v="0"/>
    <x v="1"/>
    <s v="CC500"/>
    <s v="AutoPost 815"/>
    <s v="GBP"/>
    <s v="2023-09"/>
    <n v="-1024.68"/>
    <m/>
  </r>
  <r>
    <s v="GL000816"/>
    <d v="2023-11-01T00:00:00"/>
    <n v="6000"/>
    <x v="2"/>
    <n v="927.04"/>
    <n v="0"/>
    <x v="3"/>
    <s v="CC200"/>
    <s v="AutoPost 816"/>
    <s v="CAD"/>
    <s v="2023-11"/>
    <n v="-927.04"/>
    <m/>
  </r>
  <r>
    <s v="GL000817"/>
    <d v="2024-03-25T00:00:00"/>
    <n v="4000"/>
    <x v="0"/>
    <n v="0"/>
    <n v="3540.18"/>
    <x v="3"/>
    <s v="CC500"/>
    <s v="AutoPost 817"/>
    <s v="CAD"/>
    <s v="2024-03"/>
    <n v="3540.18"/>
    <m/>
  </r>
  <r>
    <s v="GL000818"/>
    <d v="2024-12-09T00:00:00"/>
    <n v="4010"/>
    <x v="4"/>
    <n v="0"/>
    <n v="4254.72"/>
    <x v="2"/>
    <s v="CC500"/>
    <s v="AutoPost 818"/>
    <s v="GBP"/>
    <s v="2024-12"/>
    <n v="4254.72"/>
    <m/>
  </r>
  <r>
    <s v="GL000819"/>
    <d v="2023-10-12T00:00:00"/>
    <n v="5010"/>
    <x v="3"/>
    <n v="1013.65"/>
    <n v="0"/>
    <x v="0"/>
    <s v="CC200"/>
    <s v="AutoPost 819"/>
    <s v="AUD"/>
    <s v="2023-10"/>
    <n v="-1013.65"/>
    <m/>
  </r>
  <r>
    <s v="GL000820"/>
    <d v="2023-05-21T00:00:00"/>
    <n v="4010"/>
    <x v="4"/>
    <n v="0"/>
    <n v="2994.63"/>
    <x v="2"/>
    <s v="CC200"/>
    <s v="AutoPost 820"/>
    <s v="USD"/>
    <s v="2023-05"/>
    <n v="2994.63"/>
    <m/>
  </r>
  <r>
    <s v="GL000821"/>
    <d v="2023-09-18T00:00:00"/>
    <n v="4000"/>
    <x v="0"/>
    <n v="0"/>
    <n v="4094.14"/>
    <x v="4"/>
    <s v="CC500"/>
    <s v="AutoPost 821"/>
    <s v="USD"/>
    <s v="2023-09"/>
    <n v="4094.14"/>
    <m/>
  </r>
  <r>
    <s v="GL000822"/>
    <d v="2023-09-05T00:00:00"/>
    <n v="6000"/>
    <x v="2"/>
    <n v="784.89"/>
    <n v="0"/>
    <x v="1"/>
    <s v="CC300"/>
    <s v="AutoPost 822"/>
    <s v="AUD"/>
    <s v="2023-09"/>
    <n v="-784.89"/>
    <m/>
  </r>
  <r>
    <s v="GL000823"/>
    <d v="2025-02-21T00:00:00"/>
    <n v="5000"/>
    <x v="1"/>
    <n v="219.41"/>
    <n v="0"/>
    <x v="2"/>
    <s v="CC500"/>
    <s v="AutoPost 823"/>
    <s v="AUD"/>
    <s v="2025-02"/>
    <n v="-219.41"/>
    <m/>
  </r>
  <r>
    <s v="GL000824"/>
    <d v="2024-09-16T00:00:00"/>
    <n v="4000"/>
    <x v="0"/>
    <n v="0"/>
    <n v="1558.82"/>
    <x v="4"/>
    <s v="CC200"/>
    <s v="AutoPost 824"/>
    <s v="EUR"/>
    <s v="2024-09"/>
    <n v="1558.82"/>
    <m/>
  </r>
  <r>
    <s v="GL000825"/>
    <d v="2025-02-11T00:00:00"/>
    <n v="6000"/>
    <x v="2"/>
    <n v="723.9"/>
    <n v="0"/>
    <x v="2"/>
    <s v="CC400"/>
    <s v="AutoPost 825"/>
    <s v="CAD"/>
    <s v="2025-02"/>
    <n v="-723.9"/>
    <m/>
  </r>
  <r>
    <s v="GL000826"/>
    <d v="2024-11-17T00:00:00"/>
    <n v="4010"/>
    <x v="4"/>
    <n v="0"/>
    <n v="2447.66"/>
    <x v="5"/>
    <s v="CC300"/>
    <s v="AutoPost 826"/>
    <s v="AUD"/>
    <s v="2024-11"/>
    <n v="2447.66"/>
    <m/>
  </r>
  <r>
    <s v="GL000827"/>
    <d v="2023-03-31T00:00:00"/>
    <n v="4000"/>
    <x v="0"/>
    <n v="0"/>
    <n v="1067.43"/>
    <x v="5"/>
    <s v="CC500"/>
    <s v="AutoPost 827"/>
    <s v="EUR"/>
    <s v="2023-03"/>
    <n v="1067.43"/>
    <m/>
  </r>
  <r>
    <s v="GL000828"/>
    <d v="2023-05-22T00:00:00"/>
    <n v="5010"/>
    <x v="3"/>
    <n v="977.48"/>
    <n v="0"/>
    <x v="1"/>
    <s v="CC200"/>
    <s v="AutoPost 828"/>
    <s v="AUD"/>
    <s v="2023-05"/>
    <n v="-977.48"/>
    <m/>
  </r>
  <r>
    <s v="GL000829"/>
    <d v="2025-03-14T00:00:00"/>
    <n v="6000"/>
    <x v="2"/>
    <n v="1331.39"/>
    <n v="0"/>
    <x v="0"/>
    <s v="CC500"/>
    <s v="AutoPost 829"/>
    <s v="USD"/>
    <s v="2025-03"/>
    <n v="-1331.39"/>
    <m/>
  </r>
  <r>
    <s v="GL000830"/>
    <d v="2023-04-01T00:00:00"/>
    <n v="4010"/>
    <x v="4"/>
    <n v="0"/>
    <n v="4756.54"/>
    <x v="1"/>
    <s v="CC400"/>
    <s v="AutoPost 830"/>
    <s v="EUR"/>
    <s v="2023-04"/>
    <n v="4756.54"/>
    <m/>
  </r>
  <r>
    <s v="GL000831"/>
    <d v="2023-07-27T00:00:00"/>
    <n v="5000"/>
    <x v="1"/>
    <n v="543"/>
    <n v="0"/>
    <x v="2"/>
    <s v="CC300"/>
    <s v="AutoPost 831"/>
    <s v="USD"/>
    <s v="2023-07"/>
    <n v="-543"/>
    <m/>
  </r>
  <r>
    <s v="GL000832"/>
    <d v="2025-01-27T00:00:00"/>
    <n v="5010"/>
    <x v="3"/>
    <n v="635.02"/>
    <n v="0"/>
    <x v="3"/>
    <s v="CC400"/>
    <s v="AutoPost 832"/>
    <s v="CAD"/>
    <s v="2025-01"/>
    <n v="-635.02"/>
    <m/>
  </r>
  <r>
    <s v="GL000833"/>
    <d v="2024-02-20T00:00:00"/>
    <n v="6000"/>
    <x v="2"/>
    <n v="1114.53"/>
    <n v="0"/>
    <x v="3"/>
    <s v="CC300"/>
    <s v="AutoPost 833"/>
    <s v="AUD"/>
    <s v="2024-02"/>
    <n v="-1114.53"/>
    <m/>
  </r>
  <r>
    <s v="GL000834"/>
    <d v="2024-11-30T00:00:00"/>
    <n v="4000"/>
    <x v="0"/>
    <n v="0"/>
    <n v="1484.62"/>
    <x v="3"/>
    <s v="CC200"/>
    <s v="AutoPost 834"/>
    <s v="GBP"/>
    <s v="2024-11"/>
    <n v="1484.62"/>
    <m/>
  </r>
  <r>
    <s v="GL000835"/>
    <d v="2024-08-01T00:00:00"/>
    <n v="6000"/>
    <x v="2"/>
    <n v="742.51"/>
    <n v="0"/>
    <x v="4"/>
    <s v="CC400"/>
    <s v="AutoPost 835"/>
    <s v="GBP"/>
    <s v="2024-08"/>
    <n v="-742.51"/>
    <m/>
  </r>
  <r>
    <s v="GL000836"/>
    <d v="2024-06-22T00:00:00"/>
    <n v="4000"/>
    <x v="0"/>
    <n v="0"/>
    <n v="3933.89"/>
    <x v="1"/>
    <s v="CC200"/>
    <s v="AutoPost 836"/>
    <s v="CAD"/>
    <s v="2024-06"/>
    <n v="3933.89"/>
    <m/>
  </r>
  <r>
    <s v="GL000837"/>
    <d v="2024-03-19T00:00:00"/>
    <n v="4010"/>
    <x v="4"/>
    <n v="0"/>
    <n v="4092.61"/>
    <x v="5"/>
    <s v="CC400"/>
    <s v="AutoPost 837"/>
    <s v="EUR"/>
    <s v="2024-03"/>
    <n v="4092.61"/>
    <m/>
  </r>
  <r>
    <s v="GL000838"/>
    <d v="2023-09-29T00:00:00"/>
    <n v="4010"/>
    <x v="4"/>
    <n v="0"/>
    <n v="4772.83"/>
    <x v="3"/>
    <s v="CC400"/>
    <s v="AutoPost 838"/>
    <s v="USD"/>
    <s v="2023-09"/>
    <n v="4772.83"/>
    <m/>
  </r>
  <r>
    <s v="GL000839"/>
    <d v="2025-06-28T00:00:00"/>
    <n v="5010"/>
    <x v="3"/>
    <n v="1965.5"/>
    <n v="0"/>
    <x v="3"/>
    <s v="CC400"/>
    <s v="AutoPost 839"/>
    <s v="USD"/>
    <s v="2025-06"/>
    <n v="-1965.5"/>
    <m/>
  </r>
  <r>
    <s v="GL000840"/>
    <d v="2024-07-25T00:00:00"/>
    <n v="6000"/>
    <x v="2"/>
    <n v="1386.65"/>
    <n v="0"/>
    <x v="4"/>
    <s v="CC300"/>
    <s v="AutoPost 840"/>
    <s v="USD"/>
    <s v="2024-07"/>
    <n v="-1386.65"/>
    <m/>
  </r>
  <r>
    <s v="GL000841"/>
    <d v="2023-05-06T00:00:00"/>
    <n v="4010"/>
    <x v="4"/>
    <n v="0"/>
    <n v="872.06"/>
    <x v="1"/>
    <s v="CC500"/>
    <s v="AutoPost 841"/>
    <s v="GBP"/>
    <s v="2023-05"/>
    <n v="872.06"/>
    <m/>
  </r>
  <r>
    <s v="GL000842"/>
    <d v="2024-10-09T00:00:00"/>
    <n v="5010"/>
    <x v="3"/>
    <n v="1801.16"/>
    <n v="0"/>
    <x v="5"/>
    <s v="CC100"/>
    <s v="AutoPost 842"/>
    <s v="EUR"/>
    <s v="2024-10"/>
    <n v="-1801.16"/>
    <m/>
  </r>
  <r>
    <s v="GL000843"/>
    <d v="2023-06-05T00:00:00"/>
    <n v="5010"/>
    <x v="3"/>
    <n v="1990.94"/>
    <n v="0"/>
    <x v="3"/>
    <s v="CC100"/>
    <s v="AutoPost 843"/>
    <s v="AUD"/>
    <s v="2023-06"/>
    <n v="-1990.94"/>
    <m/>
  </r>
  <r>
    <s v="GL000844"/>
    <d v="2024-09-03T00:00:00"/>
    <n v="4000"/>
    <x v="0"/>
    <n v="0"/>
    <n v="1372.78"/>
    <x v="1"/>
    <s v="CC400"/>
    <s v="AutoPost 844"/>
    <s v="AUD"/>
    <s v="2024-09"/>
    <n v="1372.78"/>
    <m/>
  </r>
  <r>
    <s v="GL000845"/>
    <d v="2024-09-17T00:00:00"/>
    <n v="5000"/>
    <x v="1"/>
    <n v="1600.28"/>
    <n v="0"/>
    <x v="1"/>
    <s v="CC400"/>
    <s v="AutoPost 845"/>
    <s v="USD"/>
    <s v="2024-09"/>
    <n v="-1600.28"/>
    <m/>
  </r>
  <r>
    <s v="GL000846"/>
    <d v="2024-05-07T00:00:00"/>
    <n v="5010"/>
    <x v="3"/>
    <n v="618.05999999999995"/>
    <n v="0"/>
    <x v="4"/>
    <s v="CC500"/>
    <s v="AutoPost 846"/>
    <s v="CAD"/>
    <s v="2024-05"/>
    <n v="-618.05999999999995"/>
    <m/>
  </r>
  <r>
    <s v="GL000847"/>
    <d v="2024-05-04T00:00:00"/>
    <n v="4000"/>
    <x v="0"/>
    <n v="0"/>
    <n v="3150.6"/>
    <x v="3"/>
    <s v="CC200"/>
    <s v="AutoPost 847"/>
    <s v="USD"/>
    <s v="2024-05"/>
    <n v="3150.6"/>
    <m/>
  </r>
  <r>
    <s v="GL000848"/>
    <d v="2025-04-07T00:00:00"/>
    <n v="6000"/>
    <x v="2"/>
    <n v="1288.25"/>
    <n v="0"/>
    <x v="2"/>
    <s v="CC300"/>
    <s v="AutoPost 848"/>
    <s v="EUR"/>
    <s v="2025-04"/>
    <n v="-1288.25"/>
    <m/>
  </r>
  <r>
    <s v="GL000849"/>
    <d v="2024-07-22T00:00:00"/>
    <n v="5010"/>
    <x v="3"/>
    <n v="1629.27"/>
    <n v="0"/>
    <x v="5"/>
    <s v="CC200"/>
    <s v="AutoPost 849"/>
    <s v="CAD"/>
    <s v="2024-07"/>
    <n v="-1629.27"/>
    <m/>
  </r>
  <r>
    <s v="GL000850"/>
    <d v="2025-01-30T00:00:00"/>
    <n v="5000"/>
    <x v="1"/>
    <n v="436.4"/>
    <n v="0"/>
    <x v="0"/>
    <s v="CC100"/>
    <s v="AutoPost 850"/>
    <s v="USD"/>
    <s v="2025-01"/>
    <n v="-436.4"/>
    <m/>
  </r>
  <r>
    <s v="GL000851"/>
    <d v="2023-11-11T00:00:00"/>
    <n v="5010"/>
    <x v="3"/>
    <n v="186.27"/>
    <n v="0"/>
    <x v="1"/>
    <s v="CC400"/>
    <s v="AutoPost 851"/>
    <s v="AUD"/>
    <s v="2023-11"/>
    <n v="-186.27"/>
    <m/>
  </r>
  <r>
    <s v="GL000852"/>
    <d v="2023-10-19T00:00:00"/>
    <n v="4000"/>
    <x v="0"/>
    <n v="0"/>
    <n v="3025.08"/>
    <x v="3"/>
    <s v="CC100"/>
    <s v="AutoPost 852"/>
    <s v="AUD"/>
    <s v="2023-10"/>
    <n v="3025.08"/>
    <m/>
  </r>
  <r>
    <s v="GL000853"/>
    <d v="2023-01-17T00:00:00"/>
    <n v="5000"/>
    <x v="1"/>
    <n v="793.16"/>
    <n v="0"/>
    <x v="4"/>
    <s v="CC200"/>
    <s v="AutoPost 853"/>
    <s v="USD"/>
    <s v="2023-01"/>
    <n v="-793.16"/>
    <m/>
  </r>
  <r>
    <s v="GL000854"/>
    <d v="2023-04-17T00:00:00"/>
    <n v="5010"/>
    <x v="3"/>
    <n v="1753.87"/>
    <n v="0"/>
    <x v="5"/>
    <s v="CC400"/>
    <s v="AutoPost 854"/>
    <s v="AUD"/>
    <s v="2023-04"/>
    <n v="-1753.87"/>
    <m/>
  </r>
  <r>
    <s v="GL000855"/>
    <d v="2024-06-05T00:00:00"/>
    <n v="4000"/>
    <x v="0"/>
    <n v="0"/>
    <n v="915.77"/>
    <x v="0"/>
    <s v="CC300"/>
    <s v="AutoPost 855"/>
    <s v="AUD"/>
    <s v="2024-06"/>
    <n v="915.77"/>
    <m/>
  </r>
  <r>
    <s v="GL000856"/>
    <d v="2023-04-22T00:00:00"/>
    <n v="5000"/>
    <x v="1"/>
    <n v="1083.5899999999999"/>
    <n v="0"/>
    <x v="0"/>
    <s v="CC300"/>
    <s v="AutoPost 856"/>
    <s v="USD"/>
    <s v="2023-04"/>
    <n v="-1083.5899999999999"/>
    <m/>
  </r>
  <r>
    <s v="GL000857"/>
    <d v="2025-05-02T00:00:00"/>
    <n v="4010"/>
    <x v="4"/>
    <n v="0"/>
    <n v="889.07"/>
    <x v="0"/>
    <s v="CC200"/>
    <s v="AutoPost 857"/>
    <s v="EUR"/>
    <s v="2025-05"/>
    <n v="889.07"/>
    <m/>
  </r>
  <r>
    <s v="GL000858"/>
    <d v="2024-04-25T00:00:00"/>
    <n v="6000"/>
    <x v="2"/>
    <n v="1620.36"/>
    <n v="0"/>
    <x v="0"/>
    <s v="CC400"/>
    <s v="AutoPost 858"/>
    <s v="EUR"/>
    <s v="2024-04"/>
    <n v="-1620.36"/>
    <m/>
  </r>
  <r>
    <s v="GL000859"/>
    <d v="2025-05-30T00:00:00"/>
    <n v="4000"/>
    <x v="0"/>
    <n v="0"/>
    <n v="549.91999999999996"/>
    <x v="4"/>
    <s v="CC300"/>
    <s v="AutoPost 859"/>
    <s v="GBP"/>
    <s v="2025-05"/>
    <n v="549.91999999999996"/>
    <m/>
  </r>
  <r>
    <s v="GL000860"/>
    <d v="2025-04-22T00:00:00"/>
    <n v="4010"/>
    <x v="4"/>
    <n v="0"/>
    <n v="4103.1000000000004"/>
    <x v="2"/>
    <s v="CC400"/>
    <s v="AutoPost 860"/>
    <s v="USD"/>
    <s v="2025-04"/>
    <n v="4103.1000000000004"/>
    <m/>
  </r>
  <r>
    <s v="GL000861"/>
    <d v="2024-05-31T00:00:00"/>
    <n v="5010"/>
    <x v="3"/>
    <n v="316.45"/>
    <n v="0"/>
    <x v="4"/>
    <s v="CC200"/>
    <s v="AutoPost 861"/>
    <s v="USD"/>
    <s v="2024-05"/>
    <n v="-316.45"/>
    <m/>
  </r>
  <r>
    <s v="GL000862"/>
    <d v="2024-04-05T00:00:00"/>
    <n v="6000"/>
    <x v="2"/>
    <n v="1384.87"/>
    <n v="0"/>
    <x v="1"/>
    <s v="CC200"/>
    <s v="AutoPost 862"/>
    <s v="AUD"/>
    <s v="2024-04"/>
    <n v="-1384.87"/>
    <m/>
  </r>
  <r>
    <s v="GL000863"/>
    <d v="2024-06-03T00:00:00"/>
    <n v="6000"/>
    <x v="2"/>
    <n v="932.11"/>
    <n v="0"/>
    <x v="2"/>
    <s v="CC500"/>
    <s v="AutoPost 863"/>
    <s v="GBP"/>
    <s v="2024-06"/>
    <n v="-932.11"/>
    <m/>
  </r>
  <r>
    <s v="GL000864"/>
    <d v="2024-07-18T00:00:00"/>
    <n v="4000"/>
    <x v="0"/>
    <n v="0"/>
    <n v="2355.54"/>
    <x v="5"/>
    <s v="CC400"/>
    <s v="AutoPost 864"/>
    <s v="CAD"/>
    <s v="2024-07"/>
    <n v="2355.54"/>
    <m/>
  </r>
  <r>
    <s v="GL000865"/>
    <d v="2024-08-26T00:00:00"/>
    <n v="5000"/>
    <x v="1"/>
    <n v="1327.52"/>
    <n v="0"/>
    <x v="5"/>
    <s v="CC400"/>
    <s v="AutoPost 865"/>
    <s v="USD"/>
    <s v="2024-08"/>
    <n v="-1327.52"/>
    <m/>
  </r>
  <r>
    <s v="GL000866"/>
    <d v="2023-04-28T00:00:00"/>
    <n v="6000"/>
    <x v="2"/>
    <n v="77.790000000000006"/>
    <n v="0"/>
    <x v="3"/>
    <s v="CC200"/>
    <s v="AutoPost 866"/>
    <s v="USD"/>
    <s v="2023-04"/>
    <n v="-77.790000000000006"/>
    <m/>
  </r>
  <r>
    <s v="GL000867"/>
    <d v="2025-04-09T00:00:00"/>
    <n v="4000"/>
    <x v="0"/>
    <n v="0"/>
    <n v="2100.39"/>
    <x v="2"/>
    <s v="CC400"/>
    <s v="AutoPost 867"/>
    <s v="GBP"/>
    <s v="2025-04"/>
    <n v="2100.39"/>
    <m/>
  </r>
  <r>
    <s v="GL000868"/>
    <d v="2024-09-21T00:00:00"/>
    <n v="5010"/>
    <x v="3"/>
    <n v="882.8"/>
    <n v="0"/>
    <x v="5"/>
    <s v="CC400"/>
    <s v="AutoPost 868"/>
    <s v="AUD"/>
    <s v="2024-09"/>
    <n v="-882.8"/>
    <m/>
  </r>
  <r>
    <s v="GL000869"/>
    <d v="2023-07-30T00:00:00"/>
    <n v="4010"/>
    <x v="4"/>
    <n v="0"/>
    <n v="3194.96"/>
    <x v="4"/>
    <s v="CC500"/>
    <s v="AutoPost 869"/>
    <s v="USD"/>
    <s v="2023-07"/>
    <n v="3194.96"/>
    <m/>
  </r>
  <r>
    <s v="GL000870"/>
    <d v="2025-01-05T00:00:00"/>
    <n v="6000"/>
    <x v="2"/>
    <n v="981.76"/>
    <n v="0"/>
    <x v="4"/>
    <s v="CC200"/>
    <s v="AutoPost 870"/>
    <s v="EUR"/>
    <s v="2025-01"/>
    <n v="-981.76"/>
    <m/>
  </r>
  <r>
    <s v="GL000871"/>
    <d v="2023-06-03T00:00:00"/>
    <n v="4010"/>
    <x v="4"/>
    <n v="0"/>
    <n v="1322.78"/>
    <x v="1"/>
    <s v="CC200"/>
    <s v="AutoPost 871"/>
    <s v="USD"/>
    <s v="2023-06"/>
    <n v="1322.78"/>
    <m/>
  </r>
  <r>
    <s v="GL000872"/>
    <d v="2024-01-09T00:00:00"/>
    <n v="6000"/>
    <x v="2"/>
    <n v="508.47"/>
    <n v="0"/>
    <x v="2"/>
    <s v="CC500"/>
    <s v="AutoPost 872"/>
    <s v="USD"/>
    <s v="2024-01"/>
    <n v="-508.47"/>
    <m/>
  </r>
  <r>
    <s v="GL000873"/>
    <d v="2025-04-24T00:00:00"/>
    <n v="6000"/>
    <x v="2"/>
    <n v="1587.23"/>
    <n v="0"/>
    <x v="4"/>
    <s v="CC200"/>
    <s v="AutoPost 873"/>
    <s v="AUD"/>
    <s v="2025-04"/>
    <n v="-1587.23"/>
    <m/>
  </r>
  <r>
    <s v="GL000874"/>
    <d v="2025-01-21T00:00:00"/>
    <n v="4000"/>
    <x v="0"/>
    <n v="0"/>
    <n v="2067.5700000000002"/>
    <x v="4"/>
    <s v="CC100"/>
    <s v="AutoPost 874"/>
    <s v="GBP"/>
    <s v="2025-01"/>
    <n v="2067.5700000000002"/>
    <m/>
  </r>
  <r>
    <s v="GL000875"/>
    <d v="2023-07-31T00:00:00"/>
    <n v="4000"/>
    <x v="0"/>
    <n v="0"/>
    <n v="1379.98"/>
    <x v="3"/>
    <s v="CC400"/>
    <s v="AutoPost 875"/>
    <s v="CAD"/>
    <s v="2023-07"/>
    <n v="1379.98"/>
    <m/>
  </r>
  <r>
    <s v="GL000876"/>
    <d v="2024-11-30T00:00:00"/>
    <n v="4010"/>
    <x v="4"/>
    <n v="0"/>
    <n v="4346.96"/>
    <x v="4"/>
    <s v="CC400"/>
    <s v="AutoPost 876"/>
    <s v="CAD"/>
    <s v="2024-11"/>
    <n v="4346.96"/>
    <m/>
  </r>
  <r>
    <s v="GL000877"/>
    <d v="2023-06-18T00:00:00"/>
    <n v="4000"/>
    <x v="0"/>
    <n v="0"/>
    <n v="525.34"/>
    <x v="1"/>
    <s v="CC200"/>
    <s v="AutoPost 877"/>
    <s v="GBP"/>
    <s v="2023-06"/>
    <n v="525.34"/>
    <m/>
  </r>
  <r>
    <s v="GL000878"/>
    <d v="2023-12-10T00:00:00"/>
    <n v="5010"/>
    <x v="3"/>
    <n v="275.32"/>
    <n v="0"/>
    <x v="1"/>
    <s v="CC200"/>
    <s v="AutoPost 878"/>
    <s v="USD"/>
    <s v="2023-12"/>
    <n v="-275.32"/>
    <m/>
  </r>
  <r>
    <s v="GL000879"/>
    <d v="2024-07-02T00:00:00"/>
    <n v="6000"/>
    <x v="2"/>
    <n v="1408.29"/>
    <n v="0"/>
    <x v="0"/>
    <s v="CC300"/>
    <s v="AutoPost 879"/>
    <s v="CAD"/>
    <s v="2024-07"/>
    <n v="-1408.29"/>
    <m/>
  </r>
  <r>
    <s v="GL000880"/>
    <d v="2024-07-06T00:00:00"/>
    <n v="4010"/>
    <x v="4"/>
    <n v="0"/>
    <n v="2640.87"/>
    <x v="2"/>
    <s v="CC500"/>
    <s v="AutoPost 880"/>
    <s v="USD"/>
    <s v="2024-07"/>
    <n v="2640.87"/>
    <m/>
  </r>
  <r>
    <s v="GL000881"/>
    <d v="2025-04-07T00:00:00"/>
    <n v="4000"/>
    <x v="0"/>
    <n v="0"/>
    <n v="2978.56"/>
    <x v="5"/>
    <s v="CC200"/>
    <s v="AutoPost 881"/>
    <s v="GBP"/>
    <s v="2025-04"/>
    <n v="2978.56"/>
    <m/>
  </r>
  <r>
    <s v="GL000882"/>
    <d v="2023-12-22T00:00:00"/>
    <n v="5010"/>
    <x v="3"/>
    <n v="100.56"/>
    <n v="0"/>
    <x v="1"/>
    <s v="CC500"/>
    <s v="AutoPost 882"/>
    <s v="CAD"/>
    <s v="2023-12"/>
    <n v="-100.56"/>
    <m/>
  </r>
  <r>
    <s v="GL000883"/>
    <d v="2024-02-01T00:00:00"/>
    <n v="5010"/>
    <x v="3"/>
    <n v="581.4"/>
    <n v="0"/>
    <x v="2"/>
    <s v="CC400"/>
    <s v="AutoPost 883"/>
    <s v="AUD"/>
    <s v="2024-02"/>
    <n v="-581.4"/>
    <m/>
  </r>
  <r>
    <s v="GL000884"/>
    <d v="2023-01-24T00:00:00"/>
    <n v="6000"/>
    <x v="2"/>
    <n v="176.17"/>
    <n v="0"/>
    <x v="0"/>
    <s v="CC100"/>
    <s v="AutoPost 884"/>
    <s v="USD"/>
    <s v="2023-01"/>
    <n v="-176.17"/>
    <m/>
  </r>
  <r>
    <s v="GL000885"/>
    <d v="2023-02-09T00:00:00"/>
    <n v="5010"/>
    <x v="3"/>
    <n v="482.67"/>
    <n v="0"/>
    <x v="2"/>
    <s v="CC100"/>
    <s v="AutoPost 885"/>
    <s v="USD"/>
    <s v="2023-02"/>
    <n v="-482.67"/>
    <m/>
  </r>
  <r>
    <s v="GL000886"/>
    <d v="2024-10-07T00:00:00"/>
    <n v="6000"/>
    <x v="2"/>
    <n v="1072.33"/>
    <n v="0"/>
    <x v="5"/>
    <s v="CC100"/>
    <s v="AutoPost 886"/>
    <s v="GBP"/>
    <s v="2024-10"/>
    <n v="-1072.33"/>
    <m/>
  </r>
  <r>
    <s v="GL000887"/>
    <d v="2024-06-25T00:00:00"/>
    <n v="4000"/>
    <x v="0"/>
    <n v="0"/>
    <n v="1700.49"/>
    <x v="4"/>
    <s v="CC100"/>
    <s v="AutoPost 887"/>
    <s v="EUR"/>
    <s v="2024-06"/>
    <n v="1700.49"/>
    <m/>
  </r>
  <r>
    <s v="GL000888"/>
    <d v="2024-10-09T00:00:00"/>
    <n v="5010"/>
    <x v="3"/>
    <n v="1915.1"/>
    <n v="0"/>
    <x v="2"/>
    <s v="CC100"/>
    <s v="AutoPost 888"/>
    <s v="EUR"/>
    <s v="2024-10"/>
    <n v="-1915.1"/>
    <m/>
  </r>
  <r>
    <s v="GL000889"/>
    <d v="2025-06-13T00:00:00"/>
    <n v="5000"/>
    <x v="1"/>
    <n v="1632.24"/>
    <n v="0"/>
    <x v="5"/>
    <s v="CC400"/>
    <s v="AutoPost 889"/>
    <s v="CAD"/>
    <s v="2025-06"/>
    <n v="-1632.24"/>
    <m/>
  </r>
  <r>
    <s v="GL000890"/>
    <d v="2025-03-02T00:00:00"/>
    <n v="4010"/>
    <x v="4"/>
    <n v="0"/>
    <n v="2334.77"/>
    <x v="1"/>
    <s v="CC100"/>
    <s v="AutoPost 890"/>
    <s v="GBP"/>
    <s v="2025-03"/>
    <n v="2334.77"/>
    <m/>
  </r>
  <r>
    <s v="GL000891"/>
    <d v="2023-05-22T00:00:00"/>
    <n v="4000"/>
    <x v="0"/>
    <n v="0"/>
    <n v="2655.46"/>
    <x v="0"/>
    <s v="CC500"/>
    <s v="AutoPost 891"/>
    <s v="CAD"/>
    <s v="2023-05"/>
    <n v="2655.46"/>
    <m/>
  </r>
  <r>
    <s v="GL000892"/>
    <d v="2023-12-28T00:00:00"/>
    <n v="4000"/>
    <x v="0"/>
    <n v="0"/>
    <n v="4082.31"/>
    <x v="2"/>
    <s v="CC200"/>
    <s v="AutoPost 892"/>
    <s v="USD"/>
    <s v="2023-12"/>
    <n v="4082.31"/>
    <m/>
  </r>
  <r>
    <s v="GL000893"/>
    <d v="2023-12-20T00:00:00"/>
    <n v="5010"/>
    <x v="3"/>
    <n v="1204.8499999999999"/>
    <n v="0"/>
    <x v="2"/>
    <s v="CC300"/>
    <s v="AutoPost 893"/>
    <s v="CAD"/>
    <s v="2023-12"/>
    <n v="-1204.8499999999999"/>
    <m/>
  </r>
  <r>
    <s v="GL000894"/>
    <d v="2024-12-22T00:00:00"/>
    <n v="4000"/>
    <x v="0"/>
    <n v="0"/>
    <n v="4496.12"/>
    <x v="1"/>
    <s v="CC300"/>
    <s v="AutoPost 894"/>
    <s v="EUR"/>
    <s v="2024-12"/>
    <n v="4496.12"/>
    <m/>
  </r>
  <r>
    <s v="GL000895"/>
    <d v="2025-01-22T00:00:00"/>
    <n v="4010"/>
    <x v="4"/>
    <n v="0"/>
    <n v="2776.15"/>
    <x v="2"/>
    <s v="CC100"/>
    <s v="AutoPost 895"/>
    <s v="EUR"/>
    <s v="2025-01"/>
    <n v="2776.15"/>
    <m/>
  </r>
  <r>
    <s v="GL000896"/>
    <d v="2023-04-30T00:00:00"/>
    <n v="4010"/>
    <x v="4"/>
    <n v="0"/>
    <n v="3598.62"/>
    <x v="4"/>
    <s v="CC400"/>
    <s v="AutoPost 896"/>
    <s v="EUR"/>
    <s v="2023-04"/>
    <n v="3598.62"/>
    <m/>
  </r>
  <r>
    <s v="GL000897"/>
    <d v="2024-07-17T00:00:00"/>
    <n v="5010"/>
    <x v="3"/>
    <n v="1433.77"/>
    <n v="0"/>
    <x v="0"/>
    <s v="CC500"/>
    <s v="AutoPost 897"/>
    <s v="EUR"/>
    <s v="2024-07"/>
    <n v="-1433.77"/>
    <m/>
  </r>
  <r>
    <s v="GL000898"/>
    <d v="2024-05-23T00:00:00"/>
    <n v="5010"/>
    <x v="3"/>
    <n v="244.58"/>
    <n v="0"/>
    <x v="0"/>
    <s v="CC400"/>
    <s v="AutoPost 898"/>
    <s v="AUD"/>
    <s v="2024-05"/>
    <n v="-244.58"/>
    <m/>
  </r>
  <r>
    <s v="GL000899"/>
    <d v="2023-01-08T00:00:00"/>
    <n v="6000"/>
    <x v="2"/>
    <n v="958.53"/>
    <n v="0"/>
    <x v="5"/>
    <s v="CC300"/>
    <s v="AutoPost 899"/>
    <s v="AUD"/>
    <s v="2023-01"/>
    <n v="-958.53"/>
    <m/>
  </r>
  <r>
    <s v="GL000900"/>
    <d v="2023-07-08T00:00:00"/>
    <n v="6000"/>
    <x v="2"/>
    <n v="1312.28"/>
    <n v="0"/>
    <x v="2"/>
    <s v="CC500"/>
    <s v="AutoPost 900"/>
    <s v="GBP"/>
    <s v="2023-07"/>
    <n v="-1312.28"/>
    <m/>
  </r>
  <r>
    <s v="GL000901"/>
    <d v="2023-03-12T00:00:00"/>
    <n v="4000"/>
    <x v="0"/>
    <n v="0"/>
    <n v="4549.33"/>
    <x v="5"/>
    <s v="CC500"/>
    <s v="AutoPost 901"/>
    <s v="GBP"/>
    <s v="2023-03"/>
    <n v="4549.33"/>
    <m/>
  </r>
  <r>
    <s v="GL000902"/>
    <d v="2024-12-17T00:00:00"/>
    <n v="6000"/>
    <x v="2"/>
    <n v="1965.36"/>
    <n v="0"/>
    <x v="2"/>
    <s v="CC200"/>
    <s v="AutoPost 902"/>
    <s v="CAD"/>
    <s v="2024-12"/>
    <n v="-1965.36"/>
    <m/>
  </r>
  <r>
    <s v="GL000903"/>
    <d v="2023-08-21T00:00:00"/>
    <n v="5010"/>
    <x v="3"/>
    <n v="769.49"/>
    <n v="0"/>
    <x v="2"/>
    <s v="CC100"/>
    <s v="AutoPost 903"/>
    <s v="GBP"/>
    <s v="2023-08"/>
    <n v="-769.49"/>
    <m/>
  </r>
  <r>
    <s v="GL000904"/>
    <d v="2024-11-05T00:00:00"/>
    <n v="5000"/>
    <x v="1"/>
    <n v="743.08"/>
    <n v="0"/>
    <x v="4"/>
    <s v="CC400"/>
    <s v="AutoPost 904"/>
    <s v="GBP"/>
    <s v="2024-11"/>
    <n v="-743.08"/>
    <m/>
  </r>
  <r>
    <s v="GL000905"/>
    <d v="2023-08-07T00:00:00"/>
    <n v="6000"/>
    <x v="2"/>
    <n v="586.1"/>
    <n v="0"/>
    <x v="5"/>
    <s v="CC100"/>
    <s v="AutoPost 905"/>
    <s v="CAD"/>
    <s v="2023-08"/>
    <n v="-586.1"/>
    <m/>
  </r>
  <r>
    <s v="GL000906"/>
    <d v="2025-06-22T00:00:00"/>
    <n v="6000"/>
    <x v="2"/>
    <n v="1912.35"/>
    <n v="0"/>
    <x v="0"/>
    <s v="CC500"/>
    <s v="AutoPost 906"/>
    <s v="USD"/>
    <s v="2025-06"/>
    <n v="-1912.35"/>
    <m/>
  </r>
  <r>
    <s v="GL000907"/>
    <d v="2023-05-08T00:00:00"/>
    <n v="6000"/>
    <x v="2"/>
    <n v="819.96"/>
    <n v="0"/>
    <x v="3"/>
    <s v="CC300"/>
    <s v="AutoPost 907"/>
    <s v="USD"/>
    <s v="2023-05"/>
    <n v="-819.96"/>
    <m/>
  </r>
  <r>
    <s v="GL000908"/>
    <d v="2025-03-02T00:00:00"/>
    <n v="5000"/>
    <x v="1"/>
    <n v="1880.1"/>
    <n v="0"/>
    <x v="2"/>
    <s v="CC300"/>
    <s v="AutoPost 908"/>
    <s v="AUD"/>
    <s v="2025-03"/>
    <n v="-1880.1"/>
    <m/>
  </r>
  <r>
    <s v="GL000909"/>
    <d v="2025-04-07T00:00:00"/>
    <n v="6000"/>
    <x v="2"/>
    <n v="1255.8499999999999"/>
    <n v="0"/>
    <x v="2"/>
    <s v="CC100"/>
    <s v="AutoPost 909"/>
    <s v="EUR"/>
    <s v="2025-04"/>
    <n v="-1255.8499999999999"/>
    <m/>
  </r>
  <r>
    <s v="GL000910"/>
    <d v="2023-01-28T00:00:00"/>
    <n v="4010"/>
    <x v="4"/>
    <n v="0"/>
    <n v="3738.97"/>
    <x v="5"/>
    <s v="CC200"/>
    <s v="AutoPost 910"/>
    <s v="CAD"/>
    <s v="2023-01"/>
    <n v="3738.97"/>
    <m/>
  </r>
  <r>
    <s v="GL000911"/>
    <d v="2025-05-15T00:00:00"/>
    <n v="5000"/>
    <x v="1"/>
    <n v="50.19"/>
    <n v="0"/>
    <x v="4"/>
    <s v="CC300"/>
    <s v="AutoPost 911"/>
    <s v="EUR"/>
    <s v="2025-05"/>
    <n v="-50.19"/>
    <m/>
  </r>
  <r>
    <s v="GL000912"/>
    <d v="2024-09-14T00:00:00"/>
    <n v="5010"/>
    <x v="3"/>
    <n v="608.52"/>
    <n v="0"/>
    <x v="0"/>
    <s v="CC300"/>
    <s v="AutoPost 912"/>
    <s v="EUR"/>
    <s v="2024-09"/>
    <n v="-608.52"/>
    <m/>
  </r>
  <r>
    <s v="GL000913"/>
    <d v="2024-09-25T00:00:00"/>
    <n v="5010"/>
    <x v="3"/>
    <n v="287.52"/>
    <n v="0"/>
    <x v="4"/>
    <s v="CC100"/>
    <s v="AutoPost 913"/>
    <s v="USD"/>
    <s v="2024-09"/>
    <n v="-287.52"/>
    <m/>
  </r>
  <r>
    <s v="GL000914"/>
    <d v="2023-12-28T00:00:00"/>
    <n v="6000"/>
    <x v="2"/>
    <n v="1749.98"/>
    <n v="0"/>
    <x v="4"/>
    <s v="CC400"/>
    <s v="AutoPost 914"/>
    <s v="CAD"/>
    <s v="2023-12"/>
    <n v="-1749.98"/>
    <m/>
  </r>
  <r>
    <s v="GL000915"/>
    <d v="2024-12-24T00:00:00"/>
    <n v="5000"/>
    <x v="1"/>
    <n v="221.12"/>
    <n v="0"/>
    <x v="3"/>
    <s v="CC300"/>
    <s v="AutoPost 915"/>
    <s v="AUD"/>
    <s v="2024-12"/>
    <n v="-221.12"/>
    <m/>
  </r>
  <r>
    <s v="GL000916"/>
    <d v="2024-10-29T00:00:00"/>
    <n v="5000"/>
    <x v="1"/>
    <n v="1012.53"/>
    <n v="0"/>
    <x v="1"/>
    <s v="CC400"/>
    <s v="AutoPost 916"/>
    <s v="CAD"/>
    <s v="2024-10"/>
    <n v="-1012.53"/>
    <m/>
  </r>
  <r>
    <s v="GL000917"/>
    <d v="2023-07-27T00:00:00"/>
    <n v="4010"/>
    <x v="4"/>
    <n v="0"/>
    <n v="542.16999999999996"/>
    <x v="5"/>
    <s v="CC300"/>
    <s v="AutoPost 917"/>
    <s v="GBP"/>
    <s v="2023-07"/>
    <n v="542.16999999999996"/>
    <m/>
  </r>
  <r>
    <s v="GL000918"/>
    <d v="2025-03-23T00:00:00"/>
    <n v="5010"/>
    <x v="3"/>
    <n v="580.21"/>
    <n v="0"/>
    <x v="0"/>
    <s v="CC100"/>
    <s v="AutoPost 918"/>
    <s v="EUR"/>
    <s v="2025-03"/>
    <n v="-580.21"/>
    <m/>
  </r>
  <r>
    <s v="GL000919"/>
    <d v="2023-01-04T00:00:00"/>
    <n v="5010"/>
    <x v="3"/>
    <n v="739.56"/>
    <n v="0"/>
    <x v="4"/>
    <s v="CC400"/>
    <s v="AutoPost 919"/>
    <s v="AUD"/>
    <s v="2023-01"/>
    <n v="-739.56"/>
    <m/>
  </r>
  <r>
    <s v="GL000920"/>
    <d v="2024-11-08T00:00:00"/>
    <n v="5000"/>
    <x v="1"/>
    <n v="1657.23"/>
    <n v="0"/>
    <x v="0"/>
    <s v="CC200"/>
    <s v="AutoPost 920"/>
    <s v="AUD"/>
    <s v="2024-11"/>
    <n v="-1657.23"/>
    <m/>
  </r>
  <r>
    <s v="GL000921"/>
    <d v="2024-05-28T00:00:00"/>
    <n v="6000"/>
    <x v="2"/>
    <n v="1181.06"/>
    <n v="0"/>
    <x v="0"/>
    <s v="CC400"/>
    <s v="AutoPost 921"/>
    <s v="CAD"/>
    <s v="2024-05"/>
    <n v="-1181.06"/>
    <m/>
  </r>
  <r>
    <s v="GL000922"/>
    <d v="2024-02-10T00:00:00"/>
    <n v="5010"/>
    <x v="3"/>
    <n v="944.72"/>
    <n v="0"/>
    <x v="2"/>
    <s v="CC100"/>
    <s v="AutoPost 922"/>
    <s v="EUR"/>
    <s v="2024-02"/>
    <n v="-944.72"/>
    <m/>
  </r>
  <r>
    <s v="GL000923"/>
    <d v="2024-02-23T00:00:00"/>
    <n v="4000"/>
    <x v="0"/>
    <n v="0"/>
    <n v="3496.47"/>
    <x v="3"/>
    <s v="CC200"/>
    <s v="AutoPost 923"/>
    <s v="USD"/>
    <s v="2024-02"/>
    <n v="3496.47"/>
    <m/>
  </r>
  <r>
    <s v="GL000924"/>
    <d v="2024-03-22T00:00:00"/>
    <n v="4000"/>
    <x v="0"/>
    <n v="0"/>
    <n v="389.32"/>
    <x v="2"/>
    <s v="CC500"/>
    <s v="AutoPost 924"/>
    <s v="USD"/>
    <s v="2024-03"/>
    <n v="389.32"/>
    <m/>
  </r>
  <r>
    <s v="GL000925"/>
    <d v="2024-02-04T00:00:00"/>
    <n v="4010"/>
    <x v="4"/>
    <n v="0"/>
    <n v="2071.73"/>
    <x v="4"/>
    <s v="CC500"/>
    <s v="AutoPost 925"/>
    <s v="GBP"/>
    <s v="2024-02"/>
    <n v="2071.73"/>
    <m/>
  </r>
  <r>
    <s v="GL000926"/>
    <d v="2024-08-31T00:00:00"/>
    <n v="5000"/>
    <x v="1"/>
    <n v="1719.48"/>
    <n v="0"/>
    <x v="1"/>
    <s v="CC200"/>
    <s v="AutoPost 926"/>
    <s v="CAD"/>
    <s v="2024-08"/>
    <n v="-1719.48"/>
    <m/>
  </r>
  <r>
    <s v="GL000927"/>
    <d v="2025-02-15T00:00:00"/>
    <n v="6000"/>
    <x v="2"/>
    <n v="260.58"/>
    <n v="0"/>
    <x v="3"/>
    <s v="CC400"/>
    <s v="AutoPost 927"/>
    <s v="GBP"/>
    <s v="2025-02"/>
    <n v="-260.58"/>
    <m/>
  </r>
  <r>
    <s v="GL000928"/>
    <d v="2023-01-25T00:00:00"/>
    <n v="5010"/>
    <x v="3"/>
    <n v="79.59"/>
    <n v="0"/>
    <x v="0"/>
    <s v="CC300"/>
    <s v="AutoPost 928"/>
    <s v="USD"/>
    <s v="2023-01"/>
    <n v="-79.59"/>
    <m/>
  </r>
  <r>
    <s v="GL000929"/>
    <d v="2024-06-02T00:00:00"/>
    <n v="4010"/>
    <x v="4"/>
    <n v="0"/>
    <n v="2860.93"/>
    <x v="2"/>
    <s v="CC100"/>
    <s v="AutoPost 929"/>
    <s v="CAD"/>
    <s v="2024-06"/>
    <n v="2860.93"/>
    <m/>
  </r>
  <r>
    <s v="GL000930"/>
    <d v="2024-08-21T00:00:00"/>
    <n v="4010"/>
    <x v="4"/>
    <n v="0"/>
    <n v="4074.77"/>
    <x v="3"/>
    <s v="CC300"/>
    <s v="AutoPost 930"/>
    <s v="EUR"/>
    <s v="2024-08"/>
    <n v="4074.77"/>
    <m/>
  </r>
  <r>
    <s v="GL000931"/>
    <d v="2025-01-26T00:00:00"/>
    <n v="4010"/>
    <x v="4"/>
    <n v="0"/>
    <n v="4702.84"/>
    <x v="4"/>
    <s v="CC200"/>
    <s v="AutoPost 931"/>
    <s v="GBP"/>
    <s v="2025-01"/>
    <n v="4702.84"/>
    <m/>
  </r>
  <r>
    <s v="GL000932"/>
    <d v="2023-11-12T00:00:00"/>
    <n v="5010"/>
    <x v="3"/>
    <n v="920.32"/>
    <n v="0"/>
    <x v="2"/>
    <s v="CC500"/>
    <s v="AutoPost 932"/>
    <s v="EUR"/>
    <s v="2023-11"/>
    <n v="-920.32"/>
    <m/>
  </r>
  <r>
    <s v="GL000933"/>
    <d v="2023-08-26T00:00:00"/>
    <n v="4010"/>
    <x v="4"/>
    <n v="0"/>
    <n v="1564.55"/>
    <x v="2"/>
    <s v="CC100"/>
    <s v="AutoPost 933"/>
    <s v="CAD"/>
    <s v="2023-08"/>
    <n v="1564.55"/>
    <m/>
  </r>
  <r>
    <s v="GL000934"/>
    <d v="2024-05-13T00:00:00"/>
    <n v="4010"/>
    <x v="4"/>
    <n v="0"/>
    <n v="2984.56"/>
    <x v="5"/>
    <s v="CC400"/>
    <s v="AutoPost 934"/>
    <s v="AUD"/>
    <s v="2024-05"/>
    <n v="2984.56"/>
    <m/>
  </r>
  <r>
    <s v="GL000935"/>
    <d v="2024-04-17T00:00:00"/>
    <n v="4010"/>
    <x v="4"/>
    <n v="0"/>
    <n v="4352.6000000000004"/>
    <x v="1"/>
    <s v="CC100"/>
    <s v="AutoPost 935"/>
    <s v="CAD"/>
    <s v="2024-04"/>
    <n v="4352.6000000000004"/>
    <m/>
  </r>
  <r>
    <s v="GL000936"/>
    <d v="2024-12-24T00:00:00"/>
    <n v="4010"/>
    <x v="4"/>
    <n v="0"/>
    <n v="1861.57"/>
    <x v="5"/>
    <s v="CC500"/>
    <s v="AutoPost 936"/>
    <s v="USD"/>
    <s v="2024-12"/>
    <n v="1861.57"/>
    <m/>
  </r>
  <r>
    <s v="GL000937"/>
    <d v="2023-03-22T00:00:00"/>
    <n v="4010"/>
    <x v="4"/>
    <n v="0"/>
    <n v="1431.79"/>
    <x v="1"/>
    <s v="CC300"/>
    <s v="AutoPost 937"/>
    <s v="CAD"/>
    <s v="2023-03"/>
    <n v="1431.79"/>
    <m/>
  </r>
  <r>
    <s v="GL000938"/>
    <d v="2025-04-04T00:00:00"/>
    <n v="4010"/>
    <x v="4"/>
    <n v="0"/>
    <n v="3515.1"/>
    <x v="1"/>
    <s v="CC500"/>
    <s v="AutoPost 938"/>
    <s v="AUD"/>
    <s v="2025-04"/>
    <n v="3515.1"/>
    <m/>
  </r>
  <r>
    <s v="GL000939"/>
    <d v="2023-07-09T00:00:00"/>
    <n v="5000"/>
    <x v="1"/>
    <n v="547.15"/>
    <n v="0"/>
    <x v="0"/>
    <s v="CC500"/>
    <s v="AutoPost 939"/>
    <s v="EUR"/>
    <s v="2023-07"/>
    <n v="-547.15"/>
    <m/>
  </r>
  <r>
    <s v="GL000940"/>
    <d v="2023-11-18T00:00:00"/>
    <n v="4000"/>
    <x v="0"/>
    <n v="0"/>
    <n v="2941.46"/>
    <x v="1"/>
    <s v="CC100"/>
    <s v="AutoPost 940"/>
    <s v="AUD"/>
    <s v="2023-11"/>
    <n v="2941.46"/>
    <m/>
  </r>
  <r>
    <s v="GL000941"/>
    <d v="2024-04-26T00:00:00"/>
    <n v="6000"/>
    <x v="2"/>
    <n v="1900.12"/>
    <n v="0"/>
    <x v="5"/>
    <s v="CC300"/>
    <s v="AutoPost 941"/>
    <s v="USD"/>
    <s v="2024-04"/>
    <n v="-1900.12"/>
    <m/>
  </r>
  <r>
    <s v="GL000942"/>
    <d v="2023-03-21T00:00:00"/>
    <n v="4010"/>
    <x v="4"/>
    <n v="0"/>
    <n v="1951.17"/>
    <x v="0"/>
    <s v="CC400"/>
    <s v="AutoPost 942"/>
    <s v="AUD"/>
    <s v="2023-03"/>
    <n v="1951.17"/>
    <m/>
  </r>
  <r>
    <s v="GL000943"/>
    <d v="2025-04-14T00:00:00"/>
    <n v="5000"/>
    <x v="1"/>
    <n v="1649.25"/>
    <n v="0"/>
    <x v="4"/>
    <s v="CC200"/>
    <s v="AutoPost 943"/>
    <s v="CAD"/>
    <s v="2025-04"/>
    <n v="-1649.25"/>
    <m/>
  </r>
  <r>
    <s v="GL000944"/>
    <d v="2024-12-16T00:00:00"/>
    <n v="6000"/>
    <x v="2"/>
    <n v="770.2"/>
    <n v="0"/>
    <x v="2"/>
    <s v="CC200"/>
    <s v="AutoPost 944"/>
    <s v="AUD"/>
    <s v="2024-12"/>
    <n v="-770.2"/>
    <m/>
  </r>
  <r>
    <s v="GL000945"/>
    <d v="2024-05-28T00:00:00"/>
    <n v="6000"/>
    <x v="2"/>
    <n v="202.11"/>
    <n v="0"/>
    <x v="1"/>
    <s v="CC300"/>
    <s v="AutoPost 945"/>
    <s v="AUD"/>
    <s v="2024-05"/>
    <n v="-202.11"/>
    <m/>
  </r>
  <r>
    <s v="GL000946"/>
    <d v="2024-02-21T00:00:00"/>
    <n v="6000"/>
    <x v="2"/>
    <n v="1844.72"/>
    <n v="0"/>
    <x v="3"/>
    <s v="CC500"/>
    <s v="AutoPost 946"/>
    <s v="CAD"/>
    <s v="2024-02"/>
    <n v="-1844.72"/>
    <m/>
  </r>
  <r>
    <s v="GL000947"/>
    <d v="2023-01-20T00:00:00"/>
    <n v="4010"/>
    <x v="4"/>
    <n v="0"/>
    <n v="1995.59"/>
    <x v="4"/>
    <s v="CC300"/>
    <s v="AutoPost 947"/>
    <s v="EUR"/>
    <s v="2023-01"/>
    <n v="1995.59"/>
    <m/>
  </r>
  <r>
    <s v="GL000948"/>
    <d v="2023-09-26T00:00:00"/>
    <n v="5000"/>
    <x v="1"/>
    <n v="1875.24"/>
    <n v="0"/>
    <x v="1"/>
    <s v="CC500"/>
    <s v="AutoPost 948"/>
    <s v="USD"/>
    <s v="2023-09"/>
    <n v="-1875.24"/>
    <m/>
  </r>
  <r>
    <s v="GL000949"/>
    <d v="2025-01-28T00:00:00"/>
    <n v="5010"/>
    <x v="3"/>
    <n v="80.59"/>
    <n v="0"/>
    <x v="0"/>
    <s v="CC400"/>
    <s v="AutoPost 949"/>
    <s v="GBP"/>
    <s v="2025-01"/>
    <n v="-80.59"/>
    <m/>
  </r>
  <r>
    <s v="GL000950"/>
    <d v="2023-07-24T00:00:00"/>
    <n v="5010"/>
    <x v="3"/>
    <n v="445.11"/>
    <n v="0"/>
    <x v="2"/>
    <s v="CC300"/>
    <s v="AutoPost 950"/>
    <s v="AUD"/>
    <s v="2023-07"/>
    <n v="-445.11"/>
    <m/>
  </r>
  <r>
    <s v="GL000951"/>
    <d v="2024-05-12T00:00:00"/>
    <n v="4010"/>
    <x v="4"/>
    <n v="0"/>
    <n v="2882.01"/>
    <x v="3"/>
    <s v="CC500"/>
    <s v="AutoPost 951"/>
    <s v="USD"/>
    <s v="2024-05"/>
    <n v="2882.01"/>
    <m/>
  </r>
  <r>
    <s v="GL000952"/>
    <d v="2023-04-18T00:00:00"/>
    <n v="5000"/>
    <x v="1"/>
    <n v="788.01"/>
    <n v="0"/>
    <x v="1"/>
    <s v="CC200"/>
    <s v="AutoPost 952"/>
    <s v="GBP"/>
    <s v="2023-04"/>
    <n v="-788.01"/>
    <m/>
  </r>
  <r>
    <s v="GL000953"/>
    <d v="2023-06-21T00:00:00"/>
    <n v="4010"/>
    <x v="4"/>
    <n v="0"/>
    <n v="1052.22"/>
    <x v="2"/>
    <s v="CC200"/>
    <s v="AutoPost 953"/>
    <s v="CAD"/>
    <s v="2023-06"/>
    <n v="1052.22"/>
    <m/>
  </r>
  <r>
    <s v="GL000954"/>
    <d v="2023-04-17T00:00:00"/>
    <n v="4010"/>
    <x v="4"/>
    <n v="0"/>
    <n v="583.57000000000005"/>
    <x v="0"/>
    <s v="CC300"/>
    <s v="AutoPost 954"/>
    <s v="USD"/>
    <s v="2023-04"/>
    <n v="583.57000000000005"/>
    <m/>
  </r>
  <r>
    <s v="GL000955"/>
    <d v="2025-02-25T00:00:00"/>
    <n v="5000"/>
    <x v="1"/>
    <n v="1472.38"/>
    <n v="0"/>
    <x v="1"/>
    <s v="CC300"/>
    <s v="AutoPost 955"/>
    <s v="USD"/>
    <s v="2025-02"/>
    <n v="-1472.38"/>
    <m/>
  </r>
  <r>
    <s v="GL000956"/>
    <d v="2023-09-27T00:00:00"/>
    <n v="5000"/>
    <x v="1"/>
    <n v="1444.24"/>
    <n v="0"/>
    <x v="4"/>
    <s v="CC300"/>
    <s v="AutoPost 956"/>
    <s v="GBP"/>
    <s v="2023-09"/>
    <n v="-1444.24"/>
    <m/>
  </r>
  <r>
    <s v="GL000957"/>
    <d v="2025-06-04T00:00:00"/>
    <n v="6000"/>
    <x v="2"/>
    <n v="746.97"/>
    <n v="0"/>
    <x v="5"/>
    <s v="CC100"/>
    <s v="AutoPost 957"/>
    <s v="USD"/>
    <s v="2025-06"/>
    <n v="-746.97"/>
    <m/>
  </r>
  <r>
    <s v="GL000958"/>
    <d v="2024-07-13T00:00:00"/>
    <n v="5010"/>
    <x v="3"/>
    <n v="1912.71"/>
    <n v="0"/>
    <x v="5"/>
    <s v="CC200"/>
    <s v="AutoPost 958"/>
    <s v="AUD"/>
    <s v="2024-07"/>
    <n v="-1912.71"/>
    <m/>
  </r>
  <r>
    <s v="GL000959"/>
    <d v="2023-07-29T00:00:00"/>
    <n v="6000"/>
    <x v="2"/>
    <n v="1714.13"/>
    <n v="0"/>
    <x v="0"/>
    <s v="CC500"/>
    <s v="AutoPost 959"/>
    <s v="CAD"/>
    <s v="2023-07"/>
    <n v="-1714.13"/>
    <m/>
  </r>
  <r>
    <s v="GL000960"/>
    <d v="2024-09-16T00:00:00"/>
    <n v="5000"/>
    <x v="1"/>
    <n v="996.13"/>
    <n v="0"/>
    <x v="2"/>
    <s v="CC200"/>
    <s v="AutoPost 960"/>
    <s v="EUR"/>
    <s v="2024-09"/>
    <n v="-996.13"/>
    <m/>
  </r>
  <r>
    <s v="GL000961"/>
    <d v="2024-08-19T00:00:00"/>
    <n v="5000"/>
    <x v="1"/>
    <n v="1735.24"/>
    <n v="0"/>
    <x v="0"/>
    <s v="CC200"/>
    <s v="AutoPost 961"/>
    <s v="CAD"/>
    <s v="2024-08"/>
    <n v="-1735.24"/>
    <m/>
  </r>
  <r>
    <s v="GL000962"/>
    <d v="2023-01-09T00:00:00"/>
    <n v="6000"/>
    <x v="2"/>
    <n v="1782.36"/>
    <n v="0"/>
    <x v="1"/>
    <s v="CC200"/>
    <s v="AutoPost 962"/>
    <s v="CAD"/>
    <s v="2023-01"/>
    <n v="-1782.36"/>
    <m/>
  </r>
  <r>
    <s v="GL000963"/>
    <d v="2024-02-19T00:00:00"/>
    <n v="5010"/>
    <x v="3"/>
    <n v="288.13"/>
    <n v="0"/>
    <x v="0"/>
    <s v="CC300"/>
    <s v="AutoPost 963"/>
    <s v="GBP"/>
    <s v="2024-02"/>
    <n v="-288.13"/>
    <m/>
  </r>
  <r>
    <s v="GL000964"/>
    <d v="2024-05-07T00:00:00"/>
    <n v="6000"/>
    <x v="2"/>
    <n v="760.63"/>
    <n v="0"/>
    <x v="4"/>
    <s v="CC100"/>
    <s v="AutoPost 964"/>
    <s v="EUR"/>
    <s v="2024-05"/>
    <n v="-760.63"/>
    <m/>
  </r>
  <r>
    <s v="GL000965"/>
    <d v="2023-06-15T00:00:00"/>
    <n v="4010"/>
    <x v="4"/>
    <n v="0"/>
    <n v="4555.41"/>
    <x v="5"/>
    <s v="CC200"/>
    <s v="AutoPost 965"/>
    <s v="GBP"/>
    <s v="2023-06"/>
    <n v="4555.41"/>
    <m/>
  </r>
  <r>
    <s v="GL000966"/>
    <d v="2023-05-03T00:00:00"/>
    <n v="4000"/>
    <x v="0"/>
    <n v="0"/>
    <n v="1864.27"/>
    <x v="1"/>
    <s v="CC500"/>
    <s v="AutoPost 966"/>
    <s v="USD"/>
    <s v="2023-05"/>
    <n v="1864.27"/>
    <m/>
  </r>
  <r>
    <s v="GL000967"/>
    <d v="2025-02-02T00:00:00"/>
    <n v="4010"/>
    <x v="4"/>
    <n v="0"/>
    <n v="705.16"/>
    <x v="2"/>
    <s v="CC200"/>
    <s v="AutoPost 967"/>
    <s v="USD"/>
    <s v="2025-02"/>
    <n v="705.16"/>
    <m/>
  </r>
  <r>
    <s v="GL000968"/>
    <d v="2023-07-31T00:00:00"/>
    <n v="4000"/>
    <x v="0"/>
    <n v="0"/>
    <n v="2558.2800000000002"/>
    <x v="1"/>
    <s v="CC500"/>
    <s v="AutoPost 968"/>
    <s v="CAD"/>
    <s v="2023-07"/>
    <n v="2558.2800000000002"/>
    <m/>
  </r>
  <r>
    <s v="GL000969"/>
    <d v="2023-01-20T00:00:00"/>
    <n v="4010"/>
    <x v="4"/>
    <n v="0"/>
    <n v="583.33000000000004"/>
    <x v="3"/>
    <s v="CC300"/>
    <s v="AutoPost 969"/>
    <s v="AUD"/>
    <s v="2023-01"/>
    <n v="583.33000000000004"/>
    <m/>
  </r>
  <r>
    <s v="GL000970"/>
    <d v="2024-12-03T00:00:00"/>
    <n v="4010"/>
    <x v="4"/>
    <n v="0"/>
    <n v="2126.6999999999998"/>
    <x v="1"/>
    <s v="CC400"/>
    <s v="AutoPost 970"/>
    <s v="USD"/>
    <s v="2024-12"/>
    <n v="2126.6999999999998"/>
    <m/>
  </r>
  <r>
    <s v="GL000971"/>
    <d v="2025-01-01T00:00:00"/>
    <n v="6000"/>
    <x v="2"/>
    <n v="409.25"/>
    <n v="0"/>
    <x v="5"/>
    <s v="CC100"/>
    <s v="AutoPost 971"/>
    <s v="CAD"/>
    <s v="2025-01"/>
    <n v="-409.25"/>
    <m/>
  </r>
  <r>
    <s v="GL000972"/>
    <d v="2024-04-21T00:00:00"/>
    <n v="4010"/>
    <x v="4"/>
    <n v="0"/>
    <n v="546.70000000000005"/>
    <x v="0"/>
    <s v="CC100"/>
    <s v="AutoPost 972"/>
    <s v="EUR"/>
    <s v="2024-04"/>
    <n v="546.70000000000005"/>
    <m/>
  </r>
  <r>
    <s v="GL000973"/>
    <d v="2025-03-06T00:00:00"/>
    <n v="5010"/>
    <x v="3"/>
    <n v="1708.86"/>
    <n v="0"/>
    <x v="1"/>
    <s v="CC200"/>
    <s v="AutoPost 973"/>
    <s v="CAD"/>
    <s v="2025-03"/>
    <n v="-1708.86"/>
    <m/>
  </r>
  <r>
    <s v="GL000974"/>
    <d v="2023-07-19T00:00:00"/>
    <n v="5000"/>
    <x v="1"/>
    <n v="1155.1300000000001"/>
    <n v="0"/>
    <x v="5"/>
    <s v="CC400"/>
    <s v="AutoPost 974"/>
    <s v="GBP"/>
    <s v="2023-07"/>
    <n v="-1155.1300000000001"/>
    <m/>
  </r>
  <r>
    <s v="GL000975"/>
    <d v="2024-10-10T00:00:00"/>
    <n v="5010"/>
    <x v="3"/>
    <n v="906.36"/>
    <n v="0"/>
    <x v="2"/>
    <s v="CC300"/>
    <s v="AutoPost 975"/>
    <s v="AUD"/>
    <s v="2024-10"/>
    <n v="-906.36"/>
    <m/>
  </r>
  <r>
    <s v="GL000976"/>
    <d v="2024-02-27T00:00:00"/>
    <n v="4000"/>
    <x v="0"/>
    <n v="0"/>
    <n v="1026.19"/>
    <x v="3"/>
    <s v="CC300"/>
    <s v="AutoPost 976"/>
    <s v="AUD"/>
    <s v="2024-02"/>
    <n v="1026.19"/>
    <m/>
  </r>
  <r>
    <s v="GL000977"/>
    <d v="2024-09-05T00:00:00"/>
    <n v="5010"/>
    <x v="3"/>
    <n v="1571.91"/>
    <n v="0"/>
    <x v="2"/>
    <s v="CC100"/>
    <s v="AutoPost 977"/>
    <s v="CAD"/>
    <s v="2024-09"/>
    <n v="-1571.91"/>
    <m/>
  </r>
  <r>
    <s v="GL000978"/>
    <d v="2025-05-22T00:00:00"/>
    <n v="4000"/>
    <x v="0"/>
    <n v="0"/>
    <n v="504.44"/>
    <x v="5"/>
    <s v="CC300"/>
    <s v="AutoPost 978"/>
    <s v="USD"/>
    <s v="2025-05"/>
    <n v="504.44"/>
    <m/>
  </r>
  <r>
    <s v="GL000979"/>
    <d v="2025-01-27T00:00:00"/>
    <n v="4000"/>
    <x v="0"/>
    <n v="0"/>
    <n v="2486.2199999999998"/>
    <x v="2"/>
    <s v="CC100"/>
    <s v="AutoPost 979"/>
    <s v="GBP"/>
    <s v="2025-01"/>
    <n v="2486.2199999999998"/>
    <m/>
  </r>
  <r>
    <s v="GL000980"/>
    <d v="2025-02-17T00:00:00"/>
    <n v="5010"/>
    <x v="3"/>
    <n v="397.17"/>
    <n v="0"/>
    <x v="4"/>
    <s v="CC200"/>
    <s v="AutoPost 980"/>
    <s v="EUR"/>
    <s v="2025-02"/>
    <n v="-397.17"/>
    <m/>
  </r>
  <r>
    <s v="GL000981"/>
    <d v="2024-08-30T00:00:00"/>
    <n v="5010"/>
    <x v="3"/>
    <n v="1558.38"/>
    <n v="0"/>
    <x v="4"/>
    <s v="CC200"/>
    <s v="AutoPost 981"/>
    <s v="GBP"/>
    <s v="2024-08"/>
    <n v="-1558.38"/>
    <m/>
  </r>
  <r>
    <s v="GL000982"/>
    <d v="2023-12-10T00:00:00"/>
    <n v="4000"/>
    <x v="0"/>
    <n v="0"/>
    <n v="1902.31"/>
    <x v="3"/>
    <s v="CC400"/>
    <s v="AutoPost 982"/>
    <s v="USD"/>
    <s v="2023-12"/>
    <n v="1902.31"/>
    <m/>
  </r>
  <r>
    <s v="GL000983"/>
    <d v="2024-11-08T00:00:00"/>
    <n v="6000"/>
    <x v="2"/>
    <n v="330.31"/>
    <n v="0"/>
    <x v="3"/>
    <s v="CC400"/>
    <s v="AutoPost 983"/>
    <s v="EUR"/>
    <s v="2024-11"/>
    <n v="-330.31"/>
    <m/>
  </r>
  <r>
    <s v="GL000984"/>
    <d v="2024-07-29T00:00:00"/>
    <n v="4010"/>
    <x v="4"/>
    <n v="0"/>
    <n v="369.23"/>
    <x v="5"/>
    <s v="CC300"/>
    <s v="AutoPost 984"/>
    <s v="AUD"/>
    <s v="2024-07"/>
    <n v="369.23"/>
    <m/>
  </r>
  <r>
    <s v="GL000985"/>
    <d v="2023-07-23T00:00:00"/>
    <n v="4010"/>
    <x v="4"/>
    <n v="0"/>
    <n v="2516.86"/>
    <x v="1"/>
    <s v="CC200"/>
    <s v="AutoPost 985"/>
    <s v="EUR"/>
    <s v="2023-07"/>
    <n v="2516.86"/>
    <m/>
  </r>
  <r>
    <s v="GL000986"/>
    <d v="2025-04-22T00:00:00"/>
    <n v="4010"/>
    <x v="4"/>
    <n v="0"/>
    <n v="2267.1999999999998"/>
    <x v="4"/>
    <s v="CC300"/>
    <s v="AutoPost 986"/>
    <s v="AUD"/>
    <s v="2025-04"/>
    <n v="2267.1999999999998"/>
    <m/>
  </r>
  <r>
    <s v="GL000987"/>
    <d v="2024-10-07T00:00:00"/>
    <n v="5000"/>
    <x v="1"/>
    <n v="270.42"/>
    <n v="0"/>
    <x v="2"/>
    <s v="CC500"/>
    <s v="AutoPost 987"/>
    <s v="CAD"/>
    <s v="2024-10"/>
    <n v="-270.42"/>
    <m/>
  </r>
  <r>
    <s v="GL000988"/>
    <d v="2024-10-22T00:00:00"/>
    <n v="4000"/>
    <x v="0"/>
    <n v="0"/>
    <n v="1807.47"/>
    <x v="4"/>
    <s v="CC200"/>
    <s v="AutoPost 988"/>
    <s v="USD"/>
    <s v="2024-10"/>
    <n v="1807.47"/>
    <m/>
  </r>
  <r>
    <s v="GL000989"/>
    <d v="2025-03-07T00:00:00"/>
    <n v="5000"/>
    <x v="1"/>
    <n v="1404.46"/>
    <n v="0"/>
    <x v="2"/>
    <s v="CC300"/>
    <s v="AutoPost 989"/>
    <s v="CAD"/>
    <s v="2025-03"/>
    <n v="-1404.46"/>
    <m/>
  </r>
  <r>
    <s v="GL000990"/>
    <d v="2025-01-10T00:00:00"/>
    <n v="6000"/>
    <x v="2"/>
    <n v="1628.38"/>
    <n v="0"/>
    <x v="5"/>
    <s v="CC500"/>
    <s v="AutoPost 990"/>
    <s v="CAD"/>
    <s v="2025-01"/>
    <n v="-1628.38"/>
    <m/>
  </r>
  <r>
    <s v="GL000991"/>
    <d v="2023-07-25T00:00:00"/>
    <n v="5010"/>
    <x v="3"/>
    <n v="1593.21"/>
    <n v="0"/>
    <x v="1"/>
    <s v="CC200"/>
    <s v="AutoPost 991"/>
    <s v="EUR"/>
    <s v="2023-07"/>
    <n v="-1593.21"/>
    <m/>
  </r>
  <r>
    <s v="GL000992"/>
    <d v="2023-12-15T00:00:00"/>
    <n v="4000"/>
    <x v="0"/>
    <n v="0"/>
    <n v="3100.79"/>
    <x v="4"/>
    <s v="CC200"/>
    <s v="AutoPost 992"/>
    <s v="CAD"/>
    <s v="2023-12"/>
    <n v="3100.79"/>
    <m/>
  </r>
  <r>
    <s v="GL000993"/>
    <d v="2023-07-20T00:00:00"/>
    <n v="5000"/>
    <x v="1"/>
    <n v="759.38"/>
    <n v="0"/>
    <x v="0"/>
    <s v="CC100"/>
    <s v="AutoPost 993"/>
    <s v="AUD"/>
    <s v="2023-07"/>
    <n v="-759.38"/>
    <m/>
  </r>
  <r>
    <s v="GL000994"/>
    <d v="2024-12-29T00:00:00"/>
    <n v="6000"/>
    <x v="2"/>
    <n v="818.52"/>
    <n v="0"/>
    <x v="0"/>
    <s v="CC500"/>
    <s v="AutoPost 994"/>
    <s v="GBP"/>
    <s v="2024-12"/>
    <n v="-818.52"/>
    <m/>
  </r>
  <r>
    <s v="GL000995"/>
    <d v="2023-02-01T00:00:00"/>
    <n v="6000"/>
    <x v="2"/>
    <n v="1003.28"/>
    <n v="0"/>
    <x v="0"/>
    <s v="CC200"/>
    <s v="AutoPost 995"/>
    <s v="AUD"/>
    <s v="2023-02"/>
    <n v="-1003.28"/>
    <m/>
  </r>
  <r>
    <s v="GL000996"/>
    <d v="2024-03-26T00:00:00"/>
    <n v="4010"/>
    <x v="4"/>
    <n v="0"/>
    <n v="3683.5"/>
    <x v="4"/>
    <s v="CC100"/>
    <s v="AutoPost 996"/>
    <s v="USD"/>
    <s v="2024-03"/>
    <n v="3683.5"/>
    <m/>
  </r>
  <r>
    <s v="GL000997"/>
    <d v="2025-03-09T00:00:00"/>
    <n v="5010"/>
    <x v="3"/>
    <n v="1336.12"/>
    <n v="0"/>
    <x v="0"/>
    <s v="CC100"/>
    <s v="AutoPost 997"/>
    <s v="CAD"/>
    <s v="2025-03"/>
    <n v="-1336.12"/>
    <m/>
  </r>
  <r>
    <s v="GL000998"/>
    <d v="2024-07-17T00:00:00"/>
    <n v="4000"/>
    <x v="0"/>
    <n v="0"/>
    <n v="142.47999999999999"/>
    <x v="4"/>
    <s v="CC100"/>
    <s v="AutoPost 998"/>
    <s v="GBP"/>
    <s v="2024-07"/>
    <n v="142.47999999999999"/>
    <m/>
  </r>
  <r>
    <s v="GL000999"/>
    <d v="2025-05-20T00:00:00"/>
    <n v="6000"/>
    <x v="2"/>
    <n v="225.03"/>
    <n v="0"/>
    <x v="0"/>
    <s v="CC100"/>
    <s v="AutoPost 999"/>
    <s v="CAD"/>
    <s v="2025-05"/>
    <n v="-225.03"/>
    <m/>
  </r>
  <r>
    <s v="GL001000"/>
    <d v="2025-02-13T00:00:00"/>
    <n v="5000"/>
    <x v="1"/>
    <n v="1959.72"/>
    <n v="0"/>
    <x v="0"/>
    <s v="CC200"/>
    <s v="AutoPost 1000"/>
    <s v="AUD"/>
    <s v="2025-02"/>
    <n v="-1959.72"/>
    <m/>
  </r>
  <r>
    <s v="GL001001"/>
    <d v="2024-08-24T00:00:00"/>
    <n v="6000"/>
    <x v="2"/>
    <n v="459.97"/>
    <n v="0"/>
    <x v="0"/>
    <s v="CC100"/>
    <s v="AutoPost 1001"/>
    <s v="USD"/>
    <s v="2024-08"/>
    <n v="-459.97"/>
    <m/>
  </r>
  <r>
    <s v="GL001002"/>
    <d v="2024-05-08T00:00:00"/>
    <n v="4000"/>
    <x v="0"/>
    <n v="0"/>
    <n v="1518.16"/>
    <x v="2"/>
    <s v="CC500"/>
    <s v="AutoPost 1002"/>
    <s v="USD"/>
    <s v="2024-05"/>
    <n v="1518.16"/>
    <m/>
  </r>
  <r>
    <s v="GL001003"/>
    <d v="2024-06-28T00:00:00"/>
    <n v="6000"/>
    <x v="2"/>
    <n v="1278.1199999999999"/>
    <n v="0"/>
    <x v="5"/>
    <s v="CC500"/>
    <s v="AutoPost 1003"/>
    <s v="EUR"/>
    <s v="2024-06"/>
    <n v="-1278.1199999999999"/>
    <m/>
  </r>
  <r>
    <s v="GL001004"/>
    <d v="2024-04-28T00:00:00"/>
    <n v="5000"/>
    <x v="1"/>
    <n v="1956.42"/>
    <n v="0"/>
    <x v="0"/>
    <s v="CC100"/>
    <s v="AutoPost 1004"/>
    <s v="EUR"/>
    <s v="2024-04"/>
    <n v="-1956.42"/>
    <m/>
  </r>
  <r>
    <s v="GL001005"/>
    <d v="2024-06-02T00:00:00"/>
    <n v="5010"/>
    <x v="3"/>
    <n v="1816.11"/>
    <n v="0"/>
    <x v="2"/>
    <s v="CC400"/>
    <s v="AutoPost 1005"/>
    <s v="GBP"/>
    <s v="2024-06"/>
    <n v="-1816.11"/>
    <m/>
  </r>
  <r>
    <s v="GL001006"/>
    <d v="2024-11-19T00:00:00"/>
    <n v="5000"/>
    <x v="1"/>
    <n v="1309.5"/>
    <n v="0"/>
    <x v="4"/>
    <s v="CC300"/>
    <s v="AutoPost 1006"/>
    <s v="EUR"/>
    <s v="2024-11"/>
    <n v="-1309.5"/>
    <m/>
  </r>
  <r>
    <s v="GL001007"/>
    <d v="2023-06-24T00:00:00"/>
    <n v="5000"/>
    <x v="1"/>
    <n v="316.43"/>
    <n v="0"/>
    <x v="2"/>
    <s v="CC100"/>
    <s v="AutoPost 1007"/>
    <s v="EUR"/>
    <s v="2023-06"/>
    <n v="-316.43"/>
    <m/>
  </r>
  <r>
    <s v="GL001008"/>
    <d v="2024-04-25T00:00:00"/>
    <n v="4000"/>
    <x v="0"/>
    <n v="0"/>
    <n v="4239.59"/>
    <x v="0"/>
    <s v="CC100"/>
    <s v="AutoPost 1008"/>
    <s v="EUR"/>
    <s v="2024-04"/>
    <n v="4239.59"/>
    <m/>
  </r>
  <r>
    <s v="GL001009"/>
    <d v="2024-11-11T00:00:00"/>
    <n v="5000"/>
    <x v="1"/>
    <n v="497.55"/>
    <n v="0"/>
    <x v="0"/>
    <s v="CC300"/>
    <s v="AutoPost 1009"/>
    <s v="GBP"/>
    <s v="2024-11"/>
    <n v="-497.55"/>
    <m/>
  </r>
  <r>
    <s v="GL001010"/>
    <d v="2025-03-13T00:00:00"/>
    <n v="6000"/>
    <x v="2"/>
    <n v="1978.21"/>
    <n v="0"/>
    <x v="1"/>
    <s v="CC500"/>
    <s v="AutoPost 1010"/>
    <s v="USD"/>
    <s v="2025-03"/>
    <n v="-1978.21"/>
    <m/>
  </r>
  <r>
    <s v="GL001011"/>
    <d v="2023-05-09T00:00:00"/>
    <n v="5000"/>
    <x v="1"/>
    <n v="1691.11"/>
    <n v="0"/>
    <x v="2"/>
    <s v="CC300"/>
    <s v="AutoPost 1011"/>
    <s v="GBP"/>
    <s v="2023-05"/>
    <n v="-1691.11"/>
    <m/>
  </r>
  <r>
    <s v="GL001012"/>
    <d v="2023-12-22T00:00:00"/>
    <n v="4000"/>
    <x v="0"/>
    <n v="0"/>
    <n v="3238.48"/>
    <x v="0"/>
    <s v="CC300"/>
    <s v="AutoPost 1012"/>
    <s v="GBP"/>
    <s v="2023-12"/>
    <n v="3238.48"/>
    <m/>
  </r>
  <r>
    <s v="GL001013"/>
    <d v="2023-01-29T00:00:00"/>
    <n v="4010"/>
    <x v="4"/>
    <n v="0"/>
    <n v="2318.9699999999998"/>
    <x v="5"/>
    <s v="CC500"/>
    <s v="AutoPost 1013"/>
    <s v="AUD"/>
    <s v="2023-01"/>
    <n v="2318.9699999999998"/>
    <m/>
  </r>
  <r>
    <s v="GL001014"/>
    <d v="2023-11-25T00:00:00"/>
    <n v="5000"/>
    <x v="1"/>
    <n v="683.66"/>
    <n v="0"/>
    <x v="1"/>
    <s v="CC200"/>
    <s v="AutoPost 1014"/>
    <s v="AUD"/>
    <s v="2023-11"/>
    <n v="-683.66"/>
    <m/>
  </r>
  <r>
    <s v="GL001015"/>
    <d v="2023-06-10T00:00:00"/>
    <n v="6000"/>
    <x v="2"/>
    <n v="1309.76"/>
    <n v="0"/>
    <x v="1"/>
    <s v="CC500"/>
    <s v="AutoPost 1015"/>
    <s v="AUD"/>
    <s v="2023-06"/>
    <n v="-1309.76"/>
    <m/>
  </r>
  <r>
    <s v="GL001016"/>
    <d v="2023-04-01T00:00:00"/>
    <n v="6000"/>
    <x v="2"/>
    <n v="988.94"/>
    <n v="0"/>
    <x v="5"/>
    <s v="CC200"/>
    <s v="AutoPost 1016"/>
    <s v="USD"/>
    <s v="2023-04"/>
    <n v="-988.94"/>
    <m/>
  </r>
  <r>
    <s v="GL001017"/>
    <d v="2024-12-16T00:00:00"/>
    <n v="4000"/>
    <x v="0"/>
    <n v="0"/>
    <n v="3981.75"/>
    <x v="4"/>
    <s v="CC400"/>
    <s v="AutoPost 1017"/>
    <s v="AUD"/>
    <s v="2024-12"/>
    <n v="3981.75"/>
    <m/>
  </r>
  <r>
    <s v="GL001018"/>
    <d v="2025-01-12T00:00:00"/>
    <n v="4010"/>
    <x v="4"/>
    <n v="0"/>
    <n v="4727.49"/>
    <x v="4"/>
    <s v="CC300"/>
    <s v="AutoPost 1018"/>
    <s v="USD"/>
    <s v="2025-01"/>
    <n v="4727.49"/>
    <m/>
  </r>
  <r>
    <s v="GL001019"/>
    <d v="2023-10-27T00:00:00"/>
    <n v="4000"/>
    <x v="0"/>
    <n v="0"/>
    <n v="4557.5600000000004"/>
    <x v="3"/>
    <s v="CC200"/>
    <s v="AutoPost 1019"/>
    <s v="CAD"/>
    <s v="2023-10"/>
    <n v="4557.5600000000004"/>
    <m/>
  </r>
  <r>
    <s v="GL001020"/>
    <d v="2024-09-05T00:00:00"/>
    <n v="5000"/>
    <x v="1"/>
    <n v="402.15"/>
    <n v="0"/>
    <x v="5"/>
    <s v="CC500"/>
    <s v="AutoPost 1020"/>
    <s v="EUR"/>
    <s v="2024-09"/>
    <n v="-402.15"/>
    <m/>
  </r>
  <r>
    <s v="GL001021"/>
    <d v="2025-06-03T00:00:00"/>
    <n v="4000"/>
    <x v="0"/>
    <n v="0"/>
    <n v="1210.2"/>
    <x v="1"/>
    <s v="CC500"/>
    <s v="AutoPost 1021"/>
    <s v="USD"/>
    <s v="2025-06"/>
    <n v="1210.2"/>
    <m/>
  </r>
  <r>
    <s v="GL001022"/>
    <d v="2023-01-23T00:00:00"/>
    <n v="4000"/>
    <x v="0"/>
    <n v="0"/>
    <n v="256.32"/>
    <x v="0"/>
    <s v="CC500"/>
    <s v="AutoPost 1022"/>
    <s v="CAD"/>
    <s v="2023-01"/>
    <n v="256.32"/>
    <m/>
  </r>
  <r>
    <s v="GL001023"/>
    <d v="2024-10-19T00:00:00"/>
    <n v="5000"/>
    <x v="1"/>
    <n v="1493.77"/>
    <n v="0"/>
    <x v="1"/>
    <s v="CC200"/>
    <s v="AutoPost 1023"/>
    <s v="CAD"/>
    <s v="2024-10"/>
    <n v="-1493.77"/>
    <m/>
  </r>
  <r>
    <s v="GL001024"/>
    <d v="2024-02-10T00:00:00"/>
    <n v="6000"/>
    <x v="2"/>
    <n v="1946.64"/>
    <n v="0"/>
    <x v="4"/>
    <s v="CC400"/>
    <s v="AutoPost 1024"/>
    <s v="CAD"/>
    <s v="2024-02"/>
    <n v="-1946.64"/>
    <m/>
  </r>
  <r>
    <s v="GL001025"/>
    <d v="2023-01-17T00:00:00"/>
    <n v="4010"/>
    <x v="4"/>
    <n v="0"/>
    <n v="3890.34"/>
    <x v="5"/>
    <s v="CC300"/>
    <s v="AutoPost 1025"/>
    <s v="AUD"/>
    <s v="2023-01"/>
    <n v="3890.34"/>
    <m/>
  </r>
  <r>
    <s v="GL001026"/>
    <d v="2024-04-24T00:00:00"/>
    <n v="5010"/>
    <x v="3"/>
    <n v="1085.95"/>
    <n v="0"/>
    <x v="0"/>
    <s v="CC200"/>
    <s v="AutoPost 1026"/>
    <s v="AUD"/>
    <s v="2024-04"/>
    <n v="-1085.95"/>
    <m/>
  </r>
  <r>
    <s v="GL001027"/>
    <d v="2025-03-05T00:00:00"/>
    <n v="6000"/>
    <x v="2"/>
    <n v="1425.4"/>
    <n v="0"/>
    <x v="1"/>
    <s v="CC300"/>
    <s v="AutoPost 1027"/>
    <s v="AUD"/>
    <s v="2025-03"/>
    <n v="-1425.4"/>
    <m/>
  </r>
  <r>
    <s v="GL001028"/>
    <d v="2024-08-06T00:00:00"/>
    <n v="5010"/>
    <x v="3"/>
    <n v="910.93"/>
    <n v="0"/>
    <x v="3"/>
    <s v="CC300"/>
    <s v="AutoPost 1028"/>
    <s v="GBP"/>
    <s v="2024-08"/>
    <n v="-910.93"/>
    <m/>
  </r>
  <r>
    <s v="GL001029"/>
    <d v="2024-10-09T00:00:00"/>
    <n v="6000"/>
    <x v="2"/>
    <n v="973.12"/>
    <n v="0"/>
    <x v="2"/>
    <s v="CC100"/>
    <s v="AutoPost 1029"/>
    <s v="GBP"/>
    <s v="2024-10"/>
    <n v="-973.12"/>
    <m/>
  </r>
  <r>
    <s v="GL001030"/>
    <d v="2023-11-25T00:00:00"/>
    <n v="4010"/>
    <x v="4"/>
    <n v="0"/>
    <n v="3221.92"/>
    <x v="0"/>
    <s v="CC400"/>
    <s v="AutoPost 1030"/>
    <s v="USD"/>
    <s v="2023-11"/>
    <n v="3221.92"/>
    <m/>
  </r>
  <r>
    <s v="GL001031"/>
    <d v="2024-07-26T00:00:00"/>
    <n v="4010"/>
    <x v="4"/>
    <n v="0"/>
    <n v="4508.8599999999997"/>
    <x v="2"/>
    <s v="CC300"/>
    <s v="AutoPost 1031"/>
    <s v="CAD"/>
    <s v="2024-07"/>
    <n v="4508.8599999999997"/>
    <m/>
  </r>
  <r>
    <s v="GL001032"/>
    <d v="2023-02-13T00:00:00"/>
    <n v="4010"/>
    <x v="4"/>
    <n v="0"/>
    <n v="882.66"/>
    <x v="3"/>
    <s v="CC400"/>
    <s v="AutoPost 1032"/>
    <s v="USD"/>
    <s v="2023-02"/>
    <n v="882.66"/>
    <m/>
  </r>
  <r>
    <s v="GL001033"/>
    <d v="2024-03-19T00:00:00"/>
    <n v="6000"/>
    <x v="2"/>
    <n v="432.35"/>
    <n v="0"/>
    <x v="2"/>
    <s v="CC300"/>
    <s v="AutoPost 1033"/>
    <s v="CAD"/>
    <s v="2024-03"/>
    <n v="-432.35"/>
    <m/>
  </r>
  <r>
    <s v="GL001034"/>
    <d v="2023-05-04T00:00:00"/>
    <n v="4000"/>
    <x v="0"/>
    <n v="0"/>
    <n v="1578.7"/>
    <x v="3"/>
    <s v="CC100"/>
    <s v="AutoPost 1034"/>
    <s v="USD"/>
    <s v="2023-05"/>
    <n v="1578.7"/>
    <m/>
  </r>
  <r>
    <s v="GL001035"/>
    <d v="2023-07-10T00:00:00"/>
    <n v="6000"/>
    <x v="2"/>
    <n v="880.83"/>
    <n v="0"/>
    <x v="3"/>
    <s v="CC500"/>
    <s v="AutoPost 1035"/>
    <s v="GBP"/>
    <s v="2023-07"/>
    <n v="-880.83"/>
    <m/>
  </r>
  <r>
    <s v="GL001036"/>
    <d v="2024-04-10T00:00:00"/>
    <n v="4000"/>
    <x v="0"/>
    <n v="0"/>
    <n v="1378.62"/>
    <x v="2"/>
    <s v="CC500"/>
    <s v="AutoPost 1036"/>
    <s v="AUD"/>
    <s v="2024-04"/>
    <n v="1378.62"/>
    <m/>
  </r>
  <r>
    <s v="GL001037"/>
    <d v="2024-03-20T00:00:00"/>
    <n v="4000"/>
    <x v="0"/>
    <n v="0"/>
    <n v="1884.23"/>
    <x v="5"/>
    <s v="CC500"/>
    <s v="AutoPost 1037"/>
    <s v="USD"/>
    <s v="2024-03"/>
    <n v="1884.23"/>
    <m/>
  </r>
  <r>
    <s v="GL001038"/>
    <d v="2024-05-17T00:00:00"/>
    <n v="5000"/>
    <x v="1"/>
    <n v="398.06"/>
    <n v="0"/>
    <x v="4"/>
    <s v="CC200"/>
    <s v="AutoPost 1038"/>
    <s v="GBP"/>
    <s v="2024-05"/>
    <n v="-398.06"/>
    <m/>
  </r>
  <r>
    <s v="GL001039"/>
    <d v="2023-06-16T00:00:00"/>
    <n v="6000"/>
    <x v="2"/>
    <n v="1030.76"/>
    <n v="0"/>
    <x v="2"/>
    <s v="CC500"/>
    <s v="AutoPost 1039"/>
    <s v="EUR"/>
    <s v="2023-06"/>
    <n v="-1030.76"/>
    <m/>
  </r>
  <r>
    <s v="GL001040"/>
    <d v="2023-09-26T00:00:00"/>
    <n v="5010"/>
    <x v="3"/>
    <n v="1713"/>
    <n v="0"/>
    <x v="4"/>
    <s v="CC200"/>
    <s v="AutoPost 1040"/>
    <s v="AUD"/>
    <s v="2023-09"/>
    <n v="-1713"/>
    <m/>
  </r>
  <r>
    <s v="GL001041"/>
    <d v="2024-10-08T00:00:00"/>
    <n v="4000"/>
    <x v="0"/>
    <n v="0"/>
    <n v="3214.89"/>
    <x v="2"/>
    <s v="CC500"/>
    <s v="AutoPost 1041"/>
    <s v="AUD"/>
    <s v="2024-10"/>
    <n v="3214.89"/>
    <m/>
  </r>
  <r>
    <s v="GL001042"/>
    <d v="2024-03-13T00:00:00"/>
    <n v="4000"/>
    <x v="0"/>
    <n v="0"/>
    <n v="284.06"/>
    <x v="5"/>
    <s v="CC500"/>
    <s v="AutoPost 1042"/>
    <s v="AUD"/>
    <s v="2024-03"/>
    <n v="284.06"/>
    <m/>
  </r>
  <r>
    <s v="GL001043"/>
    <d v="2023-11-06T00:00:00"/>
    <n v="4010"/>
    <x v="4"/>
    <n v="0"/>
    <n v="3835.49"/>
    <x v="0"/>
    <s v="CC300"/>
    <s v="AutoPost 1043"/>
    <s v="GBP"/>
    <s v="2023-11"/>
    <n v="3835.49"/>
    <m/>
  </r>
  <r>
    <s v="GL001044"/>
    <d v="2023-08-03T00:00:00"/>
    <n v="5000"/>
    <x v="1"/>
    <n v="357.85"/>
    <n v="0"/>
    <x v="1"/>
    <s v="CC400"/>
    <s v="AutoPost 1044"/>
    <s v="GBP"/>
    <s v="2023-08"/>
    <n v="-357.85"/>
    <m/>
  </r>
  <r>
    <s v="GL001045"/>
    <d v="2023-05-06T00:00:00"/>
    <n v="4010"/>
    <x v="4"/>
    <n v="0"/>
    <n v="1435.58"/>
    <x v="3"/>
    <s v="CC200"/>
    <s v="AutoPost 1045"/>
    <s v="GBP"/>
    <s v="2023-05"/>
    <n v="1435.58"/>
    <m/>
  </r>
  <r>
    <s v="GL001046"/>
    <d v="2023-07-01T00:00:00"/>
    <n v="5000"/>
    <x v="1"/>
    <n v="163.47999999999999"/>
    <n v="0"/>
    <x v="5"/>
    <s v="CC200"/>
    <s v="AutoPost 1046"/>
    <s v="AUD"/>
    <s v="2023-07"/>
    <n v="-163.47999999999999"/>
    <m/>
  </r>
  <r>
    <s v="GL001047"/>
    <d v="2024-07-05T00:00:00"/>
    <n v="5010"/>
    <x v="3"/>
    <n v="1586.3"/>
    <n v="0"/>
    <x v="5"/>
    <s v="CC400"/>
    <s v="AutoPost 1047"/>
    <s v="CAD"/>
    <s v="2024-07"/>
    <n v="-1586.3"/>
    <m/>
  </r>
  <r>
    <s v="GL001048"/>
    <d v="2023-05-13T00:00:00"/>
    <n v="4010"/>
    <x v="4"/>
    <n v="0"/>
    <n v="1071.1300000000001"/>
    <x v="1"/>
    <s v="CC200"/>
    <s v="AutoPost 1048"/>
    <s v="USD"/>
    <s v="2023-05"/>
    <n v="1071.1300000000001"/>
    <m/>
  </r>
  <r>
    <s v="GL001049"/>
    <d v="2024-08-04T00:00:00"/>
    <n v="5010"/>
    <x v="3"/>
    <n v="1888.6"/>
    <n v="0"/>
    <x v="4"/>
    <s v="CC200"/>
    <s v="AutoPost 1049"/>
    <s v="EUR"/>
    <s v="2024-08"/>
    <n v="-1888.6"/>
    <m/>
  </r>
  <r>
    <s v="GL001050"/>
    <d v="2023-11-14T00:00:00"/>
    <n v="6000"/>
    <x v="2"/>
    <n v="1396.76"/>
    <n v="0"/>
    <x v="1"/>
    <s v="CC200"/>
    <s v="AutoPost 1050"/>
    <s v="USD"/>
    <s v="2023-11"/>
    <n v="-1396.76"/>
    <m/>
  </r>
  <r>
    <s v="GL001051"/>
    <d v="2023-02-11T00:00:00"/>
    <n v="4000"/>
    <x v="0"/>
    <n v="0"/>
    <n v="458.3"/>
    <x v="4"/>
    <s v="CC100"/>
    <s v="AutoPost 1051"/>
    <s v="EUR"/>
    <s v="2023-02"/>
    <n v="458.3"/>
    <m/>
  </r>
  <r>
    <s v="GL001052"/>
    <d v="2025-06-05T00:00:00"/>
    <n v="6000"/>
    <x v="2"/>
    <n v="1873.98"/>
    <n v="0"/>
    <x v="2"/>
    <s v="CC500"/>
    <s v="AutoPost 1052"/>
    <s v="CAD"/>
    <s v="2025-06"/>
    <n v="-1873.98"/>
    <m/>
  </r>
  <r>
    <s v="GL001053"/>
    <d v="2024-06-16T00:00:00"/>
    <n v="4010"/>
    <x v="4"/>
    <n v="0"/>
    <n v="550.03"/>
    <x v="2"/>
    <s v="CC100"/>
    <s v="AutoPost 1053"/>
    <s v="AUD"/>
    <s v="2024-06"/>
    <n v="550.03"/>
    <m/>
  </r>
  <r>
    <s v="GL001054"/>
    <d v="2023-08-06T00:00:00"/>
    <n v="5010"/>
    <x v="3"/>
    <n v="1300.8599999999999"/>
    <n v="0"/>
    <x v="5"/>
    <s v="CC300"/>
    <s v="AutoPost 1054"/>
    <s v="EUR"/>
    <s v="2023-08"/>
    <n v="-1300.8599999999999"/>
    <m/>
  </r>
  <r>
    <s v="GL001055"/>
    <d v="2023-11-24T00:00:00"/>
    <n v="6000"/>
    <x v="2"/>
    <n v="509.12"/>
    <n v="0"/>
    <x v="5"/>
    <s v="CC300"/>
    <s v="AutoPost 1055"/>
    <s v="CAD"/>
    <s v="2023-11"/>
    <n v="-509.12"/>
    <m/>
  </r>
  <r>
    <s v="GL001056"/>
    <d v="2025-05-05T00:00:00"/>
    <n v="6000"/>
    <x v="2"/>
    <n v="1328.19"/>
    <n v="0"/>
    <x v="4"/>
    <s v="CC500"/>
    <s v="AutoPost 1056"/>
    <s v="CAD"/>
    <s v="2025-05"/>
    <n v="-1328.19"/>
    <m/>
  </r>
  <r>
    <s v="GL001057"/>
    <d v="2024-09-24T00:00:00"/>
    <n v="4000"/>
    <x v="0"/>
    <n v="0"/>
    <n v="2455.5100000000002"/>
    <x v="0"/>
    <s v="CC500"/>
    <s v="AutoPost 1057"/>
    <s v="AUD"/>
    <s v="2024-09"/>
    <n v="2455.5100000000002"/>
    <m/>
  </r>
  <r>
    <s v="GL001058"/>
    <d v="2025-05-14T00:00:00"/>
    <n v="4000"/>
    <x v="0"/>
    <n v="0"/>
    <n v="723.85"/>
    <x v="5"/>
    <s v="CC500"/>
    <s v="AutoPost 1058"/>
    <s v="USD"/>
    <s v="2025-05"/>
    <n v="723.85"/>
    <m/>
  </r>
  <r>
    <s v="GL001059"/>
    <d v="2023-12-27T00:00:00"/>
    <n v="4010"/>
    <x v="4"/>
    <n v="0"/>
    <n v="544.42999999999995"/>
    <x v="1"/>
    <s v="CC500"/>
    <s v="AutoPost 1059"/>
    <s v="CAD"/>
    <s v="2023-12"/>
    <n v="544.42999999999995"/>
    <m/>
  </r>
  <r>
    <s v="GL001060"/>
    <d v="2023-09-06T00:00:00"/>
    <n v="5000"/>
    <x v="1"/>
    <n v="1812.2"/>
    <n v="0"/>
    <x v="1"/>
    <s v="CC100"/>
    <s v="AutoPost 1060"/>
    <s v="GBP"/>
    <s v="2023-09"/>
    <n v="-1812.2"/>
    <m/>
  </r>
  <r>
    <s v="GL001061"/>
    <d v="2023-11-12T00:00:00"/>
    <n v="5010"/>
    <x v="3"/>
    <n v="1323.46"/>
    <n v="0"/>
    <x v="2"/>
    <s v="CC100"/>
    <s v="AutoPost 1061"/>
    <s v="GBP"/>
    <s v="2023-11"/>
    <n v="-1323.46"/>
    <m/>
  </r>
  <r>
    <s v="GL001062"/>
    <d v="2024-01-24T00:00:00"/>
    <n v="5000"/>
    <x v="1"/>
    <n v="254.62"/>
    <n v="0"/>
    <x v="0"/>
    <s v="CC300"/>
    <s v="AutoPost 1062"/>
    <s v="USD"/>
    <s v="2024-01"/>
    <n v="-254.62"/>
    <m/>
  </r>
  <r>
    <s v="GL001063"/>
    <d v="2024-10-02T00:00:00"/>
    <n v="5010"/>
    <x v="3"/>
    <n v="1198.8900000000001"/>
    <n v="0"/>
    <x v="5"/>
    <s v="CC300"/>
    <s v="AutoPost 1063"/>
    <s v="GBP"/>
    <s v="2024-10"/>
    <n v="-1198.8900000000001"/>
    <m/>
  </r>
  <r>
    <s v="GL001064"/>
    <d v="2024-06-19T00:00:00"/>
    <n v="5010"/>
    <x v="3"/>
    <n v="556.48"/>
    <n v="0"/>
    <x v="3"/>
    <s v="CC100"/>
    <s v="AutoPost 1064"/>
    <s v="GBP"/>
    <s v="2024-06"/>
    <n v="-556.48"/>
    <m/>
  </r>
  <r>
    <s v="GL001065"/>
    <d v="2023-06-26T00:00:00"/>
    <n v="4010"/>
    <x v="4"/>
    <n v="0"/>
    <n v="3204.3"/>
    <x v="5"/>
    <s v="CC100"/>
    <s v="AutoPost 1065"/>
    <s v="CAD"/>
    <s v="2023-06"/>
    <n v="3204.3"/>
    <m/>
  </r>
  <r>
    <s v="GL001066"/>
    <d v="2025-06-19T00:00:00"/>
    <n v="6000"/>
    <x v="2"/>
    <n v="322.5"/>
    <n v="0"/>
    <x v="1"/>
    <s v="CC100"/>
    <s v="AutoPost 1066"/>
    <s v="EUR"/>
    <s v="2025-06"/>
    <n v="-322.5"/>
    <m/>
  </r>
  <r>
    <s v="GL001067"/>
    <d v="2023-04-17T00:00:00"/>
    <n v="6000"/>
    <x v="2"/>
    <n v="916.19"/>
    <n v="0"/>
    <x v="5"/>
    <s v="CC200"/>
    <s v="AutoPost 1067"/>
    <s v="GBP"/>
    <s v="2023-04"/>
    <n v="-916.19"/>
    <m/>
  </r>
  <r>
    <s v="GL001068"/>
    <d v="2025-04-09T00:00:00"/>
    <n v="5010"/>
    <x v="3"/>
    <n v="202.58"/>
    <n v="0"/>
    <x v="5"/>
    <s v="CC200"/>
    <s v="AutoPost 1068"/>
    <s v="AUD"/>
    <s v="2025-04"/>
    <n v="-202.58"/>
    <m/>
  </r>
  <r>
    <s v="GL001069"/>
    <d v="2024-12-07T00:00:00"/>
    <n v="4000"/>
    <x v="0"/>
    <n v="0"/>
    <n v="4558.3900000000003"/>
    <x v="4"/>
    <s v="CC400"/>
    <s v="AutoPost 1069"/>
    <s v="EUR"/>
    <s v="2024-12"/>
    <n v="4558.3900000000003"/>
    <m/>
  </r>
  <r>
    <s v="GL001070"/>
    <d v="2023-04-02T00:00:00"/>
    <n v="6000"/>
    <x v="2"/>
    <n v="962.74"/>
    <n v="0"/>
    <x v="1"/>
    <s v="CC100"/>
    <s v="AutoPost 1070"/>
    <s v="USD"/>
    <s v="2023-04"/>
    <n v="-962.74"/>
    <m/>
  </r>
  <r>
    <s v="GL001071"/>
    <d v="2024-04-07T00:00:00"/>
    <n v="6000"/>
    <x v="2"/>
    <n v="996.08"/>
    <n v="0"/>
    <x v="1"/>
    <s v="CC100"/>
    <s v="AutoPost 1071"/>
    <s v="EUR"/>
    <s v="2024-04"/>
    <n v="-996.08"/>
    <m/>
  </r>
  <r>
    <s v="GL001072"/>
    <d v="2025-01-23T00:00:00"/>
    <n v="6000"/>
    <x v="2"/>
    <n v="1399.67"/>
    <n v="0"/>
    <x v="4"/>
    <s v="CC100"/>
    <s v="AutoPost 1072"/>
    <s v="CAD"/>
    <s v="2025-01"/>
    <n v="-1399.67"/>
    <m/>
  </r>
  <r>
    <s v="GL001073"/>
    <d v="2023-10-14T00:00:00"/>
    <n v="4010"/>
    <x v="4"/>
    <n v="0"/>
    <n v="1644.76"/>
    <x v="1"/>
    <s v="CC500"/>
    <s v="AutoPost 1073"/>
    <s v="CAD"/>
    <s v="2023-10"/>
    <n v="1644.76"/>
    <m/>
  </r>
  <r>
    <s v="GL001074"/>
    <d v="2024-03-09T00:00:00"/>
    <n v="5000"/>
    <x v="1"/>
    <n v="1049.23"/>
    <n v="0"/>
    <x v="0"/>
    <s v="CC500"/>
    <s v="AutoPost 1074"/>
    <s v="AUD"/>
    <s v="2024-03"/>
    <n v="-1049.23"/>
    <m/>
  </r>
  <r>
    <s v="GL001075"/>
    <d v="2023-05-26T00:00:00"/>
    <n v="5000"/>
    <x v="1"/>
    <n v="1655.29"/>
    <n v="0"/>
    <x v="1"/>
    <s v="CC500"/>
    <s v="AutoPost 1075"/>
    <s v="USD"/>
    <s v="2023-05"/>
    <n v="-1655.29"/>
    <m/>
  </r>
  <r>
    <s v="GL001076"/>
    <d v="2024-12-30T00:00:00"/>
    <n v="5010"/>
    <x v="3"/>
    <n v="1402.31"/>
    <n v="0"/>
    <x v="5"/>
    <s v="CC100"/>
    <s v="AutoPost 1076"/>
    <s v="EUR"/>
    <s v="2024-12"/>
    <n v="-1402.31"/>
    <m/>
  </r>
  <r>
    <s v="GL001077"/>
    <d v="2023-07-27T00:00:00"/>
    <n v="5010"/>
    <x v="3"/>
    <n v="833.9"/>
    <n v="0"/>
    <x v="0"/>
    <s v="CC400"/>
    <s v="AutoPost 1077"/>
    <s v="EUR"/>
    <s v="2023-07"/>
    <n v="-833.9"/>
    <m/>
  </r>
  <r>
    <s v="GL001078"/>
    <d v="2023-04-16T00:00:00"/>
    <n v="4000"/>
    <x v="0"/>
    <n v="0"/>
    <n v="3759.18"/>
    <x v="3"/>
    <s v="CC500"/>
    <s v="AutoPost 1078"/>
    <s v="CAD"/>
    <s v="2023-04"/>
    <n v="3759.18"/>
    <m/>
  </r>
  <r>
    <s v="GL001079"/>
    <d v="2024-06-27T00:00:00"/>
    <n v="6000"/>
    <x v="2"/>
    <n v="67.150000000000006"/>
    <n v="0"/>
    <x v="3"/>
    <s v="CC300"/>
    <s v="AutoPost 1079"/>
    <s v="USD"/>
    <s v="2024-06"/>
    <n v="-67.150000000000006"/>
    <m/>
  </r>
  <r>
    <s v="GL001080"/>
    <d v="2023-02-11T00:00:00"/>
    <n v="5000"/>
    <x v="1"/>
    <n v="1138.3599999999999"/>
    <n v="0"/>
    <x v="5"/>
    <s v="CC400"/>
    <s v="AutoPost 1080"/>
    <s v="CAD"/>
    <s v="2023-02"/>
    <n v="-1138.3599999999999"/>
    <m/>
  </r>
  <r>
    <s v="GL001081"/>
    <d v="2023-05-20T00:00:00"/>
    <n v="6000"/>
    <x v="2"/>
    <n v="1356.38"/>
    <n v="0"/>
    <x v="4"/>
    <s v="CC200"/>
    <s v="AutoPost 1081"/>
    <s v="CAD"/>
    <s v="2023-05"/>
    <n v="-1356.38"/>
    <m/>
  </r>
  <r>
    <s v="GL001082"/>
    <d v="2025-03-05T00:00:00"/>
    <n v="5010"/>
    <x v="3"/>
    <n v="1770.21"/>
    <n v="0"/>
    <x v="0"/>
    <s v="CC200"/>
    <s v="AutoPost 1082"/>
    <s v="GBP"/>
    <s v="2025-03"/>
    <n v="-1770.21"/>
    <m/>
  </r>
  <r>
    <s v="GL001083"/>
    <d v="2025-02-28T00:00:00"/>
    <n v="5000"/>
    <x v="1"/>
    <n v="1240.48"/>
    <n v="0"/>
    <x v="3"/>
    <s v="CC300"/>
    <s v="AutoPost 1083"/>
    <s v="EUR"/>
    <s v="2025-02"/>
    <n v="-1240.48"/>
    <m/>
  </r>
  <r>
    <s v="GL001084"/>
    <d v="2025-04-05T00:00:00"/>
    <n v="5010"/>
    <x v="3"/>
    <n v="1870.74"/>
    <n v="0"/>
    <x v="1"/>
    <s v="CC200"/>
    <s v="AutoPost 1084"/>
    <s v="AUD"/>
    <s v="2025-04"/>
    <n v="-1870.74"/>
    <m/>
  </r>
  <r>
    <s v="GL001085"/>
    <d v="2024-12-02T00:00:00"/>
    <n v="5010"/>
    <x v="3"/>
    <n v="1295.49"/>
    <n v="0"/>
    <x v="0"/>
    <s v="CC200"/>
    <s v="AutoPost 1085"/>
    <s v="GBP"/>
    <s v="2024-12"/>
    <n v="-1295.49"/>
    <m/>
  </r>
  <r>
    <s v="GL001086"/>
    <d v="2025-06-19T00:00:00"/>
    <n v="5010"/>
    <x v="3"/>
    <n v="403.44"/>
    <n v="0"/>
    <x v="3"/>
    <s v="CC100"/>
    <s v="AutoPost 1086"/>
    <s v="EUR"/>
    <s v="2025-06"/>
    <n v="-403.44"/>
    <m/>
  </r>
  <r>
    <s v="GL001087"/>
    <d v="2023-10-16T00:00:00"/>
    <n v="4010"/>
    <x v="4"/>
    <n v="0"/>
    <n v="298.58"/>
    <x v="2"/>
    <s v="CC300"/>
    <s v="AutoPost 1087"/>
    <s v="AUD"/>
    <s v="2023-10"/>
    <n v="298.58"/>
    <m/>
  </r>
  <r>
    <s v="GL001088"/>
    <d v="2024-01-23T00:00:00"/>
    <n v="4010"/>
    <x v="4"/>
    <n v="0"/>
    <n v="2967.77"/>
    <x v="5"/>
    <s v="CC500"/>
    <s v="AutoPost 1088"/>
    <s v="GBP"/>
    <s v="2024-01"/>
    <n v="2967.77"/>
    <m/>
  </r>
  <r>
    <s v="GL001089"/>
    <d v="2023-02-01T00:00:00"/>
    <n v="4010"/>
    <x v="4"/>
    <n v="0"/>
    <n v="322.85000000000002"/>
    <x v="5"/>
    <s v="CC400"/>
    <s v="AutoPost 1089"/>
    <s v="USD"/>
    <s v="2023-02"/>
    <n v="322.85000000000002"/>
    <m/>
  </r>
  <r>
    <s v="GL001090"/>
    <d v="2023-04-09T00:00:00"/>
    <n v="5010"/>
    <x v="3"/>
    <n v="1178.57"/>
    <n v="0"/>
    <x v="2"/>
    <s v="CC100"/>
    <s v="AutoPost 1090"/>
    <s v="CAD"/>
    <s v="2023-04"/>
    <n v="-1178.57"/>
    <m/>
  </r>
  <r>
    <s v="GL001091"/>
    <d v="2024-06-11T00:00:00"/>
    <n v="5010"/>
    <x v="3"/>
    <n v="572.52"/>
    <n v="0"/>
    <x v="5"/>
    <s v="CC200"/>
    <s v="AutoPost 1091"/>
    <s v="USD"/>
    <s v="2024-06"/>
    <n v="-572.52"/>
    <m/>
  </r>
  <r>
    <s v="GL001092"/>
    <d v="2023-10-29T00:00:00"/>
    <n v="4000"/>
    <x v="0"/>
    <n v="0"/>
    <n v="1038.25"/>
    <x v="3"/>
    <s v="CC400"/>
    <s v="AutoPost 1092"/>
    <s v="GBP"/>
    <s v="2023-10"/>
    <n v="1038.25"/>
    <m/>
  </r>
  <r>
    <s v="GL001093"/>
    <d v="2023-02-25T00:00:00"/>
    <n v="5010"/>
    <x v="3"/>
    <n v="54.75"/>
    <n v="0"/>
    <x v="1"/>
    <s v="CC300"/>
    <s v="AutoPost 1093"/>
    <s v="GBP"/>
    <s v="2023-02"/>
    <n v="-54.75"/>
    <m/>
  </r>
  <r>
    <s v="GL001094"/>
    <d v="2024-04-19T00:00:00"/>
    <n v="5010"/>
    <x v="3"/>
    <n v="229.78"/>
    <n v="0"/>
    <x v="3"/>
    <s v="CC300"/>
    <s v="AutoPost 1094"/>
    <s v="USD"/>
    <s v="2024-04"/>
    <n v="-229.78"/>
    <m/>
  </r>
  <r>
    <s v="GL001095"/>
    <d v="2024-07-24T00:00:00"/>
    <n v="5010"/>
    <x v="3"/>
    <n v="1195.8599999999999"/>
    <n v="0"/>
    <x v="5"/>
    <s v="CC300"/>
    <s v="AutoPost 1095"/>
    <s v="CAD"/>
    <s v="2024-07"/>
    <n v="-1195.8599999999999"/>
    <m/>
  </r>
  <r>
    <s v="GL001096"/>
    <d v="2025-04-18T00:00:00"/>
    <n v="4000"/>
    <x v="0"/>
    <n v="0"/>
    <n v="183.89"/>
    <x v="3"/>
    <s v="CC200"/>
    <s v="AutoPost 1096"/>
    <s v="AUD"/>
    <s v="2025-04"/>
    <n v="183.89"/>
    <m/>
  </r>
  <r>
    <s v="GL001097"/>
    <d v="2025-02-20T00:00:00"/>
    <n v="5010"/>
    <x v="3"/>
    <n v="786.38"/>
    <n v="0"/>
    <x v="4"/>
    <s v="CC200"/>
    <s v="AutoPost 1097"/>
    <s v="CAD"/>
    <s v="2025-02"/>
    <n v="-786.38"/>
    <m/>
  </r>
  <r>
    <s v="GL001098"/>
    <d v="2025-06-01T00:00:00"/>
    <n v="5010"/>
    <x v="3"/>
    <n v="352.55"/>
    <n v="0"/>
    <x v="2"/>
    <s v="CC200"/>
    <s v="AutoPost 1098"/>
    <s v="EUR"/>
    <s v="2025-06"/>
    <n v="-352.55"/>
    <m/>
  </r>
  <r>
    <s v="GL001099"/>
    <d v="2023-06-17T00:00:00"/>
    <n v="6000"/>
    <x v="2"/>
    <n v="1814.7"/>
    <n v="0"/>
    <x v="2"/>
    <s v="CC100"/>
    <s v="AutoPost 1099"/>
    <s v="USD"/>
    <s v="2023-06"/>
    <n v="-1814.7"/>
    <m/>
  </r>
  <r>
    <s v="GL001100"/>
    <d v="2023-09-13T00:00:00"/>
    <n v="4000"/>
    <x v="0"/>
    <n v="0"/>
    <n v="4099.41"/>
    <x v="3"/>
    <s v="CC500"/>
    <s v="AutoPost 1100"/>
    <s v="USD"/>
    <s v="2023-09"/>
    <n v="4099.41"/>
    <m/>
  </r>
  <r>
    <s v="GL001101"/>
    <d v="2025-05-16T00:00:00"/>
    <n v="4000"/>
    <x v="0"/>
    <n v="0"/>
    <n v="1953.74"/>
    <x v="5"/>
    <s v="CC300"/>
    <s v="AutoPost 1101"/>
    <s v="GBP"/>
    <s v="2025-05"/>
    <n v="1953.74"/>
    <m/>
  </r>
  <r>
    <s v="GL001102"/>
    <d v="2024-01-28T00:00:00"/>
    <n v="5000"/>
    <x v="1"/>
    <n v="242.28"/>
    <n v="0"/>
    <x v="4"/>
    <s v="CC400"/>
    <s v="AutoPost 1102"/>
    <s v="USD"/>
    <s v="2024-01"/>
    <n v="-242.28"/>
    <m/>
  </r>
  <r>
    <s v="GL001103"/>
    <d v="2024-05-22T00:00:00"/>
    <n v="4010"/>
    <x v="4"/>
    <n v="0"/>
    <n v="3335.43"/>
    <x v="5"/>
    <s v="CC200"/>
    <s v="AutoPost 1103"/>
    <s v="USD"/>
    <s v="2024-05"/>
    <n v="3335.43"/>
    <m/>
  </r>
  <r>
    <s v="GL001104"/>
    <d v="2023-08-29T00:00:00"/>
    <n v="5010"/>
    <x v="3"/>
    <n v="831.33"/>
    <n v="0"/>
    <x v="5"/>
    <s v="CC200"/>
    <s v="AutoPost 1104"/>
    <s v="CAD"/>
    <s v="2023-08"/>
    <n v="-831.33"/>
    <m/>
  </r>
  <r>
    <s v="GL001105"/>
    <d v="2024-02-22T00:00:00"/>
    <n v="4000"/>
    <x v="0"/>
    <n v="0"/>
    <n v="406.59"/>
    <x v="0"/>
    <s v="CC100"/>
    <s v="AutoPost 1105"/>
    <s v="EUR"/>
    <s v="2024-02"/>
    <n v="406.59"/>
    <m/>
  </r>
  <r>
    <s v="GL001106"/>
    <d v="2024-02-03T00:00:00"/>
    <n v="6000"/>
    <x v="2"/>
    <n v="1813.03"/>
    <n v="0"/>
    <x v="4"/>
    <s v="CC100"/>
    <s v="AutoPost 1106"/>
    <s v="EUR"/>
    <s v="2024-02"/>
    <n v="-1813.03"/>
    <m/>
  </r>
  <r>
    <s v="GL001107"/>
    <d v="2024-02-16T00:00:00"/>
    <n v="4000"/>
    <x v="0"/>
    <n v="0"/>
    <n v="2019.11"/>
    <x v="1"/>
    <s v="CC300"/>
    <s v="AutoPost 1107"/>
    <s v="AUD"/>
    <s v="2024-02"/>
    <n v="2019.11"/>
    <m/>
  </r>
  <r>
    <s v="GL001108"/>
    <d v="2024-03-08T00:00:00"/>
    <n v="6000"/>
    <x v="2"/>
    <n v="1278.3800000000001"/>
    <n v="0"/>
    <x v="1"/>
    <s v="CC200"/>
    <s v="AutoPost 1108"/>
    <s v="EUR"/>
    <s v="2024-03"/>
    <n v="-1278.3800000000001"/>
    <m/>
  </r>
  <r>
    <s v="GL001109"/>
    <d v="2023-04-07T00:00:00"/>
    <n v="4000"/>
    <x v="0"/>
    <n v="0"/>
    <n v="2058.58"/>
    <x v="4"/>
    <s v="CC300"/>
    <s v="AutoPost 1109"/>
    <s v="CAD"/>
    <s v="2023-04"/>
    <n v="2058.58"/>
    <m/>
  </r>
  <r>
    <s v="GL001110"/>
    <d v="2024-08-28T00:00:00"/>
    <n v="6000"/>
    <x v="2"/>
    <n v="1453.63"/>
    <n v="0"/>
    <x v="0"/>
    <s v="CC400"/>
    <s v="AutoPost 1110"/>
    <s v="AUD"/>
    <s v="2024-08"/>
    <n v="-1453.63"/>
    <m/>
  </r>
  <r>
    <s v="GL001111"/>
    <d v="2023-09-04T00:00:00"/>
    <n v="4000"/>
    <x v="0"/>
    <n v="0"/>
    <n v="2233.0500000000002"/>
    <x v="4"/>
    <s v="CC300"/>
    <s v="AutoPost 1111"/>
    <s v="AUD"/>
    <s v="2023-09"/>
    <n v="2233.0500000000002"/>
    <m/>
  </r>
  <r>
    <s v="GL001112"/>
    <d v="2023-09-22T00:00:00"/>
    <n v="5010"/>
    <x v="3"/>
    <n v="836.69"/>
    <n v="0"/>
    <x v="0"/>
    <s v="CC300"/>
    <s v="AutoPost 1112"/>
    <s v="AUD"/>
    <s v="2023-09"/>
    <n v="-836.69"/>
    <m/>
  </r>
  <r>
    <s v="GL001113"/>
    <d v="2023-01-02T00:00:00"/>
    <n v="4000"/>
    <x v="0"/>
    <n v="0"/>
    <n v="2173.0100000000002"/>
    <x v="3"/>
    <s v="CC200"/>
    <s v="AutoPost 1113"/>
    <s v="GBP"/>
    <s v="2023-01"/>
    <n v="2173.0100000000002"/>
    <m/>
  </r>
  <r>
    <s v="GL001114"/>
    <d v="2024-02-12T00:00:00"/>
    <n v="4000"/>
    <x v="0"/>
    <n v="0"/>
    <n v="3592.24"/>
    <x v="4"/>
    <s v="CC400"/>
    <s v="AutoPost 1114"/>
    <s v="AUD"/>
    <s v="2024-02"/>
    <n v="3592.24"/>
    <m/>
  </r>
  <r>
    <s v="GL001115"/>
    <d v="2024-09-16T00:00:00"/>
    <n v="5010"/>
    <x v="3"/>
    <n v="412.97"/>
    <n v="0"/>
    <x v="5"/>
    <s v="CC400"/>
    <s v="AutoPost 1115"/>
    <s v="AUD"/>
    <s v="2024-09"/>
    <n v="-412.97"/>
    <m/>
  </r>
  <r>
    <s v="GL001116"/>
    <d v="2024-03-19T00:00:00"/>
    <n v="6000"/>
    <x v="2"/>
    <n v="732.61"/>
    <n v="0"/>
    <x v="4"/>
    <s v="CC300"/>
    <s v="AutoPost 1116"/>
    <s v="AUD"/>
    <s v="2024-03"/>
    <n v="-732.61"/>
    <m/>
  </r>
  <r>
    <s v="GL001117"/>
    <d v="2023-10-20T00:00:00"/>
    <n v="4010"/>
    <x v="4"/>
    <n v="0"/>
    <n v="2538.6999999999998"/>
    <x v="0"/>
    <s v="CC100"/>
    <s v="AutoPost 1117"/>
    <s v="GBP"/>
    <s v="2023-10"/>
    <n v="2538.6999999999998"/>
    <m/>
  </r>
  <r>
    <s v="GL001118"/>
    <d v="2024-09-04T00:00:00"/>
    <n v="5010"/>
    <x v="3"/>
    <n v="436.55"/>
    <n v="0"/>
    <x v="0"/>
    <s v="CC300"/>
    <s v="AutoPost 1118"/>
    <s v="GBP"/>
    <s v="2024-09"/>
    <n v="-436.55"/>
    <m/>
  </r>
  <r>
    <s v="GL001119"/>
    <d v="2023-07-28T00:00:00"/>
    <n v="5010"/>
    <x v="3"/>
    <n v="1687.08"/>
    <n v="0"/>
    <x v="5"/>
    <s v="CC200"/>
    <s v="AutoPost 1119"/>
    <s v="CAD"/>
    <s v="2023-07"/>
    <n v="-1687.08"/>
    <m/>
  </r>
  <r>
    <s v="GL001120"/>
    <d v="2024-02-20T00:00:00"/>
    <n v="5000"/>
    <x v="1"/>
    <n v="1337.28"/>
    <n v="0"/>
    <x v="1"/>
    <s v="CC400"/>
    <s v="AutoPost 1120"/>
    <s v="GBP"/>
    <s v="2024-02"/>
    <n v="-1337.28"/>
    <m/>
  </r>
  <r>
    <s v="GL001121"/>
    <d v="2025-02-24T00:00:00"/>
    <n v="4010"/>
    <x v="4"/>
    <n v="0"/>
    <n v="2049.4499999999998"/>
    <x v="4"/>
    <s v="CC300"/>
    <s v="AutoPost 1121"/>
    <s v="CAD"/>
    <s v="2025-02"/>
    <n v="2049.4499999999998"/>
    <m/>
  </r>
  <r>
    <s v="GL001122"/>
    <d v="2023-07-15T00:00:00"/>
    <n v="4010"/>
    <x v="4"/>
    <n v="0"/>
    <n v="760.5"/>
    <x v="3"/>
    <s v="CC400"/>
    <s v="AutoPost 1122"/>
    <s v="CAD"/>
    <s v="2023-07"/>
    <n v="760.5"/>
    <m/>
  </r>
  <r>
    <s v="GL001123"/>
    <d v="2024-10-17T00:00:00"/>
    <n v="6000"/>
    <x v="2"/>
    <n v="239.34"/>
    <n v="0"/>
    <x v="1"/>
    <s v="CC100"/>
    <s v="AutoPost 1123"/>
    <s v="GBP"/>
    <s v="2024-10"/>
    <n v="-239.34"/>
    <m/>
  </r>
  <r>
    <s v="GL001124"/>
    <d v="2025-03-06T00:00:00"/>
    <n v="6000"/>
    <x v="2"/>
    <n v="882.43"/>
    <n v="0"/>
    <x v="0"/>
    <s v="CC500"/>
    <s v="AutoPost 1124"/>
    <s v="EUR"/>
    <s v="2025-03"/>
    <n v="-882.43"/>
    <m/>
  </r>
  <r>
    <s v="GL001125"/>
    <d v="2024-06-08T00:00:00"/>
    <n v="4010"/>
    <x v="4"/>
    <n v="0"/>
    <n v="4016.46"/>
    <x v="4"/>
    <s v="CC300"/>
    <s v="AutoPost 1125"/>
    <s v="EUR"/>
    <s v="2024-06"/>
    <n v="4016.46"/>
    <m/>
  </r>
  <r>
    <s v="GL001126"/>
    <d v="2023-04-11T00:00:00"/>
    <n v="6000"/>
    <x v="2"/>
    <n v="1217.1199999999999"/>
    <n v="0"/>
    <x v="4"/>
    <s v="CC500"/>
    <s v="AutoPost 1126"/>
    <s v="AUD"/>
    <s v="2023-04"/>
    <n v="-1217.1199999999999"/>
    <m/>
  </r>
  <r>
    <s v="GL001127"/>
    <d v="2024-10-05T00:00:00"/>
    <n v="4000"/>
    <x v="0"/>
    <n v="0"/>
    <n v="396.28"/>
    <x v="0"/>
    <s v="CC200"/>
    <s v="AutoPost 1127"/>
    <s v="AUD"/>
    <s v="2024-10"/>
    <n v="396.28"/>
    <m/>
  </r>
  <r>
    <s v="GL001128"/>
    <d v="2023-05-14T00:00:00"/>
    <n v="5010"/>
    <x v="3"/>
    <n v="682.65"/>
    <n v="0"/>
    <x v="0"/>
    <s v="CC400"/>
    <s v="AutoPost 1128"/>
    <s v="GBP"/>
    <s v="2023-05"/>
    <n v="-682.65"/>
    <m/>
  </r>
  <r>
    <s v="GL001129"/>
    <d v="2023-04-23T00:00:00"/>
    <n v="5000"/>
    <x v="1"/>
    <n v="959.31"/>
    <n v="0"/>
    <x v="0"/>
    <s v="CC300"/>
    <s v="AutoPost 1129"/>
    <s v="GBP"/>
    <s v="2023-04"/>
    <n v="-959.31"/>
    <m/>
  </r>
  <r>
    <s v="GL001130"/>
    <d v="2024-03-20T00:00:00"/>
    <n v="6000"/>
    <x v="2"/>
    <n v="431.95"/>
    <n v="0"/>
    <x v="3"/>
    <s v="CC400"/>
    <s v="AutoPost 1130"/>
    <s v="USD"/>
    <s v="2024-03"/>
    <n v="-431.95"/>
    <m/>
  </r>
  <r>
    <s v="GL001131"/>
    <d v="2025-06-09T00:00:00"/>
    <n v="5000"/>
    <x v="1"/>
    <n v="274.33"/>
    <n v="0"/>
    <x v="4"/>
    <s v="CC400"/>
    <s v="AutoPost 1131"/>
    <s v="CAD"/>
    <s v="2025-06"/>
    <n v="-274.33"/>
    <m/>
  </r>
  <r>
    <s v="GL001132"/>
    <d v="2024-09-09T00:00:00"/>
    <n v="4000"/>
    <x v="0"/>
    <n v="0"/>
    <n v="4439.8900000000003"/>
    <x v="0"/>
    <s v="CC400"/>
    <s v="AutoPost 1132"/>
    <s v="EUR"/>
    <s v="2024-09"/>
    <n v="4439.8900000000003"/>
    <m/>
  </r>
  <r>
    <s v="GL001133"/>
    <d v="2024-07-17T00:00:00"/>
    <n v="4010"/>
    <x v="4"/>
    <n v="0"/>
    <n v="1093.95"/>
    <x v="4"/>
    <s v="CC100"/>
    <s v="AutoPost 1133"/>
    <s v="USD"/>
    <s v="2024-07"/>
    <n v="1093.95"/>
    <m/>
  </r>
  <r>
    <s v="GL001134"/>
    <d v="2024-11-18T00:00:00"/>
    <n v="5000"/>
    <x v="1"/>
    <n v="900.67"/>
    <n v="0"/>
    <x v="3"/>
    <s v="CC200"/>
    <s v="AutoPost 1134"/>
    <s v="AUD"/>
    <s v="2024-11"/>
    <n v="-900.67"/>
    <m/>
  </r>
  <r>
    <s v="GL001135"/>
    <d v="2023-11-12T00:00:00"/>
    <n v="4000"/>
    <x v="0"/>
    <n v="0"/>
    <n v="2284.31"/>
    <x v="2"/>
    <s v="CC500"/>
    <s v="AutoPost 1135"/>
    <s v="AUD"/>
    <s v="2023-11"/>
    <n v="2284.31"/>
    <m/>
  </r>
  <r>
    <s v="GL001136"/>
    <d v="2023-12-20T00:00:00"/>
    <n v="5000"/>
    <x v="1"/>
    <n v="1994.11"/>
    <n v="0"/>
    <x v="5"/>
    <s v="CC400"/>
    <s v="AutoPost 1136"/>
    <s v="AUD"/>
    <s v="2023-12"/>
    <n v="-1994.11"/>
    <m/>
  </r>
  <r>
    <s v="GL001137"/>
    <d v="2023-06-06T00:00:00"/>
    <n v="5000"/>
    <x v="1"/>
    <n v="286.3"/>
    <n v="0"/>
    <x v="3"/>
    <s v="CC200"/>
    <s v="AutoPost 1137"/>
    <s v="CAD"/>
    <s v="2023-06"/>
    <n v="-286.3"/>
    <m/>
  </r>
  <r>
    <s v="GL001138"/>
    <d v="2023-01-27T00:00:00"/>
    <n v="6000"/>
    <x v="2"/>
    <n v="1069.23"/>
    <n v="0"/>
    <x v="5"/>
    <s v="CC400"/>
    <s v="AutoPost 1138"/>
    <s v="CAD"/>
    <s v="2023-01"/>
    <n v="-1069.23"/>
    <m/>
  </r>
  <r>
    <s v="GL001139"/>
    <d v="2024-09-12T00:00:00"/>
    <n v="6000"/>
    <x v="2"/>
    <n v="901.69"/>
    <n v="0"/>
    <x v="1"/>
    <s v="CC500"/>
    <s v="AutoPost 1139"/>
    <s v="AUD"/>
    <s v="2024-09"/>
    <n v="-901.69"/>
    <m/>
  </r>
  <r>
    <s v="GL001140"/>
    <d v="2023-11-21T00:00:00"/>
    <n v="6000"/>
    <x v="2"/>
    <n v="1692.4"/>
    <n v="0"/>
    <x v="2"/>
    <s v="CC200"/>
    <s v="AutoPost 1140"/>
    <s v="CAD"/>
    <s v="2023-11"/>
    <n v="-1692.4"/>
    <m/>
  </r>
  <r>
    <s v="GL001141"/>
    <d v="2024-07-31T00:00:00"/>
    <n v="4010"/>
    <x v="4"/>
    <n v="0"/>
    <n v="4894.3999999999996"/>
    <x v="0"/>
    <s v="CC500"/>
    <s v="AutoPost 1141"/>
    <s v="USD"/>
    <s v="2024-07"/>
    <n v="4894.3999999999996"/>
    <m/>
  </r>
  <r>
    <s v="GL001142"/>
    <d v="2023-12-30T00:00:00"/>
    <n v="5000"/>
    <x v="1"/>
    <n v="535.66999999999996"/>
    <n v="0"/>
    <x v="0"/>
    <s v="CC500"/>
    <s v="AutoPost 1142"/>
    <s v="CAD"/>
    <s v="2023-12"/>
    <n v="-535.66999999999996"/>
    <m/>
  </r>
  <r>
    <s v="GL001143"/>
    <d v="2024-08-08T00:00:00"/>
    <n v="6000"/>
    <x v="2"/>
    <n v="1153.45"/>
    <n v="0"/>
    <x v="5"/>
    <s v="CC400"/>
    <s v="AutoPost 1143"/>
    <s v="GBP"/>
    <s v="2024-08"/>
    <n v="-1153.45"/>
    <m/>
  </r>
  <r>
    <s v="GL001144"/>
    <d v="2023-08-01T00:00:00"/>
    <n v="4010"/>
    <x v="4"/>
    <n v="0"/>
    <n v="2523.88"/>
    <x v="1"/>
    <s v="CC300"/>
    <s v="AutoPost 1144"/>
    <s v="AUD"/>
    <s v="2023-08"/>
    <n v="2523.88"/>
    <m/>
  </r>
  <r>
    <s v="GL001145"/>
    <d v="2023-10-17T00:00:00"/>
    <n v="6000"/>
    <x v="2"/>
    <n v="621.37"/>
    <n v="0"/>
    <x v="3"/>
    <s v="CC300"/>
    <s v="AutoPost 1145"/>
    <s v="EUR"/>
    <s v="2023-10"/>
    <n v="-621.37"/>
    <m/>
  </r>
  <r>
    <s v="GL001146"/>
    <d v="2025-01-24T00:00:00"/>
    <n v="5010"/>
    <x v="3"/>
    <n v="991.7"/>
    <n v="0"/>
    <x v="1"/>
    <s v="CC500"/>
    <s v="AutoPost 1146"/>
    <s v="EUR"/>
    <s v="2025-01"/>
    <n v="-991.7"/>
    <m/>
  </r>
  <r>
    <s v="GL001147"/>
    <d v="2025-05-23T00:00:00"/>
    <n v="6000"/>
    <x v="2"/>
    <n v="1727.08"/>
    <n v="0"/>
    <x v="2"/>
    <s v="CC300"/>
    <s v="AutoPost 1147"/>
    <s v="AUD"/>
    <s v="2025-05"/>
    <n v="-1727.08"/>
    <m/>
  </r>
  <r>
    <s v="GL001148"/>
    <d v="2023-11-06T00:00:00"/>
    <n v="6000"/>
    <x v="2"/>
    <n v="1518.91"/>
    <n v="0"/>
    <x v="0"/>
    <s v="CC100"/>
    <s v="AutoPost 1148"/>
    <s v="AUD"/>
    <s v="2023-11"/>
    <n v="-1518.91"/>
    <m/>
  </r>
  <r>
    <s v="GL001149"/>
    <d v="2024-02-16T00:00:00"/>
    <n v="4000"/>
    <x v="0"/>
    <n v="0"/>
    <n v="1266.3499999999999"/>
    <x v="5"/>
    <s v="CC300"/>
    <s v="AutoPost 1149"/>
    <s v="CAD"/>
    <s v="2024-02"/>
    <n v="1266.3499999999999"/>
    <m/>
  </r>
  <r>
    <s v="GL001150"/>
    <d v="2024-12-28T00:00:00"/>
    <n v="4000"/>
    <x v="0"/>
    <n v="0"/>
    <n v="3886.29"/>
    <x v="2"/>
    <s v="CC300"/>
    <s v="AutoPost 1150"/>
    <s v="GBP"/>
    <s v="2024-12"/>
    <n v="3886.29"/>
    <m/>
  </r>
  <r>
    <s v="GL001151"/>
    <d v="2023-02-05T00:00:00"/>
    <n v="6000"/>
    <x v="2"/>
    <n v="584.9"/>
    <n v="0"/>
    <x v="2"/>
    <s v="CC400"/>
    <s v="AutoPost 1151"/>
    <s v="EUR"/>
    <s v="2023-02"/>
    <n v="-584.9"/>
    <m/>
  </r>
  <r>
    <s v="GL001152"/>
    <d v="2024-02-10T00:00:00"/>
    <n v="5000"/>
    <x v="1"/>
    <n v="1212.48"/>
    <n v="0"/>
    <x v="4"/>
    <s v="CC300"/>
    <s v="AutoPost 1152"/>
    <s v="EUR"/>
    <s v="2024-02"/>
    <n v="-1212.48"/>
    <m/>
  </r>
  <r>
    <s v="GL001153"/>
    <d v="2024-04-23T00:00:00"/>
    <n v="6000"/>
    <x v="2"/>
    <n v="1084.73"/>
    <n v="0"/>
    <x v="0"/>
    <s v="CC100"/>
    <s v="AutoPost 1153"/>
    <s v="CAD"/>
    <s v="2024-04"/>
    <n v="-1084.73"/>
    <m/>
  </r>
  <r>
    <s v="GL001154"/>
    <d v="2023-12-14T00:00:00"/>
    <n v="6000"/>
    <x v="2"/>
    <n v="1218.47"/>
    <n v="0"/>
    <x v="1"/>
    <s v="CC200"/>
    <s v="AutoPost 1154"/>
    <s v="GBP"/>
    <s v="2023-12"/>
    <n v="-1218.47"/>
    <m/>
  </r>
  <r>
    <s v="GL001155"/>
    <d v="2024-03-19T00:00:00"/>
    <n v="6000"/>
    <x v="2"/>
    <n v="134.03"/>
    <n v="0"/>
    <x v="4"/>
    <s v="CC500"/>
    <s v="AutoPost 1155"/>
    <s v="CAD"/>
    <s v="2024-03"/>
    <n v="-134.03"/>
    <m/>
  </r>
  <r>
    <s v="GL001156"/>
    <d v="2023-05-11T00:00:00"/>
    <n v="5010"/>
    <x v="3"/>
    <n v="1961.58"/>
    <n v="0"/>
    <x v="4"/>
    <s v="CC300"/>
    <s v="AutoPost 1156"/>
    <s v="USD"/>
    <s v="2023-05"/>
    <n v="-1961.58"/>
    <m/>
  </r>
  <r>
    <s v="GL001157"/>
    <d v="2023-01-27T00:00:00"/>
    <n v="6000"/>
    <x v="2"/>
    <n v="320.36"/>
    <n v="0"/>
    <x v="5"/>
    <s v="CC200"/>
    <s v="AutoPost 1157"/>
    <s v="USD"/>
    <s v="2023-01"/>
    <n v="-320.36"/>
    <m/>
  </r>
  <r>
    <s v="GL001158"/>
    <d v="2024-09-06T00:00:00"/>
    <n v="5010"/>
    <x v="3"/>
    <n v="727.24"/>
    <n v="0"/>
    <x v="3"/>
    <s v="CC100"/>
    <s v="AutoPost 1158"/>
    <s v="EUR"/>
    <s v="2024-09"/>
    <n v="-727.24"/>
    <m/>
  </r>
  <r>
    <s v="GL001159"/>
    <d v="2023-04-14T00:00:00"/>
    <n v="5000"/>
    <x v="1"/>
    <n v="334.7"/>
    <n v="0"/>
    <x v="5"/>
    <s v="CC400"/>
    <s v="AutoPost 1159"/>
    <s v="EUR"/>
    <s v="2023-04"/>
    <n v="-334.7"/>
    <m/>
  </r>
  <r>
    <s v="GL001160"/>
    <d v="2023-04-05T00:00:00"/>
    <n v="6000"/>
    <x v="2"/>
    <n v="620.16999999999996"/>
    <n v="0"/>
    <x v="0"/>
    <s v="CC200"/>
    <s v="AutoPost 1160"/>
    <s v="AUD"/>
    <s v="2023-04"/>
    <n v="-620.16999999999996"/>
    <m/>
  </r>
  <r>
    <s v="GL001161"/>
    <d v="2024-07-02T00:00:00"/>
    <n v="4010"/>
    <x v="4"/>
    <n v="0"/>
    <n v="2933.41"/>
    <x v="0"/>
    <s v="CC500"/>
    <s v="AutoPost 1161"/>
    <s v="GBP"/>
    <s v="2024-07"/>
    <n v="2933.41"/>
    <m/>
  </r>
  <r>
    <s v="GL001162"/>
    <d v="2023-06-16T00:00:00"/>
    <n v="4010"/>
    <x v="4"/>
    <n v="0"/>
    <n v="2103.91"/>
    <x v="0"/>
    <s v="CC400"/>
    <s v="AutoPost 1162"/>
    <s v="CAD"/>
    <s v="2023-06"/>
    <n v="2103.91"/>
    <m/>
  </r>
  <r>
    <s v="GL001163"/>
    <d v="2023-07-14T00:00:00"/>
    <n v="6000"/>
    <x v="2"/>
    <n v="626.96"/>
    <n v="0"/>
    <x v="5"/>
    <s v="CC100"/>
    <s v="AutoPost 1163"/>
    <s v="GBP"/>
    <s v="2023-07"/>
    <n v="-626.96"/>
    <m/>
  </r>
  <r>
    <s v="GL001164"/>
    <d v="2024-07-07T00:00:00"/>
    <n v="4000"/>
    <x v="0"/>
    <n v="0"/>
    <n v="3001.97"/>
    <x v="2"/>
    <s v="CC200"/>
    <s v="AutoPost 1164"/>
    <s v="USD"/>
    <s v="2024-07"/>
    <n v="3001.97"/>
    <m/>
  </r>
  <r>
    <s v="GL001165"/>
    <d v="2025-01-11T00:00:00"/>
    <n v="5000"/>
    <x v="1"/>
    <n v="1130.18"/>
    <n v="0"/>
    <x v="5"/>
    <s v="CC200"/>
    <s v="AutoPost 1165"/>
    <s v="GBP"/>
    <s v="2025-01"/>
    <n v="-1130.18"/>
    <m/>
  </r>
  <r>
    <s v="GL001166"/>
    <d v="2023-12-01T00:00:00"/>
    <n v="5010"/>
    <x v="3"/>
    <n v="1772.72"/>
    <n v="0"/>
    <x v="3"/>
    <s v="CC500"/>
    <s v="AutoPost 1166"/>
    <s v="CAD"/>
    <s v="2023-12"/>
    <n v="-1772.72"/>
    <m/>
  </r>
  <r>
    <s v="GL001167"/>
    <d v="2024-02-10T00:00:00"/>
    <n v="5010"/>
    <x v="3"/>
    <n v="152.83000000000001"/>
    <n v="0"/>
    <x v="0"/>
    <s v="CC200"/>
    <s v="AutoPost 1167"/>
    <s v="CAD"/>
    <s v="2024-02"/>
    <n v="-152.83000000000001"/>
    <m/>
  </r>
  <r>
    <s v="GL001168"/>
    <d v="2023-01-02T00:00:00"/>
    <n v="5000"/>
    <x v="1"/>
    <n v="954.94"/>
    <n v="0"/>
    <x v="1"/>
    <s v="CC200"/>
    <s v="AutoPost 1168"/>
    <s v="EUR"/>
    <s v="2023-01"/>
    <n v="-954.94"/>
    <m/>
  </r>
  <r>
    <s v="GL001169"/>
    <d v="2025-06-18T00:00:00"/>
    <n v="4010"/>
    <x v="4"/>
    <n v="0"/>
    <n v="4418.1899999999996"/>
    <x v="2"/>
    <s v="CC400"/>
    <s v="AutoPost 1169"/>
    <s v="CAD"/>
    <s v="2025-06"/>
    <n v="4418.1899999999996"/>
    <m/>
  </r>
  <r>
    <s v="GL001170"/>
    <d v="2024-03-12T00:00:00"/>
    <n v="5010"/>
    <x v="3"/>
    <n v="1814.27"/>
    <n v="0"/>
    <x v="0"/>
    <s v="CC100"/>
    <s v="AutoPost 1170"/>
    <s v="USD"/>
    <s v="2024-03"/>
    <n v="-1814.27"/>
    <m/>
  </r>
  <r>
    <s v="GL001171"/>
    <d v="2024-04-26T00:00:00"/>
    <n v="4000"/>
    <x v="0"/>
    <n v="0"/>
    <n v="815.4"/>
    <x v="5"/>
    <s v="CC100"/>
    <s v="AutoPost 1171"/>
    <s v="EUR"/>
    <s v="2024-04"/>
    <n v="815.4"/>
    <m/>
  </r>
  <r>
    <s v="GL001172"/>
    <d v="2024-08-09T00:00:00"/>
    <n v="5000"/>
    <x v="1"/>
    <n v="290.05"/>
    <n v="0"/>
    <x v="3"/>
    <s v="CC400"/>
    <s v="AutoPost 1172"/>
    <s v="CAD"/>
    <s v="2024-08"/>
    <n v="-290.05"/>
    <m/>
  </r>
  <r>
    <s v="GL001173"/>
    <d v="2025-05-04T00:00:00"/>
    <n v="6000"/>
    <x v="2"/>
    <n v="1726.68"/>
    <n v="0"/>
    <x v="4"/>
    <s v="CC300"/>
    <s v="AutoPost 1173"/>
    <s v="AUD"/>
    <s v="2025-05"/>
    <n v="-1726.68"/>
    <m/>
  </r>
  <r>
    <s v="GL001174"/>
    <d v="2025-04-25T00:00:00"/>
    <n v="4010"/>
    <x v="4"/>
    <n v="0"/>
    <n v="2724.33"/>
    <x v="4"/>
    <s v="CC500"/>
    <s v="AutoPost 1174"/>
    <s v="GBP"/>
    <s v="2025-04"/>
    <n v="2724.33"/>
    <m/>
  </r>
  <r>
    <s v="GL001175"/>
    <d v="2023-04-02T00:00:00"/>
    <n v="4010"/>
    <x v="4"/>
    <n v="0"/>
    <n v="517.76"/>
    <x v="3"/>
    <s v="CC100"/>
    <s v="AutoPost 1175"/>
    <s v="CAD"/>
    <s v="2023-04"/>
    <n v="517.76"/>
    <m/>
  </r>
  <r>
    <s v="GL001176"/>
    <d v="2023-08-17T00:00:00"/>
    <n v="5010"/>
    <x v="3"/>
    <n v="1718.84"/>
    <n v="0"/>
    <x v="2"/>
    <s v="CC200"/>
    <s v="AutoPost 1176"/>
    <s v="AUD"/>
    <s v="2023-08"/>
    <n v="-1718.84"/>
    <m/>
  </r>
  <r>
    <s v="GL001177"/>
    <d v="2024-06-04T00:00:00"/>
    <n v="4000"/>
    <x v="0"/>
    <n v="0"/>
    <n v="3902.53"/>
    <x v="2"/>
    <s v="CC500"/>
    <s v="AutoPost 1177"/>
    <s v="USD"/>
    <s v="2024-06"/>
    <n v="3902.53"/>
    <m/>
  </r>
  <r>
    <s v="GL001178"/>
    <d v="2023-11-14T00:00:00"/>
    <n v="5000"/>
    <x v="1"/>
    <n v="820.59"/>
    <n v="0"/>
    <x v="5"/>
    <s v="CC100"/>
    <s v="AutoPost 1178"/>
    <s v="EUR"/>
    <s v="2023-11"/>
    <n v="-820.59"/>
    <m/>
  </r>
  <r>
    <s v="GL001179"/>
    <d v="2024-09-06T00:00:00"/>
    <n v="6000"/>
    <x v="2"/>
    <n v="933.21"/>
    <n v="0"/>
    <x v="2"/>
    <s v="CC100"/>
    <s v="AutoPost 1179"/>
    <s v="AUD"/>
    <s v="2024-09"/>
    <n v="-933.21"/>
    <m/>
  </r>
  <r>
    <s v="GL001180"/>
    <d v="2024-03-30T00:00:00"/>
    <n v="4010"/>
    <x v="4"/>
    <n v="0"/>
    <n v="581.76"/>
    <x v="2"/>
    <s v="CC400"/>
    <s v="AutoPost 1180"/>
    <s v="CAD"/>
    <s v="2024-03"/>
    <n v="581.76"/>
    <m/>
  </r>
  <r>
    <s v="GL001181"/>
    <d v="2023-04-14T00:00:00"/>
    <n v="4000"/>
    <x v="0"/>
    <n v="0"/>
    <n v="2858.3"/>
    <x v="1"/>
    <s v="CC100"/>
    <s v="AutoPost 1181"/>
    <s v="GBP"/>
    <s v="2023-04"/>
    <n v="2858.3"/>
    <m/>
  </r>
  <r>
    <s v="GL001182"/>
    <d v="2024-01-08T00:00:00"/>
    <n v="4010"/>
    <x v="4"/>
    <n v="0"/>
    <n v="1469.73"/>
    <x v="3"/>
    <s v="CC500"/>
    <s v="AutoPost 1182"/>
    <s v="AUD"/>
    <s v="2024-01"/>
    <n v="1469.73"/>
    <m/>
  </r>
  <r>
    <s v="GL001183"/>
    <d v="2024-06-14T00:00:00"/>
    <n v="4000"/>
    <x v="0"/>
    <n v="0"/>
    <n v="4440.72"/>
    <x v="0"/>
    <s v="CC200"/>
    <s v="AutoPost 1183"/>
    <s v="GBP"/>
    <s v="2024-06"/>
    <n v="4440.72"/>
    <m/>
  </r>
  <r>
    <s v="GL001184"/>
    <d v="2025-03-25T00:00:00"/>
    <n v="5010"/>
    <x v="3"/>
    <n v="1972.41"/>
    <n v="0"/>
    <x v="4"/>
    <s v="CC400"/>
    <s v="AutoPost 1184"/>
    <s v="EUR"/>
    <s v="2025-03"/>
    <n v="-1972.41"/>
    <m/>
  </r>
  <r>
    <s v="GL001185"/>
    <d v="2024-02-06T00:00:00"/>
    <n v="4010"/>
    <x v="4"/>
    <n v="0"/>
    <n v="841.52"/>
    <x v="1"/>
    <s v="CC100"/>
    <s v="AutoPost 1185"/>
    <s v="EUR"/>
    <s v="2024-02"/>
    <n v="841.52"/>
    <m/>
  </r>
  <r>
    <s v="GL001186"/>
    <d v="2023-06-06T00:00:00"/>
    <n v="6000"/>
    <x v="2"/>
    <n v="316.14999999999998"/>
    <n v="0"/>
    <x v="3"/>
    <s v="CC100"/>
    <s v="AutoPost 1186"/>
    <s v="CAD"/>
    <s v="2023-06"/>
    <n v="-316.14999999999998"/>
    <m/>
  </r>
  <r>
    <s v="GL001187"/>
    <d v="2024-01-01T00:00:00"/>
    <n v="5010"/>
    <x v="3"/>
    <n v="475.92"/>
    <n v="0"/>
    <x v="5"/>
    <s v="CC100"/>
    <s v="AutoPost 1187"/>
    <s v="AUD"/>
    <s v="2024-01"/>
    <n v="-475.92"/>
    <m/>
  </r>
  <r>
    <s v="GL001188"/>
    <d v="2024-01-03T00:00:00"/>
    <n v="6000"/>
    <x v="2"/>
    <n v="1283.6099999999999"/>
    <n v="0"/>
    <x v="1"/>
    <s v="CC400"/>
    <s v="AutoPost 1188"/>
    <s v="GBP"/>
    <s v="2024-01"/>
    <n v="-1283.6099999999999"/>
    <m/>
  </r>
  <r>
    <s v="GL001189"/>
    <d v="2024-01-05T00:00:00"/>
    <n v="4000"/>
    <x v="0"/>
    <n v="0"/>
    <n v="242.31"/>
    <x v="1"/>
    <s v="CC100"/>
    <s v="AutoPost 1189"/>
    <s v="CAD"/>
    <s v="2024-01"/>
    <n v="242.31"/>
    <m/>
  </r>
  <r>
    <s v="GL001190"/>
    <d v="2024-03-20T00:00:00"/>
    <n v="5000"/>
    <x v="1"/>
    <n v="309.44"/>
    <n v="0"/>
    <x v="1"/>
    <s v="CC200"/>
    <s v="AutoPost 1190"/>
    <s v="EUR"/>
    <s v="2024-03"/>
    <n v="-309.44"/>
    <m/>
  </r>
  <r>
    <s v="GL001191"/>
    <d v="2025-01-26T00:00:00"/>
    <n v="6000"/>
    <x v="2"/>
    <n v="1158.3800000000001"/>
    <n v="0"/>
    <x v="0"/>
    <s v="CC500"/>
    <s v="AutoPost 1191"/>
    <s v="GBP"/>
    <s v="2025-01"/>
    <n v="-1158.3800000000001"/>
    <m/>
  </r>
  <r>
    <s v="GL001192"/>
    <d v="2023-03-05T00:00:00"/>
    <n v="4010"/>
    <x v="4"/>
    <n v="0"/>
    <n v="1546.54"/>
    <x v="0"/>
    <s v="CC200"/>
    <s v="AutoPost 1192"/>
    <s v="USD"/>
    <s v="2023-03"/>
    <n v="1546.54"/>
    <m/>
  </r>
  <r>
    <s v="GL001193"/>
    <d v="2023-03-26T00:00:00"/>
    <n v="4010"/>
    <x v="4"/>
    <n v="0"/>
    <n v="4731.97"/>
    <x v="0"/>
    <s v="CC300"/>
    <s v="AutoPost 1193"/>
    <s v="USD"/>
    <s v="2023-03"/>
    <n v="4731.97"/>
    <m/>
  </r>
  <r>
    <s v="GL001194"/>
    <d v="2024-03-01T00:00:00"/>
    <n v="6000"/>
    <x v="2"/>
    <n v="825.81"/>
    <n v="0"/>
    <x v="2"/>
    <s v="CC100"/>
    <s v="AutoPost 1194"/>
    <s v="USD"/>
    <s v="2024-03"/>
    <n v="-825.81"/>
    <m/>
  </r>
  <r>
    <s v="GL001195"/>
    <d v="2024-06-09T00:00:00"/>
    <n v="5010"/>
    <x v="3"/>
    <n v="811.62"/>
    <n v="0"/>
    <x v="1"/>
    <s v="CC300"/>
    <s v="AutoPost 1195"/>
    <s v="CAD"/>
    <s v="2024-06"/>
    <n v="-811.62"/>
    <m/>
  </r>
  <r>
    <s v="GL001196"/>
    <d v="2024-05-23T00:00:00"/>
    <n v="6000"/>
    <x v="2"/>
    <n v="1792.82"/>
    <n v="0"/>
    <x v="1"/>
    <s v="CC500"/>
    <s v="AutoPost 1196"/>
    <s v="USD"/>
    <s v="2024-05"/>
    <n v="-1792.82"/>
    <m/>
  </r>
  <r>
    <s v="GL001197"/>
    <d v="2024-09-30T00:00:00"/>
    <n v="4010"/>
    <x v="4"/>
    <n v="0"/>
    <n v="2374.8200000000002"/>
    <x v="1"/>
    <s v="CC300"/>
    <s v="AutoPost 1197"/>
    <s v="USD"/>
    <s v="2024-09"/>
    <n v="2374.8200000000002"/>
    <m/>
  </r>
  <r>
    <s v="GL001198"/>
    <d v="2024-05-28T00:00:00"/>
    <n v="4000"/>
    <x v="0"/>
    <n v="0"/>
    <n v="383.06"/>
    <x v="3"/>
    <s v="CC100"/>
    <s v="AutoPost 1198"/>
    <s v="GBP"/>
    <s v="2024-05"/>
    <n v="383.06"/>
    <m/>
  </r>
  <r>
    <s v="GL001199"/>
    <d v="2024-07-23T00:00:00"/>
    <n v="4010"/>
    <x v="4"/>
    <n v="0"/>
    <n v="3219.96"/>
    <x v="4"/>
    <s v="CC100"/>
    <s v="AutoPost 1199"/>
    <s v="EUR"/>
    <s v="2024-07"/>
    <n v="3219.96"/>
    <m/>
  </r>
  <r>
    <s v="GL001200"/>
    <d v="2023-03-19T00:00:00"/>
    <n v="4000"/>
    <x v="0"/>
    <n v="0"/>
    <n v="1105.3800000000001"/>
    <x v="0"/>
    <s v="CC300"/>
    <s v="AutoPost 1200"/>
    <s v="AUD"/>
    <s v="2023-03"/>
    <n v="1105.3800000000001"/>
    <m/>
  </r>
  <r>
    <s v="GL001201"/>
    <d v="2024-07-29T00:00:00"/>
    <n v="5010"/>
    <x v="3"/>
    <n v="600.28"/>
    <n v="0"/>
    <x v="2"/>
    <s v="CC100"/>
    <s v="AutoPost 1201"/>
    <s v="CAD"/>
    <s v="2024-07"/>
    <n v="-600.28"/>
    <m/>
  </r>
  <r>
    <s v="GL001202"/>
    <d v="2024-09-21T00:00:00"/>
    <n v="4010"/>
    <x v="4"/>
    <n v="0"/>
    <n v="1634.89"/>
    <x v="4"/>
    <s v="CC100"/>
    <s v="AutoPost 1202"/>
    <s v="AUD"/>
    <s v="2024-09"/>
    <n v="1634.89"/>
    <m/>
  </r>
  <r>
    <s v="GL001203"/>
    <d v="2024-08-25T00:00:00"/>
    <n v="4010"/>
    <x v="4"/>
    <n v="0"/>
    <n v="2484.3000000000002"/>
    <x v="1"/>
    <s v="CC500"/>
    <s v="AutoPost 1203"/>
    <s v="CAD"/>
    <s v="2024-08"/>
    <n v="2484.3000000000002"/>
    <m/>
  </r>
  <r>
    <s v="GL001204"/>
    <d v="2025-03-17T00:00:00"/>
    <n v="4000"/>
    <x v="0"/>
    <n v="0"/>
    <n v="2824.53"/>
    <x v="4"/>
    <s v="CC500"/>
    <s v="AutoPost 1204"/>
    <s v="GBP"/>
    <s v="2025-03"/>
    <n v="2824.53"/>
    <m/>
  </r>
  <r>
    <s v="GL001205"/>
    <d v="2024-12-01T00:00:00"/>
    <n v="6000"/>
    <x v="2"/>
    <n v="269.73"/>
    <n v="0"/>
    <x v="1"/>
    <s v="CC300"/>
    <s v="AutoPost 1205"/>
    <s v="AUD"/>
    <s v="2024-12"/>
    <n v="-269.73"/>
    <m/>
  </r>
  <r>
    <s v="GL001206"/>
    <d v="2024-04-28T00:00:00"/>
    <n v="5010"/>
    <x v="3"/>
    <n v="500.85"/>
    <n v="0"/>
    <x v="3"/>
    <s v="CC400"/>
    <s v="AutoPost 1206"/>
    <s v="USD"/>
    <s v="2024-04"/>
    <n v="-500.85"/>
    <m/>
  </r>
  <r>
    <s v="GL001207"/>
    <d v="2023-10-21T00:00:00"/>
    <n v="4010"/>
    <x v="4"/>
    <n v="0"/>
    <n v="2600.9699999999998"/>
    <x v="2"/>
    <s v="CC300"/>
    <s v="AutoPost 1207"/>
    <s v="GBP"/>
    <s v="2023-10"/>
    <n v="2600.9699999999998"/>
    <m/>
  </r>
  <r>
    <s v="GL001208"/>
    <d v="2023-05-22T00:00:00"/>
    <n v="5000"/>
    <x v="1"/>
    <n v="1457.86"/>
    <n v="0"/>
    <x v="0"/>
    <s v="CC500"/>
    <s v="AutoPost 1208"/>
    <s v="GBP"/>
    <s v="2023-05"/>
    <n v="-1457.86"/>
    <m/>
  </r>
  <r>
    <s v="GL001209"/>
    <d v="2024-07-03T00:00:00"/>
    <n v="4000"/>
    <x v="0"/>
    <n v="0"/>
    <n v="1378.84"/>
    <x v="4"/>
    <s v="CC400"/>
    <s v="AutoPost 1209"/>
    <s v="AUD"/>
    <s v="2024-07"/>
    <n v="1378.84"/>
    <m/>
  </r>
  <r>
    <s v="GL001210"/>
    <d v="2024-09-26T00:00:00"/>
    <n v="5010"/>
    <x v="3"/>
    <n v="1891.86"/>
    <n v="0"/>
    <x v="4"/>
    <s v="CC400"/>
    <s v="AutoPost 1210"/>
    <s v="AUD"/>
    <s v="2024-09"/>
    <n v="-1891.86"/>
    <m/>
  </r>
  <r>
    <s v="GL001211"/>
    <d v="2023-08-05T00:00:00"/>
    <n v="4000"/>
    <x v="0"/>
    <n v="0"/>
    <n v="1330.12"/>
    <x v="3"/>
    <s v="CC400"/>
    <s v="AutoPost 1211"/>
    <s v="AUD"/>
    <s v="2023-08"/>
    <n v="1330.12"/>
    <m/>
  </r>
  <r>
    <s v="GL001212"/>
    <d v="2024-08-20T00:00:00"/>
    <n v="4010"/>
    <x v="4"/>
    <n v="0"/>
    <n v="695.86"/>
    <x v="2"/>
    <s v="CC100"/>
    <s v="AutoPost 1212"/>
    <s v="AUD"/>
    <s v="2024-08"/>
    <n v="695.86"/>
    <m/>
  </r>
  <r>
    <s v="GL001213"/>
    <d v="2025-02-04T00:00:00"/>
    <n v="5010"/>
    <x v="3"/>
    <n v="1628.31"/>
    <n v="0"/>
    <x v="5"/>
    <s v="CC200"/>
    <s v="AutoPost 1213"/>
    <s v="GBP"/>
    <s v="2025-02"/>
    <n v="-1628.31"/>
    <m/>
  </r>
  <r>
    <s v="GL001214"/>
    <d v="2023-05-18T00:00:00"/>
    <n v="4000"/>
    <x v="0"/>
    <n v="0"/>
    <n v="4939.1400000000003"/>
    <x v="3"/>
    <s v="CC500"/>
    <s v="AutoPost 1214"/>
    <s v="GBP"/>
    <s v="2023-05"/>
    <n v="4939.1400000000003"/>
    <m/>
  </r>
  <r>
    <s v="GL001215"/>
    <d v="2023-05-20T00:00:00"/>
    <n v="5010"/>
    <x v="3"/>
    <n v="1884.45"/>
    <n v="0"/>
    <x v="0"/>
    <s v="CC400"/>
    <s v="AutoPost 1215"/>
    <s v="AUD"/>
    <s v="2023-05"/>
    <n v="-1884.45"/>
    <m/>
  </r>
  <r>
    <s v="GL001216"/>
    <d v="2024-08-11T00:00:00"/>
    <n v="4010"/>
    <x v="4"/>
    <n v="0"/>
    <n v="2294.84"/>
    <x v="2"/>
    <s v="CC100"/>
    <s v="AutoPost 1216"/>
    <s v="USD"/>
    <s v="2024-08"/>
    <n v="2294.84"/>
    <m/>
  </r>
  <r>
    <s v="GL001217"/>
    <d v="2025-02-19T00:00:00"/>
    <n v="6000"/>
    <x v="2"/>
    <n v="701.24"/>
    <n v="0"/>
    <x v="0"/>
    <s v="CC400"/>
    <s v="AutoPost 1217"/>
    <s v="USD"/>
    <s v="2025-02"/>
    <n v="-701.24"/>
    <m/>
  </r>
  <r>
    <s v="GL001218"/>
    <d v="2024-01-06T00:00:00"/>
    <n v="4000"/>
    <x v="0"/>
    <n v="0"/>
    <n v="1406.7"/>
    <x v="0"/>
    <s v="CC200"/>
    <s v="AutoPost 1218"/>
    <s v="EUR"/>
    <s v="2024-01"/>
    <n v="1406.7"/>
    <m/>
  </r>
  <r>
    <s v="GL001219"/>
    <d v="2024-06-09T00:00:00"/>
    <n v="6000"/>
    <x v="2"/>
    <n v="187.59"/>
    <n v="0"/>
    <x v="2"/>
    <s v="CC100"/>
    <s v="AutoPost 1219"/>
    <s v="EUR"/>
    <s v="2024-06"/>
    <n v="-187.59"/>
    <m/>
  </r>
  <r>
    <s v="GL001220"/>
    <d v="2023-06-14T00:00:00"/>
    <n v="4000"/>
    <x v="0"/>
    <n v="0"/>
    <n v="1358.12"/>
    <x v="4"/>
    <s v="CC300"/>
    <s v="AutoPost 1220"/>
    <s v="USD"/>
    <s v="2023-06"/>
    <n v="1358.12"/>
    <m/>
  </r>
  <r>
    <s v="GL001221"/>
    <d v="2025-05-15T00:00:00"/>
    <n v="5000"/>
    <x v="1"/>
    <n v="695.83"/>
    <n v="0"/>
    <x v="5"/>
    <s v="CC400"/>
    <s v="AutoPost 1221"/>
    <s v="CAD"/>
    <s v="2025-05"/>
    <n v="-695.83"/>
    <m/>
  </r>
  <r>
    <s v="GL001222"/>
    <d v="2024-08-23T00:00:00"/>
    <n v="5010"/>
    <x v="3"/>
    <n v="200.78"/>
    <n v="0"/>
    <x v="5"/>
    <s v="CC400"/>
    <s v="AutoPost 1222"/>
    <s v="CAD"/>
    <s v="2024-08"/>
    <n v="-200.78"/>
    <m/>
  </r>
  <r>
    <s v="GL001223"/>
    <d v="2023-09-25T00:00:00"/>
    <n v="4000"/>
    <x v="0"/>
    <n v="0"/>
    <n v="2848.57"/>
    <x v="3"/>
    <s v="CC300"/>
    <s v="AutoPost 1223"/>
    <s v="AUD"/>
    <s v="2023-09"/>
    <n v="2848.57"/>
    <m/>
  </r>
  <r>
    <s v="GL001224"/>
    <d v="2023-05-23T00:00:00"/>
    <n v="5000"/>
    <x v="1"/>
    <n v="185.51"/>
    <n v="0"/>
    <x v="0"/>
    <s v="CC400"/>
    <s v="AutoPost 1224"/>
    <s v="GBP"/>
    <s v="2023-05"/>
    <n v="-185.51"/>
    <m/>
  </r>
  <r>
    <s v="GL001225"/>
    <d v="2024-01-07T00:00:00"/>
    <n v="6000"/>
    <x v="2"/>
    <n v="935.9"/>
    <n v="0"/>
    <x v="2"/>
    <s v="CC500"/>
    <s v="AutoPost 1225"/>
    <s v="CAD"/>
    <s v="2024-01"/>
    <n v="-935.9"/>
    <m/>
  </r>
  <r>
    <s v="GL001226"/>
    <d v="2024-07-25T00:00:00"/>
    <n v="5000"/>
    <x v="1"/>
    <n v="1358.9"/>
    <n v="0"/>
    <x v="3"/>
    <s v="CC300"/>
    <s v="AutoPost 1226"/>
    <s v="USD"/>
    <s v="2024-07"/>
    <n v="-1358.9"/>
    <m/>
  </r>
  <r>
    <s v="GL001227"/>
    <d v="2025-02-02T00:00:00"/>
    <n v="5000"/>
    <x v="1"/>
    <n v="1242.6500000000001"/>
    <n v="0"/>
    <x v="4"/>
    <s v="CC200"/>
    <s v="AutoPost 1227"/>
    <s v="USD"/>
    <s v="2025-02"/>
    <n v="-1242.6500000000001"/>
    <m/>
  </r>
  <r>
    <s v="GL001228"/>
    <d v="2024-07-16T00:00:00"/>
    <n v="4010"/>
    <x v="4"/>
    <n v="0"/>
    <n v="1524.63"/>
    <x v="5"/>
    <s v="CC200"/>
    <s v="AutoPost 1228"/>
    <s v="CAD"/>
    <s v="2024-07"/>
    <n v="1524.63"/>
    <m/>
  </r>
  <r>
    <s v="GL001229"/>
    <d v="2025-03-19T00:00:00"/>
    <n v="4010"/>
    <x v="4"/>
    <n v="0"/>
    <n v="1391.91"/>
    <x v="2"/>
    <s v="CC200"/>
    <s v="AutoPost 1229"/>
    <s v="USD"/>
    <s v="2025-03"/>
    <n v="1391.91"/>
    <m/>
  </r>
  <r>
    <s v="GL001230"/>
    <d v="2024-10-01T00:00:00"/>
    <n v="4000"/>
    <x v="0"/>
    <n v="0"/>
    <n v="3506.68"/>
    <x v="5"/>
    <s v="CC200"/>
    <s v="AutoPost 1230"/>
    <s v="CAD"/>
    <s v="2024-10"/>
    <n v="3506.68"/>
    <m/>
  </r>
  <r>
    <s v="GL001231"/>
    <d v="2024-08-13T00:00:00"/>
    <n v="5000"/>
    <x v="1"/>
    <n v="1331.89"/>
    <n v="0"/>
    <x v="4"/>
    <s v="CC400"/>
    <s v="AutoPost 1231"/>
    <s v="GBP"/>
    <s v="2024-08"/>
    <n v="-1331.89"/>
    <m/>
  </r>
  <r>
    <s v="GL001232"/>
    <d v="2023-06-07T00:00:00"/>
    <n v="5000"/>
    <x v="1"/>
    <n v="674.31"/>
    <n v="0"/>
    <x v="1"/>
    <s v="CC500"/>
    <s v="AutoPost 1232"/>
    <s v="GBP"/>
    <s v="2023-06"/>
    <n v="-674.31"/>
    <m/>
  </r>
  <r>
    <s v="GL001233"/>
    <d v="2024-04-12T00:00:00"/>
    <n v="4000"/>
    <x v="0"/>
    <n v="0"/>
    <n v="2570.4299999999998"/>
    <x v="2"/>
    <s v="CC100"/>
    <s v="AutoPost 1233"/>
    <s v="EUR"/>
    <s v="2024-04"/>
    <n v="2570.4299999999998"/>
    <m/>
  </r>
  <r>
    <s v="GL001234"/>
    <d v="2025-03-17T00:00:00"/>
    <n v="4010"/>
    <x v="4"/>
    <n v="0"/>
    <n v="1312.61"/>
    <x v="5"/>
    <s v="CC200"/>
    <s v="AutoPost 1234"/>
    <s v="CAD"/>
    <s v="2025-03"/>
    <n v="1312.61"/>
    <m/>
  </r>
  <r>
    <s v="GL001235"/>
    <d v="2024-01-26T00:00:00"/>
    <n v="5000"/>
    <x v="1"/>
    <n v="1101.82"/>
    <n v="0"/>
    <x v="1"/>
    <s v="CC300"/>
    <s v="AutoPost 1235"/>
    <s v="GBP"/>
    <s v="2024-01"/>
    <n v="-1101.82"/>
    <m/>
  </r>
  <r>
    <s v="GL001236"/>
    <d v="2024-06-15T00:00:00"/>
    <n v="4000"/>
    <x v="0"/>
    <n v="0"/>
    <n v="143.81"/>
    <x v="5"/>
    <s v="CC400"/>
    <s v="AutoPost 1236"/>
    <s v="CAD"/>
    <s v="2024-06"/>
    <n v="143.81"/>
    <m/>
  </r>
  <r>
    <s v="GL001237"/>
    <d v="2024-11-14T00:00:00"/>
    <n v="4000"/>
    <x v="0"/>
    <n v="0"/>
    <n v="838.04"/>
    <x v="1"/>
    <s v="CC500"/>
    <s v="AutoPost 1237"/>
    <s v="AUD"/>
    <s v="2024-11"/>
    <n v="838.04"/>
    <m/>
  </r>
  <r>
    <s v="GL001238"/>
    <d v="2024-03-05T00:00:00"/>
    <n v="6000"/>
    <x v="2"/>
    <n v="1626.01"/>
    <n v="0"/>
    <x v="2"/>
    <s v="CC100"/>
    <s v="AutoPost 1238"/>
    <s v="CAD"/>
    <s v="2024-03"/>
    <n v="-1626.01"/>
    <m/>
  </r>
  <r>
    <s v="GL001239"/>
    <d v="2023-09-28T00:00:00"/>
    <n v="5000"/>
    <x v="1"/>
    <n v="1394.34"/>
    <n v="0"/>
    <x v="2"/>
    <s v="CC200"/>
    <s v="AutoPost 1239"/>
    <s v="EUR"/>
    <s v="2023-09"/>
    <n v="-1394.34"/>
    <m/>
  </r>
  <r>
    <s v="GL001240"/>
    <d v="2025-05-12T00:00:00"/>
    <n v="4010"/>
    <x v="4"/>
    <n v="0"/>
    <n v="1022.63"/>
    <x v="0"/>
    <s v="CC100"/>
    <s v="AutoPost 1240"/>
    <s v="CAD"/>
    <s v="2025-05"/>
    <n v="1022.63"/>
    <m/>
  </r>
  <r>
    <s v="GL001241"/>
    <d v="2023-04-15T00:00:00"/>
    <n v="5010"/>
    <x v="3"/>
    <n v="1757.53"/>
    <n v="0"/>
    <x v="5"/>
    <s v="CC100"/>
    <s v="AutoPost 1241"/>
    <s v="GBP"/>
    <s v="2023-04"/>
    <n v="-1757.53"/>
    <m/>
  </r>
  <r>
    <s v="GL001242"/>
    <d v="2025-05-20T00:00:00"/>
    <n v="4000"/>
    <x v="0"/>
    <n v="0"/>
    <n v="1866.82"/>
    <x v="2"/>
    <s v="CC500"/>
    <s v="AutoPost 1242"/>
    <s v="AUD"/>
    <s v="2025-05"/>
    <n v="1866.82"/>
    <m/>
  </r>
  <r>
    <s v="GL001243"/>
    <d v="2025-04-20T00:00:00"/>
    <n v="6000"/>
    <x v="2"/>
    <n v="1791.42"/>
    <n v="0"/>
    <x v="3"/>
    <s v="CC100"/>
    <s v="AutoPost 1243"/>
    <s v="EUR"/>
    <s v="2025-04"/>
    <n v="-1791.42"/>
    <m/>
  </r>
  <r>
    <s v="GL001244"/>
    <d v="2024-07-03T00:00:00"/>
    <n v="6000"/>
    <x v="2"/>
    <n v="1809.92"/>
    <n v="0"/>
    <x v="1"/>
    <s v="CC100"/>
    <s v="AutoPost 1244"/>
    <s v="EUR"/>
    <s v="2024-07"/>
    <n v="-1809.92"/>
    <m/>
  </r>
  <r>
    <s v="GL001245"/>
    <d v="2025-05-25T00:00:00"/>
    <n v="4010"/>
    <x v="4"/>
    <n v="0"/>
    <n v="212.06"/>
    <x v="0"/>
    <s v="CC500"/>
    <s v="AutoPost 1245"/>
    <s v="AUD"/>
    <s v="2025-05"/>
    <n v="212.06"/>
    <m/>
  </r>
  <r>
    <s v="GL001246"/>
    <d v="2023-12-21T00:00:00"/>
    <n v="6000"/>
    <x v="2"/>
    <n v="227.05"/>
    <n v="0"/>
    <x v="1"/>
    <s v="CC200"/>
    <s v="AutoPost 1246"/>
    <s v="AUD"/>
    <s v="2023-12"/>
    <n v="-227.05"/>
    <m/>
  </r>
  <r>
    <s v="GL001247"/>
    <d v="2024-05-12T00:00:00"/>
    <n v="4000"/>
    <x v="0"/>
    <n v="0"/>
    <n v="3603.35"/>
    <x v="0"/>
    <s v="CC400"/>
    <s v="AutoPost 1247"/>
    <s v="GBP"/>
    <s v="2024-05"/>
    <n v="3603.35"/>
    <m/>
  </r>
  <r>
    <s v="GL001248"/>
    <d v="2024-04-29T00:00:00"/>
    <n v="5000"/>
    <x v="1"/>
    <n v="185.67"/>
    <n v="0"/>
    <x v="4"/>
    <s v="CC300"/>
    <s v="AutoPost 1248"/>
    <s v="EUR"/>
    <s v="2024-04"/>
    <n v="-185.67"/>
    <m/>
  </r>
  <r>
    <s v="GL001249"/>
    <d v="2024-06-06T00:00:00"/>
    <n v="4010"/>
    <x v="4"/>
    <n v="0"/>
    <n v="4699.12"/>
    <x v="3"/>
    <s v="CC200"/>
    <s v="AutoPost 1249"/>
    <s v="EUR"/>
    <s v="2024-06"/>
    <n v="4699.12"/>
    <m/>
  </r>
  <r>
    <s v="GL001250"/>
    <d v="2024-04-30T00:00:00"/>
    <n v="5010"/>
    <x v="3"/>
    <n v="1352.97"/>
    <n v="0"/>
    <x v="3"/>
    <s v="CC500"/>
    <s v="AutoPost 1250"/>
    <s v="CAD"/>
    <s v="2024-04"/>
    <n v="-1352.97"/>
    <m/>
  </r>
  <r>
    <s v="GL001251"/>
    <d v="2024-11-02T00:00:00"/>
    <n v="5000"/>
    <x v="1"/>
    <n v="936.7"/>
    <n v="0"/>
    <x v="4"/>
    <s v="CC100"/>
    <s v="AutoPost 1251"/>
    <s v="CAD"/>
    <s v="2024-11"/>
    <n v="-936.7"/>
    <m/>
  </r>
  <r>
    <s v="GL001252"/>
    <d v="2024-07-10T00:00:00"/>
    <n v="4000"/>
    <x v="0"/>
    <n v="0"/>
    <n v="3050.31"/>
    <x v="4"/>
    <s v="CC400"/>
    <s v="AutoPost 1252"/>
    <s v="AUD"/>
    <s v="2024-07"/>
    <n v="3050.31"/>
    <m/>
  </r>
  <r>
    <s v="GL001253"/>
    <d v="2024-04-13T00:00:00"/>
    <n v="6000"/>
    <x v="2"/>
    <n v="574.09"/>
    <n v="0"/>
    <x v="3"/>
    <s v="CC200"/>
    <s v="AutoPost 1253"/>
    <s v="EUR"/>
    <s v="2024-04"/>
    <n v="-574.09"/>
    <m/>
  </r>
  <r>
    <s v="GL001254"/>
    <d v="2023-06-19T00:00:00"/>
    <n v="4000"/>
    <x v="0"/>
    <n v="0"/>
    <n v="3214.18"/>
    <x v="4"/>
    <s v="CC100"/>
    <s v="AutoPost 1254"/>
    <s v="GBP"/>
    <s v="2023-06"/>
    <n v="3214.18"/>
    <m/>
  </r>
  <r>
    <s v="GL001255"/>
    <d v="2023-05-08T00:00:00"/>
    <n v="5010"/>
    <x v="3"/>
    <n v="1415.06"/>
    <n v="0"/>
    <x v="5"/>
    <s v="CC500"/>
    <s v="AutoPost 1255"/>
    <s v="AUD"/>
    <s v="2023-05"/>
    <n v="-1415.06"/>
    <m/>
  </r>
  <r>
    <s v="GL001256"/>
    <d v="2023-11-23T00:00:00"/>
    <n v="4000"/>
    <x v="0"/>
    <n v="0"/>
    <n v="3142.85"/>
    <x v="3"/>
    <s v="CC100"/>
    <s v="AutoPost 1256"/>
    <s v="EUR"/>
    <s v="2023-11"/>
    <n v="3142.85"/>
    <m/>
  </r>
  <r>
    <s v="GL001257"/>
    <d v="2023-05-04T00:00:00"/>
    <n v="6000"/>
    <x v="2"/>
    <n v="981.35"/>
    <n v="0"/>
    <x v="3"/>
    <s v="CC200"/>
    <s v="AutoPost 1257"/>
    <s v="CAD"/>
    <s v="2023-05"/>
    <n v="-981.35"/>
    <m/>
  </r>
  <r>
    <s v="GL001258"/>
    <d v="2025-05-04T00:00:00"/>
    <n v="4000"/>
    <x v="0"/>
    <n v="0"/>
    <n v="2967.52"/>
    <x v="0"/>
    <s v="CC200"/>
    <s v="AutoPost 1258"/>
    <s v="AUD"/>
    <s v="2025-05"/>
    <n v="2967.52"/>
    <m/>
  </r>
  <r>
    <s v="GL001259"/>
    <d v="2025-03-29T00:00:00"/>
    <n v="4000"/>
    <x v="0"/>
    <n v="0"/>
    <n v="3250.84"/>
    <x v="5"/>
    <s v="CC500"/>
    <s v="AutoPost 1259"/>
    <s v="GBP"/>
    <s v="2025-03"/>
    <n v="3250.84"/>
    <m/>
  </r>
  <r>
    <s v="GL001260"/>
    <d v="2024-02-16T00:00:00"/>
    <n v="4000"/>
    <x v="0"/>
    <n v="0"/>
    <n v="2026.45"/>
    <x v="0"/>
    <s v="CC400"/>
    <s v="AutoPost 1260"/>
    <s v="EUR"/>
    <s v="2024-02"/>
    <n v="2026.45"/>
    <m/>
  </r>
  <r>
    <s v="GL001261"/>
    <d v="2023-01-02T00:00:00"/>
    <n v="5010"/>
    <x v="3"/>
    <n v="1199.5999999999999"/>
    <n v="0"/>
    <x v="2"/>
    <s v="CC400"/>
    <s v="AutoPost 1261"/>
    <s v="EUR"/>
    <s v="2023-01"/>
    <n v="-1199.5999999999999"/>
    <m/>
  </r>
  <r>
    <s v="GL001262"/>
    <d v="2023-01-27T00:00:00"/>
    <n v="5000"/>
    <x v="1"/>
    <n v="816.81"/>
    <n v="0"/>
    <x v="1"/>
    <s v="CC300"/>
    <s v="AutoPost 1262"/>
    <s v="EUR"/>
    <s v="2023-01"/>
    <n v="-816.81"/>
    <m/>
  </r>
  <r>
    <s v="GL001263"/>
    <d v="2024-12-17T00:00:00"/>
    <n v="4000"/>
    <x v="0"/>
    <n v="0"/>
    <n v="4074.11"/>
    <x v="1"/>
    <s v="CC400"/>
    <s v="AutoPost 1263"/>
    <s v="CAD"/>
    <s v="2024-12"/>
    <n v="4074.11"/>
    <m/>
  </r>
  <r>
    <s v="GL001264"/>
    <d v="2025-05-08T00:00:00"/>
    <n v="4000"/>
    <x v="0"/>
    <n v="0"/>
    <n v="720.36"/>
    <x v="5"/>
    <s v="CC400"/>
    <s v="AutoPost 1264"/>
    <s v="CAD"/>
    <s v="2025-05"/>
    <n v="720.36"/>
    <m/>
  </r>
  <r>
    <s v="GL001265"/>
    <d v="2025-02-20T00:00:00"/>
    <n v="5010"/>
    <x v="3"/>
    <n v="1279.52"/>
    <n v="0"/>
    <x v="2"/>
    <s v="CC400"/>
    <s v="AutoPost 1265"/>
    <s v="CAD"/>
    <s v="2025-02"/>
    <n v="-1279.52"/>
    <m/>
  </r>
  <r>
    <s v="GL001266"/>
    <d v="2024-07-19T00:00:00"/>
    <n v="5000"/>
    <x v="1"/>
    <n v="1249.06"/>
    <n v="0"/>
    <x v="1"/>
    <s v="CC200"/>
    <s v="AutoPost 1266"/>
    <s v="CAD"/>
    <s v="2024-07"/>
    <n v="-1249.06"/>
    <m/>
  </r>
  <r>
    <s v="GL001267"/>
    <d v="2025-03-09T00:00:00"/>
    <n v="4010"/>
    <x v="4"/>
    <n v="0"/>
    <n v="4456.47"/>
    <x v="0"/>
    <s v="CC400"/>
    <s v="AutoPost 1267"/>
    <s v="EUR"/>
    <s v="2025-03"/>
    <n v="4456.47"/>
    <m/>
  </r>
  <r>
    <s v="GL001268"/>
    <d v="2025-06-05T00:00:00"/>
    <n v="4000"/>
    <x v="0"/>
    <n v="0"/>
    <n v="3830.15"/>
    <x v="0"/>
    <s v="CC300"/>
    <s v="AutoPost 1268"/>
    <s v="GBP"/>
    <s v="2025-06"/>
    <n v="3830.15"/>
    <m/>
  </r>
  <r>
    <s v="GL001269"/>
    <d v="2023-08-09T00:00:00"/>
    <n v="4010"/>
    <x v="4"/>
    <n v="0"/>
    <n v="4835.12"/>
    <x v="5"/>
    <s v="CC400"/>
    <s v="AutoPost 1269"/>
    <s v="AUD"/>
    <s v="2023-08"/>
    <n v="4835.12"/>
    <m/>
  </r>
  <r>
    <s v="GL001270"/>
    <d v="2024-08-13T00:00:00"/>
    <n v="5000"/>
    <x v="1"/>
    <n v="1165.1300000000001"/>
    <n v="0"/>
    <x v="2"/>
    <s v="CC300"/>
    <s v="AutoPost 1270"/>
    <s v="AUD"/>
    <s v="2024-08"/>
    <n v="-1165.1300000000001"/>
    <m/>
  </r>
  <r>
    <s v="GL001271"/>
    <d v="2024-09-12T00:00:00"/>
    <n v="4000"/>
    <x v="0"/>
    <n v="0"/>
    <n v="112.08"/>
    <x v="1"/>
    <s v="CC100"/>
    <s v="AutoPost 1271"/>
    <s v="USD"/>
    <s v="2024-09"/>
    <n v="112.08"/>
    <m/>
  </r>
  <r>
    <s v="GL001272"/>
    <d v="2023-07-19T00:00:00"/>
    <n v="4010"/>
    <x v="4"/>
    <n v="0"/>
    <n v="3589.18"/>
    <x v="4"/>
    <s v="CC300"/>
    <s v="AutoPost 1272"/>
    <s v="AUD"/>
    <s v="2023-07"/>
    <n v="3589.18"/>
    <m/>
  </r>
  <r>
    <s v="GL001273"/>
    <d v="2025-05-07T00:00:00"/>
    <n v="4000"/>
    <x v="0"/>
    <n v="0"/>
    <n v="1841.13"/>
    <x v="4"/>
    <s v="CC400"/>
    <s v="AutoPost 1273"/>
    <s v="CAD"/>
    <s v="2025-05"/>
    <n v="1841.13"/>
    <m/>
  </r>
  <r>
    <s v="GL001274"/>
    <d v="2025-04-23T00:00:00"/>
    <n v="5000"/>
    <x v="1"/>
    <n v="1321.13"/>
    <n v="0"/>
    <x v="4"/>
    <s v="CC300"/>
    <s v="AutoPost 1274"/>
    <s v="GBP"/>
    <s v="2025-04"/>
    <n v="-1321.13"/>
    <m/>
  </r>
  <r>
    <s v="GL001275"/>
    <d v="2025-02-16T00:00:00"/>
    <n v="5010"/>
    <x v="3"/>
    <n v="501.83"/>
    <n v="0"/>
    <x v="5"/>
    <s v="CC100"/>
    <s v="AutoPost 1275"/>
    <s v="CAD"/>
    <s v="2025-02"/>
    <n v="-501.83"/>
    <m/>
  </r>
  <r>
    <s v="GL001276"/>
    <d v="2023-04-15T00:00:00"/>
    <n v="5010"/>
    <x v="3"/>
    <n v="233.68"/>
    <n v="0"/>
    <x v="5"/>
    <s v="CC400"/>
    <s v="AutoPost 1276"/>
    <s v="EUR"/>
    <s v="2023-04"/>
    <n v="-233.68"/>
    <m/>
  </r>
  <r>
    <s v="GL001277"/>
    <d v="2024-05-11T00:00:00"/>
    <n v="4010"/>
    <x v="4"/>
    <n v="0"/>
    <n v="4225.68"/>
    <x v="4"/>
    <s v="CC100"/>
    <s v="AutoPost 1277"/>
    <s v="AUD"/>
    <s v="2024-05"/>
    <n v="4225.68"/>
    <m/>
  </r>
  <r>
    <s v="GL001278"/>
    <d v="2024-12-17T00:00:00"/>
    <n v="5010"/>
    <x v="3"/>
    <n v="315.85000000000002"/>
    <n v="0"/>
    <x v="3"/>
    <s v="CC200"/>
    <s v="AutoPost 1278"/>
    <s v="USD"/>
    <s v="2024-12"/>
    <n v="-315.85000000000002"/>
    <m/>
  </r>
  <r>
    <s v="GL001279"/>
    <d v="2024-06-22T00:00:00"/>
    <n v="6000"/>
    <x v="2"/>
    <n v="1999.52"/>
    <n v="0"/>
    <x v="5"/>
    <s v="CC200"/>
    <s v="AutoPost 1279"/>
    <s v="EUR"/>
    <s v="2024-06"/>
    <n v="-1999.52"/>
    <m/>
  </r>
  <r>
    <s v="GL001280"/>
    <d v="2023-02-10T00:00:00"/>
    <n v="6000"/>
    <x v="2"/>
    <n v="770.08"/>
    <n v="0"/>
    <x v="5"/>
    <s v="CC100"/>
    <s v="AutoPost 1280"/>
    <s v="CAD"/>
    <s v="2023-02"/>
    <n v="-770.08"/>
    <m/>
  </r>
  <r>
    <s v="GL001281"/>
    <d v="2023-12-29T00:00:00"/>
    <n v="4010"/>
    <x v="4"/>
    <n v="0"/>
    <n v="4953.53"/>
    <x v="5"/>
    <s v="CC500"/>
    <s v="AutoPost 1281"/>
    <s v="GBP"/>
    <s v="2023-12"/>
    <n v="4953.53"/>
    <m/>
  </r>
  <r>
    <s v="GL001282"/>
    <d v="2023-04-29T00:00:00"/>
    <n v="4010"/>
    <x v="4"/>
    <n v="0"/>
    <n v="1360.16"/>
    <x v="5"/>
    <s v="CC500"/>
    <s v="AutoPost 1282"/>
    <s v="CAD"/>
    <s v="2023-04"/>
    <n v="1360.16"/>
    <m/>
  </r>
  <r>
    <s v="GL001283"/>
    <d v="2023-12-27T00:00:00"/>
    <n v="5000"/>
    <x v="1"/>
    <n v="475.84"/>
    <n v="0"/>
    <x v="1"/>
    <s v="CC300"/>
    <s v="AutoPost 1283"/>
    <s v="USD"/>
    <s v="2023-12"/>
    <n v="-475.84"/>
    <m/>
  </r>
  <r>
    <s v="GL001284"/>
    <d v="2024-04-23T00:00:00"/>
    <n v="5000"/>
    <x v="1"/>
    <n v="1211.1500000000001"/>
    <n v="0"/>
    <x v="5"/>
    <s v="CC200"/>
    <s v="AutoPost 1284"/>
    <s v="CAD"/>
    <s v="2024-04"/>
    <n v="-1211.1500000000001"/>
    <m/>
  </r>
  <r>
    <s v="GL001285"/>
    <d v="2023-04-05T00:00:00"/>
    <n v="4010"/>
    <x v="4"/>
    <n v="0"/>
    <n v="2327.23"/>
    <x v="0"/>
    <s v="CC400"/>
    <s v="AutoPost 1285"/>
    <s v="EUR"/>
    <s v="2023-04"/>
    <n v="2327.23"/>
    <m/>
  </r>
  <r>
    <s v="GL001286"/>
    <d v="2025-06-05T00:00:00"/>
    <n v="6000"/>
    <x v="2"/>
    <n v="237.68"/>
    <n v="0"/>
    <x v="5"/>
    <s v="CC500"/>
    <s v="AutoPost 1286"/>
    <s v="GBP"/>
    <s v="2025-06"/>
    <n v="-237.68"/>
    <m/>
  </r>
  <r>
    <s v="GL001287"/>
    <d v="2024-03-06T00:00:00"/>
    <n v="6000"/>
    <x v="2"/>
    <n v="1902.83"/>
    <n v="0"/>
    <x v="5"/>
    <s v="CC100"/>
    <s v="AutoPost 1287"/>
    <s v="CAD"/>
    <s v="2024-03"/>
    <n v="-1902.83"/>
    <m/>
  </r>
  <r>
    <s v="GL001288"/>
    <d v="2025-03-08T00:00:00"/>
    <n v="4000"/>
    <x v="0"/>
    <n v="0"/>
    <n v="2447.1"/>
    <x v="1"/>
    <s v="CC400"/>
    <s v="AutoPost 1288"/>
    <s v="AUD"/>
    <s v="2025-03"/>
    <n v="2447.1"/>
    <m/>
  </r>
  <r>
    <s v="GL001289"/>
    <d v="2024-11-24T00:00:00"/>
    <n v="6000"/>
    <x v="2"/>
    <n v="520.39"/>
    <n v="0"/>
    <x v="5"/>
    <s v="CC200"/>
    <s v="AutoPost 1289"/>
    <s v="USD"/>
    <s v="2024-11"/>
    <n v="-520.39"/>
    <m/>
  </r>
  <r>
    <s v="GL001290"/>
    <d v="2024-03-08T00:00:00"/>
    <n v="5010"/>
    <x v="3"/>
    <n v="1329.55"/>
    <n v="0"/>
    <x v="4"/>
    <s v="CC100"/>
    <s v="AutoPost 1290"/>
    <s v="CAD"/>
    <s v="2024-03"/>
    <n v="-1329.55"/>
    <m/>
  </r>
  <r>
    <s v="GL001291"/>
    <d v="2024-03-03T00:00:00"/>
    <n v="6000"/>
    <x v="2"/>
    <n v="1991.48"/>
    <n v="0"/>
    <x v="2"/>
    <s v="CC400"/>
    <s v="AutoPost 1291"/>
    <s v="GBP"/>
    <s v="2024-03"/>
    <n v="-1991.48"/>
    <m/>
  </r>
  <r>
    <s v="GL001292"/>
    <d v="2024-12-17T00:00:00"/>
    <n v="5000"/>
    <x v="1"/>
    <n v="637.88"/>
    <n v="0"/>
    <x v="0"/>
    <s v="CC300"/>
    <s v="AutoPost 1292"/>
    <s v="USD"/>
    <s v="2024-12"/>
    <n v="-637.88"/>
    <m/>
  </r>
  <r>
    <s v="GL001293"/>
    <d v="2023-12-14T00:00:00"/>
    <n v="4000"/>
    <x v="0"/>
    <n v="0"/>
    <n v="175.56"/>
    <x v="0"/>
    <s v="CC200"/>
    <s v="AutoPost 1293"/>
    <s v="CAD"/>
    <s v="2023-12"/>
    <n v="175.56"/>
    <m/>
  </r>
  <r>
    <s v="GL001294"/>
    <d v="2024-05-31T00:00:00"/>
    <n v="6000"/>
    <x v="2"/>
    <n v="282.05"/>
    <n v="0"/>
    <x v="0"/>
    <s v="CC500"/>
    <s v="AutoPost 1294"/>
    <s v="AUD"/>
    <s v="2024-05"/>
    <n v="-282.05"/>
    <m/>
  </r>
  <r>
    <s v="GL001295"/>
    <d v="2025-05-05T00:00:00"/>
    <n v="6000"/>
    <x v="2"/>
    <n v="1993.37"/>
    <n v="0"/>
    <x v="3"/>
    <s v="CC300"/>
    <s v="AutoPost 1295"/>
    <s v="GBP"/>
    <s v="2025-05"/>
    <n v="-1993.37"/>
    <m/>
  </r>
  <r>
    <s v="GL001296"/>
    <d v="2024-03-21T00:00:00"/>
    <n v="6000"/>
    <x v="2"/>
    <n v="294.74"/>
    <n v="0"/>
    <x v="0"/>
    <s v="CC200"/>
    <s v="AutoPost 1296"/>
    <s v="AUD"/>
    <s v="2024-03"/>
    <n v="-294.74"/>
    <m/>
  </r>
  <r>
    <s v="GL001297"/>
    <d v="2024-05-06T00:00:00"/>
    <n v="4000"/>
    <x v="0"/>
    <n v="0"/>
    <n v="763.55"/>
    <x v="1"/>
    <s v="CC500"/>
    <s v="AutoPost 1297"/>
    <s v="EUR"/>
    <s v="2024-05"/>
    <n v="763.55"/>
    <m/>
  </r>
  <r>
    <s v="GL001298"/>
    <d v="2023-06-26T00:00:00"/>
    <n v="4010"/>
    <x v="4"/>
    <n v="0"/>
    <n v="2502.91"/>
    <x v="4"/>
    <s v="CC200"/>
    <s v="AutoPost 1298"/>
    <s v="GBP"/>
    <s v="2023-06"/>
    <n v="2502.91"/>
    <m/>
  </r>
  <r>
    <s v="GL001299"/>
    <d v="2024-09-15T00:00:00"/>
    <n v="5010"/>
    <x v="3"/>
    <n v="468.89"/>
    <n v="0"/>
    <x v="4"/>
    <s v="CC300"/>
    <s v="AutoPost 1299"/>
    <s v="AUD"/>
    <s v="2024-09"/>
    <n v="-468.89"/>
    <m/>
  </r>
  <r>
    <s v="GL001300"/>
    <d v="2023-08-24T00:00:00"/>
    <n v="6000"/>
    <x v="2"/>
    <n v="810.8"/>
    <n v="0"/>
    <x v="3"/>
    <s v="CC100"/>
    <s v="AutoPost 1300"/>
    <s v="GBP"/>
    <s v="2023-08"/>
    <n v="-810.8"/>
    <m/>
  </r>
  <r>
    <s v="GL001301"/>
    <d v="2024-06-08T00:00:00"/>
    <n v="5000"/>
    <x v="1"/>
    <n v="1345.83"/>
    <n v="0"/>
    <x v="2"/>
    <s v="CC300"/>
    <s v="AutoPost 1301"/>
    <s v="GBP"/>
    <s v="2024-06"/>
    <n v="-1345.83"/>
    <m/>
  </r>
  <r>
    <s v="GL001302"/>
    <d v="2025-04-30T00:00:00"/>
    <n v="4000"/>
    <x v="0"/>
    <n v="0"/>
    <n v="4443.21"/>
    <x v="0"/>
    <s v="CC500"/>
    <s v="AutoPost 1302"/>
    <s v="AUD"/>
    <s v="2025-04"/>
    <n v="4443.21"/>
    <m/>
  </r>
  <r>
    <s v="GL001303"/>
    <d v="2023-04-24T00:00:00"/>
    <n v="5010"/>
    <x v="3"/>
    <n v="780.61"/>
    <n v="0"/>
    <x v="0"/>
    <s v="CC400"/>
    <s v="AutoPost 1303"/>
    <s v="AUD"/>
    <s v="2023-04"/>
    <n v="-780.61"/>
    <m/>
  </r>
  <r>
    <s v="GL001304"/>
    <d v="2024-01-19T00:00:00"/>
    <n v="4010"/>
    <x v="4"/>
    <n v="0"/>
    <n v="2988.59"/>
    <x v="2"/>
    <s v="CC300"/>
    <s v="AutoPost 1304"/>
    <s v="GBP"/>
    <s v="2024-01"/>
    <n v="2988.59"/>
    <m/>
  </r>
  <r>
    <s v="GL001305"/>
    <d v="2024-10-20T00:00:00"/>
    <n v="5010"/>
    <x v="3"/>
    <n v="1463.55"/>
    <n v="0"/>
    <x v="3"/>
    <s v="CC500"/>
    <s v="AutoPost 1305"/>
    <s v="CAD"/>
    <s v="2024-10"/>
    <n v="-1463.55"/>
    <m/>
  </r>
  <r>
    <s v="GL001306"/>
    <d v="2024-04-16T00:00:00"/>
    <n v="4010"/>
    <x v="4"/>
    <n v="0"/>
    <n v="790.68"/>
    <x v="1"/>
    <s v="CC500"/>
    <s v="AutoPost 1306"/>
    <s v="GBP"/>
    <s v="2024-04"/>
    <n v="790.68"/>
    <m/>
  </r>
  <r>
    <s v="GL001307"/>
    <d v="2023-06-13T00:00:00"/>
    <n v="4000"/>
    <x v="0"/>
    <n v="0"/>
    <n v="3083.05"/>
    <x v="0"/>
    <s v="CC300"/>
    <s v="AutoPost 1307"/>
    <s v="EUR"/>
    <s v="2023-06"/>
    <n v="3083.05"/>
    <m/>
  </r>
  <r>
    <s v="GL001308"/>
    <d v="2024-02-18T00:00:00"/>
    <n v="5010"/>
    <x v="3"/>
    <n v="473.43"/>
    <n v="0"/>
    <x v="0"/>
    <s v="CC200"/>
    <s v="AutoPost 1308"/>
    <s v="AUD"/>
    <s v="2024-02"/>
    <n v="-473.43"/>
    <m/>
  </r>
  <r>
    <s v="GL001309"/>
    <d v="2024-08-27T00:00:00"/>
    <n v="4010"/>
    <x v="4"/>
    <n v="0"/>
    <n v="4614.12"/>
    <x v="3"/>
    <s v="CC300"/>
    <s v="AutoPost 1309"/>
    <s v="EUR"/>
    <s v="2024-08"/>
    <n v="4614.12"/>
    <m/>
  </r>
  <r>
    <s v="GL001310"/>
    <d v="2023-01-09T00:00:00"/>
    <n v="5010"/>
    <x v="3"/>
    <n v="1506.71"/>
    <n v="0"/>
    <x v="2"/>
    <s v="CC300"/>
    <s v="AutoPost 1310"/>
    <s v="CAD"/>
    <s v="2023-01"/>
    <n v="-1506.71"/>
    <m/>
  </r>
  <r>
    <s v="GL001311"/>
    <d v="2023-01-17T00:00:00"/>
    <n v="6000"/>
    <x v="2"/>
    <n v="874.3"/>
    <n v="0"/>
    <x v="0"/>
    <s v="CC300"/>
    <s v="AutoPost 1311"/>
    <s v="GBP"/>
    <s v="2023-01"/>
    <n v="-874.3"/>
    <m/>
  </r>
  <r>
    <s v="GL001312"/>
    <d v="2023-01-12T00:00:00"/>
    <n v="5010"/>
    <x v="3"/>
    <n v="770.81"/>
    <n v="0"/>
    <x v="2"/>
    <s v="CC100"/>
    <s v="AutoPost 1312"/>
    <s v="USD"/>
    <s v="2023-01"/>
    <n v="-770.81"/>
    <m/>
  </r>
  <r>
    <s v="GL001313"/>
    <d v="2023-08-12T00:00:00"/>
    <n v="5000"/>
    <x v="1"/>
    <n v="916.64"/>
    <n v="0"/>
    <x v="2"/>
    <s v="CC500"/>
    <s v="AutoPost 1313"/>
    <s v="AUD"/>
    <s v="2023-08"/>
    <n v="-916.64"/>
    <m/>
  </r>
  <r>
    <s v="GL001314"/>
    <d v="2025-06-26T00:00:00"/>
    <n v="5000"/>
    <x v="1"/>
    <n v="1378.77"/>
    <n v="0"/>
    <x v="4"/>
    <s v="CC500"/>
    <s v="AutoPost 1314"/>
    <s v="AUD"/>
    <s v="2025-06"/>
    <n v="-1378.77"/>
    <m/>
  </r>
  <r>
    <s v="GL001315"/>
    <d v="2024-09-09T00:00:00"/>
    <n v="5010"/>
    <x v="3"/>
    <n v="1403.4"/>
    <n v="0"/>
    <x v="3"/>
    <s v="CC300"/>
    <s v="AutoPost 1315"/>
    <s v="AUD"/>
    <s v="2024-09"/>
    <n v="-1403.4"/>
    <m/>
  </r>
  <r>
    <s v="GL001316"/>
    <d v="2023-07-23T00:00:00"/>
    <n v="5000"/>
    <x v="1"/>
    <n v="710.78"/>
    <n v="0"/>
    <x v="4"/>
    <s v="CC500"/>
    <s v="AutoPost 1316"/>
    <s v="CAD"/>
    <s v="2023-07"/>
    <n v="-710.78"/>
    <m/>
  </r>
  <r>
    <s v="GL001317"/>
    <d v="2025-06-28T00:00:00"/>
    <n v="4010"/>
    <x v="4"/>
    <n v="0"/>
    <n v="2077.61"/>
    <x v="0"/>
    <s v="CC300"/>
    <s v="AutoPost 1317"/>
    <s v="USD"/>
    <s v="2025-06"/>
    <n v="2077.61"/>
    <m/>
  </r>
  <r>
    <s v="GL001318"/>
    <d v="2023-06-29T00:00:00"/>
    <n v="4000"/>
    <x v="0"/>
    <n v="0"/>
    <n v="2075.2600000000002"/>
    <x v="1"/>
    <s v="CC500"/>
    <s v="AutoPost 1318"/>
    <s v="USD"/>
    <s v="2023-06"/>
    <n v="2075.2600000000002"/>
    <m/>
  </r>
  <r>
    <s v="GL001319"/>
    <d v="2024-01-30T00:00:00"/>
    <n v="5000"/>
    <x v="1"/>
    <n v="955.82"/>
    <n v="0"/>
    <x v="2"/>
    <s v="CC400"/>
    <s v="AutoPost 1319"/>
    <s v="GBP"/>
    <s v="2024-01"/>
    <n v="-955.82"/>
    <m/>
  </r>
  <r>
    <s v="GL001320"/>
    <d v="2025-02-24T00:00:00"/>
    <n v="5000"/>
    <x v="1"/>
    <n v="1924.14"/>
    <n v="0"/>
    <x v="3"/>
    <s v="CC100"/>
    <s v="AutoPost 1320"/>
    <s v="CAD"/>
    <s v="2025-02"/>
    <n v="-1924.14"/>
    <m/>
  </r>
  <r>
    <s v="GL001321"/>
    <d v="2024-03-31T00:00:00"/>
    <n v="4010"/>
    <x v="4"/>
    <n v="0"/>
    <n v="4238.9799999999996"/>
    <x v="5"/>
    <s v="CC500"/>
    <s v="AutoPost 1321"/>
    <s v="EUR"/>
    <s v="2024-03"/>
    <n v="4238.9799999999996"/>
    <m/>
  </r>
  <r>
    <s v="GL001322"/>
    <d v="2024-12-10T00:00:00"/>
    <n v="5010"/>
    <x v="3"/>
    <n v="1471.95"/>
    <n v="0"/>
    <x v="1"/>
    <s v="CC400"/>
    <s v="AutoPost 1322"/>
    <s v="GBP"/>
    <s v="2024-12"/>
    <n v="-1471.95"/>
    <m/>
  </r>
  <r>
    <s v="GL001323"/>
    <d v="2025-06-18T00:00:00"/>
    <n v="4010"/>
    <x v="4"/>
    <n v="0"/>
    <n v="1269.44"/>
    <x v="0"/>
    <s v="CC200"/>
    <s v="AutoPost 1323"/>
    <s v="AUD"/>
    <s v="2025-06"/>
    <n v="1269.44"/>
    <m/>
  </r>
  <r>
    <s v="GL001324"/>
    <d v="2023-09-02T00:00:00"/>
    <n v="5000"/>
    <x v="1"/>
    <n v="97.3"/>
    <n v="0"/>
    <x v="5"/>
    <s v="CC500"/>
    <s v="AutoPost 1324"/>
    <s v="AUD"/>
    <s v="2023-09"/>
    <n v="-97.3"/>
    <m/>
  </r>
  <r>
    <s v="GL001325"/>
    <d v="2023-03-01T00:00:00"/>
    <n v="6000"/>
    <x v="2"/>
    <n v="557.66"/>
    <n v="0"/>
    <x v="5"/>
    <s v="CC500"/>
    <s v="AutoPost 1325"/>
    <s v="USD"/>
    <s v="2023-03"/>
    <n v="-557.66"/>
    <m/>
  </r>
  <r>
    <s v="GL001326"/>
    <d v="2024-03-23T00:00:00"/>
    <n v="5010"/>
    <x v="3"/>
    <n v="1380.55"/>
    <n v="0"/>
    <x v="1"/>
    <s v="CC400"/>
    <s v="AutoPost 1326"/>
    <s v="AUD"/>
    <s v="2024-03"/>
    <n v="-1380.55"/>
    <m/>
  </r>
  <r>
    <s v="GL001327"/>
    <d v="2025-02-01T00:00:00"/>
    <n v="5000"/>
    <x v="1"/>
    <n v="606.16"/>
    <n v="0"/>
    <x v="1"/>
    <s v="CC200"/>
    <s v="AutoPost 1327"/>
    <s v="AUD"/>
    <s v="2025-02"/>
    <n v="-606.16"/>
    <m/>
  </r>
  <r>
    <s v="GL001328"/>
    <d v="2024-05-11T00:00:00"/>
    <n v="6000"/>
    <x v="2"/>
    <n v="1885.28"/>
    <n v="0"/>
    <x v="3"/>
    <s v="CC300"/>
    <s v="AutoPost 1328"/>
    <s v="CAD"/>
    <s v="2024-05"/>
    <n v="-1885.28"/>
    <m/>
  </r>
  <r>
    <s v="GL001329"/>
    <d v="2024-11-27T00:00:00"/>
    <n v="5010"/>
    <x v="3"/>
    <n v="1731.77"/>
    <n v="0"/>
    <x v="3"/>
    <s v="CC400"/>
    <s v="AutoPost 1329"/>
    <s v="CAD"/>
    <s v="2024-11"/>
    <n v="-1731.77"/>
    <m/>
  </r>
  <r>
    <s v="GL001330"/>
    <d v="2023-05-23T00:00:00"/>
    <n v="5000"/>
    <x v="1"/>
    <n v="394.02"/>
    <n v="0"/>
    <x v="1"/>
    <s v="CC500"/>
    <s v="AutoPost 1330"/>
    <s v="GBP"/>
    <s v="2023-05"/>
    <n v="-394.02"/>
    <m/>
  </r>
  <r>
    <s v="GL001331"/>
    <d v="2024-01-07T00:00:00"/>
    <n v="4000"/>
    <x v="0"/>
    <n v="0"/>
    <n v="687.07"/>
    <x v="1"/>
    <s v="CC300"/>
    <s v="AutoPost 1331"/>
    <s v="CAD"/>
    <s v="2024-01"/>
    <n v="687.07"/>
    <m/>
  </r>
  <r>
    <s v="GL001332"/>
    <d v="2023-12-12T00:00:00"/>
    <n v="4010"/>
    <x v="4"/>
    <n v="0"/>
    <n v="4603.0200000000004"/>
    <x v="3"/>
    <s v="CC300"/>
    <s v="AutoPost 1332"/>
    <s v="GBP"/>
    <s v="2023-12"/>
    <n v="4603.0200000000004"/>
    <m/>
  </r>
  <r>
    <s v="GL001333"/>
    <d v="2024-06-18T00:00:00"/>
    <n v="6000"/>
    <x v="2"/>
    <n v="675.05"/>
    <n v="0"/>
    <x v="3"/>
    <s v="CC400"/>
    <s v="AutoPost 1333"/>
    <s v="USD"/>
    <s v="2024-06"/>
    <n v="-675.05"/>
    <m/>
  </r>
  <r>
    <s v="GL001334"/>
    <d v="2023-10-02T00:00:00"/>
    <n v="5000"/>
    <x v="1"/>
    <n v="1487.83"/>
    <n v="0"/>
    <x v="2"/>
    <s v="CC200"/>
    <s v="AutoPost 1334"/>
    <s v="AUD"/>
    <s v="2023-10"/>
    <n v="-1487.83"/>
    <m/>
  </r>
  <r>
    <s v="GL001335"/>
    <d v="2023-05-16T00:00:00"/>
    <n v="6000"/>
    <x v="2"/>
    <n v="792.43"/>
    <n v="0"/>
    <x v="4"/>
    <s v="CC300"/>
    <s v="AutoPost 1335"/>
    <s v="GBP"/>
    <s v="2023-05"/>
    <n v="-792.43"/>
    <m/>
  </r>
  <r>
    <s v="GL001336"/>
    <d v="2025-06-27T00:00:00"/>
    <n v="4000"/>
    <x v="0"/>
    <n v="0"/>
    <n v="1819.9"/>
    <x v="1"/>
    <s v="CC200"/>
    <s v="AutoPost 1336"/>
    <s v="GBP"/>
    <s v="2025-06"/>
    <n v="1819.9"/>
    <m/>
  </r>
  <r>
    <s v="GL001337"/>
    <d v="2025-02-08T00:00:00"/>
    <n v="5000"/>
    <x v="1"/>
    <n v="1966.73"/>
    <n v="0"/>
    <x v="2"/>
    <s v="CC300"/>
    <s v="AutoPost 1337"/>
    <s v="GBP"/>
    <s v="2025-02"/>
    <n v="-1966.73"/>
    <m/>
  </r>
  <r>
    <s v="GL001338"/>
    <d v="2023-01-31T00:00:00"/>
    <n v="4010"/>
    <x v="4"/>
    <n v="0"/>
    <n v="1355.21"/>
    <x v="5"/>
    <s v="CC100"/>
    <s v="AutoPost 1338"/>
    <s v="CAD"/>
    <s v="2023-01"/>
    <n v="1355.21"/>
    <m/>
  </r>
  <r>
    <s v="GL001339"/>
    <d v="2024-12-03T00:00:00"/>
    <n v="4010"/>
    <x v="4"/>
    <n v="0"/>
    <n v="4992.45"/>
    <x v="1"/>
    <s v="CC500"/>
    <s v="AutoPost 1339"/>
    <s v="CAD"/>
    <s v="2024-12"/>
    <n v="4992.45"/>
    <m/>
  </r>
  <r>
    <s v="GL001340"/>
    <d v="2024-10-26T00:00:00"/>
    <n v="5000"/>
    <x v="1"/>
    <n v="1949.81"/>
    <n v="0"/>
    <x v="1"/>
    <s v="CC200"/>
    <s v="AutoPost 1340"/>
    <s v="EUR"/>
    <s v="2024-10"/>
    <n v="-1949.81"/>
    <m/>
  </r>
  <r>
    <s v="GL001341"/>
    <d v="2024-11-24T00:00:00"/>
    <n v="5010"/>
    <x v="3"/>
    <n v="733.3"/>
    <n v="0"/>
    <x v="1"/>
    <s v="CC300"/>
    <s v="AutoPost 1341"/>
    <s v="EUR"/>
    <s v="2024-11"/>
    <n v="-733.3"/>
    <m/>
  </r>
  <r>
    <s v="GL001342"/>
    <d v="2024-12-21T00:00:00"/>
    <n v="5000"/>
    <x v="1"/>
    <n v="1405.39"/>
    <n v="0"/>
    <x v="0"/>
    <s v="CC500"/>
    <s v="AutoPost 1342"/>
    <s v="USD"/>
    <s v="2024-12"/>
    <n v="-1405.39"/>
    <m/>
  </r>
  <r>
    <s v="GL001343"/>
    <d v="2023-09-28T00:00:00"/>
    <n v="4000"/>
    <x v="0"/>
    <n v="0"/>
    <n v="599.19000000000005"/>
    <x v="0"/>
    <s v="CC100"/>
    <s v="AutoPost 1343"/>
    <s v="EUR"/>
    <s v="2023-09"/>
    <n v="599.19000000000005"/>
    <m/>
  </r>
  <r>
    <s v="GL001344"/>
    <d v="2024-07-22T00:00:00"/>
    <n v="4010"/>
    <x v="4"/>
    <n v="0"/>
    <n v="872.03"/>
    <x v="5"/>
    <s v="CC400"/>
    <s v="AutoPost 1344"/>
    <s v="GBP"/>
    <s v="2024-07"/>
    <n v="872.03"/>
    <m/>
  </r>
  <r>
    <s v="GL001345"/>
    <d v="2023-05-15T00:00:00"/>
    <n v="4000"/>
    <x v="0"/>
    <n v="0"/>
    <n v="3873.21"/>
    <x v="2"/>
    <s v="CC400"/>
    <s v="AutoPost 1345"/>
    <s v="AUD"/>
    <s v="2023-05"/>
    <n v="3873.21"/>
    <m/>
  </r>
  <r>
    <s v="GL001346"/>
    <d v="2025-06-25T00:00:00"/>
    <n v="5010"/>
    <x v="3"/>
    <n v="122.84"/>
    <n v="0"/>
    <x v="2"/>
    <s v="CC100"/>
    <s v="AutoPost 1346"/>
    <s v="USD"/>
    <s v="2025-06"/>
    <n v="-122.84"/>
    <m/>
  </r>
  <r>
    <s v="GL001347"/>
    <d v="2025-02-10T00:00:00"/>
    <n v="4010"/>
    <x v="4"/>
    <n v="0"/>
    <n v="1039.28"/>
    <x v="5"/>
    <s v="CC100"/>
    <s v="AutoPost 1347"/>
    <s v="EUR"/>
    <s v="2025-02"/>
    <n v="1039.28"/>
    <m/>
  </r>
  <r>
    <s v="GL001348"/>
    <d v="2025-04-12T00:00:00"/>
    <n v="4010"/>
    <x v="4"/>
    <n v="0"/>
    <n v="1214.51"/>
    <x v="3"/>
    <s v="CC100"/>
    <s v="AutoPost 1348"/>
    <s v="GBP"/>
    <s v="2025-04"/>
    <n v="1214.51"/>
    <m/>
  </r>
  <r>
    <s v="GL001349"/>
    <d v="2025-01-20T00:00:00"/>
    <n v="5010"/>
    <x v="3"/>
    <n v="1318.81"/>
    <n v="0"/>
    <x v="3"/>
    <s v="CC400"/>
    <s v="AutoPost 1349"/>
    <s v="AUD"/>
    <s v="2025-01"/>
    <n v="-1318.81"/>
    <m/>
  </r>
  <r>
    <s v="GL001350"/>
    <d v="2023-07-24T00:00:00"/>
    <n v="4010"/>
    <x v="4"/>
    <n v="0"/>
    <n v="3395.3"/>
    <x v="1"/>
    <s v="CC300"/>
    <s v="AutoPost 1350"/>
    <s v="GBP"/>
    <s v="2023-07"/>
    <n v="3395.3"/>
    <m/>
  </r>
  <r>
    <s v="GL001351"/>
    <d v="2024-09-27T00:00:00"/>
    <n v="6000"/>
    <x v="2"/>
    <n v="1554.18"/>
    <n v="0"/>
    <x v="5"/>
    <s v="CC300"/>
    <s v="AutoPost 1351"/>
    <s v="AUD"/>
    <s v="2024-09"/>
    <n v="-1554.18"/>
    <m/>
  </r>
  <r>
    <s v="GL001352"/>
    <d v="2024-11-23T00:00:00"/>
    <n v="4000"/>
    <x v="0"/>
    <n v="0"/>
    <n v="4613.7"/>
    <x v="0"/>
    <s v="CC300"/>
    <s v="AutoPost 1352"/>
    <s v="USD"/>
    <s v="2024-11"/>
    <n v="4613.7"/>
    <m/>
  </r>
  <r>
    <s v="GL001353"/>
    <d v="2025-06-30T00:00:00"/>
    <n v="5010"/>
    <x v="3"/>
    <n v="803.03"/>
    <n v="0"/>
    <x v="4"/>
    <s v="CC200"/>
    <s v="AutoPost 1353"/>
    <s v="CAD"/>
    <s v="2025-06"/>
    <n v="-803.03"/>
    <m/>
  </r>
  <r>
    <s v="GL001354"/>
    <d v="2025-05-18T00:00:00"/>
    <n v="5010"/>
    <x v="3"/>
    <n v="1564.19"/>
    <n v="0"/>
    <x v="0"/>
    <s v="CC200"/>
    <s v="AutoPost 1354"/>
    <s v="CAD"/>
    <s v="2025-05"/>
    <n v="-1564.19"/>
    <m/>
  </r>
  <r>
    <s v="GL001355"/>
    <d v="2025-01-18T00:00:00"/>
    <n v="6000"/>
    <x v="2"/>
    <n v="1942.89"/>
    <n v="0"/>
    <x v="0"/>
    <s v="CC100"/>
    <s v="AutoPost 1355"/>
    <s v="USD"/>
    <s v="2025-01"/>
    <n v="-1942.89"/>
    <m/>
  </r>
  <r>
    <s v="GL001356"/>
    <d v="2024-10-13T00:00:00"/>
    <n v="4000"/>
    <x v="0"/>
    <n v="0"/>
    <n v="4122.6000000000004"/>
    <x v="2"/>
    <s v="CC200"/>
    <s v="AutoPost 1356"/>
    <s v="GBP"/>
    <s v="2024-10"/>
    <n v="4122.6000000000004"/>
    <m/>
  </r>
  <r>
    <s v="GL001357"/>
    <d v="2025-01-10T00:00:00"/>
    <n v="4010"/>
    <x v="4"/>
    <n v="0"/>
    <n v="3139.71"/>
    <x v="2"/>
    <s v="CC100"/>
    <s v="AutoPost 1357"/>
    <s v="EUR"/>
    <s v="2025-01"/>
    <n v="3139.71"/>
    <m/>
  </r>
  <r>
    <s v="GL001358"/>
    <d v="2023-05-12T00:00:00"/>
    <n v="5010"/>
    <x v="3"/>
    <n v="168.07"/>
    <n v="0"/>
    <x v="1"/>
    <s v="CC500"/>
    <s v="AutoPost 1358"/>
    <s v="CAD"/>
    <s v="2023-05"/>
    <n v="-168.07"/>
    <m/>
  </r>
  <r>
    <s v="GL001359"/>
    <d v="2023-02-18T00:00:00"/>
    <n v="4000"/>
    <x v="0"/>
    <n v="0"/>
    <n v="2067.23"/>
    <x v="2"/>
    <s v="CC200"/>
    <s v="AutoPost 1359"/>
    <s v="GBP"/>
    <s v="2023-02"/>
    <n v="2067.23"/>
    <m/>
  </r>
  <r>
    <s v="GL001360"/>
    <d v="2025-06-29T00:00:00"/>
    <n v="5010"/>
    <x v="3"/>
    <n v="364.93"/>
    <n v="0"/>
    <x v="5"/>
    <s v="CC200"/>
    <s v="AutoPost 1360"/>
    <s v="USD"/>
    <s v="2025-06"/>
    <n v="-364.93"/>
    <m/>
  </r>
  <r>
    <s v="GL001361"/>
    <d v="2025-02-06T00:00:00"/>
    <n v="5000"/>
    <x v="1"/>
    <n v="488.16"/>
    <n v="0"/>
    <x v="3"/>
    <s v="CC500"/>
    <s v="AutoPost 1361"/>
    <s v="GBP"/>
    <s v="2025-02"/>
    <n v="-488.16"/>
    <m/>
  </r>
  <r>
    <s v="GL001362"/>
    <d v="2023-02-11T00:00:00"/>
    <n v="5000"/>
    <x v="1"/>
    <n v="506.43"/>
    <n v="0"/>
    <x v="5"/>
    <s v="CC100"/>
    <s v="AutoPost 1362"/>
    <s v="USD"/>
    <s v="2023-02"/>
    <n v="-506.43"/>
    <m/>
  </r>
  <r>
    <s v="GL001363"/>
    <d v="2024-07-25T00:00:00"/>
    <n v="5000"/>
    <x v="1"/>
    <n v="517.6"/>
    <n v="0"/>
    <x v="1"/>
    <s v="CC400"/>
    <s v="AutoPost 1363"/>
    <s v="EUR"/>
    <s v="2024-07"/>
    <n v="-517.6"/>
    <m/>
  </r>
  <r>
    <s v="GL001364"/>
    <d v="2023-12-19T00:00:00"/>
    <n v="6000"/>
    <x v="2"/>
    <n v="846.47"/>
    <n v="0"/>
    <x v="2"/>
    <s v="CC200"/>
    <s v="AutoPost 1364"/>
    <s v="AUD"/>
    <s v="2023-12"/>
    <n v="-846.47"/>
    <m/>
  </r>
  <r>
    <s v="GL001365"/>
    <d v="2023-03-22T00:00:00"/>
    <n v="4010"/>
    <x v="4"/>
    <n v="0"/>
    <n v="998.83"/>
    <x v="5"/>
    <s v="CC100"/>
    <s v="AutoPost 1365"/>
    <s v="USD"/>
    <s v="2023-03"/>
    <n v="998.83"/>
    <m/>
  </r>
  <r>
    <s v="GL001366"/>
    <d v="2023-12-08T00:00:00"/>
    <n v="5010"/>
    <x v="3"/>
    <n v="714.9"/>
    <n v="0"/>
    <x v="0"/>
    <s v="CC500"/>
    <s v="AutoPost 1366"/>
    <s v="GBP"/>
    <s v="2023-12"/>
    <n v="-714.9"/>
    <m/>
  </r>
  <r>
    <s v="GL001367"/>
    <d v="2023-12-01T00:00:00"/>
    <n v="4010"/>
    <x v="4"/>
    <n v="0"/>
    <n v="1049.58"/>
    <x v="2"/>
    <s v="CC500"/>
    <s v="AutoPost 1367"/>
    <s v="AUD"/>
    <s v="2023-12"/>
    <n v="1049.58"/>
    <m/>
  </r>
  <r>
    <s v="GL001368"/>
    <d v="2023-01-17T00:00:00"/>
    <n v="5010"/>
    <x v="3"/>
    <n v="1962.1"/>
    <n v="0"/>
    <x v="0"/>
    <s v="CC100"/>
    <s v="AutoPost 1368"/>
    <s v="USD"/>
    <s v="2023-01"/>
    <n v="-1962.1"/>
    <m/>
  </r>
  <r>
    <s v="GL001369"/>
    <d v="2023-01-20T00:00:00"/>
    <n v="5000"/>
    <x v="1"/>
    <n v="773.23"/>
    <n v="0"/>
    <x v="5"/>
    <s v="CC300"/>
    <s v="AutoPost 1369"/>
    <s v="CAD"/>
    <s v="2023-01"/>
    <n v="-773.23"/>
    <m/>
  </r>
  <r>
    <s v="GL001370"/>
    <d v="2025-05-27T00:00:00"/>
    <n v="5010"/>
    <x v="3"/>
    <n v="485.53"/>
    <n v="0"/>
    <x v="3"/>
    <s v="CC500"/>
    <s v="AutoPost 1370"/>
    <s v="GBP"/>
    <s v="2025-05"/>
    <n v="-485.53"/>
    <m/>
  </r>
  <r>
    <s v="GL001371"/>
    <d v="2024-03-09T00:00:00"/>
    <n v="4010"/>
    <x v="4"/>
    <n v="0"/>
    <n v="586.21"/>
    <x v="3"/>
    <s v="CC400"/>
    <s v="AutoPost 1371"/>
    <s v="EUR"/>
    <s v="2024-03"/>
    <n v="586.21"/>
    <m/>
  </r>
  <r>
    <s v="GL001372"/>
    <d v="2025-03-28T00:00:00"/>
    <n v="4000"/>
    <x v="0"/>
    <n v="0"/>
    <n v="1624.21"/>
    <x v="3"/>
    <s v="CC200"/>
    <s v="AutoPost 1372"/>
    <s v="GBP"/>
    <s v="2025-03"/>
    <n v="1624.21"/>
    <m/>
  </r>
  <r>
    <s v="GL001373"/>
    <d v="2023-06-12T00:00:00"/>
    <n v="5010"/>
    <x v="3"/>
    <n v="680.82"/>
    <n v="0"/>
    <x v="5"/>
    <s v="CC100"/>
    <s v="AutoPost 1373"/>
    <s v="USD"/>
    <s v="2023-06"/>
    <n v="-680.82"/>
    <m/>
  </r>
  <r>
    <s v="GL001374"/>
    <d v="2023-12-02T00:00:00"/>
    <n v="6000"/>
    <x v="2"/>
    <n v="167.34"/>
    <n v="0"/>
    <x v="3"/>
    <s v="CC400"/>
    <s v="AutoPost 1374"/>
    <s v="USD"/>
    <s v="2023-12"/>
    <n v="-167.34"/>
    <m/>
  </r>
  <r>
    <s v="GL001375"/>
    <d v="2024-07-16T00:00:00"/>
    <n v="4000"/>
    <x v="0"/>
    <n v="0"/>
    <n v="1929.16"/>
    <x v="3"/>
    <s v="CC200"/>
    <s v="AutoPost 1375"/>
    <s v="EUR"/>
    <s v="2024-07"/>
    <n v="1929.16"/>
    <m/>
  </r>
  <r>
    <s v="GL001376"/>
    <d v="2023-11-10T00:00:00"/>
    <n v="5010"/>
    <x v="3"/>
    <n v="400.54"/>
    <n v="0"/>
    <x v="3"/>
    <s v="CC400"/>
    <s v="AutoPost 1376"/>
    <s v="EUR"/>
    <s v="2023-11"/>
    <n v="-400.54"/>
    <m/>
  </r>
  <r>
    <s v="GL001377"/>
    <d v="2024-04-15T00:00:00"/>
    <n v="4010"/>
    <x v="4"/>
    <n v="0"/>
    <n v="1657.49"/>
    <x v="5"/>
    <s v="CC400"/>
    <s v="AutoPost 1377"/>
    <s v="GBP"/>
    <s v="2024-04"/>
    <n v="1657.49"/>
    <m/>
  </r>
  <r>
    <s v="GL001378"/>
    <d v="2024-04-06T00:00:00"/>
    <n v="4000"/>
    <x v="0"/>
    <n v="0"/>
    <n v="1718.15"/>
    <x v="0"/>
    <s v="CC200"/>
    <s v="AutoPost 1378"/>
    <s v="GBP"/>
    <s v="2024-04"/>
    <n v="1718.15"/>
    <m/>
  </r>
  <r>
    <s v="GL001379"/>
    <d v="2025-06-16T00:00:00"/>
    <n v="4010"/>
    <x v="4"/>
    <n v="0"/>
    <n v="3216.06"/>
    <x v="4"/>
    <s v="CC100"/>
    <s v="AutoPost 1379"/>
    <s v="CAD"/>
    <s v="2025-06"/>
    <n v="3216.06"/>
    <m/>
  </r>
  <r>
    <s v="GL001380"/>
    <d v="2023-05-19T00:00:00"/>
    <n v="4010"/>
    <x v="4"/>
    <n v="0"/>
    <n v="3406.43"/>
    <x v="2"/>
    <s v="CC100"/>
    <s v="AutoPost 1380"/>
    <s v="AUD"/>
    <s v="2023-05"/>
    <n v="3406.43"/>
    <m/>
  </r>
  <r>
    <s v="GL001381"/>
    <d v="2025-03-28T00:00:00"/>
    <n v="6000"/>
    <x v="2"/>
    <n v="1047.53"/>
    <n v="0"/>
    <x v="4"/>
    <s v="CC200"/>
    <s v="AutoPost 1381"/>
    <s v="USD"/>
    <s v="2025-03"/>
    <n v="-1047.53"/>
    <m/>
  </r>
  <r>
    <s v="GL001382"/>
    <d v="2024-11-03T00:00:00"/>
    <n v="5010"/>
    <x v="3"/>
    <n v="129.62"/>
    <n v="0"/>
    <x v="4"/>
    <s v="CC500"/>
    <s v="AutoPost 1382"/>
    <s v="EUR"/>
    <s v="2024-11"/>
    <n v="-129.62"/>
    <m/>
  </r>
  <r>
    <s v="GL001383"/>
    <d v="2023-08-20T00:00:00"/>
    <n v="4010"/>
    <x v="4"/>
    <n v="0"/>
    <n v="2334.75"/>
    <x v="2"/>
    <s v="CC200"/>
    <s v="AutoPost 1383"/>
    <s v="AUD"/>
    <s v="2023-08"/>
    <n v="2334.75"/>
    <m/>
  </r>
  <r>
    <s v="GL001384"/>
    <d v="2023-06-14T00:00:00"/>
    <n v="6000"/>
    <x v="2"/>
    <n v="1023.61"/>
    <n v="0"/>
    <x v="0"/>
    <s v="CC300"/>
    <s v="AutoPost 1384"/>
    <s v="GBP"/>
    <s v="2023-06"/>
    <n v="-1023.61"/>
    <m/>
  </r>
  <r>
    <s v="GL001385"/>
    <d v="2024-01-20T00:00:00"/>
    <n v="5010"/>
    <x v="3"/>
    <n v="182.89"/>
    <n v="0"/>
    <x v="3"/>
    <s v="CC300"/>
    <s v="AutoPost 1385"/>
    <s v="GBP"/>
    <s v="2024-01"/>
    <n v="-182.89"/>
    <m/>
  </r>
  <r>
    <s v="GL001386"/>
    <d v="2024-07-03T00:00:00"/>
    <n v="6000"/>
    <x v="2"/>
    <n v="229.97"/>
    <n v="0"/>
    <x v="0"/>
    <s v="CC300"/>
    <s v="AutoPost 1386"/>
    <s v="GBP"/>
    <s v="2024-07"/>
    <n v="-229.97"/>
    <m/>
  </r>
  <r>
    <s v="GL001387"/>
    <d v="2024-09-13T00:00:00"/>
    <n v="6000"/>
    <x v="2"/>
    <n v="1443.86"/>
    <n v="0"/>
    <x v="3"/>
    <s v="CC100"/>
    <s v="AutoPost 1387"/>
    <s v="USD"/>
    <s v="2024-09"/>
    <n v="-1443.86"/>
    <m/>
  </r>
  <r>
    <s v="GL001388"/>
    <d v="2024-04-09T00:00:00"/>
    <n v="4010"/>
    <x v="4"/>
    <n v="0"/>
    <n v="1270.57"/>
    <x v="2"/>
    <s v="CC300"/>
    <s v="AutoPost 1388"/>
    <s v="AUD"/>
    <s v="2024-04"/>
    <n v="1270.57"/>
    <m/>
  </r>
  <r>
    <s v="GL001389"/>
    <d v="2023-08-01T00:00:00"/>
    <n v="4010"/>
    <x v="4"/>
    <n v="0"/>
    <n v="1310.5899999999999"/>
    <x v="5"/>
    <s v="CC100"/>
    <s v="AutoPost 1389"/>
    <s v="CAD"/>
    <s v="2023-08"/>
    <n v="1310.5899999999999"/>
    <m/>
  </r>
  <r>
    <s v="GL001390"/>
    <d v="2024-02-22T00:00:00"/>
    <n v="4010"/>
    <x v="4"/>
    <n v="0"/>
    <n v="3868.62"/>
    <x v="5"/>
    <s v="CC100"/>
    <s v="AutoPost 1390"/>
    <s v="AUD"/>
    <s v="2024-02"/>
    <n v="3868.62"/>
    <m/>
  </r>
  <r>
    <s v="GL001391"/>
    <d v="2023-06-17T00:00:00"/>
    <n v="4000"/>
    <x v="0"/>
    <n v="0"/>
    <n v="138.43"/>
    <x v="1"/>
    <s v="CC500"/>
    <s v="AutoPost 1391"/>
    <s v="GBP"/>
    <s v="2023-06"/>
    <n v="138.43"/>
    <m/>
  </r>
  <r>
    <s v="GL001392"/>
    <d v="2023-10-11T00:00:00"/>
    <n v="5000"/>
    <x v="1"/>
    <n v="1749.68"/>
    <n v="0"/>
    <x v="1"/>
    <s v="CC200"/>
    <s v="AutoPost 1392"/>
    <s v="EUR"/>
    <s v="2023-10"/>
    <n v="-1749.68"/>
    <m/>
  </r>
  <r>
    <s v="GL001393"/>
    <d v="2025-05-30T00:00:00"/>
    <n v="4010"/>
    <x v="4"/>
    <n v="0"/>
    <n v="4955.21"/>
    <x v="2"/>
    <s v="CC200"/>
    <s v="AutoPost 1393"/>
    <s v="EUR"/>
    <s v="2025-05"/>
    <n v="4955.21"/>
    <m/>
  </r>
  <r>
    <s v="GL001394"/>
    <d v="2023-10-24T00:00:00"/>
    <n v="5010"/>
    <x v="3"/>
    <n v="1030.07"/>
    <n v="0"/>
    <x v="1"/>
    <s v="CC300"/>
    <s v="AutoPost 1394"/>
    <s v="CAD"/>
    <s v="2023-10"/>
    <n v="-1030.07"/>
    <m/>
  </r>
  <r>
    <s v="GL001395"/>
    <d v="2023-01-25T00:00:00"/>
    <n v="6000"/>
    <x v="2"/>
    <n v="1552.9"/>
    <n v="0"/>
    <x v="1"/>
    <s v="CC300"/>
    <s v="AutoPost 1395"/>
    <s v="GBP"/>
    <s v="2023-01"/>
    <n v="-1552.9"/>
    <m/>
  </r>
  <r>
    <s v="GL001396"/>
    <d v="2023-03-24T00:00:00"/>
    <n v="5000"/>
    <x v="1"/>
    <n v="1837.1"/>
    <n v="0"/>
    <x v="1"/>
    <s v="CC500"/>
    <s v="AutoPost 1396"/>
    <s v="USD"/>
    <s v="2023-03"/>
    <n v="-1837.1"/>
    <m/>
  </r>
  <r>
    <s v="GL001397"/>
    <d v="2023-10-01T00:00:00"/>
    <n v="4000"/>
    <x v="0"/>
    <n v="0"/>
    <n v="3838.99"/>
    <x v="1"/>
    <s v="CC300"/>
    <s v="AutoPost 1397"/>
    <s v="AUD"/>
    <s v="2023-10"/>
    <n v="3838.99"/>
    <m/>
  </r>
  <r>
    <s v="GL001398"/>
    <d v="2024-03-01T00:00:00"/>
    <n v="6000"/>
    <x v="2"/>
    <n v="1204.07"/>
    <n v="0"/>
    <x v="1"/>
    <s v="CC200"/>
    <s v="AutoPost 1398"/>
    <s v="EUR"/>
    <s v="2024-03"/>
    <n v="-1204.07"/>
    <m/>
  </r>
  <r>
    <s v="GL001399"/>
    <d v="2023-07-21T00:00:00"/>
    <n v="5010"/>
    <x v="3"/>
    <n v="1122.26"/>
    <n v="0"/>
    <x v="2"/>
    <s v="CC500"/>
    <s v="AutoPost 1399"/>
    <s v="AUD"/>
    <s v="2023-07"/>
    <n v="-1122.26"/>
    <m/>
  </r>
  <r>
    <s v="GL001400"/>
    <d v="2023-11-27T00:00:00"/>
    <n v="5010"/>
    <x v="3"/>
    <n v="633.59"/>
    <n v="0"/>
    <x v="3"/>
    <s v="CC300"/>
    <s v="AutoPost 1400"/>
    <s v="CAD"/>
    <s v="2023-11"/>
    <n v="-633.59"/>
    <m/>
  </r>
  <r>
    <s v="GL001401"/>
    <d v="2023-01-09T00:00:00"/>
    <n v="4010"/>
    <x v="4"/>
    <n v="0"/>
    <n v="4074.33"/>
    <x v="2"/>
    <s v="CC100"/>
    <s v="AutoPost 1401"/>
    <s v="USD"/>
    <s v="2023-01"/>
    <n v="4074.33"/>
    <m/>
  </r>
  <r>
    <s v="GL001402"/>
    <d v="2024-09-05T00:00:00"/>
    <n v="6000"/>
    <x v="2"/>
    <n v="340.22"/>
    <n v="0"/>
    <x v="5"/>
    <s v="CC400"/>
    <s v="AutoPost 1402"/>
    <s v="GBP"/>
    <s v="2024-09"/>
    <n v="-340.22"/>
    <m/>
  </r>
  <r>
    <s v="GL001403"/>
    <d v="2025-05-19T00:00:00"/>
    <n v="6000"/>
    <x v="2"/>
    <n v="1891.61"/>
    <n v="0"/>
    <x v="0"/>
    <s v="CC500"/>
    <s v="AutoPost 1403"/>
    <s v="EUR"/>
    <s v="2025-05"/>
    <n v="-1891.61"/>
    <m/>
  </r>
  <r>
    <s v="GL001404"/>
    <d v="2025-02-06T00:00:00"/>
    <n v="5000"/>
    <x v="1"/>
    <n v="1998.5"/>
    <n v="0"/>
    <x v="3"/>
    <s v="CC200"/>
    <s v="AutoPost 1404"/>
    <s v="EUR"/>
    <s v="2025-02"/>
    <n v="-1998.5"/>
    <m/>
  </r>
  <r>
    <s v="GL001405"/>
    <d v="2025-06-08T00:00:00"/>
    <n v="4000"/>
    <x v="0"/>
    <n v="0"/>
    <n v="2567.37"/>
    <x v="3"/>
    <s v="CC400"/>
    <s v="AutoPost 1405"/>
    <s v="EUR"/>
    <s v="2025-06"/>
    <n v="2567.37"/>
    <m/>
  </r>
  <r>
    <s v="GL001406"/>
    <d v="2025-05-07T00:00:00"/>
    <n v="5000"/>
    <x v="1"/>
    <n v="1097.98"/>
    <n v="0"/>
    <x v="5"/>
    <s v="CC100"/>
    <s v="AutoPost 1406"/>
    <s v="EUR"/>
    <s v="2025-05"/>
    <n v="-1097.98"/>
    <m/>
  </r>
  <r>
    <s v="GL001407"/>
    <d v="2025-03-20T00:00:00"/>
    <n v="6000"/>
    <x v="2"/>
    <n v="443.66"/>
    <n v="0"/>
    <x v="3"/>
    <s v="CC400"/>
    <s v="AutoPost 1407"/>
    <s v="GBP"/>
    <s v="2025-03"/>
    <n v="-443.66"/>
    <m/>
  </r>
  <r>
    <s v="GL001408"/>
    <d v="2023-04-05T00:00:00"/>
    <n v="5000"/>
    <x v="1"/>
    <n v="225.89"/>
    <n v="0"/>
    <x v="1"/>
    <s v="CC400"/>
    <s v="AutoPost 1408"/>
    <s v="AUD"/>
    <s v="2023-04"/>
    <n v="-225.89"/>
    <m/>
  </r>
  <r>
    <s v="GL001409"/>
    <d v="2023-09-30T00:00:00"/>
    <n v="5000"/>
    <x v="1"/>
    <n v="90.95"/>
    <n v="0"/>
    <x v="3"/>
    <s v="CC200"/>
    <s v="AutoPost 1409"/>
    <s v="USD"/>
    <s v="2023-09"/>
    <n v="-90.95"/>
    <m/>
  </r>
  <r>
    <s v="GL001410"/>
    <d v="2025-05-16T00:00:00"/>
    <n v="4010"/>
    <x v="4"/>
    <n v="0"/>
    <n v="4806.1400000000003"/>
    <x v="3"/>
    <s v="CC100"/>
    <s v="AutoPost 1410"/>
    <s v="EUR"/>
    <s v="2025-05"/>
    <n v="4806.1400000000003"/>
    <m/>
  </r>
  <r>
    <s v="GL001411"/>
    <d v="2024-10-17T00:00:00"/>
    <n v="4010"/>
    <x v="4"/>
    <n v="0"/>
    <n v="2397.21"/>
    <x v="5"/>
    <s v="CC200"/>
    <s v="AutoPost 1411"/>
    <s v="GBP"/>
    <s v="2024-10"/>
    <n v="2397.21"/>
    <m/>
  </r>
  <r>
    <s v="GL001412"/>
    <d v="2023-04-06T00:00:00"/>
    <n v="4010"/>
    <x v="4"/>
    <n v="0"/>
    <n v="1164.68"/>
    <x v="0"/>
    <s v="CC200"/>
    <s v="AutoPost 1412"/>
    <s v="USD"/>
    <s v="2023-04"/>
    <n v="1164.68"/>
    <m/>
  </r>
  <r>
    <s v="GL001413"/>
    <d v="2024-05-20T00:00:00"/>
    <n v="4000"/>
    <x v="0"/>
    <n v="0"/>
    <n v="4994.2"/>
    <x v="3"/>
    <s v="CC200"/>
    <s v="AutoPost 1413"/>
    <s v="CAD"/>
    <s v="2024-05"/>
    <n v="4994.2"/>
    <m/>
  </r>
  <r>
    <s v="GL001414"/>
    <d v="2024-01-21T00:00:00"/>
    <n v="4010"/>
    <x v="4"/>
    <n v="0"/>
    <n v="127.25"/>
    <x v="4"/>
    <s v="CC300"/>
    <s v="AutoPost 1414"/>
    <s v="CAD"/>
    <s v="2024-01"/>
    <n v="127.25"/>
    <m/>
  </r>
  <r>
    <s v="GL001415"/>
    <d v="2025-06-04T00:00:00"/>
    <n v="5010"/>
    <x v="3"/>
    <n v="1383.8"/>
    <n v="0"/>
    <x v="5"/>
    <s v="CC200"/>
    <s v="AutoPost 1415"/>
    <s v="CAD"/>
    <s v="2025-06"/>
    <n v="-1383.8"/>
    <m/>
  </r>
  <r>
    <s v="GL001416"/>
    <d v="2024-08-31T00:00:00"/>
    <n v="4010"/>
    <x v="4"/>
    <n v="0"/>
    <n v="4604.16"/>
    <x v="4"/>
    <s v="CC200"/>
    <s v="AutoPost 1416"/>
    <s v="GBP"/>
    <s v="2024-08"/>
    <n v="4604.16"/>
    <m/>
  </r>
  <r>
    <s v="GL001417"/>
    <d v="2024-08-18T00:00:00"/>
    <n v="4000"/>
    <x v="0"/>
    <n v="0"/>
    <n v="4835.3"/>
    <x v="2"/>
    <s v="CC100"/>
    <s v="AutoPost 1417"/>
    <s v="GBP"/>
    <s v="2024-08"/>
    <n v="4835.3"/>
    <m/>
  </r>
  <r>
    <s v="GL001418"/>
    <d v="2025-04-03T00:00:00"/>
    <n v="4010"/>
    <x v="4"/>
    <n v="0"/>
    <n v="1057.72"/>
    <x v="4"/>
    <s v="CC500"/>
    <s v="AutoPost 1418"/>
    <s v="CAD"/>
    <s v="2025-04"/>
    <n v="1057.72"/>
    <m/>
  </r>
  <r>
    <s v="GL001419"/>
    <d v="2023-09-06T00:00:00"/>
    <n v="5010"/>
    <x v="3"/>
    <n v="1394.77"/>
    <n v="0"/>
    <x v="0"/>
    <s v="CC100"/>
    <s v="AutoPost 1419"/>
    <s v="CAD"/>
    <s v="2023-09"/>
    <n v="-1394.77"/>
    <m/>
  </r>
  <r>
    <s v="GL001420"/>
    <d v="2023-11-14T00:00:00"/>
    <n v="5000"/>
    <x v="1"/>
    <n v="803.08"/>
    <n v="0"/>
    <x v="4"/>
    <s v="CC400"/>
    <s v="AutoPost 1420"/>
    <s v="AUD"/>
    <s v="2023-11"/>
    <n v="-803.08"/>
    <m/>
  </r>
  <r>
    <s v="GL001421"/>
    <d v="2023-08-31T00:00:00"/>
    <n v="6000"/>
    <x v="2"/>
    <n v="500.5"/>
    <n v="0"/>
    <x v="0"/>
    <s v="CC500"/>
    <s v="AutoPost 1421"/>
    <s v="CAD"/>
    <s v="2023-08"/>
    <n v="-500.5"/>
    <m/>
  </r>
  <r>
    <s v="GL001422"/>
    <d v="2023-02-05T00:00:00"/>
    <n v="5010"/>
    <x v="3"/>
    <n v="413.05"/>
    <n v="0"/>
    <x v="5"/>
    <s v="CC400"/>
    <s v="AutoPost 1422"/>
    <s v="GBP"/>
    <s v="2023-02"/>
    <n v="-413.05"/>
    <m/>
  </r>
  <r>
    <s v="GL001423"/>
    <d v="2023-10-18T00:00:00"/>
    <n v="5000"/>
    <x v="1"/>
    <n v="1483.66"/>
    <n v="0"/>
    <x v="3"/>
    <s v="CC300"/>
    <s v="AutoPost 1423"/>
    <s v="EUR"/>
    <s v="2023-10"/>
    <n v="-1483.66"/>
    <m/>
  </r>
  <r>
    <s v="GL001424"/>
    <d v="2023-04-03T00:00:00"/>
    <n v="5010"/>
    <x v="3"/>
    <n v="1752.32"/>
    <n v="0"/>
    <x v="0"/>
    <s v="CC400"/>
    <s v="AutoPost 1424"/>
    <s v="CAD"/>
    <s v="2023-04"/>
    <n v="-1752.32"/>
    <m/>
  </r>
  <r>
    <s v="GL001425"/>
    <d v="2023-11-25T00:00:00"/>
    <n v="4000"/>
    <x v="0"/>
    <n v="0"/>
    <n v="1556.95"/>
    <x v="3"/>
    <s v="CC100"/>
    <s v="AutoPost 1425"/>
    <s v="CAD"/>
    <s v="2023-11"/>
    <n v="1556.95"/>
    <m/>
  </r>
  <r>
    <s v="GL001426"/>
    <d v="2024-11-25T00:00:00"/>
    <n v="5010"/>
    <x v="3"/>
    <n v="1162.76"/>
    <n v="0"/>
    <x v="5"/>
    <s v="CC200"/>
    <s v="AutoPost 1426"/>
    <s v="CAD"/>
    <s v="2024-11"/>
    <n v="-1162.76"/>
    <m/>
  </r>
  <r>
    <s v="GL001427"/>
    <d v="2024-01-13T00:00:00"/>
    <n v="4000"/>
    <x v="0"/>
    <n v="0"/>
    <n v="3293.95"/>
    <x v="4"/>
    <s v="CC200"/>
    <s v="AutoPost 1427"/>
    <s v="CAD"/>
    <s v="2024-01"/>
    <n v="3293.95"/>
    <m/>
  </r>
  <r>
    <s v="GL001428"/>
    <d v="2024-02-18T00:00:00"/>
    <n v="5010"/>
    <x v="3"/>
    <n v="949.79"/>
    <n v="0"/>
    <x v="0"/>
    <s v="CC100"/>
    <s v="AutoPost 1428"/>
    <s v="GBP"/>
    <s v="2024-02"/>
    <n v="-949.79"/>
    <m/>
  </r>
  <r>
    <s v="GL001429"/>
    <d v="2024-03-13T00:00:00"/>
    <n v="4010"/>
    <x v="4"/>
    <n v="0"/>
    <n v="536.59"/>
    <x v="0"/>
    <s v="CC100"/>
    <s v="AutoPost 1429"/>
    <s v="USD"/>
    <s v="2024-03"/>
    <n v="536.59"/>
    <m/>
  </r>
  <r>
    <s v="GL001430"/>
    <d v="2023-06-11T00:00:00"/>
    <n v="4000"/>
    <x v="0"/>
    <n v="0"/>
    <n v="352.44"/>
    <x v="4"/>
    <s v="CC400"/>
    <s v="AutoPost 1430"/>
    <s v="CAD"/>
    <s v="2023-06"/>
    <n v="352.44"/>
    <m/>
  </r>
  <r>
    <s v="GL001431"/>
    <d v="2024-07-11T00:00:00"/>
    <n v="5000"/>
    <x v="1"/>
    <n v="479.39"/>
    <n v="0"/>
    <x v="0"/>
    <s v="CC500"/>
    <s v="AutoPost 1431"/>
    <s v="EUR"/>
    <s v="2024-07"/>
    <n v="-479.39"/>
    <m/>
  </r>
  <r>
    <s v="GL001432"/>
    <d v="2025-01-06T00:00:00"/>
    <n v="6000"/>
    <x v="2"/>
    <n v="875.44"/>
    <n v="0"/>
    <x v="1"/>
    <s v="CC500"/>
    <s v="AutoPost 1432"/>
    <s v="USD"/>
    <s v="2025-01"/>
    <n v="-875.44"/>
    <m/>
  </r>
  <r>
    <s v="GL001433"/>
    <d v="2025-01-19T00:00:00"/>
    <n v="5000"/>
    <x v="1"/>
    <n v="726.79"/>
    <n v="0"/>
    <x v="5"/>
    <s v="CC300"/>
    <s v="AutoPost 1433"/>
    <s v="GBP"/>
    <s v="2025-01"/>
    <n v="-726.79"/>
    <m/>
  </r>
  <r>
    <s v="GL001434"/>
    <d v="2023-07-07T00:00:00"/>
    <n v="4010"/>
    <x v="4"/>
    <n v="0"/>
    <n v="3492.12"/>
    <x v="1"/>
    <s v="CC500"/>
    <s v="AutoPost 1434"/>
    <s v="USD"/>
    <s v="2023-07"/>
    <n v="3492.12"/>
    <m/>
  </r>
  <r>
    <s v="GL001435"/>
    <d v="2024-05-10T00:00:00"/>
    <n v="5010"/>
    <x v="3"/>
    <n v="868.34"/>
    <n v="0"/>
    <x v="1"/>
    <s v="CC400"/>
    <s v="AutoPost 1435"/>
    <s v="USD"/>
    <s v="2024-05"/>
    <n v="-868.34"/>
    <m/>
  </r>
  <r>
    <s v="GL001436"/>
    <d v="2023-03-13T00:00:00"/>
    <n v="4000"/>
    <x v="0"/>
    <n v="0"/>
    <n v="1610.63"/>
    <x v="4"/>
    <s v="CC500"/>
    <s v="AutoPost 1436"/>
    <s v="CAD"/>
    <s v="2023-03"/>
    <n v="1610.63"/>
    <m/>
  </r>
  <r>
    <s v="GL001437"/>
    <d v="2023-06-12T00:00:00"/>
    <n v="6000"/>
    <x v="2"/>
    <n v="1429.61"/>
    <n v="0"/>
    <x v="1"/>
    <s v="CC300"/>
    <s v="AutoPost 1437"/>
    <s v="EUR"/>
    <s v="2023-06"/>
    <n v="-1429.61"/>
    <m/>
  </r>
  <r>
    <s v="GL001438"/>
    <d v="2023-11-21T00:00:00"/>
    <n v="5000"/>
    <x v="1"/>
    <n v="918.99"/>
    <n v="0"/>
    <x v="4"/>
    <s v="CC200"/>
    <s v="AutoPost 1438"/>
    <s v="EUR"/>
    <s v="2023-11"/>
    <n v="-918.99"/>
    <m/>
  </r>
  <r>
    <s v="GL001439"/>
    <d v="2025-06-21T00:00:00"/>
    <n v="5010"/>
    <x v="3"/>
    <n v="189.23"/>
    <n v="0"/>
    <x v="1"/>
    <s v="CC100"/>
    <s v="AutoPost 1439"/>
    <s v="EUR"/>
    <s v="2025-06"/>
    <n v="-189.23"/>
    <m/>
  </r>
  <r>
    <s v="GL001440"/>
    <d v="2025-06-10T00:00:00"/>
    <n v="4010"/>
    <x v="4"/>
    <n v="0"/>
    <n v="4553.74"/>
    <x v="2"/>
    <s v="CC500"/>
    <s v="AutoPost 1440"/>
    <s v="USD"/>
    <s v="2025-06"/>
    <n v="4553.74"/>
    <m/>
  </r>
  <r>
    <s v="GL001441"/>
    <d v="2024-11-22T00:00:00"/>
    <n v="4010"/>
    <x v="4"/>
    <n v="0"/>
    <n v="224.69"/>
    <x v="5"/>
    <s v="CC200"/>
    <s v="AutoPost 1441"/>
    <s v="AUD"/>
    <s v="2024-11"/>
    <n v="224.69"/>
    <m/>
  </r>
  <r>
    <s v="GL001442"/>
    <d v="2024-03-08T00:00:00"/>
    <n v="5000"/>
    <x v="1"/>
    <n v="1447.98"/>
    <n v="0"/>
    <x v="4"/>
    <s v="CC200"/>
    <s v="AutoPost 1442"/>
    <s v="GBP"/>
    <s v="2024-03"/>
    <n v="-1447.98"/>
    <m/>
  </r>
  <r>
    <s v="GL001443"/>
    <d v="2023-02-07T00:00:00"/>
    <n v="6000"/>
    <x v="2"/>
    <n v="1846.98"/>
    <n v="0"/>
    <x v="1"/>
    <s v="CC400"/>
    <s v="AutoPost 1443"/>
    <s v="USD"/>
    <s v="2023-02"/>
    <n v="-1846.98"/>
    <m/>
  </r>
  <r>
    <s v="GL001444"/>
    <d v="2025-01-23T00:00:00"/>
    <n v="5010"/>
    <x v="3"/>
    <n v="1709.33"/>
    <n v="0"/>
    <x v="2"/>
    <s v="CC300"/>
    <s v="AutoPost 1444"/>
    <s v="CAD"/>
    <s v="2025-01"/>
    <n v="-1709.33"/>
    <m/>
  </r>
  <r>
    <s v="GL001445"/>
    <d v="2023-09-02T00:00:00"/>
    <n v="4010"/>
    <x v="4"/>
    <n v="0"/>
    <n v="4210.6499999999996"/>
    <x v="1"/>
    <s v="CC500"/>
    <s v="AutoPost 1445"/>
    <s v="EUR"/>
    <s v="2023-09"/>
    <n v="4210.6499999999996"/>
    <m/>
  </r>
  <r>
    <s v="GL001446"/>
    <d v="2024-08-15T00:00:00"/>
    <n v="5010"/>
    <x v="3"/>
    <n v="1733.89"/>
    <n v="0"/>
    <x v="3"/>
    <s v="CC500"/>
    <s v="AutoPost 1446"/>
    <s v="EUR"/>
    <s v="2024-08"/>
    <n v="-1733.89"/>
    <m/>
  </r>
  <r>
    <s v="GL001447"/>
    <d v="2024-01-26T00:00:00"/>
    <n v="4000"/>
    <x v="0"/>
    <n v="0"/>
    <n v="4741"/>
    <x v="2"/>
    <s v="CC300"/>
    <s v="AutoPost 1447"/>
    <s v="USD"/>
    <s v="2024-01"/>
    <n v="4741"/>
    <m/>
  </r>
  <r>
    <s v="GL001448"/>
    <d v="2023-09-28T00:00:00"/>
    <n v="6000"/>
    <x v="2"/>
    <n v="1800.94"/>
    <n v="0"/>
    <x v="5"/>
    <s v="CC500"/>
    <s v="AutoPost 1448"/>
    <s v="EUR"/>
    <s v="2023-09"/>
    <n v="-1800.94"/>
    <m/>
  </r>
  <r>
    <s v="GL001449"/>
    <d v="2024-05-19T00:00:00"/>
    <n v="6000"/>
    <x v="2"/>
    <n v="1648.82"/>
    <n v="0"/>
    <x v="2"/>
    <s v="CC100"/>
    <s v="AutoPost 1449"/>
    <s v="AUD"/>
    <s v="2024-05"/>
    <n v="-1648.82"/>
    <m/>
  </r>
  <r>
    <s v="GL001450"/>
    <d v="2025-05-04T00:00:00"/>
    <n v="4010"/>
    <x v="4"/>
    <n v="0"/>
    <n v="174.57"/>
    <x v="5"/>
    <s v="CC500"/>
    <s v="AutoPost 1450"/>
    <s v="USD"/>
    <s v="2025-05"/>
    <n v="174.57"/>
    <m/>
  </r>
  <r>
    <s v="GL001451"/>
    <d v="2024-03-15T00:00:00"/>
    <n v="6000"/>
    <x v="2"/>
    <n v="302.02999999999997"/>
    <n v="0"/>
    <x v="1"/>
    <s v="CC200"/>
    <s v="AutoPost 1451"/>
    <s v="EUR"/>
    <s v="2024-03"/>
    <n v="-302.02999999999997"/>
    <m/>
  </r>
  <r>
    <s v="GL001452"/>
    <d v="2024-06-07T00:00:00"/>
    <n v="6000"/>
    <x v="2"/>
    <n v="226.75"/>
    <n v="0"/>
    <x v="1"/>
    <s v="CC300"/>
    <s v="AutoPost 1452"/>
    <s v="CAD"/>
    <s v="2024-06"/>
    <n v="-226.75"/>
    <m/>
  </r>
  <r>
    <s v="GL001453"/>
    <d v="2023-08-03T00:00:00"/>
    <n v="4010"/>
    <x v="4"/>
    <n v="0"/>
    <n v="3167.06"/>
    <x v="0"/>
    <s v="CC400"/>
    <s v="AutoPost 1453"/>
    <s v="AUD"/>
    <s v="2023-08"/>
    <n v="3167.06"/>
    <m/>
  </r>
  <r>
    <s v="GL001454"/>
    <d v="2023-01-03T00:00:00"/>
    <n v="5000"/>
    <x v="1"/>
    <n v="1135.3699999999999"/>
    <n v="0"/>
    <x v="3"/>
    <s v="CC100"/>
    <s v="AutoPost 1454"/>
    <s v="AUD"/>
    <s v="2023-01"/>
    <n v="-1135.3699999999999"/>
    <m/>
  </r>
  <r>
    <s v="GL001455"/>
    <d v="2024-12-23T00:00:00"/>
    <n v="6000"/>
    <x v="2"/>
    <n v="418.07"/>
    <n v="0"/>
    <x v="5"/>
    <s v="CC100"/>
    <s v="AutoPost 1455"/>
    <s v="CAD"/>
    <s v="2024-12"/>
    <n v="-418.07"/>
    <m/>
  </r>
  <r>
    <s v="GL001456"/>
    <d v="2024-12-09T00:00:00"/>
    <n v="4000"/>
    <x v="0"/>
    <n v="0"/>
    <n v="3400.48"/>
    <x v="0"/>
    <s v="CC100"/>
    <s v="AutoPost 1456"/>
    <s v="AUD"/>
    <s v="2024-12"/>
    <n v="3400.48"/>
    <m/>
  </r>
  <r>
    <s v="GL001457"/>
    <d v="2024-02-05T00:00:00"/>
    <n v="5000"/>
    <x v="1"/>
    <n v="67.56"/>
    <n v="0"/>
    <x v="5"/>
    <s v="CC500"/>
    <s v="AutoPost 1457"/>
    <s v="GBP"/>
    <s v="2024-02"/>
    <n v="-67.56"/>
    <m/>
  </r>
  <r>
    <s v="GL001458"/>
    <d v="2024-05-18T00:00:00"/>
    <n v="4000"/>
    <x v="0"/>
    <n v="0"/>
    <n v="2980.92"/>
    <x v="3"/>
    <s v="CC400"/>
    <s v="AutoPost 1458"/>
    <s v="AUD"/>
    <s v="2024-05"/>
    <n v="2980.92"/>
    <m/>
  </r>
  <r>
    <s v="GL001459"/>
    <d v="2024-06-09T00:00:00"/>
    <n v="5010"/>
    <x v="3"/>
    <n v="1093.1300000000001"/>
    <n v="0"/>
    <x v="2"/>
    <s v="CC200"/>
    <s v="AutoPost 1459"/>
    <s v="USD"/>
    <s v="2024-06"/>
    <n v="-1093.1300000000001"/>
    <m/>
  </r>
  <r>
    <s v="GL001460"/>
    <d v="2025-06-15T00:00:00"/>
    <n v="4010"/>
    <x v="4"/>
    <n v="0"/>
    <n v="3048.03"/>
    <x v="4"/>
    <s v="CC100"/>
    <s v="AutoPost 1460"/>
    <s v="CAD"/>
    <s v="2025-06"/>
    <n v="3048.03"/>
    <m/>
  </r>
  <r>
    <s v="GL001461"/>
    <d v="2024-12-23T00:00:00"/>
    <n v="6000"/>
    <x v="2"/>
    <n v="1020.63"/>
    <n v="0"/>
    <x v="3"/>
    <s v="CC400"/>
    <s v="AutoPost 1461"/>
    <s v="AUD"/>
    <s v="2024-12"/>
    <n v="-1020.63"/>
    <m/>
  </r>
  <r>
    <s v="GL001462"/>
    <d v="2023-05-01T00:00:00"/>
    <n v="5010"/>
    <x v="3"/>
    <n v="1162.8900000000001"/>
    <n v="0"/>
    <x v="0"/>
    <s v="CC500"/>
    <s v="AutoPost 1462"/>
    <s v="GBP"/>
    <s v="2023-05"/>
    <n v="-1162.8900000000001"/>
    <m/>
  </r>
  <r>
    <s v="GL001463"/>
    <d v="2025-06-16T00:00:00"/>
    <n v="5000"/>
    <x v="1"/>
    <n v="783.53"/>
    <n v="0"/>
    <x v="5"/>
    <s v="CC300"/>
    <s v="AutoPost 1463"/>
    <s v="GBP"/>
    <s v="2025-06"/>
    <n v="-783.53"/>
    <m/>
  </r>
  <r>
    <s v="GL001464"/>
    <d v="2024-02-15T00:00:00"/>
    <n v="4000"/>
    <x v="0"/>
    <n v="0"/>
    <n v="3125.16"/>
    <x v="0"/>
    <s v="CC200"/>
    <s v="AutoPost 1464"/>
    <s v="EUR"/>
    <s v="2024-02"/>
    <n v="3125.16"/>
    <m/>
  </r>
  <r>
    <s v="GL001465"/>
    <d v="2024-08-04T00:00:00"/>
    <n v="5000"/>
    <x v="1"/>
    <n v="1578.71"/>
    <n v="0"/>
    <x v="4"/>
    <s v="CC300"/>
    <s v="AutoPost 1465"/>
    <s v="EUR"/>
    <s v="2024-08"/>
    <n v="-1578.71"/>
    <m/>
  </r>
  <r>
    <s v="GL001466"/>
    <d v="2023-11-17T00:00:00"/>
    <n v="4000"/>
    <x v="0"/>
    <n v="0"/>
    <n v="4453.8"/>
    <x v="4"/>
    <s v="CC400"/>
    <s v="AutoPost 1466"/>
    <s v="USD"/>
    <s v="2023-11"/>
    <n v="4453.8"/>
    <m/>
  </r>
  <r>
    <s v="GL001467"/>
    <d v="2023-09-04T00:00:00"/>
    <n v="4000"/>
    <x v="0"/>
    <n v="0"/>
    <n v="4929.5200000000004"/>
    <x v="5"/>
    <s v="CC400"/>
    <s v="AutoPost 1467"/>
    <s v="GBP"/>
    <s v="2023-09"/>
    <n v="4929.5200000000004"/>
    <m/>
  </r>
  <r>
    <s v="GL001468"/>
    <d v="2023-02-19T00:00:00"/>
    <n v="5000"/>
    <x v="1"/>
    <n v="537.51"/>
    <n v="0"/>
    <x v="4"/>
    <s v="CC400"/>
    <s v="AutoPost 1468"/>
    <s v="GBP"/>
    <s v="2023-02"/>
    <n v="-537.51"/>
    <m/>
  </r>
  <r>
    <s v="GL001469"/>
    <d v="2024-12-15T00:00:00"/>
    <n v="5000"/>
    <x v="1"/>
    <n v="554.87"/>
    <n v="0"/>
    <x v="3"/>
    <s v="CC300"/>
    <s v="AutoPost 1469"/>
    <s v="GBP"/>
    <s v="2024-12"/>
    <n v="-554.87"/>
    <m/>
  </r>
  <r>
    <s v="GL001470"/>
    <d v="2024-04-24T00:00:00"/>
    <n v="4010"/>
    <x v="4"/>
    <n v="0"/>
    <n v="4941.29"/>
    <x v="3"/>
    <s v="CC200"/>
    <s v="AutoPost 1470"/>
    <s v="AUD"/>
    <s v="2024-04"/>
    <n v="4941.29"/>
    <m/>
  </r>
  <r>
    <s v="GL001471"/>
    <d v="2023-11-16T00:00:00"/>
    <n v="5000"/>
    <x v="1"/>
    <n v="1427.31"/>
    <n v="0"/>
    <x v="1"/>
    <s v="CC200"/>
    <s v="AutoPost 1471"/>
    <s v="EUR"/>
    <s v="2023-11"/>
    <n v="-1427.31"/>
    <m/>
  </r>
  <r>
    <s v="GL001472"/>
    <d v="2023-11-04T00:00:00"/>
    <n v="4000"/>
    <x v="0"/>
    <n v="0"/>
    <n v="1063.56"/>
    <x v="4"/>
    <s v="CC100"/>
    <s v="AutoPost 1472"/>
    <s v="EUR"/>
    <s v="2023-11"/>
    <n v="1063.56"/>
    <m/>
  </r>
  <r>
    <s v="GL001473"/>
    <d v="2023-05-15T00:00:00"/>
    <n v="6000"/>
    <x v="2"/>
    <n v="665.12"/>
    <n v="0"/>
    <x v="3"/>
    <s v="CC200"/>
    <s v="AutoPost 1473"/>
    <s v="CAD"/>
    <s v="2023-05"/>
    <n v="-665.12"/>
    <m/>
  </r>
  <r>
    <s v="GL001474"/>
    <d v="2024-05-15T00:00:00"/>
    <n v="4000"/>
    <x v="0"/>
    <n v="0"/>
    <n v="185.76"/>
    <x v="3"/>
    <s v="CC300"/>
    <s v="AutoPost 1474"/>
    <s v="USD"/>
    <s v="2024-05"/>
    <n v="185.76"/>
    <m/>
  </r>
  <r>
    <s v="GL001475"/>
    <d v="2025-02-07T00:00:00"/>
    <n v="4010"/>
    <x v="4"/>
    <n v="0"/>
    <n v="278.45999999999998"/>
    <x v="3"/>
    <s v="CC400"/>
    <s v="AutoPost 1475"/>
    <s v="AUD"/>
    <s v="2025-02"/>
    <n v="278.45999999999998"/>
    <m/>
  </r>
  <r>
    <s v="GL001476"/>
    <d v="2024-02-14T00:00:00"/>
    <n v="4000"/>
    <x v="0"/>
    <n v="0"/>
    <n v="4294.84"/>
    <x v="3"/>
    <s v="CC500"/>
    <s v="AutoPost 1476"/>
    <s v="CAD"/>
    <s v="2024-02"/>
    <n v="4294.84"/>
    <m/>
  </r>
  <r>
    <s v="GL001477"/>
    <d v="2023-09-30T00:00:00"/>
    <n v="5010"/>
    <x v="3"/>
    <n v="1675.83"/>
    <n v="0"/>
    <x v="0"/>
    <s v="CC400"/>
    <s v="AutoPost 1477"/>
    <s v="USD"/>
    <s v="2023-09"/>
    <n v="-1675.83"/>
    <m/>
  </r>
  <r>
    <s v="GL001478"/>
    <d v="2024-10-13T00:00:00"/>
    <n v="5010"/>
    <x v="3"/>
    <n v="658.13"/>
    <n v="0"/>
    <x v="2"/>
    <s v="CC500"/>
    <s v="AutoPost 1478"/>
    <s v="GBP"/>
    <s v="2024-10"/>
    <n v="-658.13"/>
    <m/>
  </r>
  <r>
    <s v="GL001479"/>
    <d v="2025-05-17T00:00:00"/>
    <n v="6000"/>
    <x v="2"/>
    <n v="1615.35"/>
    <n v="0"/>
    <x v="2"/>
    <s v="CC500"/>
    <s v="AutoPost 1479"/>
    <s v="CAD"/>
    <s v="2025-05"/>
    <n v="-1615.35"/>
    <m/>
  </r>
  <r>
    <s v="GL001480"/>
    <d v="2023-09-26T00:00:00"/>
    <n v="4010"/>
    <x v="4"/>
    <n v="0"/>
    <n v="4040.21"/>
    <x v="3"/>
    <s v="CC200"/>
    <s v="AutoPost 1480"/>
    <s v="CAD"/>
    <s v="2023-09"/>
    <n v="4040.21"/>
    <m/>
  </r>
  <r>
    <s v="GL001481"/>
    <d v="2025-05-27T00:00:00"/>
    <n v="4000"/>
    <x v="0"/>
    <n v="0"/>
    <n v="1080.5"/>
    <x v="0"/>
    <s v="CC100"/>
    <s v="AutoPost 1481"/>
    <s v="EUR"/>
    <s v="2025-05"/>
    <n v="1080.5"/>
    <m/>
  </r>
  <r>
    <s v="GL001482"/>
    <d v="2025-04-07T00:00:00"/>
    <n v="6000"/>
    <x v="2"/>
    <n v="1674.78"/>
    <n v="0"/>
    <x v="4"/>
    <s v="CC400"/>
    <s v="AutoPost 1482"/>
    <s v="EUR"/>
    <s v="2025-04"/>
    <n v="-1674.78"/>
    <m/>
  </r>
  <r>
    <s v="GL001483"/>
    <d v="2024-11-15T00:00:00"/>
    <n v="5010"/>
    <x v="3"/>
    <n v="959.69"/>
    <n v="0"/>
    <x v="5"/>
    <s v="CC300"/>
    <s v="AutoPost 1483"/>
    <s v="USD"/>
    <s v="2024-11"/>
    <n v="-959.69"/>
    <m/>
  </r>
  <r>
    <s v="GL001484"/>
    <d v="2024-06-18T00:00:00"/>
    <n v="5000"/>
    <x v="1"/>
    <n v="1883.44"/>
    <n v="0"/>
    <x v="4"/>
    <s v="CC100"/>
    <s v="AutoPost 1484"/>
    <s v="AUD"/>
    <s v="2024-06"/>
    <n v="-1883.44"/>
    <m/>
  </r>
  <r>
    <s v="GL001485"/>
    <d v="2023-12-25T00:00:00"/>
    <n v="4000"/>
    <x v="0"/>
    <n v="0"/>
    <n v="1071.33"/>
    <x v="4"/>
    <s v="CC100"/>
    <s v="AutoPost 1485"/>
    <s v="USD"/>
    <s v="2023-12"/>
    <n v="1071.33"/>
    <m/>
  </r>
  <r>
    <s v="GL001486"/>
    <d v="2024-04-30T00:00:00"/>
    <n v="4010"/>
    <x v="4"/>
    <n v="0"/>
    <n v="3543.57"/>
    <x v="5"/>
    <s v="CC100"/>
    <s v="AutoPost 1486"/>
    <s v="USD"/>
    <s v="2024-04"/>
    <n v="3543.57"/>
    <m/>
  </r>
  <r>
    <s v="GL001487"/>
    <d v="2024-03-28T00:00:00"/>
    <n v="5000"/>
    <x v="1"/>
    <n v="489.81"/>
    <n v="0"/>
    <x v="1"/>
    <s v="CC100"/>
    <s v="AutoPost 1487"/>
    <s v="AUD"/>
    <s v="2024-03"/>
    <n v="-489.81"/>
    <m/>
  </r>
  <r>
    <s v="GL001488"/>
    <d v="2024-11-28T00:00:00"/>
    <n v="5010"/>
    <x v="3"/>
    <n v="505.72"/>
    <n v="0"/>
    <x v="4"/>
    <s v="CC200"/>
    <s v="AutoPost 1488"/>
    <s v="CAD"/>
    <s v="2024-11"/>
    <n v="-505.72"/>
    <m/>
  </r>
  <r>
    <s v="GL001489"/>
    <d v="2023-12-03T00:00:00"/>
    <n v="5010"/>
    <x v="3"/>
    <n v="178.76"/>
    <n v="0"/>
    <x v="5"/>
    <s v="CC100"/>
    <s v="AutoPost 1489"/>
    <s v="EUR"/>
    <s v="2023-12"/>
    <n v="-178.76"/>
    <m/>
  </r>
  <r>
    <s v="GL001490"/>
    <d v="2025-01-24T00:00:00"/>
    <n v="6000"/>
    <x v="2"/>
    <n v="495.06"/>
    <n v="0"/>
    <x v="4"/>
    <s v="CC500"/>
    <s v="AutoPost 1490"/>
    <s v="GBP"/>
    <s v="2025-01"/>
    <n v="-495.06"/>
    <m/>
  </r>
  <r>
    <s v="GL001491"/>
    <d v="2025-03-16T00:00:00"/>
    <n v="4010"/>
    <x v="4"/>
    <n v="0"/>
    <n v="309.72000000000003"/>
    <x v="0"/>
    <s v="CC100"/>
    <s v="AutoPost 1491"/>
    <s v="GBP"/>
    <s v="2025-03"/>
    <n v="309.72000000000003"/>
    <m/>
  </r>
  <r>
    <s v="GL001492"/>
    <d v="2023-01-15T00:00:00"/>
    <n v="5010"/>
    <x v="3"/>
    <n v="1106.6600000000001"/>
    <n v="0"/>
    <x v="2"/>
    <s v="CC500"/>
    <s v="AutoPost 1492"/>
    <s v="AUD"/>
    <s v="2023-01"/>
    <n v="-1106.6600000000001"/>
    <m/>
  </r>
  <r>
    <s v="GL001493"/>
    <d v="2025-04-24T00:00:00"/>
    <n v="4010"/>
    <x v="4"/>
    <n v="0"/>
    <n v="4204.9399999999996"/>
    <x v="5"/>
    <s v="CC400"/>
    <s v="AutoPost 1493"/>
    <s v="CAD"/>
    <s v="2025-04"/>
    <n v="4204.9399999999996"/>
    <m/>
  </r>
  <r>
    <s v="GL001494"/>
    <d v="2023-04-23T00:00:00"/>
    <n v="6000"/>
    <x v="2"/>
    <n v="850.43"/>
    <n v="0"/>
    <x v="0"/>
    <s v="CC400"/>
    <s v="AutoPost 1494"/>
    <s v="CAD"/>
    <s v="2023-04"/>
    <n v="-850.43"/>
    <m/>
  </r>
  <r>
    <s v="GL001495"/>
    <d v="2023-12-28T00:00:00"/>
    <n v="4000"/>
    <x v="0"/>
    <n v="0"/>
    <n v="4145.32"/>
    <x v="5"/>
    <s v="CC100"/>
    <s v="AutoPost 1495"/>
    <s v="GBP"/>
    <s v="2023-12"/>
    <n v="4145.32"/>
    <m/>
  </r>
  <r>
    <s v="GL001496"/>
    <d v="2024-02-06T00:00:00"/>
    <n v="5010"/>
    <x v="3"/>
    <n v="1312.14"/>
    <n v="0"/>
    <x v="3"/>
    <s v="CC400"/>
    <s v="AutoPost 1496"/>
    <s v="CAD"/>
    <s v="2024-02"/>
    <n v="-1312.14"/>
    <m/>
  </r>
  <r>
    <s v="GL001497"/>
    <d v="2023-08-14T00:00:00"/>
    <n v="5010"/>
    <x v="3"/>
    <n v="1270.1400000000001"/>
    <n v="0"/>
    <x v="1"/>
    <s v="CC200"/>
    <s v="AutoPost 1497"/>
    <s v="GBP"/>
    <s v="2023-08"/>
    <n v="-1270.1400000000001"/>
    <m/>
  </r>
  <r>
    <s v="GL001498"/>
    <d v="2023-01-22T00:00:00"/>
    <n v="5000"/>
    <x v="1"/>
    <n v="1891.12"/>
    <n v="0"/>
    <x v="1"/>
    <s v="CC200"/>
    <s v="AutoPost 1498"/>
    <s v="GBP"/>
    <s v="2023-01"/>
    <n v="-1891.12"/>
    <m/>
  </r>
  <r>
    <s v="GL001499"/>
    <d v="2023-03-20T00:00:00"/>
    <n v="4000"/>
    <x v="0"/>
    <n v="0"/>
    <n v="4859.24"/>
    <x v="4"/>
    <s v="CC400"/>
    <s v="AutoPost 1499"/>
    <s v="GBP"/>
    <s v="2023-03"/>
    <n v="4859.24"/>
    <m/>
  </r>
  <r>
    <s v="GL001500"/>
    <d v="2023-10-22T00:00:00"/>
    <n v="4000"/>
    <x v="0"/>
    <n v="0"/>
    <n v="2711.83"/>
    <x v="4"/>
    <s v="CC200"/>
    <s v="AutoPost 1500"/>
    <s v="GBP"/>
    <s v="2023-10"/>
    <n v="2711.83"/>
    <m/>
  </r>
  <r>
    <s v="GL001501"/>
    <d v="2025-04-04T00:00:00"/>
    <n v="6000"/>
    <x v="2"/>
    <n v="648.23"/>
    <n v="0"/>
    <x v="1"/>
    <s v="CC300"/>
    <s v="AutoPost 1501"/>
    <s v="CAD"/>
    <s v="2025-04"/>
    <n v="-648.23"/>
    <m/>
  </r>
  <r>
    <s v="GL001502"/>
    <d v="2023-11-08T00:00:00"/>
    <n v="4010"/>
    <x v="4"/>
    <n v="0"/>
    <n v="3468.1"/>
    <x v="3"/>
    <s v="CC300"/>
    <s v="AutoPost 1502"/>
    <s v="EUR"/>
    <s v="2023-11"/>
    <n v="3468.1"/>
    <m/>
  </r>
  <r>
    <s v="GL001503"/>
    <d v="2024-08-22T00:00:00"/>
    <n v="4010"/>
    <x v="4"/>
    <n v="0"/>
    <n v="252.83"/>
    <x v="3"/>
    <s v="CC400"/>
    <s v="AutoPost 1503"/>
    <s v="CAD"/>
    <s v="2024-08"/>
    <n v="252.83"/>
    <m/>
  </r>
  <r>
    <s v="GL001504"/>
    <d v="2024-05-25T00:00:00"/>
    <n v="5010"/>
    <x v="3"/>
    <n v="1268.1099999999999"/>
    <n v="0"/>
    <x v="1"/>
    <s v="CC100"/>
    <s v="AutoPost 1504"/>
    <s v="CAD"/>
    <s v="2024-05"/>
    <n v="-1268.1099999999999"/>
    <m/>
  </r>
  <r>
    <s v="GL001505"/>
    <d v="2024-10-09T00:00:00"/>
    <n v="5000"/>
    <x v="1"/>
    <n v="574.22"/>
    <n v="0"/>
    <x v="3"/>
    <s v="CC300"/>
    <s v="AutoPost 1505"/>
    <s v="AUD"/>
    <s v="2024-10"/>
    <n v="-574.22"/>
    <m/>
  </r>
  <r>
    <s v="GL001506"/>
    <d v="2024-03-16T00:00:00"/>
    <n v="5010"/>
    <x v="3"/>
    <n v="406.62"/>
    <n v="0"/>
    <x v="1"/>
    <s v="CC100"/>
    <s v="AutoPost 1506"/>
    <s v="EUR"/>
    <s v="2024-03"/>
    <n v="-406.62"/>
    <m/>
  </r>
  <r>
    <s v="GL001507"/>
    <d v="2024-03-15T00:00:00"/>
    <n v="4010"/>
    <x v="4"/>
    <n v="0"/>
    <n v="4055.84"/>
    <x v="5"/>
    <s v="CC100"/>
    <s v="AutoPost 1507"/>
    <s v="GBP"/>
    <s v="2024-03"/>
    <n v="4055.84"/>
    <m/>
  </r>
  <r>
    <s v="GL001508"/>
    <d v="2024-04-12T00:00:00"/>
    <n v="4000"/>
    <x v="0"/>
    <n v="0"/>
    <n v="3804.94"/>
    <x v="0"/>
    <s v="CC100"/>
    <s v="AutoPost 1508"/>
    <s v="GBP"/>
    <s v="2024-04"/>
    <n v="3804.94"/>
    <m/>
  </r>
  <r>
    <s v="GL001509"/>
    <d v="2023-12-17T00:00:00"/>
    <n v="4000"/>
    <x v="0"/>
    <n v="0"/>
    <n v="2037.61"/>
    <x v="5"/>
    <s v="CC400"/>
    <s v="AutoPost 1509"/>
    <s v="AUD"/>
    <s v="2023-12"/>
    <n v="2037.61"/>
    <m/>
  </r>
  <r>
    <s v="GL001510"/>
    <d v="2024-09-02T00:00:00"/>
    <n v="5000"/>
    <x v="1"/>
    <n v="1702.53"/>
    <n v="0"/>
    <x v="2"/>
    <s v="CC100"/>
    <s v="AutoPost 1510"/>
    <s v="GBP"/>
    <s v="2024-09"/>
    <n v="-1702.53"/>
    <m/>
  </r>
  <r>
    <s v="GL001511"/>
    <d v="2023-10-11T00:00:00"/>
    <n v="4000"/>
    <x v="0"/>
    <n v="0"/>
    <n v="829.97"/>
    <x v="4"/>
    <s v="CC300"/>
    <s v="AutoPost 1511"/>
    <s v="USD"/>
    <s v="2023-10"/>
    <n v="829.97"/>
    <m/>
  </r>
  <r>
    <s v="GL001512"/>
    <d v="2025-02-27T00:00:00"/>
    <n v="4000"/>
    <x v="0"/>
    <n v="0"/>
    <n v="4946.1000000000004"/>
    <x v="1"/>
    <s v="CC500"/>
    <s v="AutoPost 1512"/>
    <s v="AUD"/>
    <s v="2025-02"/>
    <n v="4946.1000000000004"/>
    <m/>
  </r>
  <r>
    <s v="GL001513"/>
    <d v="2023-02-24T00:00:00"/>
    <n v="4000"/>
    <x v="0"/>
    <n v="0"/>
    <n v="2736.74"/>
    <x v="1"/>
    <s v="CC400"/>
    <s v="AutoPost 1513"/>
    <s v="AUD"/>
    <s v="2023-02"/>
    <n v="2736.74"/>
    <m/>
  </r>
  <r>
    <s v="GL001514"/>
    <d v="2024-08-09T00:00:00"/>
    <n v="6000"/>
    <x v="2"/>
    <n v="1372.85"/>
    <n v="0"/>
    <x v="2"/>
    <s v="CC500"/>
    <s v="AutoPost 1514"/>
    <s v="GBP"/>
    <s v="2024-08"/>
    <n v="-1372.85"/>
    <m/>
  </r>
  <r>
    <s v="GL001515"/>
    <d v="2024-07-23T00:00:00"/>
    <n v="5010"/>
    <x v="3"/>
    <n v="1842.13"/>
    <n v="0"/>
    <x v="2"/>
    <s v="CC200"/>
    <s v="AutoPost 1515"/>
    <s v="AUD"/>
    <s v="2024-07"/>
    <n v="-1842.13"/>
    <m/>
  </r>
  <r>
    <s v="GL001516"/>
    <d v="2025-01-16T00:00:00"/>
    <n v="4000"/>
    <x v="0"/>
    <n v="0"/>
    <n v="4447.99"/>
    <x v="0"/>
    <s v="CC300"/>
    <s v="AutoPost 1516"/>
    <s v="AUD"/>
    <s v="2025-01"/>
    <n v="4447.99"/>
    <m/>
  </r>
  <r>
    <s v="GL001517"/>
    <d v="2024-04-19T00:00:00"/>
    <n v="4010"/>
    <x v="4"/>
    <n v="0"/>
    <n v="758.28"/>
    <x v="5"/>
    <s v="CC300"/>
    <s v="AutoPost 1517"/>
    <s v="GBP"/>
    <s v="2024-04"/>
    <n v="758.28"/>
    <m/>
  </r>
  <r>
    <s v="GL001518"/>
    <d v="2024-02-21T00:00:00"/>
    <n v="4000"/>
    <x v="0"/>
    <n v="0"/>
    <n v="934.01"/>
    <x v="1"/>
    <s v="CC500"/>
    <s v="AutoPost 1518"/>
    <s v="EUR"/>
    <s v="2024-02"/>
    <n v="934.01"/>
    <m/>
  </r>
  <r>
    <s v="GL001519"/>
    <d v="2024-11-05T00:00:00"/>
    <n v="5010"/>
    <x v="3"/>
    <n v="1161.7"/>
    <n v="0"/>
    <x v="2"/>
    <s v="CC100"/>
    <s v="AutoPost 1519"/>
    <s v="CAD"/>
    <s v="2024-11"/>
    <n v="-1161.7"/>
    <m/>
  </r>
  <r>
    <s v="GL001520"/>
    <d v="2023-05-01T00:00:00"/>
    <n v="5010"/>
    <x v="3"/>
    <n v="1276.22"/>
    <n v="0"/>
    <x v="0"/>
    <s v="CC500"/>
    <s v="AutoPost 1520"/>
    <s v="USD"/>
    <s v="2023-05"/>
    <n v="-1276.22"/>
    <m/>
  </r>
  <r>
    <s v="GL001521"/>
    <d v="2024-01-14T00:00:00"/>
    <n v="5000"/>
    <x v="1"/>
    <n v="383.71"/>
    <n v="0"/>
    <x v="3"/>
    <s v="CC100"/>
    <s v="AutoPost 1521"/>
    <s v="USD"/>
    <s v="2024-01"/>
    <n v="-383.71"/>
    <m/>
  </r>
  <r>
    <s v="GL001522"/>
    <d v="2025-03-22T00:00:00"/>
    <n v="4000"/>
    <x v="0"/>
    <n v="0"/>
    <n v="3468.9"/>
    <x v="1"/>
    <s v="CC500"/>
    <s v="AutoPost 1522"/>
    <s v="EUR"/>
    <s v="2025-03"/>
    <n v="3468.9"/>
    <m/>
  </r>
  <r>
    <s v="GL001523"/>
    <d v="2023-09-08T00:00:00"/>
    <n v="5000"/>
    <x v="1"/>
    <n v="1158.8"/>
    <n v="0"/>
    <x v="5"/>
    <s v="CC300"/>
    <s v="AutoPost 1523"/>
    <s v="USD"/>
    <s v="2023-09"/>
    <n v="-1158.8"/>
    <m/>
  </r>
  <r>
    <s v="GL001524"/>
    <d v="2023-01-09T00:00:00"/>
    <n v="4000"/>
    <x v="0"/>
    <n v="0"/>
    <n v="2396.8000000000002"/>
    <x v="2"/>
    <s v="CC200"/>
    <s v="AutoPost 1524"/>
    <s v="CAD"/>
    <s v="2023-01"/>
    <n v="2396.8000000000002"/>
    <m/>
  </r>
  <r>
    <s v="GL001525"/>
    <d v="2024-09-03T00:00:00"/>
    <n v="4010"/>
    <x v="4"/>
    <n v="0"/>
    <n v="2827.95"/>
    <x v="4"/>
    <s v="CC200"/>
    <s v="AutoPost 1525"/>
    <s v="USD"/>
    <s v="2024-09"/>
    <n v="2827.95"/>
    <m/>
  </r>
  <r>
    <s v="GL001526"/>
    <d v="2024-05-06T00:00:00"/>
    <n v="6000"/>
    <x v="2"/>
    <n v="1359.89"/>
    <n v="0"/>
    <x v="0"/>
    <s v="CC100"/>
    <s v="AutoPost 1526"/>
    <s v="GBP"/>
    <s v="2024-05"/>
    <n v="-1359.89"/>
    <m/>
  </r>
  <r>
    <s v="GL001527"/>
    <d v="2025-03-31T00:00:00"/>
    <n v="4000"/>
    <x v="0"/>
    <n v="0"/>
    <n v="663.19"/>
    <x v="5"/>
    <s v="CC100"/>
    <s v="AutoPost 1527"/>
    <s v="USD"/>
    <s v="2025-03"/>
    <n v="663.19"/>
    <m/>
  </r>
  <r>
    <s v="GL001528"/>
    <d v="2024-09-18T00:00:00"/>
    <n v="5010"/>
    <x v="3"/>
    <n v="1878.74"/>
    <n v="0"/>
    <x v="1"/>
    <s v="CC300"/>
    <s v="AutoPost 1528"/>
    <s v="GBP"/>
    <s v="2024-09"/>
    <n v="-1878.74"/>
    <m/>
  </r>
  <r>
    <s v="GL001529"/>
    <d v="2024-08-30T00:00:00"/>
    <n v="5000"/>
    <x v="1"/>
    <n v="741.28"/>
    <n v="0"/>
    <x v="1"/>
    <s v="CC200"/>
    <s v="AutoPost 1529"/>
    <s v="GBP"/>
    <s v="2024-08"/>
    <n v="-741.28"/>
    <m/>
  </r>
  <r>
    <s v="GL001530"/>
    <d v="2025-05-21T00:00:00"/>
    <n v="4000"/>
    <x v="0"/>
    <n v="0"/>
    <n v="1824.31"/>
    <x v="1"/>
    <s v="CC200"/>
    <s v="AutoPost 1530"/>
    <s v="EUR"/>
    <s v="2025-05"/>
    <n v="1824.31"/>
    <m/>
  </r>
  <r>
    <s v="GL001531"/>
    <d v="2023-11-27T00:00:00"/>
    <n v="4010"/>
    <x v="4"/>
    <n v="0"/>
    <n v="4296.04"/>
    <x v="1"/>
    <s v="CC300"/>
    <s v="AutoPost 1531"/>
    <s v="AUD"/>
    <s v="2023-11"/>
    <n v="4296.04"/>
    <m/>
  </r>
  <r>
    <s v="GL001532"/>
    <d v="2024-04-06T00:00:00"/>
    <n v="5010"/>
    <x v="3"/>
    <n v="1969.36"/>
    <n v="0"/>
    <x v="2"/>
    <s v="CC500"/>
    <s v="AutoPost 1532"/>
    <s v="CAD"/>
    <s v="2024-04"/>
    <n v="-1969.36"/>
    <m/>
  </r>
  <r>
    <s v="GL001533"/>
    <d v="2025-04-12T00:00:00"/>
    <n v="5010"/>
    <x v="3"/>
    <n v="980.89"/>
    <n v="0"/>
    <x v="5"/>
    <s v="CC500"/>
    <s v="AutoPost 1533"/>
    <s v="EUR"/>
    <s v="2025-04"/>
    <n v="-980.89"/>
    <m/>
  </r>
  <r>
    <s v="GL001534"/>
    <d v="2024-09-13T00:00:00"/>
    <n v="6000"/>
    <x v="2"/>
    <n v="618.26"/>
    <n v="0"/>
    <x v="2"/>
    <s v="CC100"/>
    <s v="AutoPost 1534"/>
    <s v="USD"/>
    <s v="2024-09"/>
    <n v="-618.26"/>
    <m/>
  </r>
  <r>
    <s v="GL001535"/>
    <d v="2024-06-16T00:00:00"/>
    <n v="5010"/>
    <x v="3"/>
    <n v="665.47"/>
    <n v="0"/>
    <x v="2"/>
    <s v="CC500"/>
    <s v="AutoPost 1535"/>
    <s v="EUR"/>
    <s v="2024-06"/>
    <n v="-665.47"/>
    <m/>
  </r>
  <r>
    <s v="GL001536"/>
    <d v="2024-06-22T00:00:00"/>
    <n v="5000"/>
    <x v="1"/>
    <n v="982.03"/>
    <n v="0"/>
    <x v="4"/>
    <s v="CC100"/>
    <s v="AutoPost 1536"/>
    <s v="GBP"/>
    <s v="2024-06"/>
    <n v="-982.03"/>
    <m/>
  </r>
  <r>
    <s v="GL001537"/>
    <d v="2024-03-24T00:00:00"/>
    <n v="5000"/>
    <x v="1"/>
    <n v="339.89"/>
    <n v="0"/>
    <x v="4"/>
    <s v="CC100"/>
    <s v="AutoPost 1537"/>
    <s v="AUD"/>
    <s v="2024-03"/>
    <n v="-339.89"/>
    <m/>
  </r>
  <r>
    <s v="GL001538"/>
    <d v="2024-09-02T00:00:00"/>
    <n v="5010"/>
    <x v="3"/>
    <n v="535.34"/>
    <n v="0"/>
    <x v="1"/>
    <s v="CC200"/>
    <s v="AutoPost 1538"/>
    <s v="AUD"/>
    <s v="2024-09"/>
    <n v="-535.34"/>
    <m/>
  </r>
  <r>
    <s v="GL001539"/>
    <d v="2025-05-08T00:00:00"/>
    <n v="5010"/>
    <x v="3"/>
    <n v="1582.13"/>
    <n v="0"/>
    <x v="2"/>
    <s v="CC200"/>
    <s v="AutoPost 1539"/>
    <s v="CAD"/>
    <s v="2025-05"/>
    <n v="-1582.13"/>
    <m/>
  </r>
  <r>
    <s v="GL001540"/>
    <d v="2024-11-30T00:00:00"/>
    <n v="5000"/>
    <x v="1"/>
    <n v="350.21"/>
    <n v="0"/>
    <x v="4"/>
    <s v="CC400"/>
    <s v="AutoPost 1540"/>
    <s v="GBP"/>
    <s v="2024-11"/>
    <n v="-350.21"/>
    <m/>
  </r>
  <r>
    <s v="GL001541"/>
    <d v="2024-05-17T00:00:00"/>
    <n v="5000"/>
    <x v="1"/>
    <n v="889.68"/>
    <n v="0"/>
    <x v="3"/>
    <s v="CC300"/>
    <s v="AutoPost 1541"/>
    <s v="AUD"/>
    <s v="2024-05"/>
    <n v="-889.68"/>
    <m/>
  </r>
  <r>
    <s v="GL001542"/>
    <d v="2024-02-14T00:00:00"/>
    <n v="5000"/>
    <x v="1"/>
    <n v="1155.53"/>
    <n v="0"/>
    <x v="1"/>
    <s v="CC400"/>
    <s v="AutoPost 1542"/>
    <s v="AUD"/>
    <s v="2024-02"/>
    <n v="-1155.53"/>
    <m/>
  </r>
  <r>
    <s v="GL001543"/>
    <d v="2024-08-21T00:00:00"/>
    <n v="4010"/>
    <x v="4"/>
    <n v="0"/>
    <n v="827.97"/>
    <x v="0"/>
    <s v="CC200"/>
    <s v="AutoPost 1543"/>
    <s v="USD"/>
    <s v="2024-08"/>
    <n v="827.97"/>
    <m/>
  </r>
  <r>
    <s v="GL001544"/>
    <d v="2023-11-05T00:00:00"/>
    <n v="4010"/>
    <x v="4"/>
    <n v="0"/>
    <n v="2525.69"/>
    <x v="3"/>
    <s v="CC100"/>
    <s v="AutoPost 1544"/>
    <s v="EUR"/>
    <s v="2023-11"/>
    <n v="2525.69"/>
    <m/>
  </r>
  <r>
    <s v="GL001545"/>
    <d v="2024-07-22T00:00:00"/>
    <n v="5000"/>
    <x v="1"/>
    <n v="1395.73"/>
    <n v="0"/>
    <x v="4"/>
    <s v="CC500"/>
    <s v="AutoPost 1545"/>
    <s v="GBP"/>
    <s v="2024-07"/>
    <n v="-1395.73"/>
    <m/>
  </r>
  <r>
    <s v="GL001546"/>
    <d v="2025-04-29T00:00:00"/>
    <n v="4010"/>
    <x v="4"/>
    <n v="0"/>
    <n v="1888.44"/>
    <x v="4"/>
    <s v="CC500"/>
    <s v="AutoPost 1546"/>
    <s v="GBP"/>
    <s v="2025-04"/>
    <n v="1888.44"/>
    <m/>
  </r>
  <r>
    <s v="GL001547"/>
    <d v="2024-11-13T00:00:00"/>
    <n v="4010"/>
    <x v="4"/>
    <n v="0"/>
    <n v="718.52"/>
    <x v="2"/>
    <s v="CC400"/>
    <s v="AutoPost 1547"/>
    <s v="CAD"/>
    <s v="2024-11"/>
    <n v="718.52"/>
    <m/>
  </r>
  <r>
    <s v="GL001548"/>
    <d v="2024-10-01T00:00:00"/>
    <n v="6000"/>
    <x v="2"/>
    <n v="378.77"/>
    <n v="0"/>
    <x v="4"/>
    <s v="CC500"/>
    <s v="AutoPost 1548"/>
    <s v="GBP"/>
    <s v="2024-10"/>
    <n v="-378.77"/>
    <m/>
  </r>
  <r>
    <s v="GL001549"/>
    <d v="2023-06-27T00:00:00"/>
    <n v="6000"/>
    <x v="2"/>
    <n v="1317.88"/>
    <n v="0"/>
    <x v="5"/>
    <s v="CC300"/>
    <s v="AutoPost 1549"/>
    <s v="CAD"/>
    <s v="2023-06"/>
    <n v="-1317.88"/>
    <m/>
  </r>
  <r>
    <s v="GL001550"/>
    <d v="2023-01-24T00:00:00"/>
    <n v="5000"/>
    <x v="1"/>
    <n v="636.6"/>
    <n v="0"/>
    <x v="4"/>
    <s v="CC400"/>
    <s v="AutoPost 1550"/>
    <s v="EUR"/>
    <s v="2023-01"/>
    <n v="-636.6"/>
    <m/>
  </r>
  <r>
    <s v="GL001551"/>
    <d v="2024-06-10T00:00:00"/>
    <n v="4000"/>
    <x v="0"/>
    <n v="0"/>
    <n v="4170.5"/>
    <x v="2"/>
    <s v="CC100"/>
    <s v="AutoPost 1551"/>
    <s v="EUR"/>
    <s v="2024-06"/>
    <n v="4170.5"/>
    <m/>
  </r>
  <r>
    <s v="GL001552"/>
    <d v="2023-11-21T00:00:00"/>
    <n v="4000"/>
    <x v="0"/>
    <n v="0"/>
    <n v="1923.84"/>
    <x v="5"/>
    <s v="CC100"/>
    <s v="AutoPost 1552"/>
    <s v="CAD"/>
    <s v="2023-11"/>
    <n v="1923.84"/>
    <m/>
  </r>
  <r>
    <s v="GL001553"/>
    <d v="2024-08-22T00:00:00"/>
    <n v="6000"/>
    <x v="2"/>
    <n v="736.29"/>
    <n v="0"/>
    <x v="0"/>
    <s v="CC400"/>
    <s v="AutoPost 1553"/>
    <s v="CAD"/>
    <s v="2024-08"/>
    <n v="-736.29"/>
    <m/>
  </r>
  <r>
    <s v="GL001554"/>
    <d v="2025-01-25T00:00:00"/>
    <n v="4010"/>
    <x v="4"/>
    <n v="0"/>
    <n v="4712.88"/>
    <x v="5"/>
    <s v="CC200"/>
    <s v="AutoPost 1554"/>
    <s v="AUD"/>
    <s v="2025-01"/>
    <n v="4712.88"/>
    <m/>
  </r>
  <r>
    <s v="GL001555"/>
    <d v="2024-05-26T00:00:00"/>
    <n v="4010"/>
    <x v="4"/>
    <n v="0"/>
    <n v="2946.82"/>
    <x v="4"/>
    <s v="CC400"/>
    <s v="AutoPost 1555"/>
    <s v="AUD"/>
    <s v="2024-05"/>
    <n v="2946.82"/>
    <m/>
  </r>
  <r>
    <s v="GL001556"/>
    <d v="2025-04-18T00:00:00"/>
    <n v="6000"/>
    <x v="2"/>
    <n v="1985.74"/>
    <n v="0"/>
    <x v="0"/>
    <s v="CC300"/>
    <s v="AutoPost 1556"/>
    <s v="AUD"/>
    <s v="2025-04"/>
    <n v="-1985.74"/>
    <m/>
  </r>
  <r>
    <s v="GL001557"/>
    <d v="2024-02-19T00:00:00"/>
    <n v="5000"/>
    <x v="1"/>
    <n v="1835.61"/>
    <n v="0"/>
    <x v="0"/>
    <s v="CC200"/>
    <s v="AutoPost 1557"/>
    <s v="USD"/>
    <s v="2024-02"/>
    <n v="-1835.61"/>
    <m/>
  </r>
  <r>
    <s v="GL001558"/>
    <d v="2023-06-23T00:00:00"/>
    <n v="5000"/>
    <x v="1"/>
    <n v="509.51"/>
    <n v="0"/>
    <x v="4"/>
    <s v="CC100"/>
    <s v="AutoPost 1558"/>
    <s v="CAD"/>
    <s v="2023-06"/>
    <n v="-509.51"/>
    <m/>
  </r>
  <r>
    <s v="GL001559"/>
    <d v="2023-12-24T00:00:00"/>
    <n v="4010"/>
    <x v="4"/>
    <n v="0"/>
    <n v="573.51"/>
    <x v="4"/>
    <s v="CC500"/>
    <s v="AutoPost 1559"/>
    <s v="USD"/>
    <s v="2023-12"/>
    <n v="573.51"/>
    <m/>
  </r>
  <r>
    <s v="GL001560"/>
    <d v="2024-06-19T00:00:00"/>
    <n v="4000"/>
    <x v="0"/>
    <n v="0"/>
    <n v="3740.72"/>
    <x v="3"/>
    <s v="CC300"/>
    <s v="AutoPost 1560"/>
    <s v="USD"/>
    <s v="2024-06"/>
    <n v="3740.72"/>
    <m/>
  </r>
  <r>
    <s v="GL001561"/>
    <d v="2023-05-03T00:00:00"/>
    <n v="5000"/>
    <x v="1"/>
    <n v="1930.33"/>
    <n v="0"/>
    <x v="2"/>
    <s v="CC100"/>
    <s v="AutoPost 1561"/>
    <s v="CAD"/>
    <s v="2023-05"/>
    <n v="-1930.33"/>
    <m/>
  </r>
  <r>
    <s v="GL001562"/>
    <d v="2023-12-16T00:00:00"/>
    <n v="5010"/>
    <x v="3"/>
    <n v="1936.61"/>
    <n v="0"/>
    <x v="4"/>
    <s v="CC300"/>
    <s v="AutoPost 1562"/>
    <s v="EUR"/>
    <s v="2023-12"/>
    <n v="-1936.61"/>
    <m/>
  </r>
  <r>
    <s v="GL001563"/>
    <d v="2024-10-27T00:00:00"/>
    <n v="4000"/>
    <x v="0"/>
    <n v="0"/>
    <n v="3625.02"/>
    <x v="4"/>
    <s v="CC100"/>
    <s v="AutoPost 1563"/>
    <s v="CAD"/>
    <s v="2024-10"/>
    <n v="3625.02"/>
    <m/>
  </r>
  <r>
    <s v="GL001564"/>
    <d v="2024-02-10T00:00:00"/>
    <n v="4000"/>
    <x v="0"/>
    <n v="0"/>
    <n v="3348.1"/>
    <x v="3"/>
    <s v="CC500"/>
    <s v="AutoPost 1564"/>
    <s v="EUR"/>
    <s v="2024-02"/>
    <n v="3348.1"/>
    <m/>
  </r>
  <r>
    <s v="GL001565"/>
    <d v="2023-01-13T00:00:00"/>
    <n v="5010"/>
    <x v="3"/>
    <n v="760.59"/>
    <n v="0"/>
    <x v="1"/>
    <s v="CC400"/>
    <s v="AutoPost 1565"/>
    <s v="CAD"/>
    <s v="2023-01"/>
    <n v="-760.59"/>
    <m/>
  </r>
  <r>
    <s v="GL001566"/>
    <d v="2024-03-26T00:00:00"/>
    <n v="4010"/>
    <x v="4"/>
    <n v="0"/>
    <n v="3208.4"/>
    <x v="3"/>
    <s v="CC500"/>
    <s v="AutoPost 1566"/>
    <s v="EUR"/>
    <s v="2024-03"/>
    <n v="3208.4"/>
    <m/>
  </r>
  <r>
    <s v="GL001567"/>
    <d v="2024-12-27T00:00:00"/>
    <n v="6000"/>
    <x v="2"/>
    <n v="420.76"/>
    <n v="0"/>
    <x v="3"/>
    <s v="CC300"/>
    <s v="AutoPost 1567"/>
    <s v="GBP"/>
    <s v="2024-12"/>
    <n v="-420.76"/>
    <m/>
  </r>
  <r>
    <s v="GL001568"/>
    <d v="2023-04-05T00:00:00"/>
    <n v="5010"/>
    <x v="3"/>
    <n v="1497.64"/>
    <n v="0"/>
    <x v="1"/>
    <s v="CC400"/>
    <s v="AutoPost 1568"/>
    <s v="USD"/>
    <s v="2023-04"/>
    <n v="-1497.64"/>
    <m/>
  </r>
  <r>
    <s v="GL001569"/>
    <d v="2024-11-27T00:00:00"/>
    <n v="4010"/>
    <x v="4"/>
    <n v="0"/>
    <n v="3033.61"/>
    <x v="1"/>
    <s v="CC100"/>
    <s v="AutoPost 1569"/>
    <s v="GBP"/>
    <s v="2024-11"/>
    <n v="3033.61"/>
    <m/>
  </r>
  <r>
    <s v="GL001570"/>
    <d v="2023-05-11T00:00:00"/>
    <n v="4000"/>
    <x v="0"/>
    <n v="0"/>
    <n v="1502.06"/>
    <x v="2"/>
    <s v="CC300"/>
    <s v="AutoPost 1570"/>
    <s v="AUD"/>
    <s v="2023-05"/>
    <n v="1502.06"/>
    <m/>
  </r>
  <r>
    <s v="GL001571"/>
    <d v="2024-07-13T00:00:00"/>
    <n v="5000"/>
    <x v="1"/>
    <n v="532.65"/>
    <n v="0"/>
    <x v="2"/>
    <s v="CC400"/>
    <s v="AutoPost 1571"/>
    <s v="GBP"/>
    <s v="2024-07"/>
    <n v="-532.65"/>
    <m/>
  </r>
  <r>
    <s v="GL001572"/>
    <d v="2025-02-17T00:00:00"/>
    <n v="4010"/>
    <x v="4"/>
    <n v="0"/>
    <n v="4109.07"/>
    <x v="0"/>
    <s v="CC100"/>
    <s v="AutoPost 1572"/>
    <s v="AUD"/>
    <s v="2025-02"/>
    <n v="4109.07"/>
    <m/>
  </r>
  <r>
    <s v="GL001573"/>
    <d v="2023-04-02T00:00:00"/>
    <n v="4000"/>
    <x v="0"/>
    <n v="0"/>
    <n v="3235.61"/>
    <x v="2"/>
    <s v="CC500"/>
    <s v="AutoPost 1573"/>
    <s v="AUD"/>
    <s v="2023-04"/>
    <n v="3235.61"/>
    <m/>
  </r>
  <r>
    <s v="GL001574"/>
    <d v="2025-04-23T00:00:00"/>
    <n v="5000"/>
    <x v="1"/>
    <n v="1836.46"/>
    <n v="0"/>
    <x v="3"/>
    <s v="CC500"/>
    <s v="AutoPost 1574"/>
    <s v="USD"/>
    <s v="2025-04"/>
    <n v="-1836.46"/>
    <m/>
  </r>
  <r>
    <s v="GL001575"/>
    <d v="2023-04-22T00:00:00"/>
    <n v="6000"/>
    <x v="2"/>
    <n v="1120.92"/>
    <n v="0"/>
    <x v="4"/>
    <s v="CC300"/>
    <s v="AutoPost 1575"/>
    <s v="CAD"/>
    <s v="2023-04"/>
    <n v="-1120.92"/>
    <m/>
  </r>
  <r>
    <s v="GL001576"/>
    <d v="2025-03-22T00:00:00"/>
    <n v="4010"/>
    <x v="4"/>
    <n v="0"/>
    <n v="4622.21"/>
    <x v="2"/>
    <s v="CC400"/>
    <s v="AutoPost 1576"/>
    <s v="USD"/>
    <s v="2025-03"/>
    <n v="4622.21"/>
    <m/>
  </r>
  <r>
    <s v="GL001577"/>
    <d v="2023-12-07T00:00:00"/>
    <n v="5010"/>
    <x v="3"/>
    <n v="1067.19"/>
    <n v="0"/>
    <x v="1"/>
    <s v="CC400"/>
    <s v="AutoPost 1577"/>
    <s v="USD"/>
    <s v="2023-12"/>
    <n v="-1067.19"/>
    <m/>
  </r>
  <r>
    <s v="GL001578"/>
    <d v="2024-03-17T00:00:00"/>
    <n v="5010"/>
    <x v="3"/>
    <n v="1712.89"/>
    <n v="0"/>
    <x v="5"/>
    <s v="CC100"/>
    <s v="AutoPost 1578"/>
    <s v="CAD"/>
    <s v="2024-03"/>
    <n v="-1712.89"/>
    <m/>
  </r>
  <r>
    <s v="GL001579"/>
    <d v="2024-03-05T00:00:00"/>
    <n v="5010"/>
    <x v="3"/>
    <n v="857.16"/>
    <n v="0"/>
    <x v="1"/>
    <s v="CC100"/>
    <s v="AutoPost 1579"/>
    <s v="AUD"/>
    <s v="2024-03"/>
    <n v="-857.16"/>
    <m/>
  </r>
  <r>
    <s v="GL001580"/>
    <d v="2025-06-09T00:00:00"/>
    <n v="4010"/>
    <x v="4"/>
    <n v="0"/>
    <n v="1913.45"/>
    <x v="5"/>
    <s v="CC300"/>
    <s v="AutoPost 1580"/>
    <s v="GBP"/>
    <s v="2025-06"/>
    <n v="1913.45"/>
    <m/>
  </r>
  <r>
    <s v="GL001581"/>
    <d v="2023-08-18T00:00:00"/>
    <n v="5000"/>
    <x v="1"/>
    <n v="1307.6099999999999"/>
    <n v="0"/>
    <x v="1"/>
    <s v="CC200"/>
    <s v="AutoPost 1581"/>
    <s v="GBP"/>
    <s v="2023-08"/>
    <n v="-1307.6099999999999"/>
    <m/>
  </r>
  <r>
    <s v="GL001582"/>
    <d v="2024-05-26T00:00:00"/>
    <n v="4000"/>
    <x v="0"/>
    <n v="0"/>
    <n v="1128.51"/>
    <x v="5"/>
    <s v="CC100"/>
    <s v="AutoPost 1582"/>
    <s v="AUD"/>
    <s v="2024-05"/>
    <n v="1128.51"/>
    <m/>
  </r>
  <r>
    <s v="GL001583"/>
    <d v="2023-11-22T00:00:00"/>
    <n v="4000"/>
    <x v="0"/>
    <n v="0"/>
    <n v="1933.41"/>
    <x v="5"/>
    <s v="CC300"/>
    <s v="AutoPost 1583"/>
    <s v="CAD"/>
    <s v="2023-11"/>
    <n v="1933.41"/>
    <m/>
  </r>
  <r>
    <s v="GL001584"/>
    <d v="2025-04-08T00:00:00"/>
    <n v="5010"/>
    <x v="3"/>
    <n v="203.77"/>
    <n v="0"/>
    <x v="5"/>
    <s v="CC400"/>
    <s v="AutoPost 1584"/>
    <s v="CAD"/>
    <s v="2025-04"/>
    <n v="-203.77"/>
    <m/>
  </r>
  <r>
    <s v="GL001585"/>
    <d v="2024-06-22T00:00:00"/>
    <n v="4010"/>
    <x v="4"/>
    <n v="0"/>
    <n v="3874.96"/>
    <x v="4"/>
    <s v="CC300"/>
    <s v="AutoPost 1585"/>
    <s v="USD"/>
    <s v="2024-06"/>
    <n v="3874.96"/>
    <m/>
  </r>
  <r>
    <s v="GL001586"/>
    <d v="2023-05-25T00:00:00"/>
    <n v="5010"/>
    <x v="3"/>
    <n v="369.39"/>
    <n v="0"/>
    <x v="2"/>
    <s v="CC100"/>
    <s v="AutoPost 1586"/>
    <s v="USD"/>
    <s v="2023-05"/>
    <n v="-369.39"/>
    <m/>
  </r>
  <r>
    <s v="GL001587"/>
    <d v="2024-11-06T00:00:00"/>
    <n v="4000"/>
    <x v="0"/>
    <n v="0"/>
    <n v="4685.3599999999997"/>
    <x v="5"/>
    <s v="CC200"/>
    <s v="AutoPost 1587"/>
    <s v="CAD"/>
    <s v="2024-11"/>
    <n v="4685.3599999999997"/>
    <m/>
  </r>
  <r>
    <s v="GL001588"/>
    <d v="2024-03-09T00:00:00"/>
    <n v="6000"/>
    <x v="2"/>
    <n v="1614.34"/>
    <n v="0"/>
    <x v="0"/>
    <s v="CC400"/>
    <s v="AutoPost 1588"/>
    <s v="USD"/>
    <s v="2024-03"/>
    <n v="-1614.34"/>
    <m/>
  </r>
  <r>
    <s v="GL001589"/>
    <d v="2025-03-27T00:00:00"/>
    <n v="6000"/>
    <x v="2"/>
    <n v="1072.1199999999999"/>
    <n v="0"/>
    <x v="3"/>
    <s v="CC100"/>
    <s v="AutoPost 1589"/>
    <s v="USD"/>
    <s v="2025-03"/>
    <n v="-1072.1199999999999"/>
    <m/>
  </r>
  <r>
    <s v="GL001590"/>
    <d v="2023-05-03T00:00:00"/>
    <n v="5000"/>
    <x v="1"/>
    <n v="889.83"/>
    <n v="0"/>
    <x v="1"/>
    <s v="CC300"/>
    <s v="AutoPost 1590"/>
    <s v="EUR"/>
    <s v="2023-05"/>
    <n v="-889.83"/>
    <m/>
  </r>
  <r>
    <s v="GL001591"/>
    <d v="2023-05-27T00:00:00"/>
    <n v="4000"/>
    <x v="0"/>
    <n v="0"/>
    <n v="174.81"/>
    <x v="0"/>
    <s v="CC100"/>
    <s v="AutoPost 1591"/>
    <s v="CAD"/>
    <s v="2023-05"/>
    <n v="174.81"/>
    <m/>
  </r>
  <r>
    <s v="GL001592"/>
    <d v="2023-11-27T00:00:00"/>
    <n v="4010"/>
    <x v="4"/>
    <n v="0"/>
    <n v="3155.54"/>
    <x v="4"/>
    <s v="CC300"/>
    <s v="AutoPost 1592"/>
    <s v="AUD"/>
    <s v="2023-11"/>
    <n v="3155.54"/>
    <m/>
  </r>
  <r>
    <s v="GL001593"/>
    <d v="2023-09-03T00:00:00"/>
    <n v="4010"/>
    <x v="4"/>
    <n v="0"/>
    <n v="1925.54"/>
    <x v="1"/>
    <s v="CC300"/>
    <s v="AutoPost 1593"/>
    <s v="AUD"/>
    <s v="2023-09"/>
    <n v="1925.54"/>
    <m/>
  </r>
  <r>
    <s v="GL001594"/>
    <d v="2024-10-30T00:00:00"/>
    <n v="6000"/>
    <x v="2"/>
    <n v="1203.3399999999999"/>
    <n v="0"/>
    <x v="3"/>
    <s v="CC400"/>
    <s v="AutoPost 1594"/>
    <s v="USD"/>
    <s v="2024-10"/>
    <n v="-1203.3399999999999"/>
    <m/>
  </r>
  <r>
    <s v="GL001595"/>
    <d v="2024-11-18T00:00:00"/>
    <n v="6000"/>
    <x v="2"/>
    <n v="1776.59"/>
    <n v="0"/>
    <x v="3"/>
    <s v="CC400"/>
    <s v="AutoPost 1595"/>
    <s v="EUR"/>
    <s v="2024-11"/>
    <n v="-1776.59"/>
    <m/>
  </r>
  <r>
    <s v="GL001596"/>
    <d v="2023-03-24T00:00:00"/>
    <n v="5000"/>
    <x v="1"/>
    <n v="1588.81"/>
    <n v="0"/>
    <x v="2"/>
    <s v="CC500"/>
    <s v="AutoPost 1596"/>
    <s v="USD"/>
    <s v="2023-03"/>
    <n v="-1588.81"/>
    <m/>
  </r>
  <r>
    <s v="GL001597"/>
    <d v="2025-05-04T00:00:00"/>
    <n v="5000"/>
    <x v="1"/>
    <n v="1229.26"/>
    <n v="0"/>
    <x v="3"/>
    <s v="CC300"/>
    <s v="AutoPost 1597"/>
    <s v="EUR"/>
    <s v="2025-05"/>
    <n v="-1229.26"/>
    <m/>
  </r>
  <r>
    <s v="GL001598"/>
    <d v="2025-06-24T00:00:00"/>
    <n v="4000"/>
    <x v="0"/>
    <n v="0"/>
    <n v="3867.59"/>
    <x v="2"/>
    <s v="CC200"/>
    <s v="AutoPost 1598"/>
    <s v="EUR"/>
    <s v="2025-06"/>
    <n v="3867.59"/>
    <m/>
  </r>
  <r>
    <s v="GL001599"/>
    <d v="2024-04-26T00:00:00"/>
    <n v="6000"/>
    <x v="2"/>
    <n v="615.80999999999995"/>
    <n v="0"/>
    <x v="1"/>
    <s v="CC100"/>
    <s v="AutoPost 1599"/>
    <s v="EUR"/>
    <s v="2024-04"/>
    <n v="-615.80999999999995"/>
    <m/>
  </r>
  <r>
    <s v="GL001600"/>
    <d v="2023-10-25T00:00:00"/>
    <n v="5010"/>
    <x v="3"/>
    <n v="1182.17"/>
    <n v="0"/>
    <x v="4"/>
    <s v="CC400"/>
    <s v="AutoPost 1600"/>
    <s v="USD"/>
    <s v="2023-10"/>
    <n v="-1182.17"/>
    <m/>
  </r>
  <r>
    <s v="GL001601"/>
    <d v="2023-06-04T00:00:00"/>
    <n v="4000"/>
    <x v="0"/>
    <n v="0"/>
    <n v="4084.9"/>
    <x v="4"/>
    <s v="CC400"/>
    <s v="AutoPost 1601"/>
    <s v="AUD"/>
    <s v="2023-06"/>
    <n v="4084.9"/>
    <m/>
  </r>
  <r>
    <s v="GL001602"/>
    <d v="2023-12-16T00:00:00"/>
    <n v="4000"/>
    <x v="0"/>
    <n v="0"/>
    <n v="2694.28"/>
    <x v="2"/>
    <s v="CC300"/>
    <s v="AutoPost 1602"/>
    <s v="CAD"/>
    <s v="2023-12"/>
    <n v="2694.28"/>
    <m/>
  </r>
  <r>
    <s v="GL001603"/>
    <d v="2025-05-05T00:00:00"/>
    <n v="4000"/>
    <x v="0"/>
    <n v="0"/>
    <n v="3550.01"/>
    <x v="4"/>
    <s v="CC200"/>
    <s v="AutoPost 1603"/>
    <s v="GBP"/>
    <s v="2025-05"/>
    <n v="3550.01"/>
    <m/>
  </r>
  <r>
    <s v="GL001604"/>
    <d v="2024-07-22T00:00:00"/>
    <n v="4000"/>
    <x v="0"/>
    <n v="0"/>
    <n v="2395.19"/>
    <x v="5"/>
    <s v="CC100"/>
    <s v="AutoPost 1604"/>
    <s v="CAD"/>
    <s v="2024-07"/>
    <n v="2395.19"/>
    <m/>
  </r>
  <r>
    <s v="GL001605"/>
    <d v="2024-05-26T00:00:00"/>
    <n v="5000"/>
    <x v="1"/>
    <n v="1009.87"/>
    <n v="0"/>
    <x v="4"/>
    <s v="CC300"/>
    <s v="AutoPost 1605"/>
    <s v="USD"/>
    <s v="2024-05"/>
    <n v="-1009.87"/>
    <m/>
  </r>
  <r>
    <s v="GL001606"/>
    <d v="2024-06-21T00:00:00"/>
    <n v="5010"/>
    <x v="3"/>
    <n v="1792.26"/>
    <n v="0"/>
    <x v="0"/>
    <s v="CC500"/>
    <s v="AutoPost 1606"/>
    <s v="GBP"/>
    <s v="2024-06"/>
    <n v="-1792.26"/>
    <m/>
  </r>
  <r>
    <s v="GL001607"/>
    <d v="2024-01-15T00:00:00"/>
    <n v="5000"/>
    <x v="1"/>
    <n v="1834.84"/>
    <n v="0"/>
    <x v="2"/>
    <s v="CC500"/>
    <s v="AutoPost 1607"/>
    <s v="AUD"/>
    <s v="2024-01"/>
    <n v="-1834.84"/>
    <m/>
  </r>
  <r>
    <s v="GL001608"/>
    <d v="2025-05-31T00:00:00"/>
    <n v="4010"/>
    <x v="4"/>
    <n v="0"/>
    <n v="4316.42"/>
    <x v="1"/>
    <s v="CC100"/>
    <s v="AutoPost 1608"/>
    <s v="AUD"/>
    <s v="2025-05"/>
    <n v="4316.42"/>
    <m/>
  </r>
  <r>
    <s v="GL001609"/>
    <d v="2025-02-13T00:00:00"/>
    <n v="5010"/>
    <x v="3"/>
    <n v="427.92"/>
    <n v="0"/>
    <x v="4"/>
    <s v="CC400"/>
    <s v="AutoPost 1609"/>
    <s v="USD"/>
    <s v="2025-02"/>
    <n v="-427.92"/>
    <m/>
  </r>
  <r>
    <s v="GL001610"/>
    <d v="2024-09-20T00:00:00"/>
    <n v="4010"/>
    <x v="4"/>
    <n v="0"/>
    <n v="881.32"/>
    <x v="5"/>
    <s v="CC100"/>
    <s v="AutoPost 1610"/>
    <s v="AUD"/>
    <s v="2024-09"/>
    <n v="881.32"/>
    <m/>
  </r>
  <r>
    <s v="GL001611"/>
    <d v="2023-04-12T00:00:00"/>
    <n v="6000"/>
    <x v="2"/>
    <n v="896.81"/>
    <n v="0"/>
    <x v="5"/>
    <s v="CC400"/>
    <s v="AutoPost 1611"/>
    <s v="AUD"/>
    <s v="2023-04"/>
    <n v="-896.81"/>
    <m/>
  </r>
  <r>
    <s v="GL001612"/>
    <d v="2024-11-16T00:00:00"/>
    <n v="6000"/>
    <x v="2"/>
    <n v="1292.1400000000001"/>
    <n v="0"/>
    <x v="1"/>
    <s v="CC500"/>
    <s v="AutoPost 1612"/>
    <s v="USD"/>
    <s v="2024-11"/>
    <n v="-1292.1400000000001"/>
    <m/>
  </r>
  <r>
    <s v="GL001613"/>
    <d v="2024-04-28T00:00:00"/>
    <n v="5000"/>
    <x v="1"/>
    <n v="1720"/>
    <n v="0"/>
    <x v="2"/>
    <s v="CC100"/>
    <s v="AutoPost 1613"/>
    <s v="CAD"/>
    <s v="2024-04"/>
    <n v="-1720"/>
    <m/>
  </r>
  <r>
    <s v="GL001614"/>
    <d v="2024-01-21T00:00:00"/>
    <n v="6000"/>
    <x v="2"/>
    <n v="210.81"/>
    <n v="0"/>
    <x v="4"/>
    <s v="CC200"/>
    <s v="AutoPost 1614"/>
    <s v="EUR"/>
    <s v="2024-01"/>
    <n v="-210.81"/>
    <m/>
  </r>
  <r>
    <s v="GL001615"/>
    <d v="2023-05-31T00:00:00"/>
    <n v="4000"/>
    <x v="0"/>
    <n v="0"/>
    <n v="3145.99"/>
    <x v="2"/>
    <s v="CC400"/>
    <s v="AutoPost 1615"/>
    <s v="GBP"/>
    <s v="2023-05"/>
    <n v="3145.99"/>
    <m/>
  </r>
  <r>
    <s v="GL001616"/>
    <d v="2024-11-05T00:00:00"/>
    <n v="4000"/>
    <x v="0"/>
    <n v="0"/>
    <n v="4897.22"/>
    <x v="3"/>
    <s v="CC100"/>
    <s v="AutoPost 1616"/>
    <s v="EUR"/>
    <s v="2024-11"/>
    <n v="4897.22"/>
    <m/>
  </r>
  <r>
    <s v="GL001617"/>
    <d v="2023-03-26T00:00:00"/>
    <n v="5010"/>
    <x v="3"/>
    <n v="1035.58"/>
    <n v="0"/>
    <x v="5"/>
    <s v="CC400"/>
    <s v="AutoPost 1617"/>
    <s v="AUD"/>
    <s v="2023-03"/>
    <n v="-1035.58"/>
    <m/>
  </r>
  <r>
    <s v="GL001618"/>
    <d v="2024-11-18T00:00:00"/>
    <n v="5010"/>
    <x v="3"/>
    <n v="883.62"/>
    <n v="0"/>
    <x v="2"/>
    <s v="CC200"/>
    <s v="AutoPost 1618"/>
    <s v="AUD"/>
    <s v="2024-11"/>
    <n v="-883.62"/>
    <m/>
  </r>
  <r>
    <s v="GL001619"/>
    <d v="2024-10-01T00:00:00"/>
    <n v="4010"/>
    <x v="4"/>
    <n v="0"/>
    <n v="1908.36"/>
    <x v="5"/>
    <s v="CC500"/>
    <s v="AutoPost 1619"/>
    <s v="GBP"/>
    <s v="2024-10"/>
    <n v="1908.36"/>
    <m/>
  </r>
  <r>
    <s v="GL001620"/>
    <d v="2023-05-22T00:00:00"/>
    <n v="4010"/>
    <x v="4"/>
    <n v="0"/>
    <n v="145.24"/>
    <x v="5"/>
    <s v="CC400"/>
    <s v="AutoPost 1620"/>
    <s v="GBP"/>
    <s v="2023-05"/>
    <n v="145.24"/>
    <m/>
  </r>
  <r>
    <s v="GL001621"/>
    <d v="2024-09-15T00:00:00"/>
    <n v="4010"/>
    <x v="4"/>
    <n v="0"/>
    <n v="527.38"/>
    <x v="0"/>
    <s v="CC400"/>
    <s v="AutoPost 1621"/>
    <s v="CAD"/>
    <s v="2024-09"/>
    <n v="527.38"/>
    <m/>
  </r>
  <r>
    <s v="GL001622"/>
    <d v="2023-08-13T00:00:00"/>
    <n v="4000"/>
    <x v="0"/>
    <n v="0"/>
    <n v="3715.39"/>
    <x v="4"/>
    <s v="CC500"/>
    <s v="AutoPost 1622"/>
    <s v="EUR"/>
    <s v="2023-08"/>
    <n v="3715.39"/>
    <m/>
  </r>
  <r>
    <s v="GL001623"/>
    <d v="2023-02-02T00:00:00"/>
    <n v="5000"/>
    <x v="1"/>
    <n v="870.5"/>
    <n v="0"/>
    <x v="4"/>
    <s v="CC200"/>
    <s v="AutoPost 1623"/>
    <s v="AUD"/>
    <s v="2023-02"/>
    <n v="-870.5"/>
    <m/>
  </r>
  <r>
    <s v="GL001624"/>
    <d v="2024-04-04T00:00:00"/>
    <n v="5010"/>
    <x v="3"/>
    <n v="1992.58"/>
    <n v="0"/>
    <x v="2"/>
    <s v="CC500"/>
    <s v="AutoPost 1624"/>
    <s v="GBP"/>
    <s v="2024-04"/>
    <n v="-1992.58"/>
    <m/>
  </r>
  <r>
    <s v="GL001625"/>
    <d v="2023-03-16T00:00:00"/>
    <n v="5010"/>
    <x v="3"/>
    <n v="1466.95"/>
    <n v="0"/>
    <x v="5"/>
    <s v="CC300"/>
    <s v="AutoPost 1625"/>
    <s v="USD"/>
    <s v="2023-03"/>
    <n v="-1466.95"/>
    <m/>
  </r>
  <r>
    <s v="GL001626"/>
    <d v="2023-03-28T00:00:00"/>
    <n v="5000"/>
    <x v="1"/>
    <n v="480.18"/>
    <n v="0"/>
    <x v="1"/>
    <s v="CC400"/>
    <s v="AutoPost 1626"/>
    <s v="EUR"/>
    <s v="2023-03"/>
    <n v="-480.18"/>
    <m/>
  </r>
  <r>
    <s v="GL001627"/>
    <d v="2023-03-25T00:00:00"/>
    <n v="4010"/>
    <x v="4"/>
    <n v="0"/>
    <n v="4296.88"/>
    <x v="4"/>
    <s v="CC500"/>
    <s v="AutoPost 1627"/>
    <s v="AUD"/>
    <s v="2023-03"/>
    <n v="4296.88"/>
    <m/>
  </r>
  <r>
    <s v="GL001628"/>
    <d v="2024-10-23T00:00:00"/>
    <n v="5000"/>
    <x v="1"/>
    <n v="123.85"/>
    <n v="0"/>
    <x v="3"/>
    <s v="CC500"/>
    <s v="AutoPost 1628"/>
    <s v="AUD"/>
    <s v="2024-10"/>
    <n v="-123.85"/>
    <m/>
  </r>
  <r>
    <s v="GL001629"/>
    <d v="2023-05-02T00:00:00"/>
    <n v="6000"/>
    <x v="2"/>
    <n v="1528.6"/>
    <n v="0"/>
    <x v="0"/>
    <s v="CC100"/>
    <s v="AutoPost 1629"/>
    <s v="USD"/>
    <s v="2023-05"/>
    <n v="-1528.6"/>
    <m/>
  </r>
  <r>
    <s v="GL001630"/>
    <d v="2024-03-13T00:00:00"/>
    <n v="5010"/>
    <x v="3"/>
    <n v="1408.83"/>
    <n v="0"/>
    <x v="0"/>
    <s v="CC100"/>
    <s v="AutoPost 1630"/>
    <s v="USD"/>
    <s v="2024-03"/>
    <n v="-1408.83"/>
    <m/>
  </r>
  <r>
    <s v="GL001631"/>
    <d v="2024-01-17T00:00:00"/>
    <n v="6000"/>
    <x v="2"/>
    <n v="472.82"/>
    <n v="0"/>
    <x v="2"/>
    <s v="CC400"/>
    <s v="AutoPost 1631"/>
    <s v="GBP"/>
    <s v="2024-01"/>
    <n v="-472.82"/>
    <m/>
  </r>
  <r>
    <s v="GL001632"/>
    <d v="2023-12-24T00:00:00"/>
    <n v="6000"/>
    <x v="2"/>
    <n v="826.92"/>
    <n v="0"/>
    <x v="0"/>
    <s v="CC400"/>
    <s v="AutoPost 1632"/>
    <s v="GBP"/>
    <s v="2023-12"/>
    <n v="-826.92"/>
    <m/>
  </r>
  <r>
    <s v="GL001633"/>
    <d v="2023-01-26T00:00:00"/>
    <n v="6000"/>
    <x v="2"/>
    <n v="882.2"/>
    <n v="0"/>
    <x v="3"/>
    <s v="CC100"/>
    <s v="AutoPost 1633"/>
    <s v="AUD"/>
    <s v="2023-01"/>
    <n v="-882.2"/>
    <m/>
  </r>
  <r>
    <s v="GL001634"/>
    <d v="2024-10-17T00:00:00"/>
    <n v="6000"/>
    <x v="2"/>
    <n v="1244.05"/>
    <n v="0"/>
    <x v="4"/>
    <s v="CC500"/>
    <s v="AutoPost 1634"/>
    <s v="GBP"/>
    <s v="2024-10"/>
    <n v="-1244.05"/>
    <m/>
  </r>
  <r>
    <s v="GL001635"/>
    <d v="2023-05-22T00:00:00"/>
    <n v="4000"/>
    <x v="0"/>
    <n v="0"/>
    <n v="2017.86"/>
    <x v="1"/>
    <s v="CC500"/>
    <s v="AutoPost 1635"/>
    <s v="CAD"/>
    <s v="2023-05"/>
    <n v="2017.86"/>
    <m/>
  </r>
  <r>
    <s v="GL001636"/>
    <d v="2023-12-09T00:00:00"/>
    <n v="5010"/>
    <x v="3"/>
    <n v="1845.02"/>
    <n v="0"/>
    <x v="4"/>
    <s v="CC200"/>
    <s v="AutoPost 1636"/>
    <s v="CAD"/>
    <s v="2023-12"/>
    <n v="-1845.02"/>
    <m/>
  </r>
  <r>
    <s v="GL001637"/>
    <d v="2024-03-26T00:00:00"/>
    <n v="4000"/>
    <x v="0"/>
    <n v="0"/>
    <n v="1184.05"/>
    <x v="5"/>
    <s v="CC400"/>
    <s v="AutoPost 1637"/>
    <s v="AUD"/>
    <s v="2024-03"/>
    <n v="1184.05"/>
    <m/>
  </r>
  <r>
    <s v="GL001638"/>
    <d v="2023-12-22T00:00:00"/>
    <n v="5000"/>
    <x v="1"/>
    <n v="1165.1400000000001"/>
    <n v="0"/>
    <x v="1"/>
    <s v="CC100"/>
    <s v="AutoPost 1638"/>
    <s v="AUD"/>
    <s v="2023-12"/>
    <n v="-1165.1400000000001"/>
    <m/>
  </r>
  <r>
    <s v="GL001639"/>
    <d v="2024-12-28T00:00:00"/>
    <n v="5000"/>
    <x v="1"/>
    <n v="641.08000000000004"/>
    <n v="0"/>
    <x v="0"/>
    <s v="CC200"/>
    <s v="AutoPost 1639"/>
    <s v="EUR"/>
    <s v="2024-12"/>
    <n v="-641.08000000000004"/>
    <m/>
  </r>
  <r>
    <s v="GL001640"/>
    <d v="2023-07-09T00:00:00"/>
    <n v="5010"/>
    <x v="3"/>
    <n v="194.16"/>
    <n v="0"/>
    <x v="5"/>
    <s v="CC400"/>
    <s v="AutoPost 1640"/>
    <s v="CAD"/>
    <s v="2023-07"/>
    <n v="-194.16"/>
    <m/>
  </r>
  <r>
    <s v="GL001641"/>
    <d v="2023-04-18T00:00:00"/>
    <n v="6000"/>
    <x v="2"/>
    <n v="262.33999999999997"/>
    <n v="0"/>
    <x v="4"/>
    <s v="CC400"/>
    <s v="AutoPost 1641"/>
    <s v="EUR"/>
    <s v="2023-04"/>
    <n v="-262.33999999999997"/>
    <m/>
  </r>
  <r>
    <s v="GL001642"/>
    <d v="2024-06-21T00:00:00"/>
    <n v="5010"/>
    <x v="3"/>
    <n v="1269.67"/>
    <n v="0"/>
    <x v="2"/>
    <s v="CC200"/>
    <s v="AutoPost 1642"/>
    <s v="CAD"/>
    <s v="2024-06"/>
    <n v="-1269.67"/>
    <m/>
  </r>
  <r>
    <s v="GL001643"/>
    <d v="2024-01-11T00:00:00"/>
    <n v="4000"/>
    <x v="0"/>
    <n v="0"/>
    <n v="1736.08"/>
    <x v="1"/>
    <s v="CC200"/>
    <s v="AutoPost 1643"/>
    <s v="GBP"/>
    <s v="2024-01"/>
    <n v="1736.08"/>
    <m/>
  </r>
  <r>
    <s v="GL001644"/>
    <d v="2024-06-10T00:00:00"/>
    <n v="5010"/>
    <x v="3"/>
    <n v="418.98"/>
    <n v="0"/>
    <x v="3"/>
    <s v="CC400"/>
    <s v="AutoPost 1644"/>
    <s v="CAD"/>
    <s v="2024-06"/>
    <n v="-418.98"/>
    <m/>
  </r>
  <r>
    <s v="GL001645"/>
    <d v="2023-05-23T00:00:00"/>
    <n v="5010"/>
    <x v="3"/>
    <n v="1106.24"/>
    <n v="0"/>
    <x v="4"/>
    <s v="CC100"/>
    <s v="AutoPost 1645"/>
    <s v="USD"/>
    <s v="2023-05"/>
    <n v="-1106.24"/>
    <m/>
  </r>
  <r>
    <s v="GL001646"/>
    <d v="2023-05-29T00:00:00"/>
    <n v="4010"/>
    <x v="4"/>
    <n v="0"/>
    <n v="3037.2"/>
    <x v="4"/>
    <s v="CC200"/>
    <s v="AutoPost 1646"/>
    <s v="GBP"/>
    <s v="2023-05"/>
    <n v="3037.2"/>
    <m/>
  </r>
  <r>
    <s v="GL001647"/>
    <d v="2023-02-11T00:00:00"/>
    <n v="4000"/>
    <x v="0"/>
    <n v="0"/>
    <n v="4063.27"/>
    <x v="5"/>
    <s v="CC500"/>
    <s v="AutoPost 1647"/>
    <s v="GBP"/>
    <s v="2023-02"/>
    <n v="4063.27"/>
    <m/>
  </r>
  <r>
    <s v="GL001648"/>
    <d v="2023-08-31T00:00:00"/>
    <n v="6000"/>
    <x v="2"/>
    <n v="1920.87"/>
    <n v="0"/>
    <x v="4"/>
    <s v="CC300"/>
    <s v="AutoPost 1648"/>
    <s v="AUD"/>
    <s v="2023-08"/>
    <n v="-1920.87"/>
    <m/>
  </r>
  <r>
    <s v="GL001649"/>
    <d v="2024-07-29T00:00:00"/>
    <n v="6000"/>
    <x v="2"/>
    <n v="1167.74"/>
    <n v="0"/>
    <x v="4"/>
    <s v="CC400"/>
    <s v="AutoPost 1649"/>
    <s v="GBP"/>
    <s v="2024-07"/>
    <n v="-1167.74"/>
    <m/>
  </r>
  <r>
    <s v="GL001650"/>
    <d v="2025-05-07T00:00:00"/>
    <n v="5000"/>
    <x v="1"/>
    <n v="686.31"/>
    <n v="0"/>
    <x v="4"/>
    <s v="CC400"/>
    <s v="AutoPost 1650"/>
    <s v="USD"/>
    <s v="2025-05"/>
    <n v="-686.31"/>
    <m/>
  </r>
  <r>
    <s v="GL001651"/>
    <d v="2025-01-25T00:00:00"/>
    <n v="4000"/>
    <x v="0"/>
    <n v="0"/>
    <n v="1294.23"/>
    <x v="5"/>
    <s v="CC300"/>
    <s v="AutoPost 1651"/>
    <s v="USD"/>
    <s v="2025-01"/>
    <n v="1294.23"/>
    <m/>
  </r>
  <r>
    <s v="GL001652"/>
    <d v="2024-07-20T00:00:00"/>
    <n v="5010"/>
    <x v="3"/>
    <n v="1657.22"/>
    <n v="0"/>
    <x v="2"/>
    <s v="CC500"/>
    <s v="AutoPost 1652"/>
    <s v="EUR"/>
    <s v="2024-07"/>
    <n v="-1657.22"/>
    <m/>
  </r>
  <r>
    <s v="GL001653"/>
    <d v="2024-06-12T00:00:00"/>
    <n v="4010"/>
    <x v="4"/>
    <n v="0"/>
    <n v="677.29"/>
    <x v="4"/>
    <s v="CC400"/>
    <s v="AutoPost 1653"/>
    <s v="USD"/>
    <s v="2024-06"/>
    <n v="677.29"/>
    <m/>
  </r>
  <r>
    <s v="GL001654"/>
    <d v="2024-11-08T00:00:00"/>
    <n v="6000"/>
    <x v="2"/>
    <n v="1765.08"/>
    <n v="0"/>
    <x v="2"/>
    <s v="CC400"/>
    <s v="AutoPost 1654"/>
    <s v="USD"/>
    <s v="2024-11"/>
    <n v="-1765.08"/>
    <m/>
  </r>
  <r>
    <s v="GL001655"/>
    <d v="2023-10-19T00:00:00"/>
    <n v="4000"/>
    <x v="0"/>
    <n v="0"/>
    <n v="3407.83"/>
    <x v="0"/>
    <s v="CC200"/>
    <s v="AutoPost 1655"/>
    <s v="CAD"/>
    <s v="2023-10"/>
    <n v="3407.83"/>
    <m/>
  </r>
  <r>
    <s v="GL001656"/>
    <d v="2023-11-16T00:00:00"/>
    <n v="5010"/>
    <x v="3"/>
    <n v="543.41"/>
    <n v="0"/>
    <x v="1"/>
    <s v="CC400"/>
    <s v="AutoPost 1656"/>
    <s v="USD"/>
    <s v="2023-11"/>
    <n v="-543.41"/>
    <m/>
  </r>
  <r>
    <s v="GL001657"/>
    <d v="2023-07-09T00:00:00"/>
    <n v="5000"/>
    <x v="1"/>
    <n v="408.27"/>
    <n v="0"/>
    <x v="2"/>
    <s v="CC500"/>
    <s v="AutoPost 1657"/>
    <s v="EUR"/>
    <s v="2023-07"/>
    <n v="-408.27"/>
    <m/>
  </r>
  <r>
    <s v="GL001658"/>
    <d v="2025-02-11T00:00:00"/>
    <n v="4000"/>
    <x v="0"/>
    <n v="0"/>
    <n v="1300.21"/>
    <x v="5"/>
    <s v="CC400"/>
    <s v="AutoPost 1658"/>
    <s v="AUD"/>
    <s v="2025-02"/>
    <n v="1300.21"/>
    <m/>
  </r>
  <r>
    <s v="GL001659"/>
    <d v="2023-06-16T00:00:00"/>
    <n v="5000"/>
    <x v="1"/>
    <n v="1326.8"/>
    <n v="0"/>
    <x v="5"/>
    <s v="CC500"/>
    <s v="AutoPost 1659"/>
    <s v="USD"/>
    <s v="2023-06"/>
    <n v="-1326.8"/>
    <m/>
  </r>
  <r>
    <s v="GL001660"/>
    <d v="2025-03-29T00:00:00"/>
    <n v="4000"/>
    <x v="0"/>
    <n v="0"/>
    <n v="2057.71"/>
    <x v="3"/>
    <s v="CC400"/>
    <s v="AutoPost 1660"/>
    <s v="CAD"/>
    <s v="2025-03"/>
    <n v="2057.71"/>
    <m/>
  </r>
  <r>
    <s v="GL001661"/>
    <d v="2024-01-29T00:00:00"/>
    <n v="5000"/>
    <x v="1"/>
    <n v="1959.6"/>
    <n v="0"/>
    <x v="3"/>
    <s v="CC500"/>
    <s v="AutoPost 1661"/>
    <s v="AUD"/>
    <s v="2024-01"/>
    <n v="-1959.6"/>
    <m/>
  </r>
  <r>
    <s v="GL001662"/>
    <d v="2025-03-24T00:00:00"/>
    <n v="5000"/>
    <x v="1"/>
    <n v="1047.3399999999999"/>
    <n v="0"/>
    <x v="1"/>
    <s v="CC100"/>
    <s v="AutoPost 1662"/>
    <s v="AUD"/>
    <s v="2025-03"/>
    <n v="-1047.3399999999999"/>
    <m/>
  </r>
  <r>
    <s v="GL001663"/>
    <d v="2024-10-13T00:00:00"/>
    <n v="4010"/>
    <x v="4"/>
    <n v="0"/>
    <n v="3260.6"/>
    <x v="2"/>
    <s v="CC400"/>
    <s v="AutoPost 1663"/>
    <s v="AUD"/>
    <s v="2024-10"/>
    <n v="3260.6"/>
    <m/>
  </r>
  <r>
    <s v="GL001664"/>
    <d v="2023-05-16T00:00:00"/>
    <n v="6000"/>
    <x v="2"/>
    <n v="1149.3599999999999"/>
    <n v="0"/>
    <x v="3"/>
    <s v="CC400"/>
    <s v="AutoPost 1664"/>
    <s v="AUD"/>
    <s v="2023-05"/>
    <n v="-1149.3599999999999"/>
    <m/>
  </r>
  <r>
    <s v="GL001665"/>
    <d v="2023-02-25T00:00:00"/>
    <n v="4010"/>
    <x v="4"/>
    <n v="0"/>
    <n v="1766.14"/>
    <x v="4"/>
    <s v="CC300"/>
    <s v="AutoPost 1665"/>
    <s v="CAD"/>
    <s v="2023-02"/>
    <n v="1766.14"/>
    <m/>
  </r>
  <r>
    <s v="GL001666"/>
    <d v="2023-08-13T00:00:00"/>
    <n v="6000"/>
    <x v="2"/>
    <n v="1403.79"/>
    <n v="0"/>
    <x v="4"/>
    <s v="CC400"/>
    <s v="AutoPost 1666"/>
    <s v="EUR"/>
    <s v="2023-08"/>
    <n v="-1403.79"/>
    <m/>
  </r>
  <r>
    <s v="GL001667"/>
    <d v="2024-03-03T00:00:00"/>
    <n v="4000"/>
    <x v="0"/>
    <n v="0"/>
    <n v="4061.44"/>
    <x v="2"/>
    <s v="CC100"/>
    <s v="AutoPost 1667"/>
    <s v="USD"/>
    <s v="2024-03"/>
    <n v="4061.44"/>
    <m/>
  </r>
  <r>
    <s v="GL001668"/>
    <d v="2023-04-10T00:00:00"/>
    <n v="5010"/>
    <x v="3"/>
    <n v="1472.53"/>
    <n v="0"/>
    <x v="1"/>
    <s v="CC200"/>
    <s v="AutoPost 1668"/>
    <s v="CAD"/>
    <s v="2023-04"/>
    <n v="-1472.53"/>
    <m/>
  </r>
  <r>
    <s v="GL001669"/>
    <d v="2023-12-09T00:00:00"/>
    <n v="4010"/>
    <x v="4"/>
    <n v="0"/>
    <n v="4153.5600000000004"/>
    <x v="3"/>
    <s v="CC300"/>
    <s v="AutoPost 1669"/>
    <s v="AUD"/>
    <s v="2023-12"/>
    <n v="4153.5600000000004"/>
    <m/>
  </r>
  <r>
    <s v="GL001670"/>
    <d v="2023-03-09T00:00:00"/>
    <n v="4000"/>
    <x v="0"/>
    <n v="0"/>
    <n v="1559.52"/>
    <x v="2"/>
    <s v="CC300"/>
    <s v="AutoPost 1670"/>
    <s v="AUD"/>
    <s v="2023-03"/>
    <n v="1559.52"/>
    <m/>
  </r>
  <r>
    <s v="GL001671"/>
    <d v="2023-03-14T00:00:00"/>
    <n v="5000"/>
    <x v="1"/>
    <n v="1478.02"/>
    <n v="0"/>
    <x v="4"/>
    <s v="CC400"/>
    <s v="AutoPost 1671"/>
    <s v="USD"/>
    <s v="2023-03"/>
    <n v="-1478.02"/>
    <m/>
  </r>
  <r>
    <s v="GL001672"/>
    <d v="2023-08-31T00:00:00"/>
    <n v="6000"/>
    <x v="2"/>
    <n v="423.96"/>
    <n v="0"/>
    <x v="1"/>
    <s v="CC200"/>
    <s v="AutoPost 1672"/>
    <s v="CAD"/>
    <s v="2023-08"/>
    <n v="-423.96"/>
    <m/>
  </r>
  <r>
    <s v="GL001673"/>
    <d v="2023-02-27T00:00:00"/>
    <n v="4010"/>
    <x v="4"/>
    <n v="0"/>
    <n v="1027.73"/>
    <x v="2"/>
    <s v="CC200"/>
    <s v="AutoPost 1673"/>
    <s v="CAD"/>
    <s v="2023-02"/>
    <n v="1027.73"/>
    <m/>
  </r>
  <r>
    <s v="GL001674"/>
    <d v="2024-10-05T00:00:00"/>
    <n v="4000"/>
    <x v="0"/>
    <n v="0"/>
    <n v="1661.02"/>
    <x v="4"/>
    <s v="CC400"/>
    <s v="AutoPost 1674"/>
    <s v="EUR"/>
    <s v="2024-10"/>
    <n v="1661.02"/>
    <m/>
  </r>
  <r>
    <s v="GL001675"/>
    <d v="2023-08-09T00:00:00"/>
    <n v="4010"/>
    <x v="4"/>
    <n v="0"/>
    <n v="1263.17"/>
    <x v="1"/>
    <s v="CC100"/>
    <s v="AutoPost 1675"/>
    <s v="EUR"/>
    <s v="2023-08"/>
    <n v="1263.17"/>
    <m/>
  </r>
  <r>
    <s v="GL001676"/>
    <d v="2024-03-12T00:00:00"/>
    <n v="4010"/>
    <x v="4"/>
    <n v="0"/>
    <n v="2207.1799999999998"/>
    <x v="4"/>
    <s v="CC200"/>
    <s v="AutoPost 1676"/>
    <s v="GBP"/>
    <s v="2024-03"/>
    <n v="2207.1799999999998"/>
    <m/>
  </r>
  <r>
    <s v="GL001677"/>
    <d v="2025-05-26T00:00:00"/>
    <n v="4010"/>
    <x v="4"/>
    <n v="0"/>
    <n v="3799.96"/>
    <x v="4"/>
    <s v="CC300"/>
    <s v="AutoPost 1677"/>
    <s v="USD"/>
    <s v="2025-05"/>
    <n v="3799.96"/>
    <m/>
  </r>
  <r>
    <s v="GL001678"/>
    <d v="2023-04-07T00:00:00"/>
    <n v="5010"/>
    <x v="3"/>
    <n v="1292.8800000000001"/>
    <n v="0"/>
    <x v="5"/>
    <s v="CC200"/>
    <s v="AutoPost 1678"/>
    <s v="EUR"/>
    <s v="2023-04"/>
    <n v="-1292.8800000000001"/>
    <m/>
  </r>
  <r>
    <s v="GL001679"/>
    <d v="2024-11-17T00:00:00"/>
    <n v="5000"/>
    <x v="1"/>
    <n v="154.07"/>
    <n v="0"/>
    <x v="3"/>
    <s v="CC400"/>
    <s v="AutoPost 1679"/>
    <s v="EUR"/>
    <s v="2024-11"/>
    <n v="-154.07"/>
    <m/>
  </r>
  <r>
    <s v="GL001680"/>
    <d v="2025-01-15T00:00:00"/>
    <n v="6000"/>
    <x v="2"/>
    <n v="1751.78"/>
    <n v="0"/>
    <x v="5"/>
    <s v="CC300"/>
    <s v="AutoPost 1680"/>
    <s v="USD"/>
    <s v="2025-01"/>
    <n v="-1751.78"/>
    <m/>
  </r>
  <r>
    <s v="GL001681"/>
    <d v="2024-12-10T00:00:00"/>
    <n v="4010"/>
    <x v="4"/>
    <n v="0"/>
    <n v="635.34"/>
    <x v="1"/>
    <s v="CC400"/>
    <s v="AutoPost 1681"/>
    <s v="AUD"/>
    <s v="2024-12"/>
    <n v="635.34"/>
    <m/>
  </r>
  <r>
    <s v="GL001682"/>
    <d v="2024-08-13T00:00:00"/>
    <n v="5000"/>
    <x v="1"/>
    <n v="534.29"/>
    <n v="0"/>
    <x v="2"/>
    <s v="CC100"/>
    <s v="AutoPost 1682"/>
    <s v="EUR"/>
    <s v="2024-08"/>
    <n v="-534.29"/>
    <m/>
  </r>
  <r>
    <s v="GL001683"/>
    <d v="2024-07-30T00:00:00"/>
    <n v="5010"/>
    <x v="3"/>
    <n v="1212.18"/>
    <n v="0"/>
    <x v="0"/>
    <s v="CC300"/>
    <s v="AutoPost 1683"/>
    <s v="EUR"/>
    <s v="2024-07"/>
    <n v="-1212.18"/>
    <m/>
  </r>
  <r>
    <s v="GL001684"/>
    <d v="2024-09-17T00:00:00"/>
    <n v="5000"/>
    <x v="1"/>
    <n v="1830.4"/>
    <n v="0"/>
    <x v="1"/>
    <s v="CC400"/>
    <s v="AutoPost 1684"/>
    <s v="CAD"/>
    <s v="2024-09"/>
    <n v="-1830.4"/>
    <m/>
  </r>
  <r>
    <s v="GL001685"/>
    <d v="2023-03-31T00:00:00"/>
    <n v="4010"/>
    <x v="4"/>
    <n v="0"/>
    <n v="1032.3800000000001"/>
    <x v="5"/>
    <s v="CC400"/>
    <s v="AutoPost 1685"/>
    <s v="AUD"/>
    <s v="2023-03"/>
    <n v="1032.3800000000001"/>
    <m/>
  </r>
  <r>
    <s v="GL001686"/>
    <d v="2023-02-10T00:00:00"/>
    <n v="4000"/>
    <x v="0"/>
    <n v="0"/>
    <n v="2620.3200000000002"/>
    <x v="4"/>
    <s v="CC500"/>
    <s v="AutoPost 1686"/>
    <s v="CAD"/>
    <s v="2023-02"/>
    <n v="2620.3200000000002"/>
    <m/>
  </r>
  <r>
    <s v="GL001687"/>
    <d v="2024-08-23T00:00:00"/>
    <n v="4010"/>
    <x v="4"/>
    <n v="0"/>
    <n v="4016.77"/>
    <x v="4"/>
    <s v="CC300"/>
    <s v="AutoPost 1687"/>
    <s v="CAD"/>
    <s v="2024-08"/>
    <n v="4016.77"/>
    <m/>
  </r>
  <r>
    <s v="GL001688"/>
    <d v="2024-04-27T00:00:00"/>
    <n v="5000"/>
    <x v="1"/>
    <n v="575"/>
    <n v="0"/>
    <x v="4"/>
    <s v="CC500"/>
    <s v="AutoPost 1688"/>
    <s v="EUR"/>
    <s v="2024-04"/>
    <n v="-575"/>
    <m/>
  </r>
  <r>
    <s v="GL001689"/>
    <d v="2025-03-09T00:00:00"/>
    <n v="5010"/>
    <x v="3"/>
    <n v="692.19"/>
    <n v="0"/>
    <x v="5"/>
    <s v="CC300"/>
    <s v="AutoPost 1689"/>
    <s v="EUR"/>
    <s v="2025-03"/>
    <n v="-692.19"/>
    <m/>
  </r>
  <r>
    <s v="GL001690"/>
    <d v="2025-06-23T00:00:00"/>
    <n v="4000"/>
    <x v="0"/>
    <n v="0"/>
    <n v="129.38999999999999"/>
    <x v="4"/>
    <s v="CC400"/>
    <s v="AutoPost 1690"/>
    <s v="CAD"/>
    <s v="2025-06"/>
    <n v="129.38999999999999"/>
    <m/>
  </r>
  <r>
    <s v="GL001691"/>
    <d v="2024-05-23T00:00:00"/>
    <n v="6000"/>
    <x v="2"/>
    <n v="739.61"/>
    <n v="0"/>
    <x v="3"/>
    <s v="CC500"/>
    <s v="AutoPost 1691"/>
    <s v="EUR"/>
    <s v="2024-05"/>
    <n v="-739.61"/>
    <m/>
  </r>
  <r>
    <s v="GL001692"/>
    <d v="2023-06-06T00:00:00"/>
    <n v="4000"/>
    <x v="0"/>
    <n v="0"/>
    <n v="1931.62"/>
    <x v="4"/>
    <s v="CC400"/>
    <s v="AutoPost 1692"/>
    <s v="CAD"/>
    <s v="2023-06"/>
    <n v="1931.62"/>
    <m/>
  </r>
  <r>
    <s v="GL001693"/>
    <d v="2025-02-21T00:00:00"/>
    <n v="5010"/>
    <x v="3"/>
    <n v="624.64"/>
    <n v="0"/>
    <x v="2"/>
    <s v="CC100"/>
    <s v="AutoPost 1693"/>
    <s v="EUR"/>
    <s v="2025-02"/>
    <n v="-624.64"/>
    <m/>
  </r>
  <r>
    <s v="GL001694"/>
    <d v="2024-05-23T00:00:00"/>
    <n v="4010"/>
    <x v="4"/>
    <n v="0"/>
    <n v="724.9"/>
    <x v="5"/>
    <s v="CC100"/>
    <s v="AutoPost 1694"/>
    <s v="EUR"/>
    <s v="2024-05"/>
    <n v="724.9"/>
    <m/>
  </r>
  <r>
    <s v="GL001695"/>
    <d v="2024-03-22T00:00:00"/>
    <n v="6000"/>
    <x v="2"/>
    <n v="630.79"/>
    <n v="0"/>
    <x v="5"/>
    <s v="CC500"/>
    <s v="AutoPost 1695"/>
    <s v="AUD"/>
    <s v="2024-03"/>
    <n v="-630.79"/>
    <m/>
  </r>
  <r>
    <s v="GL001696"/>
    <d v="2025-04-28T00:00:00"/>
    <n v="5010"/>
    <x v="3"/>
    <n v="808.72"/>
    <n v="0"/>
    <x v="2"/>
    <s v="CC100"/>
    <s v="AutoPost 1696"/>
    <s v="GBP"/>
    <s v="2025-04"/>
    <n v="-808.72"/>
    <m/>
  </r>
  <r>
    <s v="GL001697"/>
    <d v="2023-08-22T00:00:00"/>
    <n v="4000"/>
    <x v="0"/>
    <n v="0"/>
    <n v="1092.32"/>
    <x v="0"/>
    <s v="CC400"/>
    <s v="AutoPost 1697"/>
    <s v="CAD"/>
    <s v="2023-08"/>
    <n v="1092.32"/>
    <m/>
  </r>
  <r>
    <s v="GL001698"/>
    <d v="2024-04-07T00:00:00"/>
    <n v="5010"/>
    <x v="3"/>
    <n v="1433.85"/>
    <n v="0"/>
    <x v="5"/>
    <s v="CC100"/>
    <s v="AutoPost 1698"/>
    <s v="CAD"/>
    <s v="2024-04"/>
    <n v="-1433.85"/>
    <m/>
  </r>
  <r>
    <s v="GL001699"/>
    <d v="2024-02-09T00:00:00"/>
    <n v="4010"/>
    <x v="4"/>
    <n v="0"/>
    <n v="902.75"/>
    <x v="4"/>
    <s v="CC300"/>
    <s v="AutoPost 1699"/>
    <s v="GBP"/>
    <s v="2024-02"/>
    <n v="902.75"/>
    <m/>
  </r>
  <r>
    <s v="GL001700"/>
    <d v="2023-12-14T00:00:00"/>
    <n v="5010"/>
    <x v="3"/>
    <n v="1012.66"/>
    <n v="0"/>
    <x v="4"/>
    <s v="CC300"/>
    <s v="AutoPost 1700"/>
    <s v="AUD"/>
    <s v="2023-12"/>
    <n v="-1012.66"/>
    <m/>
  </r>
  <r>
    <s v="GL001701"/>
    <d v="2024-12-31T00:00:00"/>
    <n v="5000"/>
    <x v="1"/>
    <n v="1143.22"/>
    <n v="0"/>
    <x v="2"/>
    <s v="CC200"/>
    <s v="AutoPost 1701"/>
    <s v="USD"/>
    <s v="2024-12"/>
    <n v="-1143.22"/>
    <m/>
  </r>
  <r>
    <s v="GL001702"/>
    <d v="2023-01-13T00:00:00"/>
    <n v="4000"/>
    <x v="0"/>
    <n v="0"/>
    <n v="3892.69"/>
    <x v="0"/>
    <s v="CC100"/>
    <s v="AutoPost 1702"/>
    <s v="AUD"/>
    <s v="2023-01"/>
    <n v="3892.69"/>
    <m/>
  </r>
  <r>
    <s v="GL001703"/>
    <d v="2025-01-21T00:00:00"/>
    <n v="6000"/>
    <x v="2"/>
    <n v="649.45000000000005"/>
    <n v="0"/>
    <x v="5"/>
    <s v="CC500"/>
    <s v="AutoPost 1703"/>
    <s v="CAD"/>
    <s v="2025-01"/>
    <n v="-649.45000000000005"/>
    <m/>
  </r>
  <r>
    <s v="GL001704"/>
    <d v="2025-01-13T00:00:00"/>
    <n v="4010"/>
    <x v="4"/>
    <n v="0"/>
    <n v="1422.91"/>
    <x v="1"/>
    <s v="CC400"/>
    <s v="AutoPost 1704"/>
    <s v="AUD"/>
    <s v="2025-01"/>
    <n v="1422.91"/>
    <m/>
  </r>
  <r>
    <s v="GL001705"/>
    <d v="2024-03-14T00:00:00"/>
    <n v="4000"/>
    <x v="0"/>
    <n v="0"/>
    <n v="1269.95"/>
    <x v="1"/>
    <s v="CC200"/>
    <s v="AutoPost 1705"/>
    <s v="GBP"/>
    <s v="2024-03"/>
    <n v="1269.95"/>
    <m/>
  </r>
  <r>
    <s v="GL001706"/>
    <d v="2024-09-26T00:00:00"/>
    <n v="4010"/>
    <x v="4"/>
    <n v="0"/>
    <n v="4047.23"/>
    <x v="2"/>
    <s v="CC100"/>
    <s v="AutoPost 1706"/>
    <s v="GBP"/>
    <s v="2024-09"/>
    <n v="4047.23"/>
    <m/>
  </r>
  <r>
    <s v="GL001707"/>
    <d v="2024-11-23T00:00:00"/>
    <n v="5000"/>
    <x v="1"/>
    <n v="546.9"/>
    <n v="0"/>
    <x v="5"/>
    <s v="CC100"/>
    <s v="AutoPost 1707"/>
    <s v="AUD"/>
    <s v="2024-11"/>
    <n v="-546.9"/>
    <m/>
  </r>
  <r>
    <s v="GL001708"/>
    <d v="2023-01-30T00:00:00"/>
    <n v="4000"/>
    <x v="0"/>
    <n v="0"/>
    <n v="652.36"/>
    <x v="5"/>
    <s v="CC300"/>
    <s v="AutoPost 1708"/>
    <s v="EUR"/>
    <s v="2023-01"/>
    <n v="652.36"/>
    <m/>
  </r>
  <r>
    <s v="GL001709"/>
    <d v="2023-01-20T00:00:00"/>
    <n v="4010"/>
    <x v="4"/>
    <n v="0"/>
    <n v="1963.74"/>
    <x v="2"/>
    <s v="CC300"/>
    <s v="AutoPost 1709"/>
    <s v="USD"/>
    <s v="2023-01"/>
    <n v="1963.74"/>
    <m/>
  </r>
  <r>
    <s v="GL001710"/>
    <d v="2025-01-31T00:00:00"/>
    <n v="4010"/>
    <x v="4"/>
    <n v="0"/>
    <n v="1521.92"/>
    <x v="5"/>
    <s v="CC100"/>
    <s v="AutoPost 1710"/>
    <s v="EUR"/>
    <s v="2025-01"/>
    <n v="1521.92"/>
    <m/>
  </r>
  <r>
    <s v="GL001711"/>
    <d v="2024-01-06T00:00:00"/>
    <n v="4010"/>
    <x v="4"/>
    <n v="0"/>
    <n v="3858.51"/>
    <x v="2"/>
    <s v="CC400"/>
    <s v="AutoPost 1711"/>
    <s v="GBP"/>
    <s v="2024-01"/>
    <n v="3858.51"/>
    <m/>
  </r>
  <r>
    <s v="GL001712"/>
    <d v="2024-04-10T00:00:00"/>
    <n v="4010"/>
    <x v="4"/>
    <n v="0"/>
    <n v="4500.74"/>
    <x v="2"/>
    <s v="CC100"/>
    <s v="AutoPost 1712"/>
    <s v="AUD"/>
    <s v="2024-04"/>
    <n v="4500.74"/>
    <m/>
  </r>
  <r>
    <s v="GL001713"/>
    <d v="2024-09-11T00:00:00"/>
    <n v="6000"/>
    <x v="2"/>
    <n v="678.18"/>
    <n v="0"/>
    <x v="3"/>
    <s v="CC500"/>
    <s v="AutoPost 1713"/>
    <s v="AUD"/>
    <s v="2024-09"/>
    <n v="-678.18"/>
    <m/>
  </r>
  <r>
    <s v="GL001714"/>
    <d v="2024-12-04T00:00:00"/>
    <n v="6000"/>
    <x v="2"/>
    <n v="1306.92"/>
    <n v="0"/>
    <x v="5"/>
    <s v="CC300"/>
    <s v="AutoPost 1714"/>
    <s v="CAD"/>
    <s v="2024-12"/>
    <n v="-1306.92"/>
    <m/>
  </r>
  <r>
    <s v="GL001715"/>
    <d v="2023-01-21T00:00:00"/>
    <n v="4010"/>
    <x v="4"/>
    <n v="0"/>
    <n v="1899.18"/>
    <x v="0"/>
    <s v="CC500"/>
    <s v="AutoPost 1715"/>
    <s v="GBP"/>
    <s v="2023-01"/>
    <n v="1899.18"/>
    <m/>
  </r>
  <r>
    <s v="GL001716"/>
    <d v="2024-10-27T00:00:00"/>
    <n v="4010"/>
    <x v="4"/>
    <n v="0"/>
    <n v="4785.2299999999996"/>
    <x v="2"/>
    <s v="CC200"/>
    <s v="AutoPost 1716"/>
    <s v="GBP"/>
    <s v="2024-10"/>
    <n v="4785.2299999999996"/>
    <m/>
  </r>
  <r>
    <s v="GL001717"/>
    <d v="2023-09-23T00:00:00"/>
    <n v="4010"/>
    <x v="4"/>
    <n v="0"/>
    <n v="2005.29"/>
    <x v="4"/>
    <s v="CC300"/>
    <s v="AutoPost 1717"/>
    <s v="USD"/>
    <s v="2023-09"/>
    <n v="2005.29"/>
    <m/>
  </r>
  <r>
    <s v="GL001718"/>
    <d v="2023-08-10T00:00:00"/>
    <n v="6000"/>
    <x v="2"/>
    <n v="1255.1099999999999"/>
    <n v="0"/>
    <x v="5"/>
    <s v="CC300"/>
    <s v="AutoPost 1718"/>
    <s v="EUR"/>
    <s v="2023-08"/>
    <n v="-1255.1099999999999"/>
    <m/>
  </r>
  <r>
    <s v="GL001719"/>
    <d v="2024-01-20T00:00:00"/>
    <n v="5000"/>
    <x v="1"/>
    <n v="816.6"/>
    <n v="0"/>
    <x v="5"/>
    <s v="CC100"/>
    <s v="AutoPost 1719"/>
    <s v="EUR"/>
    <s v="2024-01"/>
    <n v="-816.6"/>
    <m/>
  </r>
  <r>
    <s v="GL001720"/>
    <d v="2023-03-30T00:00:00"/>
    <n v="4010"/>
    <x v="4"/>
    <n v="0"/>
    <n v="1623.32"/>
    <x v="5"/>
    <s v="CC500"/>
    <s v="AutoPost 1720"/>
    <s v="AUD"/>
    <s v="2023-03"/>
    <n v="1623.32"/>
    <m/>
  </r>
  <r>
    <s v="GL001721"/>
    <d v="2023-07-26T00:00:00"/>
    <n v="6000"/>
    <x v="2"/>
    <n v="770.91"/>
    <n v="0"/>
    <x v="5"/>
    <s v="CC100"/>
    <s v="AutoPost 1721"/>
    <s v="AUD"/>
    <s v="2023-07"/>
    <n v="-770.91"/>
    <m/>
  </r>
  <r>
    <s v="GL001722"/>
    <d v="2024-03-28T00:00:00"/>
    <n v="4010"/>
    <x v="4"/>
    <n v="0"/>
    <n v="3597.73"/>
    <x v="0"/>
    <s v="CC300"/>
    <s v="AutoPost 1722"/>
    <s v="CAD"/>
    <s v="2024-03"/>
    <n v="3597.73"/>
    <m/>
  </r>
  <r>
    <s v="GL001723"/>
    <d v="2025-03-14T00:00:00"/>
    <n v="5000"/>
    <x v="1"/>
    <n v="468"/>
    <n v="0"/>
    <x v="4"/>
    <s v="CC100"/>
    <s v="AutoPost 1723"/>
    <s v="USD"/>
    <s v="2025-03"/>
    <n v="-468"/>
    <m/>
  </r>
  <r>
    <s v="GL001724"/>
    <d v="2024-05-27T00:00:00"/>
    <n v="6000"/>
    <x v="2"/>
    <n v="1093.3800000000001"/>
    <n v="0"/>
    <x v="2"/>
    <s v="CC300"/>
    <s v="AutoPost 1724"/>
    <s v="AUD"/>
    <s v="2024-05"/>
    <n v="-1093.3800000000001"/>
    <m/>
  </r>
  <r>
    <s v="GL001725"/>
    <d v="2024-05-17T00:00:00"/>
    <n v="4010"/>
    <x v="4"/>
    <n v="0"/>
    <n v="1791.26"/>
    <x v="2"/>
    <s v="CC200"/>
    <s v="AutoPost 1725"/>
    <s v="USD"/>
    <s v="2024-05"/>
    <n v="1791.26"/>
    <m/>
  </r>
  <r>
    <s v="GL001726"/>
    <d v="2025-04-13T00:00:00"/>
    <n v="4010"/>
    <x v="4"/>
    <n v="0"/>
    <n v="2175.02"/>
    <x v="1"/>
    <s v="CC400"/>
    <s v="AutoPost 1726"/>
    <s v="GBP"/>
    <s v="2025-04"/>
    <n v="2175.02"/>
    <m/>
  </r>
  <r>
    <s v="GL001727"/>
    <d v="2025-01-20T00:00:00"/>
    <n v="6000"/>
    <x v="2"/>
    <n v="1574.77"/>
    <n v="0"/>
    <x v="0"/>
    <s v="CC500"/>
    <s v="AutoPost 1727"/>
    <s v="CAD"/>
    <s v="2025-01"/>
    <n v="-1574.77"/>
    <m/>
  </r>
  <r>
    <s v="GL001728"/>
    <d v="2025-01-17T00:00:00"/>
    <n v="5000"/>
    <x v="1"/>
    <n v="1527.19"/>
    <n v="0"/>
    <x v="5"/>
    <s v="CC100"/>
    <s v="AutoPost 1728"/>
    <s v="GBP"/>
    <s v="2025-01"/>
    <n v="-1527.19"/>
    <m/>
  </r>
  <r>
    <s v="GL001729"/>
    <d v="2023-12-17T00:00:00"/>
    <n v="5010"/>
    <x v="3"/>
    <n v="235.69"/>
    <n v="0"/>
    <x v="5"/>
    <s v="CC300"/>
    <s v="AutoPost 1729"/>
    <s v="AUD"/>
    <s v="2023-12"/>
    <n v="-235.69"/>
    <m/>
  </r>
  <r>
    <s v="GL001730"/>
    <d v="2023-03-14T00:00:00"/>
    <n v="4010"/>
    <x v="4"/>
    <n v="0"/>
    <n v="1732.54"/>
    <x v="1"/>
    <s v="CC200"/>
    <s v="AutoPost 1730"/>
    <s v="USD"/>
    <s v="2023-03"/>
    <n v="1732.54"/>
    <m/>
  </r>
  <r>
    <s v="GL001731"/>
    <d v="2025-02-26T00:00:00"/>
    <n v="4010"/>
    <x v="4"/>
    <n v="0"/>
    <n v="2626.2"/>
    <x v="0"/>
    <s v="CC400"/>
    <s v="AutoPost 1731"/>
    <s v="CAD"/>
    <s v="2025-02"/>
    <n v="2626.2"/>
    <m/>
  </r>
  <r>
    <s v="GL001732"/>
    <d v="2023-03-23T00:00:00"/>
    <n v="5010"/>
    <x v="3"/>
    <n v="1253"/>
    <n v="0"/>
    <x v="0"/>
    <s v="CC500"/>
    <s v="AutoPost 1732"/>
    <s v="EUR"/>
    <s v="2023-03"/>
    <n v="-1253"/>
    <m/>
  </r>
  <r>
    <s v="GL001733"/>
    <d v="2025-01-10T00:00:00"/>
    <n v="5000"/>
    <x v="1"/>
    <n v="698.8"/>
    <n v="0"/>
    <x v="2"/>
    <s v="CC100"/>
    <s v="AutoPost 1733"/>
    <s v="CAD"/>
    <s v="2025-01"/>
    <n v="-698.8"/>
    <m/>
  </r>
  <r>
    <s v="GL001734"/>
    <d v="2024-03-24T00:00:00"/>
    <n v="4000"/>
    <x v="0"/>
    <n v="0"/>
    <n v="1651.12"/>
    <x v="3"/>
    <s v="CC500"/>
    <s v="AutoPost 1734"/>
    <s v="AUD"/>
    <s v="2024-03"/>
    <n v="1651.12"/>
    <m/>
  </r>
  <r>
    <s v="GL001735"/>
    <d v="2024-05-02T00:00:00"/>
    <n v="4010"/>
    <x v="4"/>
    <n v="0"/>
    <n v="4999.53"/>
    <x v="4"/>
    <s v="CC500"/>
    <s v="AutoPost 1735"/>
    <s v="CAD"/>
    <s v="2024-05"/>
    <n v="4999.53"/>
    <m/>
  </r>
  <r>
    <s v="GL001736"/>
    <d v="2025-05-15T00:00:00"/>
    <n v="5000"/>
    <x v="1"/>
    <n v="600.07000000000005"/>
    <n v="0"/>
    <x v="1"/>
    <s v="CC300"/>
    <s v="AutoPost 1736"/>
    <s v="EUR"/>
    <s v="2025-05"/>
    <n v="-600.07000000000005"/>
    <m/>
  </r>
  <r>
    <s v="GL001737"/>
    <d v="2023-05-09T00:00:00"/>
    <n v="6000"/>
    <x v="2"/>
    <n v="1136.96"/>
    <n v="0"/>
    <x v="5"/>
    <s v="CC200"/>
    <s v="AutoPost 1737"/>
    <s v="USD"/>
    <s v="2023-05"/>
    <n v="-1136.96"/>
    <m/>
  </r>
  <r>
    <s v="GL001738"/>
    <d v="2024-03-03T00:00:00"/>
    <n v="4010"/>
    <x v="4"/>
    <n v="0"/>
    <n v="3007.82"/>
    <x v="5"/>
    <s v="CC100"/>
    <s v="AutoPost 1738"/>
    <s v="USD"/>
    <s v="2024-03"/>
    <n v="3007.82"/>
    <m/>
  </r>
  <r>
    <s v="GL001739"/>
    <d v="2024-07-14T00:00:00"/>
    <n v="4010"/>
    <x v="4"/>
    <n v="0"/>
    <n v="2023.01"/>
    <x v="3"/>
    <s v="CC100"/>
    <s v="AutoPost 1739"/>
    <s v="GBP"/>
    <s v="2024-07"/>
    <n v="2023.01"/>
    <m/>
  </r>
  <r>
    <s v="GL001740"/>
    <d v="2024-04-15T00:00:00"/>
    <n v="4000"/>
    <x v="0"/>
    <n v="0"/>
    <n v="3884.34"/>
    <x v="2"/>
    <s v="CC500"/>
    <s v="AutoPost 1740"/>
    <s v="GBP"/>
    <s v="2024-04"/>
    <n v="3884.34"/>
    <m/>
  </r>
  <r>
    <s v="GL001741"/>
    <d v="2024-02-05T00:00:00"/>
    <n v="4000"/>
    <x v="0"/>
    <n v="0"/>
    <n v="225.78"/>
    <x v="3"/>
    <s v="CC400"/>
    <s v="AutoPost 1741"/>
    <s v="EUR"/>
    <s v="2024-02"/>
    <n v="225.78"/>
    <m/>
  </r>
  <r>
    <s v="GL001742"/>
    <d v="2024-11-26T00:00:00"/>
    <n v="4000"/>
    <x v="0"/>
    <n v="0"/>
    <n v="2518.37"/>
    <x v="2"/>
    <s v="CC200"/>
    <s v="AutoPost 1742"/>
    <s v="AUD"/>
    <s v="2024-11"/>
    <n v="2518.37"/>
    <m/>
  </r>
  <r>
    <s v="GL001743"/>
    <d v="2024-10-25T00:00:00"/>
    <n v="5000"/>
    <x v="1"/>
    <n v="847.09"/>
    <n v="0"/>
    <x v="4"/>
    <s v="CC200"/>
    <s v="AutoPost 1743"/>
    <s v="GBP"/>
    <s v="2024-10"/>
    <n v="-847.09"/>
    <m/>
  </r>
  <r>
    <s v="GL001744"/>
    <d v="2024-02-09T00:00:00"/>
    <n v="6000"/>
    <x v="2"/>
    <n v="121.29"/>
    <n v="0"/>
    <x v="5"/>
    <s v="CC400"/>
    <s v="AutoPost 1744"/>
    <s v="EUR"/>
    <s v="2024-02"/>
    <n v="-121.29"/>
    <m/>
  </r>
  <r>
    <s v="GL001745"/>
    <d v="2024-04-03T00:00:00"/>
    <n v="6000"/>
    <x v="2"/>
    <n v="1357.35"/>
    <n v="0"/>
    <x v="3"/>
    <s v="CC300"/>
    <s v="AutoPost 1745"/>
    <s v="USD"/>
    <s v="2024-04"/>
    <n v="-1357.35"/>
    <m/>
  </r>
  <r>
    <s v="GL001746"/>
    <d v="2023-05-20T00:00:00"/>
    <n v="4010"/>
    <x v="4"/>
    <n v="0"/>
    <n v="1658.15"/>
    <x v="5"/>
    <s v="CC400"/>
    <s v="AutoPost 1746"/>
    <s v="CAD"/>
    <s v="2023-05"/>
    <n v="1658.15"/>
    <m/>
  </r>
  <r>
    <s v="GL001747"/>
    <d v="2025-01-07T00:00:00"/>
    <n v="5010"/>
    <x v="3"/>
    <n v="759.41"/>
    <n v="0"/>
    <x v="4"/>
    <s v="CC500"/>
    <s v="AutoPost 1747"/>
    <s v="AUD"/>
    <s v="2025-01"/>
    <n v="-759.41"/>
    <m/>
  </r>
  <r>
    <s v="GL001748"/>
    <d v="2023-11-08T00:00:00"/>
    <n v="4000"/>
    <x v="0"/>
    <n v="0"/>
    <n v="4703.2"/>
    <x v="5"/>
    <s v="CC400"/>
    <s v="AutoPost 1748"/>
    <s v="EUR"/>
    <s v="2023-11"/>
    <n v="4703.2"/>
    <m/>
  </r>
  <r>
    <s v="GL001749"/>
    <d v="2023-08-18T00:00:00"/>
    <n v="4010"/>
    <x v="4"/>
    <n v="0"/>
    <n v="528.16999999999996"/>
    <x v="3"/>
    <s v="CC200"/>
    <s v="AutoPost 1749"/>
    <s v="EUR"/>
    <s v="2023-08"/>
    <n v="528.16999999999996"/>
    <m/>
  </r>
  <r>
    <s v="GL001750"/>
    <d v="2023-08-04T00:00:00"/>
    <n v="4000"/>
    <x v="0"/>
    <n v="0"/>
    <n v="4978.6499999999996"/>
    <x v="2"/>
    <s v="CC500"/>
    <s v="AutoPost 1750"/>
    <s v="USD"/>
    <s v="2023-08"/>
    <n v="4978.6499999999996"/>
    <m/>
  </r>
  <r>
    <s v="GL001751"/>
    <d v="2025-06-30T00:00:00"/>
    <n v="6000"/>
    <x v="2"/>
    <n v="912.48"/>
    <n v="0"/>
    <x v="4"/>
    <s v="CC500"/>
    <s v="AutoPost 1751"/>
    <s v="EUR"/>
    <s v="2025-06"/>
    <n v="-912.48"/>
    <m/>
  </r>
  <r>
    <s v="GL001752"/>
    <d v="2025-03-05T00:00:00"/>
    <n v="4000"/>
    <x v="0"/>
    <n v="0"/>
    <n v="3719.23"/>
    <x v="2"/>
    <s v="CC100"/>
    <s v="AutoPost 1752"/>
    <s v="GBP"/>
    <s v="2025-03"/>
    <n v="3719.23"/>
    <m/>
  </r>
  <r>
    <s v="GL001753"/>
    <d v="2025-01-07T00:00:00"/>
    <n v="5000"/>
    <x v="1"/>
    <n v="136.12"/>
    <n v="0"/>
    <x v="2"/>
    <s v="CC100"/>
    <s v="AutoPost 1753"/>
    <s v="GBP"/>
    <s v="2025-01"/>
    <n v="-136.12"/>
    <m/>
  </r>
  <r>
    <s v="GL001754"/>
    <d v="2024-09-22T00:00:00"/>
    <n v="5000"/>
    <x v="1"/>
    <n v="501.66"/>
    <n v="0"/>
    <x v="5"/>
    <s v="CC400"/>
    <s v="AutoPost 1754"/>
    <s v="AUD"/>
    <s v="2024-09"/>
    <n v="-501.66"/>
    <m/>
  </r>
  <r>
    <s v="GL001755"/>
    <d v="2025-05-11T00:00:00"/>
    <n v="4010"/>
    <x v="4"/>
    <n v="0"/>
    <n v="4477.99"/>
    <x v="5"/>
    <s v="CC300"/>
    <s v="AutoPost 1755"/>
    <s v="GBP"/>
    <s v="2025-05"/>
    <n v="4477.99"/>
    <m/>
  </r>
  <r>
    <s v="GL001756"/>
    <d v="2025-03-19T00:00:00"/>
    <n v="5000"/>
    <x v="1"/>
    <n v="310.49"/>
    <n v="0"/>
    <x v="1"/>
    <s v="CC200"/>
    <s v="AutoPost 1756"/>
    <s v="USD"/>
    <s v="2025-03"/>
    <n v="-310.49"/>
    <m/>
  </r>
  <r>
    <s v="GL001757"/>
    <d v="2024-05-17T00:00:00"/>
    <n v="5010"/>
    <x v="3"/>
    <n v="1687.77"/>
    <n v="0"/>
    <x v="3"/>
    <s v="CC200"/>
    <s v="AutoPost 1757"/>
    <s v="CAD"/>
    <s v="2024-05"/>
    <n v="-1687.77"/>
    <m/>
  </r>
  <r>
    <s v="GL001758"/>
    <d v="2024-03-25T00:00:00"/>
    <n v="4010"/>
    <x v="4"/>
    <n v="0"/>
    <n v="3606.68"/>
    <x v="0"/>
    <s v="CC500"/>
    <s v="AutoPost 1758"/>
    <s v="CAD"/>
    <s v="2024-03"/>
    <n v="3606.68"/>
    <m/>
  </r>
  <r>
    <s v="GL001759"/>
    <d v="2023-04-06T00:00:00"/>
    <n v="5010"/>
    <x v="3"/>
    <n v="1726.93"/>
    <n v="0"/>
    <x v="4"/>
    <s v="CC400"/>
    <s v="AutoPost 1759"/>
    <s v="AUD"/>
    <s v="2023-04"/>
    <n v="-1726.93"/>
    <m/>
  </r>
  <r>
    <s v="GL001760"/>
    <d v="2023-03-13T00:00:00"/>
    <n v="4010"/>
    <x v="4"/>
    <n v="0"/>
    <n v="4091.1"/>
    <x v="5"/>
    <s v="CC500"/>
    <s v="AutoPost 1760"/>
    <s v="AUD"/>
    <s v="2023-03"/>
    <n v="4091.1"/>
    <m/>
  </r>
  <r>
    <s v="GL001761"/>
    <d v="2023-07-08T00:00:00"/>
    <n v="5000"/>
    <x v="1"/>
    <n v="1712.78"/>
    <n v="0"/>
    <x v="2"/>
    <s v="CC100"/>
    <s v="AutoPost 1761"/>
    <s v="AUD"/>
    <s v="2023-07"/>
    <n v="-1712.78"/>
    <m/>
  </r>
  <r>
    <s v="GL001762"/>
    <d v="2023-05-05T00:00:00"/>
    <n v="4010"/>
    <x v="4"/>
    <n v="0"/>
    <n v="4088.16"/>
    <x v="1"/>
    <s v="CC200"/>
    <s v="AutoPost 1762"/>
    <s v="EUR"/>
    <s v="2023-05"/>
    <n v="4088.16"/>
    <m/>
  </r>
  <r>
    <s v="GL001763"/>
    <d v="2023-06-16T00:00:00"/>
    <n v="5000"/>
    <x v="1"/>
    <n v="1941.5"/>
    <n v="0"/>
    <x v="2"/>
    <s v="CC500"/>
    <s v="AutoPost 1763"/>
    <s v="GBP"/>
    <s v="2023-06"/>
    <n v="-1941.5"/>
    <m/>
  </r>
  <r>
    <s v="GL001764"/>
    <d v="2024-01-02T00:00:00"/>
    <n v="5010"/>
    <x v="3"/>
    <n v="1945.41"/>
    <n v="0"/>
    <x v="3"/>
    <s v="CC500"/>
    <s v="AutoPost 1764"/>
    <s v="GBP"/>
    <s v="2024-01"/>
    <n v="-1945.41"/>
    <m/>
  </r>
  <r>
    <s v="GL001765"/>
    <d v="2024-02-15T00:00:00"/>
    <n v="5000"/>
    <x v="1"/>
    <n v="1421.11"/>
    <n v="0"/>
    <x v="2"/>
    <s v="CC200"/>
    <s v="AutoPost 1765"/>
    <s v="CAD"/>
    <s v="2024-02"/>
    <n v="-1421.11"/>
    <m/>
  </r>
  <r>
    <s v="GL001766"/>
    <d v="2023-02-23T00:00:00"/>
    <n v="5010"/>
    <x v="3"/>
    <n v="289.94"/>
    <n v="0"/>
    <x v="5"/>
    <s v="CC200"/>
    <s v="AutoPost 1766"/>
    <s v="USD"/>
    <s v="2023-02"/>
    <n v="-289.94"/>
    <m/>
  </r>
  <r>
    <s v="GL001767"/>
    <d v="2023-08-18T00:00:00"/>
    <n v="5010"/>
    <x v="3"/>
    <n v="1061.21"/>
    <n v="0"/>
    <x v="4"/>
    <s v="CC400"/>
    <s v="AutoPost 1767"/>
    <s v="USD"/>
    <s v="2023-08"/>
    <n v="-1061.21"/>
    <m/>
  </r>
  <r>
    <s v="GL001768"/>
    <d v="2023-02-26T00:00:00"/>
    <n v="4000"/>
    <x v="0"/>
    <n v="0"/>
    <n v="2682.77"/>
    <x v="1"/>
    <s v="CC200"/>
    <s v="AutoPost 1768"/>
    <s v="GBP"/>
    <s v="2023-02"/>
    <n v="2682.77"/>
    <m/>
  </r>
  <r>
    <s v="GL001769"/>
    <d v="2025-05-31T00:00:00"/>
    <n v="4010"/>
    <x v="4"/>
    <n v="0"/>
    <n v="250.7"/>
    <x v="4"/>
    <s v="CC200"/>
    <s v="AutoPost 1769"/>
    <s v="CAD"/>
    <s v="2025-05"/>
    <n v="250.7"/>
    <m/>
  </r>
  <r>
    <s v="GL001770"/>
    <d v="2025-02-11T00:00:00"/>
    <n v="5000"/>
    <x v="1"/>
    <n v="1995.64"/>
    <n v="0"/>
    <x v="3"/>
    <s v="CC500"/>
    <s v="AutoPost 1770"/>
    <s v="USD"/>
    <s v="2025-02"/>
    <n v="-1995.64"/>
    <m/>
  </r>
  <r>
    <s v="GL001771"/>
    <d v="2023-06-21T00:00:00"/>
    <n v="5010"/>
    <x v="3"/>
    <n v="1268.68"/>
    <n v="0"/>
    <x v="1"/>
    <s v="CC500"/>
    <s v="AutoPost 1771"/>
    <s v="EUR"/>
    <s v="2023-06"/>
    <n v="-1268.68"/>
    <m/>
  </r>
  <r>
    <s v="GL001772"/>
    <d v="2023-05-23T00:00:00"/>
    <n v="5000"/>
    <x v="1"/>
    <n v="1700.66"/>
    <n v="0"/>
    <x v="0"/>
    <s v="CC500"/>
    <s v="AutoPost 1772"/>
    <s v="CAD"/>
    <s v="2023-05"/>
    <n v="-1700.66"/>
    <m/>
  </r>
  <r>
    <s v="GL001773"/>
    <d v="2025-06-18T00:00:00"/>
    <n v="6000"/>
    <x v="2"/>
    <n v="335.24"/>
    <n v="0"/>
    <x v="4"/>
    <s v="CC300"/>
    <s v="AutoPost 1773"/>
    <s v="GBP"/>
    <s v="2025-06"/>
    <n v="-335.24"/>
    <m/>
  </r>
  <r>
    <s v="GL001774"/>
    <d v="2024-06-11T00:00:00"/>
    <n v="6000"/>
    <x v="2"/>
    <n v="705.25"/>
    <n v="0"/>
    <x v="1"/>
    <s v="CC400"/>
    <s v="AutoPost 1774"/>
    <s v="AUD"/>
    <s v="2024-06"/>
    <n v="-705.25"/>
    <m/>
  </r>
  <r>
    <s v="GL001775"/>
    <d v="2023-08-03T00:00:00"/>
    <n v="5000"/>
    <x v="1"/>
    <n v="1859.77"/>
    <n v="0"/>
    <x v="5"/>
    <s v="CC100"/>
    <s v="AutoPost 1775"/>
    <s v="AUD"/>
    <s v="2023-08"/>
    <n v="-1859.77"/>
    <m/>
  </r>
  <r>
    <s v="GL001776"/>
    <d v="2023-12-10T00:00:00"/>
    <n v="6000"/>
    <x v="2"/>
    <n v="1672.52"/>
    <n v="0"/>
    <x v="0"/>
    <s v="CC300"/>
    <s v="AutoPost 1776"/>
    <s v="EUR"/>
    <s v="2023-12"/>
    <n v="-1672.52"/>
    <m/>
  </r>
  <r>
    <s v="GL001777"/>
    <d v="2024-05-30T00:00:00"/>
    <n v="6000"/>
    <x v="2"/>
    <n v="692.89"/>
    <n v="0"/>
    <x v="1"/>
    <s v="CC400"/>
    <s v="AutoPost 1777"/>
    <s v="GBP"/>
    <s v="2024-05"/>
    <n v="-692.89"/>
    <m/>
  </r>
  <r>
    <s v="GL001778"/>
    <d v="2023-03-12T00:00:00"/>
    <n v="5010"/>
    <x v="3"/>
    <n v="324.08"/>
    <n v="0"/>
    <x v="0"/>
    <s v="CC200"/>
    <s v="AutoPost 1778"/>
    <s v="CAD"/>
    <s v="2023-03"/>
    <n v="-324.08"/>
    <m/>
  </r>
  <r>
    <s v="GL001779"/>
    <d v="2024-09-07T00:00:00"/>
    <n v="6000"/>
    <x v="2"/>
    <n v="1164.05"/>
    <n v="0"/>
    <x v="5"/>
    <s v="CC500"/>
    <s v="AutoPost 1779"/>
    <s v="USD"/>
    <s v="2024-09"/>
    <n v="-1164.05"/>
    <m/>
  </r>
  <r>
    <s v="GL001780"/>
    <d v="2024-05-01T00:00:00"/>
    <n v="4000"/>
    <x v="0"/>
    <n v="0"/>
    <n v="778.57"/>
    <x v="3"/>
    <s v="CC100"/>
    <s v="AutoPost 1780"/>
    <s v="AUD"/>
    <s v="2024-05"/>
    <n v="778.57"/>
    <m/>
  </r>
  <r>
    <s v="GL001781"/>
    <d v="2023-08-23T00:00:00"/>
    <n v="6000"/>
    <x v="2"/>
    <n v="670.62"/>
    <n v="0"/>
    <x v="1"/>
    <s v="CC400"/>
    <s v="AutoPost 1781"/>
    <s v="GBP"/>
    <s v="2023-08"/>
    <n v="-670.62"/>
    <m/>
  </r>
  <r>
    <s v="GL001782"/>
    <d v="2024-09-10T00:00:00"/>
    <n v="6000"/>
    <x v="2"/>
    <n v="887.17"/>
    <n v="0"/>
    <x v="2"/>
    <s v="CC500"/>
    <s v="AutoPost 1782"/>
    <s v="EUR"/>
    <s v="2024-09"/>
    <n v="-887.17"/>
    <m/>
  </r>
  <r>
    <s v="GL001783"/>
    <d v="2024-03-14T00:00:00"/>
    <n v="5010"/>
    <x v="3"/>
    <n v="680.13"/>
    <n v="0"/>
    <x v="2"/>
    <s v="CC200"/>
    <s v="AutoPost 1783"/>
    <s v="AUD"/>
    <s v="2024-03"/>
    <n v="-680.13"/>
    <m/>
  </r>
  <r>
    <s v="GL001784"/>
    <d v="2024-05-03T00:00:00"/>
    <n v="4010"/>
    <x v="4"/>
    <n v="0"/>
    <n v="841.83"/>
    <x v="0"/>
    <s v="CC500"/>
    <s v="AutoPost 1784"/>
    <s v="AUD"/>
    <s v="2024-05"/>
    <n v="841.83"/>
    <m/>
  </r>
  <r>
    <s v="GL001785"/>
    <d v="2025-06-10T00:00:00"/>
    <n v="4010"/>
    <x v="4"/>
    <n v="0"/>
    <n v="302.97000000000003"/>
    <x v="2"/>
    <s v="CC300"/>
    <s v="AutoPost 1785"/>
    <s v="USD"/>
    <s v="2025-06"/>
    <n v="302.97000000000003"/>
    <m/>
  </r>
  <r>
    <s v="GL001786"/>
    <d v="2024-12-22T00:00:00"/>
    <n v="5000"/>
    <x v="1"/>
    <n v="80.23"/>
    <n v="0"/>
    <x v="1"/>
    <s v="CC200"/>
    <s v="AutoPost 1786"/>
    <s v="CAD"/>
    <s v="2024-12"/>
    <n v="-80.23"/>
    <m/>
  </r>
  <r>
    <s v="GL001787"/>
    <d v="2024-04-03T00:00:00"/>
    <n v="5000"/>
    <x v="1"/>
    <n v="338.61"/>
    <n v="0"/>
    <x v="4"/>
    <s v="CC400"/>
    <s v="AutoPost 1787"/>
    <s v="USD"/>
    <s v="2024-04"/>
    <n v="-338.61"/>
    <m/>
  </r>
  <r>
    <s v="GL001788"/>
    <d v="2023-03-29T00:00:00"/>
    <n v="5000"/>
    <x v="1"/>
    <n v="1098.3699999999999"/>
    <n v="0"/>
    <x v="4"/>
    <s v="CC100"/>
    <s v="AutoPost 1788"/>
    <s v="USD"/>
    <s v="2023-03"/>
    <n v="-1098.3699999999999"/>
    <m/>
  </r>
  <r>
    <s v="GL001789"/>
    <d v="2025-06-10T00:00:00"/>
    <n v="4000"/>
    <x v="0"/>
    <n v="0"/>
    <n v="2290.62"/>
    <x v="0"/>
    <s v="CC200"/>
    <s v="AutoPost 1789"/>
    <s v="CAD"/>
    <s v="2025-06"/>
    <n v="2290.62"/>
    <m/>
  </r>
  <r>
    <s v="GL001790"/>
    <d v="2023-08-12T00:00:00"/>
    <n v="5010"/>
    <x v="3"/>
    <n v="1294.49"/>
    <n v="0"/>
    <x v="1"/>
    <s v="CC100"/>
    <s v="AutoPost 1790"/>
    <s v="CAD"/>
    <s v="2023-08"/>
    <n v="-1294.49"/>
    <m/>
  </r>
  <r>
    <s v="GL001791"/>
    <d v="2025-03-13T00:00:00"/>
    <n v="5010"/>
    <x v="3"/>
    <n v="877.51"/>
    <n v="0"/>
    <x v="4"/>
    <s v="CC100"/>
    <s v="AutoPost 1791"/>
    <s v="CAD"/>
    <s v="2025-03"/>
    <n v="-877.51"/>
    <m/>
  </r>
  <r>
    <s v="GL001792"/>
    <d v="2024-11-28T00:00:00"/>
    <n v="4000"/>
    <x v="0"/>
    <n v="0"/>
    <n v="2987.63"/>
    <x v="1"/>
    <s v="CC400"/>
    <s v="AutoPost 1792"/>
    <s v="EUR"/>
    <s v="2024-11"/>
    <n v="2987.63"/>
    <m/>
  </r>
  <r>
    <s v="GL001793"/>
    <d v="2024-01-31T00:00:00"/>
    <n v="5000"/>
    <x v="1"/>
    <n v="1925.26"/>
    <n v="0"/>
    <x v="4"/>
    <s v="CC300"/>
    <s v="AutoPost 1793"/>
    <s v="GBP"/>
    <s v="2024-01"/>
    <n v="-1925.26"/>
    <m/>
  </r>
  <r>
    <s v="GL001794"/>
    <d v="2024-03-07T00:00:00"/>
    <n v="4000"/>
    <x v="0"/>
    <n v="0"/>
    <n v="1216.3499999999999"/>
    <x v="4"/>
    <s v="CC200"/>
    <s v="AutoPost 1794"/>
    <s v="CAD"/>
    <s v="2024-03"/>
    <n v="1216.3499999999999"/>
    <m/>
  </r>
  <r>
    <s v="GL001795"/>
    <d v="2025-04-09T00:00:00"/>
    <n v="5010"/>
    <x v="3"/>
    <n v="1553.28"/>
    <n v="0"/>
    <x v="3"/>
    <s v="CC300"/>
    <s v="AutoPost 1795"/>
    <s v="USD"/>
    <s v="2025-04"/>
    <n v="-1553.28"/>
    <m/>
  </r>
  <r>
    <s v="GL001796"/>
    <d v="2024-07-21T00:00:00"/>
    <n v="4000"/>
    <x v="0"/>
    <n v="0"/>
    <n v="1122.51"/>
    <x v="3"/>
    <s v="CC100"/>
    <s v="AutoPost 1796"/>
    <s v="USD"/>
    <s v="2024-07"/>
    <n v="1122.51"/>
    <m/>
  </r>
  <r>
    <s v="GL001797"/>
    <d v="2023-02-12T00:00:00"/>
    <n v="6000"/>
    <x v="2"/>
    <n v="1893.28"/>
    <n v="0"/>
    <x v="3"/>
    <s v="CC400"/>
    <s v="AutoPost 1797"/>
    <s v="AUD"/>
    <s v="2023-02"/>
    <n v="-1893.28"/>
    <m/>
  </r>
  <r>
    <s v="GL001798"/>
    <d v="2024-09-16T00:00:00"/>
    <n v="5000"/>
    <x v="1"/>
    <n v="1667.55"/>
    <n v="0"/>
    <x v="1"/>
    <s v="CC500"/>
    <s v="AutoPost 1798"/>
    <s v="EUR"/>
    <s v="2024-09"/>
    <n v="-1667.55"/>
    <m/>
  </r>
  <r>
    <s v="GL001799"/>
    <d v="2023-12-20T00:00:00"/>
    <n v="5000"/>
    <x v="1"/>
    <n v="1448.96"/>
    <n v="0"/>
    <x v="0"/>
    <s v="CC100"/>
    <s v="AutoPost 1799"/>
    <s v="USD"/>
    <s v="2023-12"/>
    <n v="-1448.96"/>
    <m/>
  </r>
  <r>
    <s v="GL001800"/>
    <d v="2024-01-27T00:00:00"/>
    <n v="5010"/>
    <x v="3"/>
    <n v="292.83999999999997"/>
    <n v="0"/>
    <x v="3"/>
    <s v="CC200"/>
    <s v="AutoPost 1800"/>
    <s v="USD"/>
    <s v="2024-01"/>
    <n v="-292.83999999999997"/>
    <m/>
  </r>
  <r>
    <s v="GL001801"/>
    <d v="2023-11-15T00:00:00"/>
    <n v="5000"/>
    <x v="1"/>
    <n v="1746.92"/>
    <n v="0"/>
    <x v="2"/>
    <s v="CC300"/>
    <s v="AutoPost 1801"/>
    <s v="USD"/>
    <s v="2023-11"/>
    <n v="-1746.92"/>
    <m/>
  </r>
  <r>
    <s v="GL001802"/>
    <d v="2023-09-03T00:00:00"/>
    <n v="6000"/>
    <x v="2"/>
    <n v="870.1"/>
    <n v="0"/>
    <x v="4"/>
    <s v="CC400"/>
    <s v="AutoPost 1802"/>
    <s v="CAD"/>
    <s v="2023-09"/>
    <n v="-870.1"/>
    <m/>
  </r>
  <r>
    <s v="GL001803"/>
    <d v="2023-03-01T00:00:00"/>
    <n v="5000"/>
    <x v="1"/>
    <n v="1451.54"/>
    <n v="0"/>
    <x v="2"/>
    <s v="CC200"/>
    <s v="AutoPost 1803"/>
    <s v="USD"/>
    <s v="2023-03"/>
    <n v="-1451.54"/>
    <m/>
  </r>
  <r>
    <s v="GL001804"/>
    <d v="2023-05-14T00:00:00"/>
    <n v="4010"/>
    <x v="4"/>
    <n v="0"/>
    <n v="905.45"/>
    <x v="0"/>
    <s v="CC500"/>
    <s v="AutoPost 1804"/>
    <s v="AUD"/>
    <s v="2023-05"/>
    <n v="905.45"/>
    <m/>
  </r>
  <r>
    <s v="GL001805"/>
    <d v="2023-12-28T00:00:00"/>
    <n v="5000"/>
    <x v="1"/>
    <n v="435.57"/>
    <n v="0"/>
    <x v="2"/>
    <s v="CC200"/>
    <s v="AutoPost 1805"/>
    <s v="USD"/>
    <s v="2023-12"/>
    <n v="-435.57"/>
    <m/>
  </r>
  <r>
    <s v="GL001806"/>
    <d v="2025-03-12T00:00:00"/>
    <n v="4010"/>
    <x v="4"/>
    <n v="0"/>
    <n v="1129.92"/>
    <x v="5"/>
    <s v="CC100"/>
    <s v="AutoPost 1806"/>
    <s v="EUR"/>
    <s v="2025-03"/>
    <n v="1129.92"/>
    <m/>
  </r>
  <r>
    <s v="GL001807"/>
    <d v="2023-03-23T00:00:00"/>
    <n v="5000"/>
    <x v="1"/>
    <n v="956.25"/>
    <n v="0"/>
    <x v="0"/>
    <s v="CC200"/>
    <s v="AutoPost 1807"/>
    <s v="EUR"/>
    <s v="2023-03"/>
    <n v="-956.25"/>
    <m/>
  </r>
  <r>
    <s v="GL001808"/>
    <d v="2024-10-08T00:00:00"/>
    <n v="5000"/>
    <x v="1"/>
    <n v="1866.55"/>
    <n v="0"/>
    <x v="1"/>
    <s v="CC500"/>
    <s v="AutoPost 1808"/>
    <s v="EUR"/>
    <s v="2024-10"/>
    <n v="-1866.55"/>
    <m/>
  </r>
  <r>
    <s v="GL001809"/>
    <d v="2025-06-07T00:00:00"/>
    <n v="5000"/>
    <x v="1"/>
    <n v="1920.83"/>
    <n v="0"/>
    <x v="3"/>
    <s v="CC200"/>
    <s v="AutoPost 1809"/>
    <s v="CAD"/>
    <s v="2025-06"/>
    <n v="-1920.83"/>
    <m/>
  </r>
  <r>
    <s v="GL001810"/>
    <d v="2024-11-07T00:00:00"/>
    <n v="4000"/>
    <x v="0"/>
    <n v="0"/>
    <n v="4953.79"/>
    <x v="5"/>
    <s v="CC300"/>
    <s v="AutoPost 1810"/>
    <s v="CAD"/>
    <s v="2024-11"/>
    <n v="4953.79"/>
    <m/>
  </r>
  <r>
    <s v="GL001811"/>
    <d v="2024-05-11T00:00:00"/>
    <n v="5000"/>
    <x v="1"/>
    <n v="1790.29"/>
    <n v="0"/>
    <x v="5"/>
    <s v="CC300"/>
    <s v="AutoPost 1811"/>
    <s v="GBP"/>
    <s v="2024-05"/>
    <n v="-1790.29"/>
    <m/>
  </r>
  <r>
    <s v="GL001812"/>
    <d v="2025-05-25T00:00:00"/>
    <n v="4000"/>
    <x v="0"/>
    <n v="0"/>
    <n v="523.59"/>
    <x v="1"/>
    <s v="CC200"/>
    <s v="AutoPost 1812"/>
    <s v="CAD"/>
    <s v="2025-05"/>
    <n v="523.59"/>
    <m/>
  </r>
  <r>
    <s v="GL001813"/>
    <d v="2024-01-07T00:00:00"/>
    <n v="5010"/>
    <x v="3"/>
    <n v="200.91"/>
    <n v="0"/>
    <x v="4"/>
    <s v="CC200"/>
    <s v="AutoPost 1813"/>
    <s v="USD"/>
    <s v="2024-01"/>
    <n v="-200.91"/>
    <m/>
  </r>
  <r>
    <s v="GL001814"/>
    <d v="2024-11-16T00:00:00"/>
    <n v="6000"/>
    <x v="2"/>
    <n v="219.39"/>
    <n v="0"/>
    <x v="1"/>
    <s v="CC100"/>
    <s v="AutoPost 1814"/>
    <s v="CAD"/>
    <s v="2024-11"/>
    <n v="-219.39"/>
    <m/>
  </r>
  <r>
    <s v="GL001815"/>
    <d v="2023-03-15T00:00:00"/>
    <n v="5010"/>
    <x v="3"/>
    <n v="1274.73"/>
    <n v="0"/>
    <x v="5"/>
    <s v="CC100"/>
    <s v="AutoPost 1815"/>
    <s v="CAD"/>
    <s v="2023-03"/>
    <n v="-1274.73"/>
    <m/>
  </r>
  <r>
    <s v="GL001816"/>
    <d v="2025-04-28T00:00:00"/>
    <n v="5000"/>
    <x v="1"/>
    <n v="692.56"/>
    <n v="0"/>
    <x v="0"/>
    <s v="CC500"/>
    <s v="AutoPost 1816"/>
    <s v="AUD"/>
    <s v="2025-04"/>
    <n v="-692.56"/>
    <m/>
  </r>
  <r>
    <s v="GL001817"/>
    <d v="2025-02-16T00:00:00"/>
    <n v="5000"/>
    <x v="1"/>
    <n v="1914.11"/>
    <n v="0"/>
    <x v="5"/>
    <s v="CC200"/>
    <s v="AutoPost 1817"/>
    <s v="EUR"/>
    <s v="2025-02"/>
    <n v="-1914.11"/>
    <m/>
  </r>
  <r>
    <s v="GL001818"/>
    <d v="2023-04-11T00:00:00"/>
    <n v="5010"/>
    <x v="3"/>
    <n v="1033.2"/>
    <n v="0"/>
    <x v="1"/>
    <s v="CC500"/>
    <s v="AutoPost 1818"/>
    <s v="AUD"/>
    <s v="2023-04"/>
    <n v="-1033.2"/>
    <m/>
  </r>
  <r>
    <s v="GL001819"/>
    <d v="2023-02-01T00:00:00"/>
    <n v="4010"/>
    <x v="4"/>
    <n v="0"/>
    <n v="2648.51"/>
    <x v="3"/>
    <s v="CC300"/>
    <s v="AutoPost 1819"/>
    <s v="CAD"/>
    <s v="2023-02"/>
    <n v="2648.51"/>
    <m/>
  </r>
  <r>
    <s v="GL001820"/>
    <d v="2023-07-11T00:00:00"/>
    <n v="4000"/>
    <x v="0"/>
    <n v="0"/>
    <n v="737.9"/>
    <x v="5"/>
    <s v="CC300"/>
    <s v="AutoPost 1820"/>
    <s v="EUR"/>
    <s v="2023-07"/>
    <n v="737.9"/>
    <m/>
  </r>
  <r>
    <s v="GL001821"/>
    <d v="2023-12-29T00:00:00"/>
    <n v="6000"/>
    <x v="2"/>
    <n v="323.47000000000003"/>
    <n v="0"/>
    <x v="3"/>
    <s v="CC400"/>
    <s v="AutoPost 1821"/>
    <s v="USD"/>
    <s v="2023-12"/>
    <n v="-323.47000000000003"/>
    <m/>
  </r>
  <r>
    <s v="GL001822"/>
    <d v="2024-04-28T00:00:00"/>
    <n v="5010"/>
    <x v="3"/>
    <n v="728.68"/>
    <n v="0"/>
    <x v="1"/>
    <s v="CC300"/>
    <s v="AutoPost 1822"/>
    <s v="CAD"/>
    <s v="2024-04"/>
    <n v="-728.68"/>
    <m/>
  </r>
  <r>
    <s v="GL001823"/>
    <d v="2024-03-23T00:00:00"/>
    <n v="5000"/>
    <x v="1"/>
    <n v="1625.93"/>
    <n v="0"/>
    <x v="3"/>
    <s v="CC500"/>
    <s v="AutoPost 1823"/>
    <s v="EUR"/>
    <s v="2024-03"/>
    <n v="-1625.93"/>
    <m/>
  </r>
  <r>
    <s v="GL001824"/>
    <d v="2024-07-01T00:00:00"/>
    <n v="4000"/>
    <x v="0"/>
    <n v="0"/>
    <n v="166.02"/>
    <x v="2"/>
    <s v="CC500"/>
    <s v="AutoPost 1824"/>
    <s v="EUR"/>
    <s v="2024-07"/>
    <n v="166.02"/>
    <m/>
  </r>
  <r>
    <s v="GL001825"/>
    <d v="2024-07-19T00:00:00"/>
    <n v="5000"/>
    <x v="1"/>
    <n v="510"/>
    <n v="0"/>
    <x v="2"/>
    <s v="CC400"/>
    <s v="AutoPost 1825"/>
    <s v="AUD"/>
    <s v="2024-07"/>
    <n v="-510"/>
    <m/>
  </r>
  <r>
    <s v="GL001826"/>
    <d v="2024-10-09T00:00:00"/>
    <n v="4010"/>
    <x v="4"/>
    <n v="0"/>
    <n v="1743.21"/>
    <x v="5"/>
    <s v="CC400"/>
    <s v="AutoPost 1826"/>
    <s v="GBP"/>
    <s v="2024-10"/>
    <n v="1743.21"/>
    <m/>
  </r>
  <r>
    <s v="GL001827"/>
    <d v="2024-07-15T00:00:00"/>
    <n v="5010"/>
    <x v="3"/>
    <n v="652.48"/>
    <n v="0"/>
    <x v="0"/>
    <s v="CC500"/>
    <s v="AutoPost 1827"/>
    <s v="AUD"/>
    <s v="2024-07"/>
    <n v="-652.48"/>
    <m/>
  </r>
  <r>
    <s v="GL001828"/>
    <d v="2023-11-17T00:00:00"/>
    <n v="5000"/>
    <x v="1"/>
    <n v="710.38"/>
    <n v="0"/>
    <x v="0"/>
    <s v="CC100"/>
    <s v="AutoPost 1828"/>
    <s v="EUR"/>
    <s v="2023-11"/>
    <n v="-710.38"/>
    <m/>
  </r>
  <r>
    <s v="GL001829"/>
    <d v="2025-03-01T00:00:00"/>
    <n v="4010"/>
    <x v="4"/>
    <n v="0"/>
    <n v="4569.3500000000004"/>
    <x v="0"/>
    <s v="CC200"/>
    <s v="AutoPost 1829"/>
    <s v="EUR"/>
    <s v="2025-03"/>
    <n v="4569.3500000000004"/>
    <m/>
  </r>
  <r>
    <s v="GL001830"/>
    <d v="2024-10-31T00:00:00"/>
    <n v="5000"/>
    <x v="1"/>
    <n v="1247.49"/>
    <n v="0"/>
    <x v="4"/>
    <s v="CC400"/>
    <s v="AutoPost 1830"/>
    <s v="AUD"/>
    <s v="2024-10"/>
    <n v="-1247.49"/>
    <m/>
  </r>
  <r>
    <s v="GL001831"/>
    <d v="2024-06-24T00:00:00"/>
    <n v="6000"/>
    <x v="2"/>
    <n v="153.35"/>
    <n v="0"/>
    <x v="4"/>
    <s v="CC400"/>
    <s v="AutoPost 1831"/>
    <s v="CAD"/>
    <s v="2024-06"/>
    <n v="-153.35"/>
    <m/>
  </r>
  <r>
    <s v="GL001832"/>
    <d v="2025-02-23T00:00:00"/>
    <n v="4010"/>
    <x v="4"/>
    <n v="0"/>
    <n v="432.36"/>
    <x v="0"/>
    <s v="CC400"/>
    <s v="AutoPost 1832"/>
    <s v="AUD"/>
    <s v="2025-02"/>
    <n v="432.36"/>
    <m/>
  </r>
  <r>
    <s v="GL001833"/>
    <d v="2025-02-24T00:00:00"/>
    <n v="5010"/>
    <x v="3"/>
    <n v="283.95999999999998"/>
    <n v="0"/>
    <x v="1"/>
    <s v="CC500"/>
    <s v="AutoPost 1833"/>
    <s v="USD"/>
    <s v="2025-02"/>
    <n v="-283.95999999999998"/>
    <m/>
  </r>
  <r>
    <s v="GL001834"/>
    <d v="2023-02-09T00:00:00"/>
    <n v="5000"/>
    <x v="1"/>
    <n v="1915.58"/>
    <n v="0"/>
    <x v="4"/>
    <s v="CC100"/>
    <s v="AutoPost 1834"/>
    <s v="USD"/>
    <s v="2023-02"/>
    <n v="-1915.58"/>
    <m/>
  </r>
  <r>
    <s v="GL001835"/>
    <d v="2023-04-09T00:00:00"/>
    <n v="5000"/>
    <x v="1"/>
    <n v="229.78"/>
    <n v="0"/>
    <x v="3"/>
    <s v="CC200"/>
    <s v="AutoPost 1835"/>
    <s v="GBP"/>
    <s v="2023-04"/>
    <n v="-229.78"/>
    <m/>
  </r>
  <r>
    <s v="GL001836"/>
    <d v="2024-12-25T00:00:00"/>
    <n v="6000"/>
    <x v="2"/>
    <n v="1583.41"/>
    <n v="0"/>
    <x v="1"/>
    <s v="CC500"/>
    <s v="AutoPost 1836"/>
    <s v="EUR"/>
    <s v="2024-12"/>
    <n v="-1583.41"/>
    <m/>
  </r>
  <r>
    <s v="GL001837"/>
    <d v="2023-02-21T00:00:00"/>
    <n v="4010"/>
    <x v="4"/>
    <n v="0"/>
    <n v="4316.26"/>
    <x v="1"/>
    <s v="CC100"/>
    <s v="AutoPost 1837"/>
    <s v="GBP"/>
    <s v="2023-02"/>
    <n v="4316.26"/>
    <m/>
  </r>
  <r>
    <s v="GL001838"/>
    <d v="2024-06-17T00:00:00"/>
    <n v="4000"/>
    <x v="0"/>
    <n v="0"/>
    <n v="887.28"/>
    <x v="0"/>
    <s v="CC200"/>
    <s v="AutoPost 1838"/>
    <s v="EUR"/>
    <s v="2024-06"/>
    <n v="887.28"/>
    <m/>
  </r>
  <r>
    <s v="GL001839"/>
    <d v="2025-06-23T00:00:00"/>
    <n v="4010"/>
    <x v="4"/>
    <n v="0"/>
    <n v="1446.64"/>
    <x v="1"/>
    <s v="CC400"/>
    <s v="AutoPost 1839"/>
    <s v="EUR"/>
    <s v="2025-06"/>
    <n v="1446.64"/>
    <m/>
  </r>
  <r>
    <s v="GL001840"/>
    <d v="2024-11-19T00:00:00"/>
    <n v="5010"/>
    <x v="3"/>
    <n v="794.56"/>
    <n v="0"/>
    <x v="5"/>
    <s v="CC100"/>
    <s v="AutoPost 1840"/>
    <s v="USD"/>
    <s v="2024-11"/>
    <n v="-794.56"/>
    <m/>
  </r>
  <r>
    <s v="GL001841"/>
    <d v="2023-03-08T00:00:00"/>
    <n v="4000"/>
    <x v="0"/>
    <n v="0"/>
    <n v="1094.51"/>
    <x v="1"/>
    <s v="CC400"/>
    <s v="AutoPost 1841"/>
    <s v="USD"/>
    <s v="2023-03"/>
    <n v="1094.51"/>
    <m/>
  </r>
  <r>
    <s v="GL001842"/>
    <d v="2024-05-09T00:00:00"/>
    <n v="4010"/>
    <x v="4"/>
    <n v="0"/>
    <n v="1492.82"/>
    <x v="2"/>
    <s v="CC200"/>
    <s v="AutoPost 1842"/>
    <s v="USD"/>
    <s v="2024-05"/>
    <n v="1492.82"/>
    <m/>
  </r>
  <r>
    <s v="GL001843"/>
    <d v="2025-01-03T00:00:00"/>
    <n v="4000"/>
    <x v="0"/>
    <n v="0"/>
    <n v="1521.98"/>
    <x v="3"/>
    <s v="CC400"/>
    <s v="AutoPost 1843"/>
    <s v="GBP"/>
    <s v="2025-01"/>
    <n v="1521.98"/>
    <m/>
  </r>
  <r>
    <s v="GL001844"/>
    <d v="2024-08-23T00:00:00"/>
    <n v="5010"/>
    <x v="3"/>
    <n v="597.86"/>
    <n v="0"/>
    <x v="3"/>
    <s v="CC100"/>
    <s v="AutoPost 1844"/>
    <s v="EUR"/>
    <s v="2024-08"/>
    <n v="-597.86"/>
    <m/>
  </r>
  <r>
    <s v="GL001845"/>
    <d v="2024-01-21T00:00:00"/>
    <n v="6000"/>
    <x v="2"/>
    <n v="106.18"/>
    <n v="0"/>
    <x v="3"/>
    <s v="CC200"/>
    <s v="AutoPost 1845"/>
    <s v="USD"/>
    <s v="2024-01"/>
    <n v="-106.18"/>
    <m/>
  </r>
  <r>
    <s v="GL001846"/>
    <d v="2023-07-11T00:00:00"/>
    <n v="5010"/>
    <x v="3"/>
    <n v="446.48"/>
    <n v="0"/>
    <x v="0"/>
    <s v="CC200"/>
    <s v="AutoPost 1846"/>
    <s v="GBP"/>
    <s v="2023-07"/>
    <n v="-446.48"/>
    <m/>
  </r>
  <r>
    <s v="GL001847"/>
    <d v="2024-12-19T00:00:00"/>
    <n v="6000"/>
    <x v="2"/>
    <n v="405.28"/>
    <n v="0"/>
    <x v="1"/>
    <s v="CC400"/>
    <s v="AutoPost 1847"/>
    <s v="GBP"/>
    <s v="2024-12"/>
    <n v="-405.28"/>
    <m/>
  </r>
  <r>
    <s v="GL001848"/>
    <d v="2023-07-13T00:00:00"/>
    <n v="5000"/>
    <x v="1"/>
    <n v="1418.69"/>
    <n v="0"/>
    <x v="1"/>
    <s v="CC300"/>
    <s v="AutoPost 1848"/>
    <s v="USD"/>
    <s v="2023-07"/>
    <n v="-1418.69"/>
    <m/>
  </r>
  <r>
    <s v="GL001849"/>
    <d v="2025-02-26T00:00:00"/>
    <n v="6000"/>
    <x v="2"/>
    <n v="622.67999999999995"/>
    <n v="0"/>
    <x v="1"/>
    <s v="CC200"/>
    <s v="AutoPost 1849"/>
    <s v="USD"/>
    <s v="2025-02"/>
    <n v="-622.67999999999995"/>
    <m/>
  </r>
  <r>
    <s v="GL001850"/>
    <d v="2024-09-01T00:00:00"/>
    <n v="6000"/>
    <x v="2"/>
    <n v="568.46"/>
    <n v="0"/>
    <x v="1"/>
    <s v="CC500"/>
    <s v="AutoPost 1850"/>
    <s v="AUD"/>
    <s v="2024-09"/>
    <n v="-568.46"/>
    <m/>
  </r>
  <r>
    <s v="GL001851"/>
    <d v="2023-08-13T00:00:00"/>
    <n v="5000"/>
    <x v="1"/>
    <n v="544.71"/>
    <n v="0"/>
    <x v="5"/>
    <s v="CC100"/>
    <s v="AutoPost 1851"/>
    <s v="CAD"/>
    <s v="2023-08"/>
    <n v="-544.71"/>
    <m/>
  </r>
  <r>
    <s v="GL001852"/>
    <d v="2023-01-19T00:00:00"/>
    <n v="5000"/>
    <x v="1"/>
    <n v="1849.24"/>
    <n v="0"/>
    <x v="3"/>
    <s v="CC400"/>
    <s v="AutoPost 1852"/>
    <s v="USD"/>
    <s v="2023-01"/>
    <n v="-1849.24"/>
    <m/>
  </r>
  <r>
    <s v="GL001853"/>
    <d v="2024-08-29T00:00:00"/>
    <n v="6000"/>
    <x v="2"/>
    <n v="499.11"/>
    <n v="0"/>
    <x v="0"/>
    <s v="CC100"/>
    <s v="AutoPost 1853"/>
    <s v="CAD"/>
    <s v="2024-08"/>
    <n v="-499.11"/>
    <m/>
  </r>
  <r>
    <s v="GL001854"/>
    <d v="2024-05-28T00:00:00"/>
    <n v="6000"/>
    <x v="2"/>
    <n v="288.41000000000003"/>
    <n v="0"/>
    <x v="3"/>
    <s v="CC500"/>
    <s v="AutoPost 1854"/>
    <s v="GBP"/>
    <s v="2024-05"/>
    <n v="-288.41000000000003"/>
    <m/>
  </r>
  <r>
    <s v="GL001855"/>
    <d v="2023-04-17T00:00:00"/>
    <n v="4010"/>
    <x v="4"/>
    <n v="0"/>
    <n v="4589.42"/>
    <x v="0"/>
    <s v="CC400"/>
    <s v="AutoPost 1855"/>
    <s v="EUR"/>
    <s v="2023-04"/>
    <n v="4589.42"/>
    <m/>
  </r>
  <r>
    <s v="GL001856"/>
    <d v="2024-11-17T00:00:00"/>
    <n v="4010"/>
    <x v="4"/>
    <n v="0"/>
    <n v="4897.2299999999996"/>
    <x v="3"/>
    <s v="CC400"/>
    <s v="AutoPost 1856"/>
    <s v="CAD"/>
    <s v="2024-11"/>
    <n v="4897.2299999999996"/>
    <m/>
  </r>
  <r>
    <s v="GL001857"/>
    <d v="2024-05-05T00:00:00"/>
    <n v="4010"/>
    <x v="4"/>
    <n v="0"/>
    <n v="4365.5600000000004"/>
    <x v="5"/>
    <s v="CC300"/>
    <s v="AutoPost 1857"/>
    <s v="GBP"/>
    <s v="2024-05"/>
    <n v="4365.5600000000004"/>
    <m/>
  </r>
  <r>
    <s v="GL001858"/>
    <d v="2025-01-06T00:00:00"/>
    <n v="5010"/>
    <x v="3"/>
    <n v="1569.69"/>
    <n v="0"/>
    <x v="1"/>
    <s v="CC400"/>
    <s v="AutoPost 1858"/>
    <s v="USD"/>
    <s v="2025-01"/>
    <n v="-1569.69"/>
    <m/>
  </r>
  <r>
    <s v="GL001859"/>
    <d v="2025-06-19T00:00:00"/>
    <n v="6000"/>
    <x v="2"/>
    <n v="1592.97"/>
    <n v="0"/>
    <x v="1"/>
    <s v="CC200"/>
    <s v="AutoPost 1859"/>
    <s v="GBP"/>
    <s v="2025-06"/>
    <n v="-1592.97"/>
    <m/>
  </r>
  <r>
    <s v="GL001860"/>
    <d v="2023-12-10T00:00:00"/>
    <n v="4010"/>
    <x v="4"/>
    <n v="0"/>
    <n v="871.59"/>
    <x v="4"/>
    <s v="CC200"/>
    <s v="AutoPost 1860"/>
    <s v="USD"/>
    <s v="2023-12"/>
    <n v="871.59"/>
    <m/>
  </r>
  <r>
    <s v="GL001861"/>
    <d v="2023-04-06T00:00:00"/>
    <n v="5000"/>
    <x v="1"/>
    <n v="585.89"/>
    <n v="0"/>
    <x v="1"/>
    <s v="CC300"/>
    <s v="AutoPost 1861"/>
    <s v="EUR"/>
    <s v="2023-04"/>
    <n v="-585.89"/>
    <m/>
  </r>
  <r>
    <s v="GL001862"/>
    <d v="2023-05-29T00:00:00"/>
    <n v="5000"/>
    <x v="1"/>
    <n v="1221.74"/>
    <n v="0"/>
    <x v="5"/>
    <s v="CC500"/>
    <s v="AutoPost 1862"/>
    <s v="EUR"/>
    <s v="2023-05"/>
    <n v="-1221.74"/>
    <m/>
  </r>
  <r>
    <s v="GL001863"/>
    <d v="2024-02-25T00:00:00"/>
    <n v="4000"/>
    <x v="0"/>
    <n v="0"/>
    <n v="4982.43"/>
    <x v="3"/>
    <s v="CC300"/>
    <s v="AutoPost 1863"/>
    <s v="GBP"/>
    <s v="2024-02"/>
    <n v="4982.43"/>
    <m/>
  </r>
  <r>
    <s v="GL001864"/>
    <d v="2024-11-21T00:00:00"/>
    <n v="5000"/>
    <x v="1"/>
    <n v="1723.01"/>
    <n v="0"/>
    <x v="2"/>
    <s v="CC100"/>
    <s v="AutoPost 1864"/>
    <s v="AUD"/>
    <s v="2024-11"/>
    <n v="-1723.01"/>
    <m/>
  </r>
  <r>
    <s v="GL001865"/>
    <d v="2024-12-10T00:00:00"/>
    <n v="5010"/>
    <x v="3"/>
    <n v="1741.23"/>
    <n v="0"/>
    <x v="1"/>
    <s v="CC400"/>
    <s v="AutoPost 1865"/>
    <s v="GBP"/>
    <s v="2024-12"/>
    <n v="-1741.23"/>
    <m/>
  </r>
  <r>
    <s v="GL001866"/>
    <d v="2024-02-04T00:00:00"/>
    <n v="6000"/>
    <x v="2"/>
    <n v="1055.53"/>
    <n v="0"/>
    <x v="2"/>
    <s v="CC200"/>
    <s v="AutoPost 1866"/>
    <s v="GBP"/>
    <s v="2024-02"/>
    <n v="-1055.53"/>
    <m/>
  </r>
  <r>
    <s v="GL001867"/>
    <d v="2025-01-27T00:00:00"/>
    <n v="6000"/>
    <x v="2"/>
    <n v="349.69"/>
    <n v="0"/>
    <x v="4"/>
    <s v="CC100"/>
    <s v="AutoPost 1867"/>
    <s v="GBP"/>
    <s v="2025-01"/>
    <n v="-349.69"/>
    <m/>
  </r>
  <r>
    <s v="GL001868"/>
    <d v="2024-10-23T00:00:00"/>
    <n v="4010"/>
    <x v="4"/>
    <n v="0"/>
    <n v="1886.23"/>
    <x v="0"/>
    <s v="CC500"/>
    <s v="AutoPost 1868"/>
    <s v="EUR"/>
    <s v="2024-10"/>
    <n v="1886.23"/>
    <m/>
  </r>
  <r>
    <s v="GL001869"/>
    <d v="2023-12-03T00:00:00"/>
    <n v="6000"/>
    <x v="2"/>
    <n v="552.91"/>
    <n v="0"/>
    <x v="3"/>
    <s v="CC200"/>
    <s v="AutoPost 1869"/>
    <s v="AUD"/>
    <s v="2023-12"/>
    <n v="-552.91"/>
    <m/>
  </r>
  <r>
    <s v="GL001870"/>
    <d v="2024-11-24T00:00:00"/>
    <n v="4010"/>
    <x v="4"/>
    <n v="0"/>
    <n v="258.08"/>
    <x v="4"/>
    <s v="CC300"/>
    <s v="AutoPost 1870"/>
    <s v="USD"/>
    <s v="2024-11"/>
    <n v="258.08"/>
    <m/>
  </r>
  <r>
    <s v="GL001871"/>
    <d v="2025-05-18T00:00:00"/>
    <n v="5010"/>
    <x v="3"/>
    <n v="1370.81"/>
    <n v="0"/>
    <x v="4"/>
    <s v="CC500"/>
    <s v="AutoPost 1871"/>
    <s v="AUD"/>
    <s v="2025-05"/>
    <n v="-1370.81"/>
    <m/>
  </r>
  <r>
    <s v="GL001872"/>
    <d v="2024-03-31T00:00:00"/>
    <n v="6000"/>
    <x v="2"/>
    <n v="1669.15"/>
    <n v="0"/>
    <x v="2"/>
    <s v="CC300"/>
    <s v="AutoPost 1872"/>
    <s v="USD"/>
    <s v="2024-03"/>
    <n v="-1669.15"/>
    <m/>
  </r>
  <r>
    <s v="GL001873"/>
    <d v="2023-06-18T00:00:00"/>
    <n v="5010"/>
    <x v="3"/>
    <n v="1711.71"/>
    <n v="0"/>
    <x v="0"/>
    <s v="CC400"/>
    <s v="AutoPost 1873"/>
    <s v="EUR"/>
    <s v="2023-06"/>
    <n v="-1711.71"/>
    <m/>
  </r>
  <r>
    <s v="GL001874"/>
    <d v="2023-01-07T00:00:00"/>
    <n v="5000"/>
    <x v="1"/>
    <n v="520.70000000000005"/>
    <n v="0"/>
    <x v="1"/>
    <s v="CC100"/>
    <s v="AutoPost 1874"/>
    <s v="USD"/>
    <s v="2023-01"/>
    <n v="-520.70000000000005"/>
    <m/>
  </r>
  <r>
    <s v="GL001875"/>
    <d v="2024-03-27T00:00:00"/>
    <n v="6000"/>
    <x v="2"/>
    <n v="501.53"/>
    <n v="0"/>
    <x v="0"/>
    <s v="CC100"/>
    <s v="AutoPost 1875"/>
    <s v="USD"/>
    <s v="2024-03"/>
    <n v="-501.53"/>
    <m/>
  </r>
  <r>
    <s v="GL001876"/>
    <d v="2024-01-02T00:00:00"/>
    <n v="5010"/>
    <x v="3"/>
    <n v="283.45"/>
    <n v="0"/>
    <x v="1"/>
    <s v="CC300"/>
    <s v="AutoPost 1876"/>
    <s v="USD"/>
    <s v="2024-01"/>
    <n v="-283.45"/>
    <m/>
  </r>
  <r>
    <s v="GL001877"/>
    <d v="2025-06-03T00:00:00"/>
    <n v="4010"/>
    <x v="4"/>
    <n v="0"/>
    <n v="3079.85"/>
    <x v="1"/>
    <s v="CC300"/>
    <s v="AutoPost 1877"/>
    <s v="CAD"/>
    <s v="2025-06"/>
    <n v="3079.85"/>
    <m/>
  </r>
  <r>
    <s v="GL001878"/>
    <d v="2023-10-22T00:00:00"/>
    <n v="6000"/>
    <x v="2"/>
    <n v="316.08"/>
    <n v="0"/>
    <x v="1"/>
    <s v="CC500"/>
    <s v="AutoPost 1878"/>
    <s v="CAD"/>
    <s v="2023-10"/>
    <n v="-316.08"/>
    <m/>
  </r>
  <r>
    <s v="GL001879"/>
    <d v="2024-02-12T00:00:00"/>
    <n v="5010"/>
    <x v="3"/>
    <n v="1517.3"/>
    <n v="0"/>
    <x v="4"/>
    <s v="CC200"/>
    <s v="AutoPost 1879"/>
    <s v="AUD"/>
    <s v="2024-02"/>
    <n v="-1517.3"/>
    <m/>
  </r>
  <r>
    <s v="GL001880"/>
    <d v="2024-07-20T00:00:00"/>
    <n v="5000"/>
    <x v="1"/>
    <n v="1863.66"/>
    <n v="0"/>
    <x v="5"/>
    <s v="CC100"/>
    <s v="AutoPost 1880"/>
    <s v="CAD"/>
    <s v="2024-07"/>
    <n v="-1863.66"/>
    <m/>
  </r>
  <r>
    <s v="GL001881"/>
    <d v="2024-06-23T00:00:00"/>
    <n v="5000"/>
    <x v="1"/>
    <n v="146.04"/>
    <n v="0"/>
    <x v="5"/>
    <s v="CC400"/>
    <s v="AutoPost 1881"/>
    <s v="AUD"/>
    <s v="2024-06"/>
    <n v="-146.04"/>
    <m/>
  </r>
  <r>
    <s v="GL001882"/>
    <d v="2023-10-26T00:00:00"/>
    <n v="6000"/>
    <x v="2"/>
    <n v="701.14"/>
    <n v="0"/>
    <x v="0"/>
    <s v="CC400"/>
    <s v="AutoPost 1882"/>
    <s v="EUR"/>
    <s v="2023-10"/>
    <n v="-701.14"/>
    <m/>
  </r>
  <r>
    <s v="GL001883"/>
    <d v="2024-09-27T00:00:00"/>
    <n v="5010"/>
    <x v="3"/>
    <n v="1033.6199999999999"/>
    <n v="0"/>
    <x v="2"/>
    <s v="CC400"/>
    <s v="AutoPost 1883"/>
    <s v="USD"/>
    <s v="2024-09"/>
    <n v="-1033.6199999999999"/>
    <m/>
  </r>
  <r>
    <s v="GL001884"/>
    <d v="2025-05-10T00:00:00"/>
    <n v="6000"/>
    <x v="2"/>
    <n v="652.77"/>
    <n v="0"/>
    <x v="4"/>
    <s v="CC300"/>
    <s v="AutoPost 1884"/>
    <s v="USD"/>
    <s v="2025-05"/>
    <n v="-652.77"/>
    <m/>
  </r>
  <r>
    <s v="GL001885"/>
    <d v="2023-07-03T00:00:00"/>
    <n v="4000"/>
    <x v="0"/>
    <n v="0"/>
    <n v="2202.71"/>
    <x v="0"/>
    <s v="CC400"/>
    <s v="AutoPost 1885"/>
    <s v="USD"/>
    <s v="2023-07"/>
    <n v="2202.71"/>
    <m/>
  </r>
  <r>
    <s v="GL001886"/>
    <d v="2023-10-02T00:00:00"/>
    <n v="6000"/>
    <x v="2"/>
    <n v="1252.73"/>
    <n v="0"/>
    <x v="4"/>
    <s v="CC200"/>
    <s v="AutoPost 1886"/>
    <s v="USD"/>
    <s v="2023-10"/>
    <n v="-1252.73"/>
    <m/>
  </r>
  <r>
    <s v="GL001887"/>
    <d v="2024-04-04T00:00:00"/>
    <n v="5000"/>
    <x v="1"/>
    <n v="1422.61"/>
    <n v="0"/>
    <x v="1"/>
    <s v="CC200"/>
    <s v="AutoPost 1887"/>
    <s v="CAD"/>
    <s v="2024-04"/>
    <n v="-1422.61"/>
    <m/>
  </r>
  <r>
    <s v="GL001888"/>
    <d v="2025-06-02T00:00:00"/>
    <n v="5010"/>
    <x v="3"/>
    <n v="729.53"/>
    <n v="0"/>
    <x v="3"/>
    <s v="CC500"/>
    <s v="AutoPost 1888"/>
    <s v="EUR"/>
    <s v="2025-06"/>
    <n v="-729.53"/>
    <m/>
  </r>
  <r>
    <s v="GL001889"/>
    <d v="2023-01-19T00:00:00"/>
    <n v="5010"/>
    <x v="3"/>
    <n v="1561.21"/>
    <n v="0"/>
    <x v="1"/>
    <s v="CC200"/>
    <s v="AutoPost 1889"/>
    <s v="USD"/>
    <s v="2023-01"/>
    <n v="-1561.21"/>
    <m/>
  </r>
  <r>
    <s v="GL001890"/>
    <d v="2025-02-13T00:00:00"/>
    <n v="4010"/>
    <x v="4"/>
    <n v="0"/>
    <n v="3774.32"/>
    <x v="5"/>
    <s v="CC300"/>
    <s v="AutoPost 1890"/>
    <s v="CAD"/>
    <s v="2025-02"/>
    <n v="3774.32"/>
    <m/>
  </r>
  <r>
    <s v="GL001891"/>
    <d v="2023-08-21T00:00:00"/>
    <n v="6000"/>
    <x v="2"/>
    <n v="503.88"/>
    <n v="0"/>
    <x v="3"/>
    <s v="CC300"/>
    <s v="AutoPost 1891"/>
    <s v="EUR"/>
    <s v="2023-08"/>
    <n v="-503.88"/>
    <m/>
  </r>
  <r>
    <s v="GL001892"/>
    <d v="2023-10-13T00:00:00"/>
    <n v="4010"/>
    <x v="4"/>
    <n v="0"/>
    <n v="2344.2199999999998"/>
    <x v="1"/>
    <s v="CC300"/>
    <s v="AutoPost 1892"/>
    <s v="EUR"/>
    <s v="2023-10"/>
    <n v="2344.2199999999998"/>
    <m/>
  </r>
  <r>
    <s v="GL001893"/>
    <d v="2024-01-13T00:00:00"/>
    <n v="5010"/>
    <x v="3"/>
    <n v="1283.57"/>
    <n v="0"/>
    <x v="1"/>
    <s v="CC100"/>
    <s v="AutoPost 1893"/>
    <s v="CAD"/>
    <s v="2024-01"/>
    <n v="-1283.57"/>
    <m/>
  </r>
  <r>
    <s v="GL001894"/>
    <d v="2024-07-10T00:00:00"/>
    <n v="4010"/>
    <x v="4"/>
    <n v="0"/>
    <n v="1964.79"/>
    <x v="5"/>
    <s v="CC300"/>
    <s v="AutoPost 1894"/>
    <s v="AUD"/>
    <s v="2024-07"/>
    <n v="1964.79"/>
    <m/>
  </r>
  <r>
    <s v="GL001895"/>
    <d v="2024-07-08T00:00:00"/>
    <n v="4010"/>
    <x v="4"/>
    <n v="0"/>
    <n v="3387.63"/>
    <x v="4"/>
    <s v="CC200"/>
    <s v="AutoPost 1895"/>
    <s v="EUR"/>
    <s v="2024-07"/>
    <n v="3387.63"/>
    <m/>
  </r>
  <r>
    <s v="GL001896"/>
    <d v="2023-08-28T00:00:00"/>
    <n v="6000"/>
    <x v="2"/>
    <n v="1756.28"/>
    <n v="0"/>
    <x v="2"/>
    <s v="CC100"/>
    <s v="AutoPost 1896"/>
    <s v="EUR"/>
    <s v="2023-08"/>
    <n v="-1756.28"/>
    <m/>
  </r>
  <r>
    <s v="GL001897"/>
    <d v="2023-12-31T00:00:00"/>
    <n v="6000"/>
    <x v="2"/>
    <n v="938.88"/>
    <n v="0"/>
    <x v="1"/>
    <s v="CC100"/>
    <s v="AutoPost 1897"/>
    <s v="GBP"/>
    <s v="2023-12"/>
    <n v="-938.88"/>
    <m/>
  </r>
  <r>
    <s v="GL001898"/>
    <d v="2024-12-11T00:00:00"/>
    <n v="4000"/>
    <x v="0"/>
    <n v="0"/>
    <n v="994.95"/>
    <x v="1"/>
    <s v="CC500"/>
    <s v="AutoPost 1898"/>
    <s v="CAD"/>
    <s v="2024-12"/>
    <n v="994.95"/>
    <m/>
  </r>
  <r>
    <s v="GL001899"/>
    <d v="2024-07-07T00:00:00"/>
    <n v="5000"/>
    <x v="1"/>
    <n v="1619.31"/>
    <n v="0"/>
    <x v="3"/>
    <s v="CC300"/>
    <s v="AutoPost 1899"/>
    <s v="AUD"/>
    <s v="2024-07"/>
    <n v="-1619.31"/>
    <m/>
  </r>
  <r>
    <s v="GL001900"/>
    <d v="2024-05-01T00:00:00"/>
    <n v="4010"/>
    <x v="4"/>
    <n v="0"/>
    <n v="2332.9299999999998"/>
    <x v="0"/>
    <s v="CC100"/>
    <s v="AutoPost 1900"/>
    <s v="USD"/>
    <s v="2024-05"/>
    <n v="2332.9299999999998"/>
    <m/>
  </r>
  <r>
    <s v="GL001901"/>
    <d v="2023-09-30T00:00:00"/>
    <n v="5010"/>
    <x v="3"/>
    <n v="335.2"/>
    <n v="0"/>
    <x v="3"/>
    <s v="CC300"/>
    <s v="AutoPost 1901"/>
    <s v="USD"/>
    <s v="2023-09"/>
    <n v="-335.2"/>
    <m/>
  </r>
  <r>
    <s v="GL001902"/>
    <d v="2024-09-10T00:00:00"/>
    <n v="5010"/>
    <x v="3"/>
    <n v="1838.96"/>
    <n v="0"/>
    <x v="5"/>
    <s v="CC200"/>
    <s v="AutoPost 1902"/>
    <s v="AUD"/>
    <s v="2024-09"/>
    <n v="-1838.96"/>
    <m/>
  </r>
  <r>
    <s v="GL001903"/>
    <d v="2025-04-06T00:00:00"/>
    <n v="4000"/>
    <x v="0"/>
    <n v="0"/>
    <n v="2599.65"/>
    <x v="1"/>
    <s v="CC300"/>
    <s v="AutoPost 1903"/>
    <s v="EUR"/>
    <s v="2025-04"/>
    <n v="2599.65"/>
    <m/>
  </r>
  <r>
    <s v="GL001904"/>
    <d v="2023-05-23T00:00:00"/>
    <n v="5000"/>
    <x v="1"/>
    <n v="801.83"/>
    <n v="0"/>
    <x v="2"/>
    <s v="CC400"/>
    <s v="AutoPost 1904"/>
    <s v="USD"/>
    <s v="2023-05"/>
    <n v="-801.83"/>
    <m/>
  </r>
  <r>
    <s v="GL001905"/>
    <d v="2023-08-15T00:00:00"/>
    <n v="5000"/>
    <x v="1"/>
    <n v="54.12"/>
    <n v="0"/>
    <x v="0"/>
    <s v="CC100"/>
    <s v="AutoPost 1905"/>
    <s v="GBP"/>
    <s v="2023-08"/>
    <n v="-54.12"/>
    <m/>
  </r>
  <r>
    <s v="GL001906"/>
    <d v="2023-02-16T00:00:00"/>
    <n v="5000"/>
    <x v="1"/>
    <n v="326.83"/>
    <n v="0"/>
    <x v="3"/>
    <s v="CC200"/>
    <s v="AutoPost 1906"/>
    <s v="CAD"/>
    <s v="2023-02"/>
    <n v="-326.83"/>
    <m/>
  </r>
  <r>
    <s v="GL001907"/>
    <d v="2024-02-05T00:00:00"/>
    <n v="5000"/>
    <x v="1"/>
    <n v="1868.89"/>
    <n v="0"/>
    <x v="0"/>
    <s v="CC100"/>
    <s v="AutoPost 1907"/>
    <s v="GBP"/>
    <s v="2024-02"/>
    <n v="-1868.89"/>
    <m/>
  </r>
  <r>
    <s v="GL001908"/>
    <d v="2024-08-09T00:00:00"/>
    <n v="6000"/>
    <x v="2"/>
    <n v="1572.8"/>
    <n v="0"/>
    <x v="5"/>
    <s v="CC400"/>
    <s v="AutoPost 1908"/>
    <s v="AUD"/>
    <s v="2024-08"/>
    <n v="-1572.8"/>
    <m/>
  </r>
  <r>
    <s v="GL001909"/>
    <d v="2025-05-09T00:00:00"/>
    <n v="5010"/>
    <x v="3"/>
    <n v="284.08"/>
    <n v="0"/>
    <x v="3"/>
    <s v="CC100"/>
    <s v="AutoPost 1909"/>
    <s v="AUD"/>
    <s v="2025-05"/>
    <n v="-284.08"/>
    <m/>
  </r>
  <r>
    <s v="GL001910"/>
    <d v="2023-12-02T00:00:00"/>
    <n v="4010"/>
    <x v="4"/>
    <n v="0"/>
    <n v="2962.29"/>
    <x v="0"/>
    <s v="CC300"/>
    <s v="AutoPost 1910"/>
    <s v="USD"/>
    <s v="2023-12"/>
    <n v="2962.29"/>
    <m/>
  </r>
  <r>
    <s v="GL001911"/>
    <d v="2025-03-23T00:00:00"/>
    <n v="4010"/>
    <x v="4"/>
    <n v="0"/>
    <n v="1937.71"/>
    <x v="2"/>
    <s v="CC100"/>
    <s v="AutoPost 1911"/>
    <s v="EUR"/>
    <s v="2025-03"/>
    <n v="1937.71"/>
    <m/>
  </r>
  <r>
    <s v="GL001912"/>
    <d v="2023-10-24T00:00:00"/>
    <n v="4010"/>
    <x v="4"/>
    <n v="0"/>
    <n v="166.31"/>
    <x v="4"/>
    <s v="CC500"/>
    <s v="AutoPost 1912"/>
    <s v="CAD"/>
    <s v="2023-10"/>
    <n v="166.31"/>
    <m/>
  </r>
  <r>
    <s v="GL001913"/>
    <d v="2023-04-19T00:00:00"/>
    <n v="4000"/>
    <x v="0"/>
    <n v="0"/>
    <n v="1137.06"/>
    <x v="2"/>
    <s v="CC200"/>
    <s v="AutoPost 1913"/>
    <s v="EUR"/>
    <s v="2023-04"/>
    <n v="1137.06"/>
    <m/>
  </r>
  <r>
    <s v="GL001914"/>
    <d v="2024-03-15T00:00:00"/>
    <n v="4010"/>
    <x v="4"/>
    <n v="0"/>
    <n v="993.38"/>
    <x v="4"/>
    <s v="CC100"/>
    <s v="AutoPost 1914"/>
    <s v="AUD"/>
    <s v="2024-03"/>
    <n v="993.38"/>
    <m/>
  </r>
  <r>
    <s v="GL001915"/>
    <d v="2024-06-02T00:00:00"/>
    <n v="5010"/>
    <x v="3"/>
    <n v="1915.74"/>
    <n v="0"/>
    <x v="4"/>
    <s v="CC300"/>
    <s v="AutoPost 1915"/>
    <s v="GBP"/>
    <s v="2024-06"/>
    <n v="-1915.74"/>
    <m/>
  </r>
  <r>
    <s v="GL001916"/>
    <d v="2023-08-07T00:00:00"/>
    <n v="5010"/>
    <x v="3"/>
    <n v="1850.88"/>
    <n v="0"/>
    <x v="3"/>
    <s v="CC300"/>
    <s v="AutoPost 1916"/>
    <s v="GBP"/>
    <s v="2023-08"/>
    <n v="-1850.88"/>
    <m/>
  </r>
  <r>
    <s v="GL001917"/>
    <d v="2023-08-05T00:00:00"/>
    <n v="4010"/>
    <x v="4"/>
    <n v="0"/>
    <n v="4525.68"/>
    <x v="0"/>
    <s v="CC100"/>
    <s v="AutoPost 1917"/>
    <s v="USD"/>
    <s v="2023-08"/>
    <n v="4525.68"/>
    <m/>
  </r>
  <r>
    <s v="GL001918"/>
    <d v="2023-01-16T00:00:00"/>
    <n v="5010"/>
    <x v="3"/>
    <n v="854.45"/>
    <n v="0"/>
    <x v="3"/>
    <s v="CC100"/>
    <s v="AutoPost 1918"/>
    <s v="GBP"/>
    <s v="2023-01"/>
    <n v="-854.45"/>
    <m/>
  </r>
  <r>
    <s v="GL001919"/>
    <d v="2024-10-09T00:00:00"/>
    <n v="5000"/>
    <x v="1"/>
    <n v="198.43"/>
    <n v="0"/>
    <x v="2"/>
    <s v="CC400"/>
    <s v="AutoPost 1919"/>
    <s v="AUD"/>
    <s v="2024-10"/>
    <n v="-198.43"/>
    <m/>
  </r>
  <r>
    <s v="GL001920"/>
    <d v="2025-03-04T00:00:00"/>
    <n v="6000"/>
    <x v="2"/>
    <n v="1818.32"/>
    <n v="0"/>
    <x v="4"/>
    <s v="CC300"/>
    <s v="AutoPost 1920"/>
    <s v="CAD"/>
    <s v="2025-03"/>
    <n v="-1818.32"/>
    <m/>
  </r>
  <r>
    <s v="GL001921"/>
    <d v="2024-04-02T00:00:00"/>
    <n v="4010"/>
    <x v="4"/>
    <n v="0"/>
    <n v="2638.4"/>
    <x v="5"/>
    <s v="CC100"/>
    <s v="AutoPost 1921"/>
    <s v="USD"/>
    <s v="2024-04"/>
    <n v="2638.4"/>
    <m/>
  </r>
  <r>
    <s v="GL001922"/>
    <d v="2023-03-18T00:00:00"/>
    <n v="4010"/>
    <x v="4"/>
    <n v="0"/>
    <n v="2791.71"/>
    <x v="1"/>
    <s v="CC200"/>
    <s v="AutoPost 1922"/>
    <s v="CAD"/>
    <s v="2023-03"/>
    <n v="2791.71"/>
    <m/>
  </r>
  <r>
    <s v="GL001923"/>
    <d v="2024-01-29T00:00:00"/>
    <n v="5000"/>
    <x v="1"/>
    <n v="726.03"/>
    <n v="0"/>
    <x v="1"/>
    <s v="CC100"/>
    <s v="AutoPost 1923"/>
    <s v="USD"/>
    <s v="2024-01"/>
    <n v="-726.03"/>
    <m/>
  </r>
  <r>
    <s v="GL001924"/>
    <d v="2023-05-09T00:00:00"/>
    <n v="5000"/>
    <x v="1"/>
    <n v="1370.59"/>
    <n v="0"/>
    <x v="0"/>
    <s v="CC100"/>
    <s v="AutoPost 1924"/>
    <s v="AUD"/>
    <s v="2023-05"/>
    <n v="-1370.59"/>
    <m/>
  </r>
  <r>
    <s v="GL001925"/>
    <d v="2024-04-27T00:00:00"/>
    <n v="5010"/>
    <x v="3"/>
    <n v="263.16000000000003"/>
    <n v="0"/>
    <x v="2"/>
    <s v="CC400"/>
    <s v="AutoPost 1925"/>
    <s v="CAD"/>
    <s v="2024-04"/>
    <n v="-263.16000000000003"/>
    <m/>
  </r>
  <r>
    <s v="GL001926"/>
    <d v="2024-09-26T00:00:00"/>
    <n v="5010"/>
    <x v="3"/>
    <n v="1336.28"/>
    <n v="0"/>
    <x v="2"/>
    <s v="CC300"/>
    <s v="AutoPost 1926"/>
    <s v="AUD"/>
    <s v="2024-09"/>
    <n v="-1336.28"/>
    <m/>
  </r>
  <r>
    <s v="GL001927"/>
    <d v="2024-05-23T00:00:00"/>
    <n v="6000"/>
    <x v="2"/>
    <n v="1661.05"/>
    <n v="0"/>
    <x v="3"/>
    <s v="CC400"/>
    <s v="AutoPost 1927"/>
    <s v="EUR"/>
    <s v="2024-05"/>
    <n v="-1661.05"/>
    <m/>
  </r>
  <r>
    <s v="GL001928"/>
    <d v="2023-11-17T00:00:00"/>
    <n v="4000"/>
    <x v="0"/>
    <n v="0"/>
    <n v="2221.86"/>
    <x v="5"/>
    <s v="CC300"/>
    <s v="AutoPost 1928"/>
    <s v="GBP"/>
    <s v="2023-11"/>
    <n v="2221.86"/>
    <m/>
  </r>
  <r>
    <s v="GL001929"/>
    <d v="2024-03-05T00:00:00"/>
    <n v="4010"/>
    <x v="4"/>
    <n v="0"/>
    <n v="4064.87"/>
    <x v="0"/>
    <s v="CC300"/>
    <s v="AutoPost 1929"/>
    <s v="CAD"/>
    <s v="2024-03"/>
    <n v="4064.87"/>
    <m/>
  </r>
  <r>
    <s v="GL001930"/>
    <d v="2024-10-27T00:00:00"/>
    <n v="5000"/>
    <x v="1"/>
    <n v="564.04"/>
    <n v="0"/>
    <x v="3"/>
    <s v="CC400"/>
    <s v="AutoPost 1930"/>
    <s v="USD"/>
    <s v="2024-10"/>
    <n v="-564.04"/>
    <m/>
  </r>
  <r>
    <s v="GL001931"/>
    <d v="2023-11-25T00:00:00"/>
    <n v="4010"/>
    <x v="4"/>
    <n v="0"/>
    <n v="2394.69"/>
    <x v="5"/>
    <s v="CC300"/>
    <s v="AutoPost 1931"/>
    <s v="AUD"/>
    <s v="2023-11"/>
    <n v="2394.69"/>
    <m/>
  </r>
  <r>
    <s v="GL001932"/>
    <d v="2024-10-18T00:00:00"/>
    <n v="4010"/>
    <x v="4"/>
    <n v="0"/>
    <n v="4484.1899999999996"/>
    <x v="3"/>
    <s v="CC500"/>
    <s v="AutoPost 1932"/>
    <s v="AUD"/>
    <s v="2024-10"/>
    <n v="4484.1899999999996"/>
    <m/>
  </r>
  <r>
    <s v="GL001933"/>
    <d v="2024-12-30T00:00:00"/>
    <n v="4010"/>
    <x v="4"/>
    <n v="0"/>
    <n v="1838.71"/>
    <x v="3"/>
    <s v="CC400"/>
    <s v="AutoPost 1933"/>
    <s v="CAD"/>
    <s v="2024-12"/>
    <n v="1838.71"/>
    <m/>
  </r>
  <r>
    <s v="GL001934"/>
    <d v="2025-04-20T00:00:00"/>
    <n v="5010"/>
    <x v="3"/>
    <n v="407.55"/>
    <n v="0"/>
    <x v="2"/>
    <s v="CC400"/>
    <s v="AutoPost 1934"/>
    <s v="GBP"/>
    <s v="2025-04"/>
    <n v="-407.55"/>
    <m/>
  </r>
  <r>
    <s v="GL001935"/>
    <d v="2023-11-23T00:00:00"/>
    <n v="4000"/>
    <x v="0"/>
    <n v="0"/>
    <n v="1239.76"/>
    <x v="5"/>
    <s v="CC400"/>
    <s v="AutoPost 1935"/>
    <s v="CAD"/>
    <s v="2023-11"/>
    <n v="1239.76"/>
    <m/>
  </r>
  <r>
    <s v="GL001936"/>
    <d v="2023-07-12T00:00:00"/>
    <n v="5010"/>
    <x v="3"/>
    <n v="721.91"/>
    <n v="0"/>
    <x v="3"/>
    <s v="CC500"/>
    <s v="AutoPost 1936"/>
    <s v="EUR"/>
    <s v="2023-07"/>
    <n v="-721.91"/>
    <m/>
  </r>
  <r>
    <s v="GL001937"/>
    <d v="2024-01-16T00:00:00"/>
    <n v="6000"/>
    <x v="2"/>
    <n v="1506.81"/>
    <n v="0"/>
    <x v="3"/>
    <s v="CC200"/>
    <s v="AutoPost 1937"/>
    <s v="GBP"/>
    <s v="2024-01"/>
    <n v="-1506.81"/>
    <m/>
  </r>
  <r>
    <s v="GL001938"/>
    <d v="2025-03-07T00:00:00"/>
    <n v="4010"/>
    <x v="4"/>
    <n v="0"/>
    <n v="3376.73"/>
    <x v="2"/>
    <s v="CC400"/>
    <s v="AutoPost 1938"/>
    <s v="EUR"/>
    <s v="2025-03"/>
    <n v="3376.73"/>
    <m/>
  </r>
  <r>
    <s v="GL001939"/>
    <d v="2023-12-05T00:00:00"/>
    <n v="6000"/>
    <x v="2"/>
    <n v="1023.13"/>
    <n v="0"/>
    <x v="3"/>
    <s v="CC100"/>
    <s v="AutoPost 1939"/>
    <s v="GBP"/>
    <s v="2023-12"/>
    <n v="-1023.13"/>
    <m/>
  </r>
  <r>
    <s v="GL001940"/>
    <d v="2025-06-26T00:00:00"/>
    <n v="6000"/>
    <x v="2"/>
    <n v="1885.62"/>
    <n v="0"/>
    <x v="4"/>
    <s v="CC200"/>
    <s v="AutoPost 1940"/>
    <s v="CAD"/>
    <s v="2025-06"/>
    <n v="-1885.62"/>
    <m/>
  </r>
  <r>
    <s v="GL001941"/>
    <d v="2024-05-09T00:00:00"/>
    <n v="4010"/>
    <x v="4"/>
    <n v="0"/>
    <n v="955.35"/>
    <x v="3"/>
    <s v="CC200"/>
    <s v="AutoPost 1941"/>
    <s v="CAD"/>
    <s v="2024-05"/>
    <n v="955.35"/>
    <m/>
  </r>
  <r>
    <s v="GL001942"/>
    <d v="2023-01-01T00:00:00"/>
    <n v="5010"/>
    <x v="3"/>
    <n v="1735.63"/>
    <n v="0"/>
    <x v="0"/>
    <s v="CC500"/>
    <s v="AutoPost 1942"/>
    <s v="CAD"/>
    <s v="2023-01"/>
    <n v="-1735.63"/>
    <m/>
  </r>
  <r>
    <s v="GL001943"/>
    <d v="2023-07-24T00:00:00"/>
    <n v="5000"/>
    <x v="1"/>
    <n v="1311.61"/>
    <n v="0"/>
    <x v="5"/>
    <s v="CC100"/>
    <s v="AutoPost 1943"/>
    <s v="AUD"/>
    <s v="2023-07"/>
    <n v="-1311.61"/>
    <m/>
  </r>
  <r>
    <s v="GL001944"/>
    <d v="2023-11-26T00:00:00"/>
    <n v="4010"/>
    <x v="4"/>
    <n v="0"/>
    <n v="3124.09"/>
    <x v="5"/>
    <s v="CC500"/>
    <s v="AutoPost 1944"/>
    <s v="USD"/>
    <s v="2023-11"/>
    <n v="3124.09"/>
    <m/>
  </r>
  <r>
    <s v="GL001945"/>
    <d v="2024-08-01T00:00:00"/>
    <n v="5010"/>
    <x v="3"/>
    <n v="1453.46"/>
    <n v="0"/>
    <x v="4"/>
    <s v="CC400"/>
    <s v="AutoPost 1945"/>
    <s v="USD"/>
    <s v="2024-08"/>
    <n v="-1453.46"/>
    <m/>
  </r>
  <r>
    <s v="GL001946"/>
    <d v="2023-04-02T00:00:00"/>
    <n v="6000"/>
    <x v="2"/>
    <n v="502.87"/>
    <n v="0"/>
    <x v="1"/>
    <s v="CC500"/>
    <s v="AutoPost 1946"/>
    <s v="CAD"/>
    <s v="2023-04"/>
    <n v="-502.87"/>
    <m/>
  </r>
  <r>
    <s v="GL001947"/>
    <d v="2023-08-23T00:00:00"/>
    <n v="6000"/>
    <x v="2"/>
    <n v="845.04"/>
    <n v="0"/>
    <x v="3"/>
    <s v="CC300"/>
    <s v="AutoPost 1947"/>
    <s v="EUR"/>
    <s v="2023-08"/>
    <n v="-845.04"/>
    <m/>
  </r>
  <r>
    <s v="GL001948"/>
    <d v="2024-12-31T00:00:00"/>
    <n v="4010"/>
    <x v="4"/>
    <n v="0"/>
    <n v="2650.78"/>
    <x v="4"/>
    <s v="CC400"/>
    <s v="AutoPost 1948"/>
    <s v="AUD"/>
    <s v="2024-12"/>
    <n v="2650.78"/>
    <m/>
  </r>
  <r>
    <s v="GL001949"/>
    <d v="2025-01-06T00:00:00"/>
    <n v="4000"/>
    <x v="0"/>
    <n v="0"/>
    <n v="3701"/>
    <x v="1"/>
    <s v="CC100"/>
    <s v="AutoPost 1949"/>
    <s v="AUD"/>
    <s v="2025-01"/>
    <n v="3701"/>
    <m/>
  </r>
  <r>
    <s v="GL001950"/>
    <d v="2024-08-21T00:00:00"/>
    <n v="6000"/>
    <x v="2"/>
    <n v="866.51"/>
    <n v="0"/>
    <x v="2"/>
    <s v="CC200"/>
    <s v="AutoPost 1950"/>
    <s v="CAD"/>
    <s v="2024-08"/>
    <n v="-866.51"/>
    <m/>
  </r>
  <r>
    <s v="GL001951"/>
    <d v="2024-04-05T00:00:00"/>
    <n v="5000"/>
    <x v="1"/>
    <n v="1517.29"/>
    <n v="0"/>
    <x v="2"/>
    <s v="CC100"/>
    <s v="AutoPost 1951"/>
    <s v="EUR"/>
    <s v="2024-04"/>
    <n v="-1517.29"/>
    <m/>
  </r>
  <r>
    <s v="GL001952"/>
    <d v="2025-01-05T00:00:00"/>
    <n v="5000"/>
    <x v="1"/>
    <n v="58.18"/>
    <n v="0"/>
    <x v="0"/>
    <s v="CC200"/>
    <s v="AutoPost 1952"/>
    <s v="EUR"/>
    <s v="2025-01"/>
    <n v="-58.18"/>
    <m/>
  </r>
  <r>
    <s v="GL001953"/>
    <d v="2024-12-23T00:00:00"/>
    <n v="4000"/>
    <x v="0"/>
    <n v="0"/>
    <n v="944.88"/>
    <x v="3"/>
    <s v="CC300"/>
    <s v="AutoPost 1953"/>
    <s v="AUD"/>
    <s v="2024-12"/>
    <n v="944.88"/>
    <m/>
  </r>
  <r>
    <s v="GL001954"/>
    <d v="2025-01-14T00:00:00"/>
    <n v="6000"/>
    <x v="2"/>
    <n v="394.98"/>
    <n v="0"/>
    <x v="1"/>
    <s v="CC300"/>
    <s v="AutoPost 1954"/>
    <s v="CAD"/>
    <s v="2025-01"/>
    <n v="-394.98"/>
    <m/>
  </r>
  <r>
    <s v="GL001955"/>
    <d v="2023-06-05T00:00:00"/>
    <n v="5000"/>
    <x v="1"/>
    <n v="1322.13"/>
    <n v="0"/>
    <x v="2"/>
    <s v="CC200"/>
    <s v="AutoPost 1955"/>
    <s v="CAD"/>
    <s v="2023-06"/>
    <n v="-1322.13"/>
    <m/>
  </r>
  <r>
    <s v="GL001956"/>
    <d v="2024-06-04T00:00:00"/>
    <n v="5010"/>
    <x v="3"/>
    <n v="780.7"/>
    <n v="0"/>
    <x v="2"/>
    <s v="CC300"/>
    <s v="AutoPost 1956"/>
    <s v="USD"/>
    <s v="2024-06"/>
    <n v="-780.7"/>
    <m/>
  </r>
  <r>
    <s v="GL001957"/>
    <d v="2025-02-07T00:00:00"/>
    <n v="5000"/>
    <x v="1"/>
    <n v="1051.1600000000001"/>
    <n v="0"/>
    <x v="0"/>
    <s v="CC300"/>
    <s v="AutoPost 1957"/>
    <s v="GBP"/>
    <s v="2025-02"/>
    <n v="-1051.1600000000001"/>
    <m/>
  </r>
  <r>
    <s v="GL001958"/>
    <d v="2023-11-13T00:00:00"/>
    <n v="4010"/>
    <x v="4"/>
    <n v="0"/>
    <n v="3466.47"/>
    <x v="4"/>
    <s v="CC400"/>
    <s v="AutoPost 1958"/>
    <s v="AUD"/>
    <s v="2023-11"/>
    <n v="3466.47"/>
    <m/>
  </r>
  <r>
    <s v="GL001959"/>
    <d v="2024-01-15T00:00:00"/>
    <n v="4000"/>
    <x v="0"/>
    <n v="0"/>
    <n v="2900.85"/>
    <x v="3"/>
    <s v="CC200"/>
    <s v="AutoPost 1959"/>
    <s v="CAD"/>
    <s v="2024-01"/>
    <n v="2900.85"/>
    <m/>
  </r>
  <r>
    <s v="GL001960"/>
    <d v="2024-12-15T00:00:00"/>
    <n v="5010"/>
    <x v="3"/>
    <n v="852.05"/>
    <n v="0"/>
    <x v="2"/>
    <s v="CC300"/>
    <s v="AutoPost 1960"/>
    <s v="CAD"/>
    <s v="2024-12"/>
    <n v="-852.05"/>
    <m/>
  </r>
  <r>
    <s v="GL001961"/>
    <d v="2023-05-04T00:00:00"/>
    <n v="6000"/>
    <x v="2"/>
    <n v="1137.76"/>
    <n v="0"/>
    <x v="1"/>
    <s v="CC100"/>
    <s v="AutoPost 1961"/>
    <s v="AUD"/>
    <s v="2023-05"/>
    <n v="-1137.76"/>
    <m/>
  </r>
  <r>
    <s v="GL001962"/>
    <d v="2024-06-21T00:00:00"/>
    <n v="6000"/>
    <x v="2"/>
    <n v="1927.94"/>
    <n v="0"/>
    <x v="5"/>
    <s v="CC100"/>
    <s v="AutoPost 1962"/>
    <s v="CAD"/>
    <s v="2024-06"/>
    <n v="-1927.94"/>
    <m/>
  </r>
  <r>
    <s v="GL001963"/>
    <d v="2025-02-25T00:00:00"/>
    <n v="4010"/>
    <x v="4"/>
    <n v="0"/>
    <n v="2609.17"/>
    <x v="1"/>
    <s v="CC500"/>
    <s v="AutoPost 1963"/>
    <s v="GBP"/>
    <s v="2025-02"/>
    <n v="2609.17"/>
    <m/>
  </r>
  <r>
    <s v="GL001964"/>
    <d v="2025-04-08T00:00:00"/>
    <n v="5000"/>
    <x v="1"/>
    <n v="1813.3"/>
    <n v="0"/>
    <x v="5"/>
    <s v="CC400"/>
    <s v="AutoPost 1964"/>
    <s v="AUD"/>
    <s v="2025-04"/>
    <n v="-1813.3"/>
    <m/>
  </r>
  <r>
    <s v="GL001965"/>
    <d v="2023-08-28T00:00:00"/>
    <n v="4000"/>
    <x v="0"/>
    <n v="0"/>
    <n v="2658.68"/>
    <x v="5"/>
    <s v="CC400"/>
    <s v="AutoPost 1965"/>
    <s v="GBP"/>
    <s v="2023-08"/>
    <n v="2658.68"/>
    <m/>
  </r>
  <r>
    <s v="GL001966"/>
    <d v="2023-09-26T00:00:00"/>
    <n v="4010"/>
    <x v="4"/>
    <n v="0"/>
    <n v="4776.24"/>
    <x v="1"/>
    <s v="CC400"/>
    <s v="AutoPost 1966"/>
    <s v="AUD"/>
    <s v="2023-09"/>
    <n v="4776.24"/>
    <m/>
  </r>
  <r>
    <s v="GL001967"/>
    <d v="2024-09-13T00:00:00"/>
    <n v="5000"/>
    <x v="1"/>
    <n v="839.33"/>
    <n v="0"/>
    <x v="5"/>
    <s v="CC100"/>
    <s v="AutoPost 1967"/>
    <s v="USD"/>
    <s v="2024-09"/>
    <n v="-839.33"/>
    <m/>
  </r>
  <r>
    <s v="GL001968"/>
    <d v="2023-10-19T00:00:00"/>
    <n v="6000"/>
    <x v="2"/>
    <n v="961.76"/>
    <n v="0"/>
    <x v="3"/>
    <s v="CC400"/>
    <s v="AutoPost 1968"/>
    <s v="AUD"/>
    <s v="2023-10"/>
    <n v="-961.76"/>
    <m/>
  </r>
  <r>
    <s v="GL001969"/>
    <d v="2025-04-23T00:00:00"/>
    <n v="4010"/>
    <x v="4"/>
    <n v="0"/>
    <n v="1071.52"/>
    <x v="2"/>
    <s v="CC400"/>
    <s v="AutoPost 1969"/>
    <s v="USD"/>
    <s v="2025-04"/>
    <n v="1071.52"/>
    <m/>
  </r>
  <r>
    <s v="GL001970"/>
    <d v="2024-10-21T00:00:00"/>
    <n v="5000"/>
    <x v="1"/>
    <n v="512.01"/>
    <n v="0"/>
    <x v="2"/>
    <s v="CC100"/>
    <s v="AutoPost 1970"/>
    <s v="CAD"/>
    <s v="2024-10"/>
    <n v="-512.01"/>
    <m/>
  </r>
  <r>
    <s v="GL001971"/>
    <d v="2024-05-31T00:00:00"/>
    <n v="4010"/>
    <x v="4"/>
    <n v="0"/>
    <n v="876.89"/>
    <x v="2"/>
    <s v="CC200"/>
    <s v="AutoPost 1971"/>
    <s v="CAD"/>
    <s v="2024-05"/>
    <n v="876.89"/>
    <m/>
  </r>
  <r>
    <s v="GL001972"/>
    <d v="2023-11-16T00:00:00"/>
    <n v="4010"/>
    <x v="4"/>
    <n v="0"/>
    <n v="214.94"/>
    <x v="5"/>
    <s v="CC100"/>
    <s v="AutoPost 1972"/>
    <s v="USD"/>
    <s v="2023-11"/>
    <n v="214.94"/>
    <m/>
  </r>
  <r>
    <s v="GL001973"/>
    <d v="2024-03-11T00:00:00"/>
    <n v="5010"/>
    <x v="3"/>
    <n v="318.63"/>
    <n v="0"/>
    <x v="5"/>
    <s v="CC400"/>
    <s v="AutoPost 1973"/>
    <s v="CAD"/>
    <s v="2024-03"/>
    <n v="-318.63"/>
    <m/>
  </r>
  <r>
    <s v="GL001974"/>
    <d v="2023-04-10T00:00:00"/>
    <n v="6000"/>
    <x v="2"/>
    <n v="1505.25"/>
    <n v="0"/>
    <x v="5"/>
    <s v="CC200"/>
    <s v="AutoPost 1974"/>
    <s v="USD"/>
    <s v="2023-04"/>
    <n v="-1505.25"/>
    <m/>
  </r>
  <r>
    <s v="GL001975"/>
    <d v="2024-07-11T00:00:00"/>
    <n v="5010"/>
    <x v="3"/>
    <n v="1165.8499999999999"/>
    <n v="0"/>
    <x v="1"/>
    <s v="CC100"/>
    <s v="AutoPost 1975"/>
    <s v="AUD"/>
    <s v="2024-07"/>
    <n v="-1165.8499999999999"/>
    <m/>
  </r>
  <r>
    <s v="GL001976"/>
    <d v="2024-12-17T00:00:00"/>
    <n v="5000"/>
    <x v="1"/>
    <n v="424.86"/>
    <n v="0"/>
    <x v="4"/>
    <s v="CC400"/>
    <s v="AutoPost 1976"/>
    <s v="CAD"/>
    <s v="2024-12"/>
    <n v="-424.86"/>
    <m/>
  </r>
  <r>
    <s v="GL001977"/>
    <d v="2023-10-25T00:00:00"/>
    <n v="5000"/>
    <x v="1"/>
    <n v="1626.39"/>
    <n v="0"/>
    <x v="1"/>
    <s v="CC200"/>
    <s v="AutoPost 1977"/>
    <s v="EUR"/>
    <s v="2023-10"/>
    <n v="-1626.39"/>
    <m/>
  </r>
  <r>
    <s v="GL001978"/>
    <d v="2024-04-26T00:00:00"/>
    <n v="6000"/>
    <x v="2"/>
    <n v="559.39"/>
    <n v="0"/>
    <x v="3"/>
    <s v="CC100"/>
    <s v="AutoPost 1978"/>
    <s v="USD"/>
    <s v="2024-04"/>
    <n v="-559.39"/>
    <m/>
  </r>
  <r>
    <s v="GL001979"/>
    <d v="2024-05-09T00:00:00"/>
    <n v="5000"/>
    <x v="1"/>
    <n v="1234.21"/>
    <n v="0"/>
    <x v="4"/>
    <s v="CC200"/>
    <s v="AutoPost 1979"/>
    <s v="CAD"/>
    <s v="2024-05"/>
    <n v="-1234.21"/>
    <m/>
  </r>
  <r>
    <s v="GL001980"/>
    <d v="2024-02-16T00:00:00"/>
    <n v="6000"/>
    <x v="2"/>
    <n v="704.55"/>
    <n v="0"/>
    <x v="3"/>
    <s v="CC500"/>
    <s v="AutoPost 1980"/>
    <s v="EUR"/>
    <s v="2024-02"/>
    <n v="-704.55"/>
    <m/>
  </r>
  <r>
    <s v="GL001981"/>
    <d v="2023-02-08T00:00:00"/>
    <n v="4010"/>
    <x v="4"/>
    <n v="0"/>
    <n v="118.67"/>
    <x v="0"/>
    <s v="CC400"/>
    <s v="AutoPost 1981"/>
    <s v="CAD"/>
    <s v="2023-02"/>
    <n v="118.67"/>
    <m/>
  </r>
  <r>
    <s v="GL001982"/>
    <d v="2023-06-20T00:00:00"/>
    <n v="4000"/>
    <x v="0"/>
    <n v="0"/>
    <n v="1819.43"/>
    <x v="0"/>
    <s v="CC500"/>
    <s v="AutoPost 1982"/>
    <s v="EUR"/>
    <s v="2023-06"/>
    <n v="1819.43"/>
    <m/>
  </r>
  <r>
    <s v="GL001983"/>
    <d v="2023-09-11T00:00:00"/>
    <n v="5010"/>
    <x v="3"/>
    <n v="1104.31"/>
    <n v="0"/>
    <x v="3"/>
    <s v="CC500"/>
    <s v="AutoPost 1983"/>
    <s v="AUD"/>
    <s v="2023-09"/>
    <n v="-1104.31"/>
    <m/>
  </r>
  <r>
    <s v="GL001984"/>
    <d v="2023-01-20T00:00:00"/>
    <n v="5000"/>
    <x v="1"/>
    <n v="698.67"/>
    <n v="0"/>
    <x v="5"/>
    <s v="CC400"/>
    <s v="AutoPost 1984"/>
    <s v="AUD"/>
    <s v="2023-01"/>
    <n v="-698.67"/>
    <m/>
  </r>
  <r>
    <s v="GL001985"/>
    <d v="2024-10-16T00:00:00"/>
    <n v="4000"/>
    <x v="0"/>
    <n v="0"/>
    <n v="3256.52"/>
    <x v="3"/>
    <s v="CC200"/>
    <s v="AutoPost 1985"/>
    <s v="EUR"/>
    <s v="2024-10"/>
    <n v="3256.52"/>
    <m/>
  </r>
  <r>
    <s v="GL001986"/>
    <d v="2023-10-31T00:00:00"/>
    <n v="6000"/>
    <x v="2"/>
    <n v="415.73"/>
    <n v="0"/>
    <x v="3"/>
    <s v="CC500"/>
    <s v="AutoPost 1986"/>
    <s v="USD"/>
    <s v="2023-10"/>
    <n v="-415.73"/>
    <m/>
  </r>
  <r>
    <s v="GL001987"/>
    <d v="2025-03-31T00:00:00"/>
    <n v="5000"/>
    <x v="1"/>
    <n v="798.68"/>
    <n v="0"/>
    <x v="3"/>
    <s v="CC500"/>
    <s v="AutoPost 1987"/>
    <s v="CAD"/>
    <s v="2025-03"/>
    <n v="-798.68"/>
    <m/>
  </r>
  <r>
    <s v="GL001988"/>
    <d v="2023-03-23T00:00:00"/>
    <n v="5010"/>
    <x v="3"/>
    <n v="829.83"/>
    <n v="0"/>
    <x v="1"/>
    <s v="CC300"/>
    <s v="AutoPost 1988"/>
    <s v="AUD"/>
    <s v="2023-03"/>
    <n v="-829.83"/>
    <m/>
  </r>
  <r>
    <s v="GL001989"/>
    <d v="2024-10-26T00:00:00"/>
    <n v="5010"/>
    <x v="3"/>
    <n v="247.03"/>
    <n v="0"/>
    <x v="3"/>
    <s v="CC200"/>
    <s v="AutoPost 1989"/>
    <s v="USD"/>
    <s v="2024-10"/>
    <n v="-247.03"/>
    <m/>
  </r>
  <r>
    <s v="GL001990"/>
    <d v="2023-09-19T00:00:00"/>
    <n v="5000"/>
    <x v="1"/>
    <n v="688.11"/>
    <n v="0"/>
    <x v="1"/>
    <s v="CC200"/>
    <s v="AutoPost 1990"/>
    <s v="USD"/>
    <s v="2023-09"/>
    <n v="-688.11"/>
    <m/>
  </r>
  <r>
    <s v="GL001991"/>
    <d v="2024-08-26T00:00:00"/>
    <n v="6000"/>
    <x v="2"/>
    <n v="1196.93"/>
    <n v="0"/>
    <x v="3"/>
    <s v="CC300"/>
    <s v="AutoPost 1991"/>
    <s v="USD"/>
    <s v="2024-08"/>
    <n v="-1196.93"/>
    <m/>
  </r>
  <r>
    <s v="GL001992"/>
    <d v="2024-06-09T00:00:00"/>
    <n v="4010"/>
    <x v="4"/>
    <n v="0"/>
    <n v="2003.64"/>
    <x v="4"/>
    <s v="CC500"/>
    <s v="AutoPost 1992"/>
    <s v="CAD"/>
    <s v="2024-06"/>
    <n v="2003.64"/>
    <m/>
  </r>
  <r>
    <s v="GL001993"/>
    <d v="2024-11-19T00:00:00"/>
    <n v="4000"/>
    <x v="0"/>
    <n v="0"/>
    <n v="1233.1300000000001"/>
    <x v="0"/>
    <s v="CC200"/>
    <s v="AutoPost 1993"/>
    <s v="GBP"/>
    <s v="2024-11"/>
    <n v="1233.1300000000001"/>
    <m/>
  </r>
  <r>
    <s v="GL001994"/>
    <d v="2024-01-08T00:00:00"/>
    <n v="4010"/>
    <x v="4"/>
    <n v="0"/>
    <n v="767.31"/>
    <x v="0"/>
    <s v="CC100"/>
    <s v="AutoPost 1994"/>
    <s v="USD"/>
    <s v="2024-01"/>
    <n v="767.31"/>
    <m/>
  </r>
  <r>
    <s v="GL001995"/>
    <d v="2025-06-04T00:00:00"/>
    <n v="5010"/>
    <x v="3"/>
    <n v="719.33"/>
    <n v="0"/>
    <x v="2"/>
    <s v="CC300"/>
    <s v="AutoPost 1995"/>
    <s v="EUR"/>
    <s v="2025-06"/>
    <n v="-719.33"/>
    <m/>
  </r>
  <r>
    <s v="GL001996"/>
    <d v="2023-08-09T00:00:00"/>
    <n v="4000"/>
    <x v="0"/>
    <n v="0"/>
    <n v="2016.99"/>
    <x v="1"/>
    <s v="CC400"/>
    <s v="AutoPost 1996"/>
    <s v="CAD"/>
    <s v="2023-08"/>
    <n v="2016.99"/>
    <m/>
  </r>
  <r>
    <s v="GL001997"/>
    <d v="2023-11-19T00:00:00"/>
    <n v="4000"/>
    <x v="0"/>
    <n v="0"/>
    <n v="4719.37"/>
    <x v="5"/>
    <s v="CC100"/>
    <s v="AutoPost 1997"/>
    <s v="CAD"/>
    <s v="2023-11"/>
    <n v="4719.37"/>
    <m/>
  </r>
  <r>
    <s v="GL001998"/>
    <d v="2023-03-28T00:00:00"/>
    <n v="4010"/>
    <x v="4"/>
    <n v="0"/>
    <n v="4523.09"/>
    <x v="5"/>
    <s v="CC500"/>
    <s v="AutoPost 1998"/>
    <s v="AUD"/>
    <s v="2023-03"/>
    <n v="4523.09"/>
    <m/>
  </r>
  <r>
    <s v="GL001999"/>
    <d v="2024-09-20T00:00:00"/>
    <n v="4000"/>
    <x v="0"/>
    <n v="0"/>
    <n v="354.88"/>
    <x v="1"/>
    <s v="CC500"/>
    <s v="AutoPost 1999"/>
    <s v="USD"/>
    <s v="2024-09"/>
    <n v="354.88"/>
    <m/>
  </r>
  <r>
    <m/>
    <m/>
    <m/>
    <x v="5"/>
    <m/>
    <m/>
    <x v="6"/>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1">
  <r>
    <s v="GL000000"/>
    <x v="0"/>
    <n v="4000"/>
    <x v="0"/>
    <n v="0"/>
    <n v="2505.15"/>
    <x v="0"/>
    <s v="CC500"/>
    <s v="AutoPost 0"/>
    <s v="GBP"/>
    <s v="2024-05"/>
    <n v="2505.15"/>
    <n v="41215.19"/>
    <n v="-38710.04"/>
    <n v="-0.93921779809822536"/>
    <s v="Material"/>
  </r>
  <r>
    <s v="GL000001"/>
    <x v="1"/>
    <n v="5000"/>
    <x v="1"/>
    <n v="1184.73"/>
    <n v="0"/>
    <x v="1"/>
    <s v="CC500"/>
    <s v="AutoPost 1"/>
    <s v="GBP"/>
    <s v="2024-06"/>
    <n v="-1184.73"/>
    <n v="79918.89"/>
    <n v="-81103.62"/>
    <n v="-1.0148241548399883"/>
    <s v="Material"/>
  </r>
  <r>
    <s v="GL000002"/>
    <x v="2"/>
    <n v="5000"/>
    <x v="1"/>
    <n v="748.25"/>
    <n v="0"/>
    <x v="2"/>
    <s v="CC300"/>
    <s v="AutoPost 2"/>
    <s v="EUR"/>
    <s v="2025-01"/>
    <n v="-748.25"/>
    <n v="92014.18"/>
    <n v="-92762.43"/>
    <n v="-1.0081318988008152"/>
    <s v="Material"/>
  </r>
  <r>
    <s v="GL000003"/>
    <x v="3"/>
    <n v="6000"/>
    <x v="2"/>
    <n v="1610.64"/>
    <n v="0"/>
    <x v="0"/>
    <s v="CC400"/>
    <s v="AutoPost 3"/>
    <s v="AUD"/>
    <s v="2023-09"/>
    <n v="-1610.64"/>
    <n v="117680.6"/>
    <n v="-119291.24"/>
    <n v="-1.0136865379680253"/>
    <s v="Material"/>
  </r>
  <r>
    <s v="GL000004"/>
    <x v="4"/>
    <n v="5000"/>
    <x v="1"/>
    <n v="1053.1199999999999"/>
    <n v="0"/>
    <x v="1"/>
    <s v="CC400"/>
    <s v="AutoPost 4"/>
    <s v="USD"/>
    <s v="2023-08"/>
    <n v="-1053.1199999999999"/>
    <n v="32925.71"/>
    <n v="-33978.83"/>
    <n v="-1.0319847316883979"/>
    <s v="Material"/>
  </r>
  <r>
    <s v="GL000005"/>
    <x v="5"/>
    <n v="6000"/>
    <x v="2"/>
    <n v="1653.64"/>
    <n v="0"/>
    <x v="3"/>
    <s v="CC400"/>
    <s v="AutoPost 5"/>
    <s v="USD"/>
    <s v="2025-05"/>
    <n v="-1653.64"/>
    <n v="75074.820000000007"/>
    <n v="-76728.460000000006"/>
    <n v="-1.0220265596374389"/>
    <s v="Material"/>
  </r>
  <r>
    <s v="GL000006"/>
    <x v="6"/>
    <n v="5010"/>
    <x v="3"/>
    <n v="899.55"/>
    <n v="0"/>
    <x v="1"/>
    <s v="CC200"/>
    <s v="AutoPost 6"/>
    <s v="USD"/>
    <s v="2023-08"/>
    <n v="-899.55"/>
    <n v="42503.06"/>
    <n v="-43402.61"/>
    <n v="-1.0211643585191279"/>
    <s v="Material"/>
  </r>
  <r>
    <s v="GL000007"/>
    <x v="7"/>
    <n v="6000"/>
    <x v="2"/>
    <n v="247.27"/>
    <n v="0"/>
    <x v="3"/>
    <s v="CC500"/>
    <s v="AutoPost 7"/>
    <s v="USD"/>
    <s v="2023-12"/>
    <n v="-247.27"/>
    <n v="31047.85"/>
    <n v="-31295.119999999999"/>
    <n v="-1.0079641585488206"/>
    <s v="Material"/>
  </r>
  <r>
    <s v="GL000008"/>
    <x v="8"/>
    <n v="5000"/>
    <x v="1"/>
    <n v="202.02"/>
    <n v="0"/>
    <x v="4"/>
    <s v="CC300"/>
    <s v="AutoPost 8"/>
    <s v="GBP"/>
    <s v="2024-04"/>
    <n v="-202.02"/>
    <n v="26040.63"/>
    <n v="-26242.65"/>
    <n v="-1.0077578768255606"/>
    <s v="Material"/>
  </r>
  <r>
    <s v="GL000009"/>
    <x v="9"/>
    <n v="5000"/>
    <x v="1"/>
    <n v="1093.72"/>
    <n v="0"/>
    <x v="1"/>
    <s v="CC400"/>
    <s v="AutoPost 9"/>
    <s v="USD"/>
    <s v="2023-04"/>
    <n v="-1093.72"/>
    <n v="125902.24"/>
    <n v="-126995.96"/>
    <n v="-1.0086870575138298"/>
    <s v="Material"/>
  </r>
  <r>
    <s v="GL000010"/>
    <x v="10"/>
    <n v="4010"/>
    <x v="4"/>
    <n v="0"/>
    <n v="3282.35"/>
    <x v="3"/>
    <s v="CC100"/>
    <s v="AutoPost 10"/>
    <s v="CAD"/>
    <s v="2023-11"/>
    <n v="3282.35"/>
    <n v="100055.73"/>
    <n v="-96773.37999999999"/>
    <n v="-0.96719478234779754"/>
    <s v="Material"/>
  </r>
  <r>
    <s v="GL000011"/>
    <x v="11"/>
    <n v="4000"/>
    <x v="0"/>
    <n v="0"/>
    <n v="2452.1999999999998"/>
    <x v="3"/>
    <s v="CC200"/>
    <s v="AutoPost 11"/>
    <s v="EUR"/>
    <s v="2024-11"/>
    <n v="2452.1999999999998"/>
    <n v="72786.960000000006"/>
    <n v="-70334.760000000009"/>
    <n v="-0.96630989946550871"/>
    <s v="Material"/>
  </r>
  <r>
    <s v="GL000012"/>
    <x v="12"/>
    <n v="4000"/>
    <x v="0"/>
    <n v="0"/>
    <n v="3490.39"/>
    <x v="3"/>
    <s v="CC500"/>
    <s v="AutoPost 12"/>
    <s v="CAD"/>
    <s v="2024-05"/>
    <n v="3490.39"/>
    <n v="93664.65"/>
    <n v="-90174.26"/>
    <n v="-0.96273524750265971"/>
    <s v="Material"/>
  </r>
  <r>
    <s v="GL000013"/>
    <x v="13"/>
    <n v="4000"/>
    <x v="0"/>
    <n v="0"/>
    <n v="3379.63"/>
    <x v="0"/>
    <s v="CC100"/>
    <s v="AutoPost 13"/>
    <s v="CAD"/>
    <s v="2024-02"/>
    <n v="3379.63"/>
    <n v="115140.75"/>
    <n v="-111761.12"/>
    <n v="-0.97064783753796979"/>
    <s v="Material"/>
  </r>
  <r>
    <s v="GL000014"/>
    <x v="14"/>
    <n v="4010"/>
    <x v="4"/>
    <n v="0"/>
    <n v="1490.43"/>
    <x v="0"/>
    <s v="CC400"/>
    <s v="AutoPost 14"/>
    <s v="GBP"/>
    <s v="2025-04"/>
    <n v="1490.43"/>
    <n v="73898.42"/>
    <n v="-72407.990000000005"/>
    <n v="-0.97983136851911057"/>
    <s v="Material"/>
  </r>
  <r>
    <s v="GL000015"/>
    <x v="15"/>
    <n v="5000"/>
    <x v="1"/>
    <n v="1119.05"/>
    <n v="0"/>
    <x v="1"/>
    <s v="CC100"/>
    <s v="AutoPost 15"/>
    <s v="AUD"/>
    <s v="2023-04"/>
    <n v="-1119.05"/>
    <n v="46637.67"/>
    <n v="-47756.72"/>
    <n v="-1.0239945520434448"/>
    <s v="Material"/>
  </r>
  <r>
    <s v="GL000016"/>
    <x v="16"/>
    <n v="4010"/>
    <x v="4"/>
    <n v="0"/>
    <n v="4006.73"/>
    <x v="0"/>
    <s v="CC200"/>
    <s v="AutoPost 16"/>
    <s v="EUR"/>
    <s v="2025-03"/>
    <n v="4006.73"/>
    <n v="44332.15"/>
    <n v="-40325.42"/>
    <n v="-0.90962021918630154"/>
    <s v="Material"/>
  </r>
  <r>
    <s v="GL000017"/>
    <x v="17"/>
    <n v="4000"/>
    <x v="0"/>
    <n v="0"/>
    <n v="259.83999999999997"/>
    <x v="5"/>
    <s v="CC100"/>
    <s v="AutoPost 17"/>
    <s v="AUD"/>
    <s v="2024-11"/>
    <n v="259.83999999999997"/>
    <n v="112743.3"/>
    <n v="-112483.46"/>
    <n v="-0.99769529541888524"/>
    <s v="Material"/>
  </r>
  <r>
    <s v="GL000018"/>
    <x v="18"/>
    <n v="5010"/>
    <x v="3"/>
    <n v="735.45"/>
    <n v="0"/>
    <x v="2"/>
    <s v="CC100"/>
    <s v="AutoPost 18"/>
    <s v="CAD"/>
    <s v="2023-01"/>
    <n v="-735.45"/>
    <n v="141475.81"/>
    <n v="-142211.26"/>
    <n v="-1.0051984151919682"/>
    <s v="Material"/>
  </r>
  <r>
    <s v="GL000019"/>
    <x v="19"/>
    <n v="5000"/>
    <x v="1"/>
    <n v="154.43"/>
    <n v="0"/>
    <x v="5"/>
    <s v="CC300"/>
    <s v="AutoPost 19"/>
    <s v="CAD"/>
    <s v="2024-09"/>
    <n v="-154.43"/>
    <n v="102519.44"/>
    <n v="-102673.87"/>
    <n v="-1.0015063484544979"/>
    <s v="Material"/>
  </r>
  <r>
    <s v="GL000020"/>
    <x v="20"/>
    <n v="6000"/>
    <x v="2"/>
    <n v="359.1"/>
    <n v="0"/>
    <x v="2"/>
    <s v="CC300"/>
    <s v="AutoPost 20"/>
    <s v="CAD"/>
    <s v="2024-03"/>
    <n v="-359.1"/>
    <n v="100318.84"/>
    <n v="-100677.94"/>
    <n v="-1.0035795868453026"/>
    <s v="Material"/>
  </r>
  <r>
    <s v="GL000021"/>
    <x v="21"/>
    <n v="4010"/>
    <x v="4"/>
    <n v="0"/>
    <n v="1632.86"/>
    <x v="2"/>
    <s v="CC500"/>
    <s v="AutoPost 21"/>
    <s v="CAD"/>
    <s v="2023-07"/>
    <n v="1632.86"/>
    <n v="51361.43"/>
    <n v="-49728.57"/>
    <n v="-0.96820843967934689"/>
    <s v="Material"/>
  </r>
  <r>
    <s v="GL000022"/>
    <x v="22"/>
    <n v="5000"/>
    <x v="1"/>
    <n v="319.7"/>
    <n v="0"/>
    <x v="2"/>
    <s v="CC500"/>
    <s v="AutoPost 22"/>
    <s v="USD"/>
    <s v="2024-05"/>
    <n v="-319.7"/>
    <n v="29263.69"/>
    <n v="-29583.39"/>
    <n v="-1.0109248013493857"/>
    <s v="Material"/>
  </r>
  <r>
    <s v="GL000023"/>
    <x v="23"/>
    <n v="5000"/>
    <x v="1"/>
    <n v="546.02"/>
    <n v="0"/>
    <x v="2"/>
    <s v="CC200"/>
    <s v="AutoPost 23"/>
    <s v="CAD"/>
    <s v="2023-03"/>
    <n v="-546.02"/>
    <n v="146937.60999999999"/>
    <n v="-147483.62999999998"/>
    <n v="-1.0037159989195414"/>
    <s v="Material"/>
  </r>
  <r>
    <s v="GL000024"/>
    <x v="24"/>
    <n v="5010"/>
    <x v="3"/>
    <n v="267.04000000000002"/>
    <n v="0"/>
    <x v="1"/>
    <s v="CC200"/>
    <s v="AutoPost 24"/>
    <s v="AUD"/>
    <s v="2023-04"/>
    <n v="-267.04000000000002"/>
    <n v="70700.52"/>
    <n v="-70967.56"/>
    <n v="-1.003777058499711"/>
    <s v="Material"/>
  </r>
  <r>
    <s v="GL000025"/>
    <x v="25"/>
    <n v="4000"/>
    <x v="0"/>
    <n v="0"/>
    <n v="1650.08"/>
    <x v="2"/>
    <s v="CC200"/>
    <s v="AutoPost 25"/>
    <s v="USD"/>
    <s v="2025-05"/>
    <n v="1650.08"/>
    <n v="61495.92"/>
    <n v="-59845.84"/>
    <n v="-0.97316765079699596"/>
    <s v="Material"/>
  </r>
  <r>
    <s v="GL000026"/>
    <x v="26"/>
    <n v="5000"/>
    <x v="1"/>
    <n v="115"/>
    <n v="0"/>
    <x v="0"/>
    <s v="CC100"/>
    <s v="AutoPost 26"/>
    <s v="AUD"/>
    <s v="2024-11"/>
    <n v="-115"/>
    <n v="55254.78"/>
    <n v="-55369.78"/>
    <n v="-1.0020812679011661"/>
    <s v="Material"/>
  </r>
  <r>
    <s v="GL000027"/>
    <x v="27"/>
    <n v="4010"/>
    <x v="4"/>
    <n v="0"/>
    <n v="1073.4100000000001"/>
    <x v="0"/>
    <s v="CC400"/>
    <s v="AutoPost 27"/>
    <s v="AUD"/>
    <s v="2025-06"/>
    <n v="1073.4100000000001"/>
    <n v="124523.7"/>
    <n v="-123450.29"/>
    <n v="-0.99137987387139959"/>
    <s v="Material"/>
  </r>
  <r>
    <s v="GL000028"/>
    <x v="28"/>
    <n v="4010"/>
    <x v="4"/>
    <n v="0"/>
    <n v="3466"/>
    <x v="4"/>
    <s v="CC400"/>
    <s v="AutoPost 28"/>
    <s v="GBP"/>
    <s v="2025-03"/>
    <n v="3466"/>
    <n v="81015.75"/>
    <n v="-77549.75"/>
    <n v="-0.9572181952274712"/>
    <s v="Material"/>
  </r>
  <r>
    <s v="GL000029"/>
    <x v="29"/>
    <n v="5010"/>
    <x v="3"/>
    <n v="947.43"/>
    <n v="0"/>
    <x v="0"/>
    <s v="CC300"/>
    <s v="AutoPost 29"/>
    <s v="CAD"/>
    <s v="2024-03"/>
    <n v="-947.43"/>
    <n v="55099.41"/>
    <n v="-56046.840000000004"/>
    <n v="-1.0171949209619486"/>
    <s v="Material"/>
  </r>
  <r>
    <s v="GL000030"/>
    <x v="30"/>
    <n v="4010"/>
    <x v="4"/>
    <n v="0"/>
    <n v="4495.8900000000003"/>
    <x v="0"/>
    <s v="CC400"/>
    <s v="AutoPost 30"/>
    <s v="GBP"/>
    <s v="2024-01"/>
    <n v="4495.8900000000003"/>
    <n v="120462.05"/>
    <n v="-115966.16"/>
    <n v="-0.96267795542247536"/>
    <s v="Material"/>
  </r>
  <r>
    <s v="GL000031"/>
    <x v="31"/>
    <n v="5000"/>
    <x v="1"/>
    <n v="72.88"/>
    <n v="0"/>
    <x v="0"/>
    <s v="CC500"/>
    <s v="AutoPost 31"/>
    <s v="CAD"/>
    <s v="2024-05"/>
    <n v="-72.88"/>
    <n v="90267.18"/>
    <n v="-90340.06"/>
    <n v="-1.000807380932915"/>
    <s v="Material"/>
  </r>
  <r>
    <s v="GL000032"/>
    <x v="32"/>
    <n v="4010"/>
    <x v="4"/>
    <n v="0"/>
    <n v="867.61"/>
    <x v="2"/>
    <s v="CC500"/>
    <s v="AutoPost 32"/>
    <s v="AUD"/>
    <s v="2023-01"/>
    <n v="867.61"/>
    <n v="116604.87"/>
    <n v="-115737.26"/>
    <n v="-0.9925594016785062"/>
    <s v="Material"/>
  </r>
  <r>
    <s v="GL000033"/>
    <x v="33"/>
    <n v="5010"/>
    <x v="3"/>
    <n v="1416.83"/>
    <n v="0"/>
    <x v="5"/>
    <s v="CC500"/>
    <s v="AutoPost 33"/>
    <s v="USD"/>
    <s v="2023-11"/>
    <n v="-1416.83"/>
    <n v="48595.51"/>
    <n v="-50012.340000000004"/>
    <n v="-1.0291555742495553"/>
    <s v="Material"/>
  </r>
  <r>
    <s v="GL000034"/>
    <x v="34"/>
    <n v="5010"/>
    <x v="3"/>
    <n v="806.72"/>
    <n v="0"/>
    <x v="0"/>
    <s v="CC100"/>
    <s v="AutoPost 34"/>
    <s v="AUD"/>
    <s v="2024-07"/>
    <n v="-806.72"/>
    <n v="28599.200000000001"/>
    <n v="-29405.920000000002"/>
    <n v="-1.0282077820358613"/>
    <s v="Material"/>
  </r>
  <r>
    <s v="GL000035"/>
    <x v="35"/>
    <n v="4000"/>
    <x v="0"/>
    <n v="0"/>
    <n v="391.57"/>
    <x v="4"/>
    <s v="CC200"/>
    <s v="AutoPost 35"/>
    <s v="EUR"/>
    <s v="2024-05"/>
    <n v="391.57"/>
    <n v="42077.120000000003"/>
    <n v="-41685.550000000003"/>
    <n v="-0.9906939923644964"/>
    <s v="Material"/>
  </r>
  <r>
    <s v="GL000036"/>
    <x v="36"/>
    <n v="5000"/>
    <x v="1"/>
    <n v="248.09"/>
    <n v="0"/>
    <x v="4"/>
    <s v="CC500"/>
    <s v="AutoPost 36"/>
    <s v="EUR"/>
    <s v="2025-04"/>
    <n v="-248.09"/>
    <n v="89482.9"/>
    <n v="-89730.989999999991"/>
    <n v="-1.0027724850222779"/>
    <s v="Material"/>
  </r>
  <r>
    <s v="GL000037"/>
    <x v="37"/>
    <n v="5010"/>
    <x v="3"/>
    <n v="1469.2"/>
    <n v="0"/>
    <x v="2"/>
    <s v="CC500"/>
    <s v="AutoPost 37"/>
    <s v="USD"/>
    <s v="2023-06"/>
    <n v="-1469.2"/>
    <n v="66730.62"/>
    <n v="-68199.819999999992"/>
    <n v="-1.022016879207776"/>
    <s v="Material"/>
  </r>
  <r>
    <s v="GL000038"/>
    <x v="38"/>
    <n v="6000"/>
    <x v="2"/>
    <n v="1924.85"/>
    <n v="0"/>
    <x v="4"/>
    <s v="CC100"/>
    <s v="AutoPost 38"/>
    <s v="EUR"/>
    <s v="2025-01"/>
    <n v="-1924.85"/>
    <n v="127969.04"/>
    <n v="-129893.89"/>
    <n v="-1.0150415287947774"/>
    <s v="Material"/>
  </r>
  <r>
    <s v="GL000039"/>
    <x v="39"/>
    <n v="5010"/>
    <x v="3"/>
    <n v="1416.63"/>
    <n v="0"/>
    <x v="2"/>
    <s v="CC400"/>
    <s v="AutoPost 39"/>
    <s v="CAD"/>
    <s v="2024-02"/>
    <n v="-1416.63"/>
    <n v="98859.83"/>
    <n v="-100276.46"/>
    <n v="-1.0143296827437394"/>
    <s v="Material"/>
  </r>
  <r>
    <s v="GL000040"/>
    <x v="40"/>
    <n v="6000"/>
    <x v="2"/>
    <n v="358.23"/>
    <n v="0"/>
    <x v="0"/>
    <s v="CC400"/>
    <s v="AutoPost 40"/>
    <s v="AUD"/>
    <s v="2024-12"/>
    <n v="-358.23"/>
    <n v="75571.7"/>
    <n v="-75929.929999999993"/>
    <n v="-1.0047402665283431"/>
    <s v="Material"/>
  </r>
  <r>
    <s v="GL000041"/>
    <x v="41"/>
    <n v="5010"/>
    <x v="3"/>
    <n v="1647.4"/>
    <n v="0"/>
    <x v="1"/>
    <s v="CC100"/>
    <s v="AutoPost 41"/>
    <s v="EUR"/>
    <s v="2023-09"/>
    <n v="-1647.4"/>
    <n v="130984.44"/>
    <n v="-132631.84"/>
    <n v="-1.0125770664057501"/>
    <s v="Material"/>
  </r>
  <r>
    <s v="GL000042"/>
    <x v="42"/>
    <n v="5000"/>
    <x v="1"/>
    <n v="945.76"/>
    <n v="0"/>
    <x v="3"/>
    <s v="CC300"/>
    <s v="AutoPost 42"/>
    <s v="AUD"/>
    <s v="2023-02"/>
    <n v="-945.76"/>
    <n v="89085.04"/>
    <n v="-90030.799999999988"/>
    <n v="-1.0106163728500317"/>
    <s v="Material"/>
  </r>
  <r>
    <s v="GL000043"/>
    <x v="43"/>
    <n v="6000"/>
    <x v="2"/>
    <n v="941.14"/>
    <n v="0"/>
    <x v="4"/>
    <s v="CC400"/>
    <s v="AutoPost 43"/>
    <s v="EUR"/>
    <s v="2023-03"/>
    <n v="-941.14"/>
    <n v="116081.08"/>
    <n v="-117022.22"/>
    <n v="-1.0081076089230046"/>
    <s v="Material"/>
  </r>
  <r>
    <s v="GL000044"/>
    <x v="44"/>
    <n v="6000"/>
    <x v="2"/>
    <n v="142.16"/>
    <n v="0"/>
    <x v="5"/>
    <s v="CC200"/>
    <s v="AutoPost 44"/>
    <s v="EUR"/>
    <s v="2024-08"/>
    <n v="-142.16"/>
    <n v="64640.45"/>
    <n v="-64782.61"/>
    <n v="-1.0021992421154247"/>
    <s v="Material"/>
  </r>
  <r>
    <s v="GL000045"/>
    <x v="45"/>
    <n v="4010"/>
    <x v="4"/>
    <n v="0"/>
    <n v="1368.77"/>
    <x v="3"/>
    <s v="CC500"/>
    <s v="AutoPost 45"/>
    <s v="EUR"/>
    <s v="2024-03"/>
    <n v="1368.77"/>
    <n v="21211.21"/>
    <n v="-19842.439999999999"/>
    <n v="-0.93546949938263779"/>
    <s v="Material"/>
  </r>
  <r>
    <s v="GL000046"/>
    <x v="46"/>
    <n v="4000"/>
    <x v="0"/>
    <n v="0"/>
    <n v="2507.52"/>
    <x v="3"/>
    <s v="CC400"/>
    <s v="AutoPost 46"/>
    <s v="EUR"/>
    <s v="2023-01"/>
    <n v="2507.52"/>
    <n v="37532.769999999997"/>
    <n v="-35025.25"/>
    <n v="-0.93319118199909046"/>
    <s v="Material"/>
  </r>
  <r>
    <s v="GL000047"/>
    <x v="47"/>
    <n v="4000"/>
    <x v="0"/>
    <n v="0"/>
    <n v="1744.89"/>
    <x v="4"/>
    <s v="CC400"/>
    <s v="AutoPost 47"/>
    <s v="USD"/>
    <s v="2024-03"/>
    <n v="1744.89"/>
    <n v="28580.31"/>
    <n v="-26835.420000000002"/>
    <n v="-0.93894782806764521"/>
    <s v="Material"/>
  </r>
  <r>
    <s v="GL000048"/>
    <x v="5"/>
    <n v="6000"/>
    <x v="2"/>
    <n v="1408.09"/>
    <n v="0"/>
    <x v="2"/>
    <s v="CC400"/>
    <s v="AutoPost 48"/>
    <s v="CAD"/>
    <s v="2025-05"/>
    <n v="-1408.09"/>
    <m/>
    <n v="-1408.09"/>
    <s v="N/A"/>
    <s v=" "/>
  </r>
  <r>
    <s v="GL000049"/>
    <x v="48"/>
    <n v="6000"/>
    <x v="2"/>
    <n v="480.19"/>
    <n v="0"/>
    <x v="3"/>
    <s v="CC100"/>
    <s v="AutoPost 49"/>
    <s v="EUR"/>
    <s v="2023-03"/>
    <n v="-480.19"/>
    <m/>
    <n v="-480.19"/>
    <s v="N/A"/>
    <s v=" "/>
  </r>
  <r>
    <s v="GL000050"/>
    <x v="49"/>
    <n v="5000"/>
    <x v="1"/>
    <n v="1444.62"/>
    <n v="0"/>
    <x v="3"/>
    <s v="CC100"/>
    <s v="AutoPost 50"/>
    <s v="CAD"/>
    <s v="2024-09"/>
    <n v="-1444.62"/>
    <m/>
    <n v="-1444.62"/>
    <s v="N/A"/>
    <s v=" "/>
  </r>
  <r>
    <s v="GL000051"/>
    <x v="50"/>
    <n v="4000"/>
    <x v="0"/>
    <n v="0"/>
    <n v="4456.24"/>
    <x v="1"/>
    <s v="CC400"/>
    <s v="AutoPost 51"/>
    <s v="CAD"/>
    <s v="2024-10"/>
    <n v="4456.24"/>
    <m/>
    <n v="4456.24"/>
    <s v="N/A"/>
    <s v=" "/>
  </r>
  <r>
    <s v="GL000052"/>
    <x v="51"/>
    <n v="4000"/>
    <x v="0"/>
    <n v="0"/>
    <n v="4800.28"/>
    <x v="5"/>
    <s v="CC400"/>
    <s v="AutoPost 52"/>
    <s v="CAD"/>
    <s v="2025-06"/>
    <n v="4800.28"/>
    <m/>
    <n v="4800.28"/>
    <s v="N/A"/>
    <s v=" "/>
  </r>
  <r>
    <s v="GL000053"/>
    <x v="52"/>
    <n v="5000"/>
    <x v="1"/>
    <n v="425.12"/>
    <n v="0"/>
    <x v="3"/>
    <s v="CC500"/>
    <s v="AutoPost 53"/>
    <s v="AUD"/>
    <s v="2023-11"/>
    <n v="-425.12"/>
    <m/>
    <n v="-425.12"/>
    <s v="N/A"/>
    <s v=" "/>
  </r>
  <r>
    <s v="GL000054"/>
    <x v="53"/>
    <n v="6000"/>
    <x v="2"/>
    <n v="1830.18"/>
    <n v="0"/>
    <x v="4"/>
    <s v="CC500"/>
    <s v="AutoPost 54"/>
    <s v="EUR"/>
    <s v="2024-04"/>
    <n v="-1830.18"/>
    <m/>
    <n v="-1830.18"/>
    <s v="N/A"/>
    <s v=" "/>
  </r>
  <r>
    <s v="GL000055"/>
    <x v="54"/>
    <n v="4000"/>
    <x v="0"/>
    <n v="0"/>
    <n v="4128.6400000000003"/>
    <x v="0"/>
    <s v="CC100"/>
    <s v="AutoPost 55"/>
    <s v="AUD"/>
    <s v="2024-11"/>
    <n v="4128.6400000000003"/>
    <m/>
    <n v="4128.6400000000003"/>
    <s v="N/A"/>
    <s v=" "/>
  </r>
  <r>
    <s v="GL000056"/>
    <x v="55"/>
    <n v="5000"/>
    <x v="1"/>
    <n v="609.79999999999995"/>
    <n v="0"/>
    <x v="1"/>
    <s v="CC300"/>
    <s v="AutoPost 56"/>
    <s v="CAD"/>
    <s v="2023-04"/>
    <n v="-609.79999999999995"/>
    <m/>
    <n v="-609.79999999999995"/>
    <s v="N/A"/>
    <s v=" "/>
  </r>
  <r>
    <s v="GL000057"/>
    <x v="56"/>
    <n v="5010"/>
    <x v="3"/>
    <n v="279.32"/>
    <n v="0"/>
    <x v="3"/>
    <s v="CC400"/>
    <s v="AutoPost 57"/>
    <s v="USD"/>
    <s v="2023-12"/>
    <n v="-279.32"/>
    <m/>
    <n v="-279.32"/>
    <s v="N/A"/>
    <s v=" "/>
  </r>
  <r>
    <s v="GL000058"/>
    <x v="57"/>
    <n v="4010"/>
    <x v="4"/>
    <n v="0"/>
    <n v="1790.31"/>
    <x v="4"/>
    <s v="CC500"/>
    <s v="AutoPost 58"/>
    <s v="CAD"/>
    <s v="2024-09"/>
    <n v="1790.31"/>
    <m/>
    <n v="1790.31"/>
    <s v="N/A"/>
    <s v=" "/>
  </r>
  <r>
    <s v="GL000059"/>
    <x v="58"/>
    <n v="5010"/>
    <x v="3"/>
    <n v="1635.65"/>
    <n v="0"/>
    <x v="1"/>
    <s v="CC400"/>
    <s v="AutoPost 59"/>
    <s v="CAD"/>
    <s v="2024-02"/>
    <n v="-1635.65"/>
    <m/>
    <n v="-1635.65"/>
    <s v="N/A"/>
    <s v=" "/>
  </r>
  <r>
    <s v="GL000060"/>
    <x v="8"/>
    <n v="4000"/>
    <x v="0"/>
    <n v="0"/>
    <n v="3300.5"/>
    <x v="4"/>
    <s v="CC400"/>
    <s v="AutoPost 60"/>
    <s v="USD"/>
    <s v="2024-04"/>
    <n v="3300.5"/>
    <m/>
    <n v="3300.5"/>
    <s v="N/A"/>
    <s v=" "/>
  </r>
  <r>
    <s v="GL000061"/>
    <x v="59"/>
    <n v="6000"/>
    <x v="2"/>
    <n v="1704.76"/>
    <n v="0"/>
    <x v="3"/>
    <s v="CC300"/>
    <s v="AutoPost 61"/>
    <s v="AUD"/>
    <s v="2024-06"/>
    <n v="-1704.76"/>
    <m/>
    <n v="-1704.76"/>
    <s v="N/A"/>
    <s v=" "/>
  </r>
  <r>
    <s v="GL000062"/>
    <x v="60"/>
    <n v="5010"/>
    <x v="3"/>
    <n v="145.25"/>
    <n v="0"/>
    <x v="2"/>
    <s v="CC300"/>
    <s v="AutoPost 62"/>
    <s v="EUR"/>
    <s v="2023-09"/>
    <n v="-145.25"/>
    <m/>
    <n v="-145.25"/>
    <s v="N/A"/>
    <s v=" "/>
  </r>
  <r>
    <s v="GL000063"/>
    <x v="61"/>
    <n v="6000"/>
    <x v="2"/>
    <n v="1423.44"/>
    <n v="0"/>
    <x v="3"/>
    <s v="CC300"/>
    <s v="AutoPost 63"/>
    <s v="EUR"/>
    <s v="2024-08"/>
    <n v="-1423.44"/>
    <m/>
    <n v="-1423.44"/>
    <s v="N/A"/>
    <s v=" "/>
  </r>
  <r>
    <s v="GL000064"/>
    <x v="62"/>
    <n v="5010"/>
    <x v="3"/>
    <n v="793.01"/>
    <n v="0"/>
    <x v="2"/>
    <s v="CC100"/>
    <s v="AutoPost 64"/>
    <s v="CAD"/>
    <s v="2023-09"/>
    <n v="-793.01"/>
    <m/>
    <n v="-793.01"/>
    <s v="N/A"/>
    <s v=" "/>
  </r>
  <r>
    <s v="GL000065"/>
    <x v="63"/>
    <n v="4010"/>
    <x v="4"/>
    <n v="0"/>
    <n v="2977.78"/>
    <x v="3"/>
    <s v="CC300"/>
    <s v="AutoPost 65"/>
    <s v="USD"/>
    <s v="2023-02"/>
    <n v="2977.78"/>
    <m/>
    <n v="2977.78"/>
    <s v="N/A"/>
    <s v=" "/>
  </r>
  <r>
    <s v="GL000066"/>
    <x v="64"/>
    <n v="5010"/>
    <x v="3"/>
    <n v="1212.6500000000001"/>
    <n v="0"/>
    <x v="5"/>
    <s v="CC500"/>
    <s v="AutoPost 66"/>
    <s v="EUR"/>
    <s v="2023-10"/>
    <n v="-1212.6500000000001"/>
    <m/>
    <n v="-1212.6500000000001"/>
    <s v="N/A"/>
    <s v=" "/>
  </r>
  <r>
    <s v="GL000067"/>
    <x v="65"/>
    <n v="4000"/>
    <x v="0"/>
    <n v="0"/>
    <n v="1204.96"/>
    <x v="5"/>
    <s v="CC300"/>
    <s v="AutoPost 67"/>
    <s v="GBP"/>
    <s v="2025-05"/>
    <n v="1204.96"/>
    <m/>
    <n v="1204.96"/>
    <s v="N/A"/>
    <s v=" "/>
  </r>
  <r>
    <s v="GL000068"/>
    <x v="66"/>
    <n v="5010"/>
    <x v="3"/>
    <n v="1735.7"/>
    <n v="0"/>
    <x v="3"/>
    <s v="CC100"/>
    <s v="AutoPost 68"/>
    <s v="USD"/>
    <s v="2025-06"/>
    <n v="-1735.7"/>
    <m/>
    <n v="-1735.7"/>
    <s v="N/A"/>
    <s v=" "/>
  </r>
  <r>
    <s v="GL000069"/>
    <x v="67"/>
    <n v="6000"/>
    <x v="2"/>
    <n v="1095.32"/>
    <n v="0"/>
    <x v="4"/>
    <s v="CC500"/>
    <s v="AutoPost 69"/>
    <s v="AUD"/>
    <s v="2025-06"/>
    <n v="-1095.32"/>
    <m/>
    <n v="-1095.32"/>
    <s v="N/A"/>
    <s v=" "/>
  </r>
  <r>
    <s v="GL000070"/>
    <x v="68"/>
    <n v="6000"/>
    <x v="2"/>
    <n v="553.17999999999995"/>
    <n v="0"/>
    <x v="2"/>
    <s v="CC300"/>
    <s v="AutoPost 70"/>
    <s v="USD"/>
    <s v="2024-05"/>
    <n v="-553.17999999999995"/>
    <m/>
    <n v="-553.17999999999995"/>
    <s v="N/A"/>
    <s v=" "/>
  </r>
  <r>
    <s v="GL000071"/>
    <x v="69"/>
    <n v="4000"/>
    <x v="0"/>
    <n v="0"/>
    <n v="2434.5500000000002"/>
    <x v="4"/>
    <s v="CC300"/>
    <s v="AutoPost 71"/>
    <s v="CAD"/>
    <s v="2025-05"/>
    <n v="2434.5500000000002"/>
    <m/>
    <n v="2434.5500000000002"/>
    <s v="N/A"/>
    <s v=" "/>
  </r>
  <r>
    <s v="GL000072"/>
    <x v="70"/>
    <n v="5000"/>
    <x v="1"/>
    <n v="156.53"/>
    <n v="0"/>
    <x v="4"/>
    <s v="CC500"/>
    <s v="AutoPost 72"/>
    <s v="USD"/>
    <s v="2024-02"/>
    <n v="-156.53"/>
    <m/>
    <n v="-156.53"/>
    <s v="N/A"/>
    <s v=" "/>
  </r>
  <r>
    <s v="GL000073"/>
    <x v="71"/>
    <n v="6000"/>
    <x v="2"/>
    <n v="1231.32"/>
    <n v="0"/>
    <x v="1"/>
    <s v="CC200"/>
    <s v="AutoPost 73"/>
    <s v="GBP"/>
    <s v="2025-02"/>
    <n v="-1231.32"/>
    <m/>
    <n v="-1231.32"/>
    <s v="N/A"/>
    <s v=" "/>
  </r>
  <r>
    <s v="GL000074"/>
    <x v="72"/>
    <n v="5010"/>
    <x v="3"/>
    <n v="1844.88"/>
    <n v="0"/>
    <x v="0"/>
    <s v="CC100"/>
    <s v="AutoPost 74"/>
    <s v="AUD"/>
    <s v="2024-09"/>
    <n v="-1844.88"/>
    <m/>
    <n v="-1844.88"/>
    <s v="N/A"/>
    <s v=" "/>
  </r>
  <r>
    <s v="GL000075"/>
    <x v="73"/>
    <n v="5010"/>
    <x v="3"/>
    <n v="1368.26"/>
    <n v="0"/>
    <x v="4"/>
    <s v="CC500"/>
    <s v="AutoPost 75"/>
    <s v="GBP"/>
    <s v="2025-04"/>
    <n v="-1368.26"/>
    <m/>
    <n v="-1368.26"/>
    <s v="N/A"/>
    <s v=" "/>
  </r>
  <r>
    <s v="GL000076"/>
    <x v="12"/>
    <n v="4000"/>
    <x v="0"/>
    <n v="0"/>
    <n v="2609.56"/>
    <x v="0"/>
    <s v="CC400"/>
    <s v="AutoPost 76"/>
    <s v="GBP"/>
    <s v="2024-05"/>
    <n v="2609.56"/>
    <m/>
    <n v="2609.56"/>
    <s v="N/A"/>
    <s v=" "/>
  </r>
  <r>
    <s v="GL000077"/>
    <x v="74"/>
    <n v="6000"/>
    <x v="2"/>
    <n v="1420.84"/>
    <n v="0"/>
    <x v="2"/>
    <s v="CC400"/>
    <s v="AutoPost 77"/>
    <s v="AUD"/>
    <s v="2023-03"/>
    <n v="-1420.84"/>
    <m/>
    <n v="-1420.84"/>
    <s v="N/A"/>
    <s v=" "/>
  </r>
  <r>
    <s v="GL000078"/>
    <x v="75"/>
    <n v="5000"/>
    <x v="1"/>
    <n v="1671.57"/>
    <n v="0"/>
    <x v="4"/>
    <s v="CC300"/>
    <s v="AutoPost 78"/>
    <s v="GBP"/>
    <s v="2025-03"/>
    <n v="-1671.57"/>
    <m/>
    <n v="-1671.57"/>
    <s v="N/A"/>
    <s v=" "/>
  </r>
  <r>
    <s v="GL000079"/>
    <x v="76"/>
    <n v="6000"/>
    <x v="2"/>
    <n v="498.83"/>
    <n v="0"/>
    <x v="5"/>
    <s v="CC300"/>
    <s v="AutoPost 79"/>
    <s v="AUD"/>
    <s v="2023-03"/>
    <n v="-498.83"/>
    <m/>
    <n v="-498.83"/>
    <s v="N/A"/>
    <s v=" "/>
  </r>
  <r>
    <s v="GL000080"/>
    <x v="77"/>
    <n v="5010"/>
    <x v="3"/>
    <n v="1528.9"/>
    <n v="0"/>
    <x v="0"/>
    <s v="CC200"/>
    <s v="AutoPost 80"/>
    <s v="USD"/>
    <s v="2025-05"/>
    <n v="-1528.9"/>
    <m/>
    <n v="-1528.9"/>
    <s v="N/A"/>
    <s v=" "/>
  </r>
  <r>
    <s v="GL000081"/>
    <x v="62"/>
    <n v="4000"/>
    <x v="0"/>
    <n v="0"/>
    <n v="4706.6099999999997"/>
    <x v="2"/>
    <s v="CC300"/>
    <s v="AutoPost 81"/>
    <s v="EUR"/>
    <s v="2023-09"/>
    <n v="4706.6099999999997"/>
    <m/>
    <n v="4706.6099999999997"/>
    <s v="N/A"/>
    <s v=" "/>
  </r>
  <r>
    <s v="GL000082"/>
    <x v="78"/>
    <n v="5010"/>
    <x v="3"/>
    <n v="1105.6300000000001"/>
    <n v="0"/>
    <x v="0"/>
    <s v="CC300"/>
    <s v="AutoPost 82"/>
    <s v="AUD"/>
    <s v="2023-12"/>
    <n v="-1105.6300000000001"/>
    <m/>
    <n v="-1105.6300000000001"/>
    <s v="N/A"/>
    <s v=" "/>
  </r>
  <r>
    <s v="GL000083"/>
    <x v="79"/>
    <n v="4010"/>
    <x v="4"/>
    <n v="0"/>
    <n v="3399.04"/>
    <x v="2"/>
    <s v="CC200"/>
    <s v="AutoPost 83"/>
    <s v="AUD"/>
    <s v="2023-10"/>
    <n v="3399.04"/>
    <m/>
    <n v="3399.04"/>
    <s v="N/A"/>
    <s v=" "/>
  </r>
  <r>
    <s v="GL000084"/>
    <x v="80"/>
    <n v="5010"/>
    <x v="3"/>
    <n v="1163.98"/>
    <n v="0"/>
    <x v="0"/>
    <s v="CC100"/>
    <s v="AutoPost 84"/>
    <s v="GBP"/>
    <s v="2023-12"/>
    <n v="-1163.98"/>
    <m/>
    <n v="-1163.98"/>
    <s v="N/A"/>
    <s v=" "/>
  </r>
  <r>
    <s v="GL000085"/>
    <x v="81"/>
    <n v="4000"/>
    <x v="0"/>
    <n v="0"/>
    <n v="3532.66"/>
    <x v="2"/>
    <s v="CC300"/>
    <s v="AutoPost 85"/>
    <s v="USD"/>
    <s v="2023-10"/>
    <n v="3532.66"/>
    <m/>
    <n v="3532.66"/>
    <s v="N/A"/>
    <s v=" "/>
  </r>
  <r>
    <s v="GL000086"/>
    <x v="82"/>
    <n v="5010"/>
    <x v="3"/>
    <n v="1395.59"/>
    <n v="0"/>
    <x v="1"/>
    <s v="CC100"/>
    <s v="AutoPost 86"/>
    <s v="USD"/>
    <s v="2025-02"/>
    <n v="-1395.59"/>
    <m/>
    <n v="-1395.59"/>
    <s v="N/A"/>
    <s v=" "/>
  </r>
  <r>
    <s v="GL000087"/>
    <x v="83"/>
    <n v="5000"/>
    <x v="1"/>
    <n v="1441.07"/>
    <n v="0"/>
    <x v="4"/>
    <s v="CC100"/>
    <s v="AutoPost 87"/>
    <s v="CAD"/>
    <s v="2024-11"/>
    <n v="-1441.07"/>
    <m/>
    <n v="-1441.07"/>
    <s v="N/A"/>
    <s v=" "/>
  </r>
  <r>
    <s v="GL000088"/>
    <x v="84"/>
    <n v="4010"/>
    <x v="4"/>
    <n v="0"/>
    <n v="3845.76"/>
    <x v="0"/>
    <s v="CC500"/>
    <s v="AutoPost 88"/>
    <s v="USD"/>
    <s v="2023-12"/>
    <n v="3845.76"/>
    <m/>
    <n v="3845.76"/>
    <s v="N/A"/>
    <s v=" "/>
  </r>
  <r>
    <s v="GL000089"/>
    <x v="85"/>
    <n v="6000"/>
    <x v="2"/>
    <n v="1448.69"/>
    <n v="0"/>
    <x v="3"/>
    <s v="CC300"/>
    <s v="AutoPost 89"/>
    <s v="CAD"/>
    <s v="2023-07"/>
    <n v="-1448.69"/>
    <m/>
    <n v="-1448.69"/>
    <s v="N/A"/>
    <s v=" "/>
  </r>
  <r>
    <s v="GL000090"/>
    <x v="86"/>
    <n v="5000"/>
    <x v="1"/>
    <n v="74.5"/>
    <n v="0"/>
    <x v="2"/>
    <s v="CC500"/>
    <s v="AutoPost 90"/>
    <s v="GBP"/>
    <s v="2024-04"/>
    <n v="-74.5"/>
    <m/>
    <n v="-74.5"/>
    <s v="N/A"/>
    <s v=" "/>
  </r>
  <r>
    <s v="GL000091"/>
    <x v="87"/>
    <n v="4000"/>
    <x v="0"/>
    <n v="0"/>
    <n v="1071.73"/>
    <x v="5"/>
    <s v="CC400"/>
    <s v="AutoPost 91"/>
    <s v="USD"/>
    <s v="2024-11"/>
    <n v="1071.73"/>
    <m/>
    <n v="1071.73"/>
    <s v="N/A"/>
    <s v=" "/>
  </r>
  <r>
    <s v="GL000092"/>
    <x v="82"/>
    <n v="5000"/>
    <x v="1"/>
    <n v="1875.56"/>
    <n v="0"/>
    <x v="4"/>
    <s v="CC300"/>
    <s v="AutoPost 92"/>
    <s v="GBP"/>
    <s v="2025-02"/>
    <n v="-1875.56"/>
    <m/>
    <n v="-1875.56"/>
    <s v="N/A"/>
    <s v=" "/>
  </r>
  <r>
    <s v="GL000093"/>
    <x v="88"/>
    <n v="6000"/>
    <x v="2"/>
    <n v="1449.67"/>
    <n v="0"/>
    <x v="0"/>
    <s v="CC200"/>
    <s v="AutoPost 93"/>
    <s v="USD"/>
    <s v="2024-05"/>
    <n v="-1449.67"/>
    <m/>
    <n v="-1449.67"/>
    <s v="N/A"/>
    <s v=" "/>
  </r>
  <r>
    <s v="GL000094"/>
    <x v="89"/>
    <n v="5000"/>
    <x v="1"/>
    <n v="1782.21"/>
    <n v="0"/>
    <x v="5"/>
    <s v="CC500"/>
    <s v="AutoPost 94"/>
    <s v="AUD"/>
    <s v="2023-10"/>
    <n v="-1782.21"/>
    <m/>
    <n v="-1782.21"/>
    <s v="N/A"/>
    <s v=" "/>
  </r>
  <r>
    <s v="GL000095"/>
    <x v="55"/>
    <n v="4010"/>
    <x v="4"/>
    <n v="0"/>
    <n v="4889.25"/>
    <x v="5"/>
    <s v="CC300"/>
    <s v="AutoPost 95"/>
    <s v="AUD"/>
    <s v="2023-04"/>
    <n v="4889.25"/>
    <m/>
    <n v="4889.25"/>
    <s v="N/A"/>
    <s v=" "/>
  </r>
  <r>
    <s v="GL000096"/>
    <x v="90"/>
    <n v="6000"/>
    <x v="2"/>
    <n v="1101.33"/>
    <n v="0"/>
    <x v="0"/>
    <s v="CC500"/>
    <s v="AutoPost 96"/>
    <s v="GBP"/>
    <s v="2023-10"/>
    <n v="-1101.33"/>
    <m/>
    <n v="-1101.33"/>
    <s v="N/A"/>
    <s v=" "/>
  </r>
  <r>
    <s v="GL000097"/>
    <x v="91"/>
    <n v="5010"/>
    <x v="3"/>
    <n v="121.65"/>
    <n v="0"/>
    <x v="1"/>
    <s v="CC200"/>
    <s v="AutoPost 97"/>
    <s v="USD"/>
    <s v="2025-05"/>
    <n v="-121.65"/>
    <m/>
    <n v="-121.65"/>
    <s v="N/A"/>
    <s v=" "/>
  </r>
  <r>
    <s v="GL000098"/>
    <x v="92"/>
    <n v="5010"/>
    <x v="3"/>
    <n v="137.87"/>
    <n v="0"/>
    <x v="0"/>
    <s v="CC500"/>
    <s v="AutoPost 98"/>
    <s v="AUD"/>
    <s v="2023-02"/>
    <n v="-137.87"/>
    <m/>
    <n v="-137.87"/>
    <s v="N/A"/>
    <s v=" "/>
  </r>
  <r>
    <s v="GL000099"/>
    <x v="93"/>
    <n v="4000"/>
    <x v="0"/>
    <n v="0"/>
    <n v="792.94"/>
    <x v="4"/>
    <s v="CC400"/>
    <s v="AutoPost 99"/>
    <s v="CAD"/>
    <s v="2023-01"/>
    <n v="792.94"/>
    <m/>
    <n v="792.94"/>
    <s v="N/A"/>
    <s v=" "/>
  </r>
  <r>
    <s v="GL000100"/>
    <x v="94"/>
    <n v="4010"/>
    <x v="4"/>
    <n v="0"/>
    <n v="1346.1"/>
    <x v="1"/>
    <s v="CC300"/>
    <s v="AutoPost 100"/>
    <s v="USD"/>
    <s v="2025-01"/>
    <n v="1346.1"/>
    <m/>
    <n v="1346.1"/>
    <s v="N/A"/>
    <s v=" "/>
  </r>
  <r>
    <s v="GL000101"/>
    <x v="95"/>
    <n v="4010"/>
    <x v="4"/>
    <n v="0"/>
    <n v="961.26"/>
    <x v="5"/>
    <s v="CC300"/>
    <s v="AutoPost 101"/>
    <s v="CAD"/>
    <s v="2024-07"/>
    <n v="961.26"/>
    <m/>
    <n v="961.26"/>
    <s v="N/A"/>
    <s v=" "/>
  </r>
  <r>
    <s v="GL000102"/>
    <x v="96"/>
    <n v="5000"/>
    <x v="1"/>
    <n v="421.91"/>
    <n v="0"/>
    <x v="5"/>
    <s v="CC300"/>
    <s v="AutoPost 102"/>
    <s v="EUR"/>
    <s v="2024-10"/>
    <n v="-421.91"/>
    <m/>
    <n v="-421.91"/>
    <s v="N/A"/>
    <s v=" "/>
  </r>
  <r>
    <s v="GL000103"/>
    <x v="77"/>
    <n v="4000"/>
    <x v="0"/>
    <n v="0"/>
    <n v="1902.45"/>
    <x v="2"/>
    <s v="CC500"/>
    <s v="AutoPost 103"/>
    <s v="GBP"/>
    <s v="2025-05"/>
    <n v="1902.45"/>
    <m/>
    <n v="1902.45"/>
    <s v="N/A"/>
    <s v=" "/>
  </r>
  <r>
    <s v="GL000104"/>
    <x v="97"/>
    <n v="6000"/>
    <x v="2"/>
    <n v="764.96"/>
    <n v="0"/>
    <x v="4"/>
    <s v="CC200"/>
    <s v="AutoPost 104"/>
    <s v="USD"/>
    <s v="2023-09"/>
    <n v="-764.96"/>
    <m/>
    <n v="-764.96"/>
    <s v="N/A"/>
    <s v=" "/>
  </r>
  <r>
    <s v="GL000105"/>
    <x v="98"/>
    <n v="4000"/>
    <x v="0"/>
    <n v="0"/>
    <n v="734.03"/>
    <x v="0"/>
    <s v="CC100"/>
    <s v="AutoPost 105"/>
    <s v="EUR"/>
    <s v="2023-08"/>
    <n v="734.03"/>
    <m/>
    <n v="734.03"/>
    <s v="N/A"/>
    <s v=" "/>
  </r>
  <r>
    <s v="GL000106"/>
    <x v="99"/>
    <n v="5000"/>
    <x v="1"/>
    <n v="1157.81"/>
    <n v="0"/>
    <x v="3"/>
    <s v="CC400"/>
    <s v="AutoPost 106"/>
    <s v="AUD"/>
    <s v="2023-06"/>
    <n v="-1157.81"/>
    <m/>
    <n v="-1157.81"/>
    <s v="N/A"/>
    <s v=" "/>
  </r>
  <r>
    <s v="GL000107"/>
    <x v="100"/>
    <n v="5010"/>
    <x v="3"/>
    <n v="1552.29"/>
    <n v="0"/>
    <x v="4"/>
    <s v="CC400"/>
    <s v="AutoPost 107"/>
    <s v="GBP"/>
    <s v="2025-06"/>
    <n v="-1552.29"/>
    <m/>
    <n v="-1552.29"/>
    <s v="N/A"/>
    <s v=" "/>
  </r>
  <r>
    <s v="GL000108"/>
    <x v="101"/>
    <n v="6000"/>
    <x v="2"/>
    <n v="1400.69"/>
    <n v="0"/>
    <x v="1"/>
    <s v="CC400"/>
    <s v="AutoPost 108"/>
    <s v="GBP"/>
    <s v="2024-01"/>
    <n v="-1400.69"/>
    <m/>
    <n v="-1400.69"/>
    <s v="N/A"/>
    <s v=" "/>
  </r>
  <r>
    <s v="GL000109"/>
    <x v="102"/>
    <n v="5010"/>
    <x v="3"/>
    <n v="1548.81"/>
    <n v="0"/>
    <x v="5"/>
    <s v="CC100"/>
    <s v="AutoPost 109"/>
    <s v="AUD"/>
    <s v="2024-03"/>
    <n v="-1548.81"/>
    <m/>
    <n v="-1548.81"/>
    <s v="N/A"/>
    <s v=" "/>
  </r>
  <r>
    <s v="GL000110"/>
    <x v="103"/>
    <n v="6000"/>
    <x v="2"/>
    <n v="1166.95"/>
    <n v="0"/>
    <x v="0"/>
    <s v="CC100"/>
    <s v="AutoPost 110"/>
    <s v="GBP"/>
    <s v="2025-02"/>
    <n v="-1166.95"/>
    <m/>
    <n v="-1166.95"/>
    <s v="N/A"/>
    <s v=" "/>
  </r>
  <r>
    <s v="GL000111"/>
    <x v="104"/>
    <n v="4000"/>
    <x v="0"/>
    <n v="0"/>
    <n v="3630.78"/>
    <x v="4"/>
    <s v="CC300"/>
    <s v="AutoPost 111"/>
    <s v="CAD"/>
    <s v="2023-06"/>
    <n v="3630.78"/>
    <m/>
    <n v="3630.78"/>
    <s v="N/A"/>
    <s v=" "/>
  </r>
  <r>
    <s v="GL000112"/>
    <x v="105"/>
    <n v="4000"/>
    <x v="0"/>
    <n v="0"/>
    <n v="1148.97"/>
    <x v="1"/>
    <s v="CC100"/>
    <s v="AutoPost 112"/>
    <s v="CAD"/>
    <s v="2024-03"/>
    <n v="1148.97"/>
    <m/>
    <n v="1148.97"/>
    <s v="N/A"/>
    <s v=" "/>
  </r>
  <r>
    <s v="GL000113"/>
    <x v="106"/>
    <n v="4000"/>
    <x v="0"/>
    <n v="0"/>
    <n v="1826.98"/>
    <x v="4"/>
    <s v="CC200"/>
    <s v="AutoPost 113"/>
    <s v="AUD"/>
    <s v="2024-09"/>
    <n v="1826.98"/>
    <m/>
    <n v="1826.98"/>
    <s v="N/A"/>
    <s v=" "/>
  </r>
  <r>
    <s v="GL000114"/>
    <x v="107"/>
    <n v="5010"/>
    <x v="3"/>
    <n v="464.27"/>
    <n v="0"/>
    <x v="4"/>
    <s v="CC500"/>
    <s v="AutoPost 114"/>
    <s v="USD"/>
    <s v="2023-10"/>
    <n v="-464.27"/>
    <m/>
    <n v="-464.27"/>
    <s v="N/A"/>
    <s v=" "/>
  </r>
  <r>
    <s v="GL000115"/>
    <x v="108"/>
    <n v="5010"/>
    <x v="3"/>
    <n v="325.08999999999997"/>
    <n v="0"/>
    <x v="4"/>
    <s v="CC400"/>
    <s v="AutoPost 115"/>
    <s v="USD"/>
    <s v="2025-04"/>
    <n v="-325.08999999999997"/>
    <m/>
    <n v="-325.08999999999997"/>
    <s v="N/A"/>
    <s v=" "/>
  </r>
  <r>
    <s v="GL000116"/>
    <x v="9"/>
    <n v="4000"/>
    <x v="0"/>
    <n v="0"/>
    <n v="3674.13"/>
    <x v="1"/>
    <s v="CC100"/>
    <s v="AutoPost 116"/>
    <s v="CAD"/>
    <s v="2023-04"/>
    <n v="3674.13"/>
    <m/>
    <n v="3674.13"/>
    <s v="N/A"/>
    <s v=" "/>
  </r>
  <r>
    <s v="GL000117"/>
    <x v="97"/>
    <n v="4010"/>
    <x v="4"/>
    <n v="0"/>
    <n v="2578.4299999999998"/>
    <x v="4"/>
    <s v="CC300"/>
    <s v="AutoPost 117"/>
    <s v="GBP"/>
    <s v="2023-09"/>
    <n v="2578.4299999999998"/>
    <m/>
    <n v="2578.4299999999998"/>
    <s v="N/A"/>
    <s v=" "/>
  </r>
  <r>
    <s v="GL000118"/>
    <x v="109"/>
    <n v="6000"/>
    <x v="2"/>
    <n v="523.80999999999995"/>
    <n v="0"/>
    <x v="3"/>
    <s v="CC500"/>
    <s v="AutoPost 118"/>
    <s v="AUD"/>
    <s v="2025-01"/>
    <n v="-523.80999999999995"/>
    <m/>
    <n v="-523.80999999999995"/>
    <s v="N/A"/>
    <s v=" "/>
  </r>
  <r>
    <s v="GL000119"/>
    <x v="110"/>
    <n v="5010"/>
    <x v="3"/>
    <n v="1120.46"/>
    <n v="0"/>
    <x v="4"/>
    <s v="CC300"/>
    <s v="AutoPost 119"/>
    <s v="AUD"/>
    <s v="2024-11"/>
    <n v="-1120.46"/>
    <m/>
    <n v="-1120.46"/>
    <s v="N/A"/>
    <s v=" "/>
  </r>
  <r>
    <s v="GL000120"/>
    <x v="43"/>
    <n v="5000"/>
    <x v="1"/>
    <n v="547.59"/>
    <n v="0"/>
    <x v="2"/>
    <s v="CC500"/>
    <s v="AutoPost 120"/>
    <s v="AUD"/>
    <s v="2023-03"/>
    <n v="-547.59"/>
    <m/>
    <n v="-547.59"/>
    <s v="N/A"/>
    <s v=" "/>
  </r>
  <r>
    <s v="GL000121"/>
    <x v="111"/>
    <n v="4010"/>
    <x v="4"/>
    <n v="0"/>
    <n v="2032.52"/>
    <x v="5"/>
    <s v="CC400"/>
    <s v="AutoPost 121"/>
    <s v="CAD"/>
    <s v="2025-01"/>
    <n v="2032.52"/>
    <m/>
    <n v="2032.52"/>
    <s v="N/A"/>
    <s v=" "/>
  </r>
  <r>
    <s v="GL000122"/>
    <x v="112"/>
    <n v="6000"/>
    <x v="2"/>
    <n v="1405.18"/>
    <n v="0"/>
    <x v="5"/>
    <s v="CC300"/>
    <s v="AutoPost 122"/>
    <s v="GBP"/>
    <s v="2023-07"/>
    <n v="-1405.18"/>
    <m/>
    <n v="-1405.18"/>
    <s v="N/A"/>
    <s v=" "/>
  </r>
  <r>
    <s v="GL000123"/>
    <x v="113"/>
    <n v="5000"/>
    <x v="1"/>
    <n v="150.66999999999999"/>
    <n v="0"/>
    <x v="3"/>
    <s v="CC500"/>
    <s v="AutoPost 123"/>
    <s v="CAD"/>
    <s v="2024-02"/>
    <n v="-150.66999999999999"/>
    <m/>
    <n v="-150.66999999999999"/>
    <s v="N/A"/>
    <s v=" "/>
  </r>
  <r>
    <s v="GL000124"/>
    <x v="114"/>
    <n v="4010"/>
    <x v="4"/>
    <n v="0"/>
    <n v="902.67"/>
    <x v="2"/>
    <s v="CC300"/>
    <s v="AutoPost 124"/>
    <s v="CAD"/>
    <s v="2024-08"/>
    <n v="902.67"/>
    <m/>
    <n v="902.67"/>
    <s v="N/A"/>
    <s v=" "/>
  </r>
  <r>
    <s v="GL000125"/>
    <x v="115"/>
    <n v="4000"/>
    <x v="0"/>
    <n v="0"/>
    <n v="160.09"/>
    <x v="4"/>
    <s v="CC500"/>
    <s v="AutoPost 125"/>
    <s v="CAD"/>
    <s v="2023-11"/>
    <n v="160.09"/>
    <m/>
    <n v="160.09"/>
    <s v="N/A"/>
    <s v=" "/>
  </r>
  <r>
    <s v="GL000126"/>
    <x v="116"/>
    <n v="5010"/>
    <x v="3"/>
    <n v="367.4"/>
    <n v="0"/>
    <x v="2"/>
    <s v="CC500"/>
    <s v="AutoPost 126"/>
    <s v="AUD"/>
    <s v="2023-12"/>
    <n v="-367.4"/>
    <m/>
    <n v="-367.4"/>
    <s v="N/A"/>
    <s v=" "/>
  </r>
  <r>
    <s v="GL000127"/>
    <x v="117"/>
    <n v="4000"/>
    <x v="0"/>
    <n v="0"/>
    <n v="4964.84"/>
    <x v="1"/>
    <s v="CC500"/>
    <s v="AutoPost 127"/>
    <s v="GBP"/>
    <s v="2023-02"/>
    <n v="4964.84"/>
    <m/>
    <n v="4964.84"/>
    <s v="N/A"/>
    <s v=" "/>
  </r>
  <r>
    <s v="GL000128"/>
    <x v="108"/>
    <n v="5010"/>
    <x v="3"/>
    <n v="925"/>
    <n v="0"/>
    <x v="0"/>
    <s v="CC500"/>
    <s v="AutoPost 128"/>
    <s v="EUR"/>
    <s v="2025-04"/>
    <n v="-925"/>
    <m/>
    <n v="-925"/>
    <s v="N/A"/>
    <s v=" "/>
  </r>
  <r>
    <s v="GL000129"/>
    <x v="118"/>
    <n v="5000"/>
    <x v="1"/>
    <n v="1697.34"/>
    <n v="0"/>
    <x v="2"/>
    <s v="CC500"/>
    <s v="AutoPost 129"/>
    <s v="EUR"/>
    <s v="2025-01"/>
    <n v="-1697.34"/>
    <m/>
    <n v="-1697.34"/>
    <s v="N/A"/>
    <s v=" "/>
  </r>
  <r>
    <s v="GL000130"/>
    <x v="119"/>
    <n v="5000"/>
    <x v="1"/>
    <n v="308.37"/>
    <n v="0"/>
    <x v="5"/>
    <s v="CC500"/>
    <s v="AutoPost 130"/>
    <s v="CAD"/>
    <s v="2023-09"/>
    <n v="-308.37"/>
    <m/>
    <n v="-308.37"/>
    <s v="N/A"/>
    <s v=" "/>
  </r>
  <r>
    <s v="GL000131"/>
    <x v="95"/>
    <n v="5000"/>
    <x v="1"/>
    <n v="1304.32"/>
    <n v="0"/>
    <x v="5"/>
    <s v="CC400"/>
    <s v="AutoPost 131"/>
    <s v="USD"/>
    <s v="2024-07"/>
    <n v="-1304.32"/>
    <m/>
    <n v="-1304.32"/>
    <s v="N/A"/>
    <s v=" "/>
  </r>
  <r>
    <s v="GL000132"/>
    <x v="102"/>
    <n v="4010"/>
    <x v="4"/>
    <n v="0"/>
    <n v="3993.88"/>
    <x v="2"/>
    <s v="CC100"/>
    <s v="AutoPost 132"/>
    <s v="AUD"/>
    <s v="2024-03"/>
    <n v="3993.88"/>
    <m/>
    <n v="3993.88"/>
    <s v="N/A"/>
    <s v=" "/>
  </r>
  <r>
    <s v="GL000133"/>
    <x v="120"/>
    <n v="4000"/>
    <x v="0"/>
    <n v="0"/>
    <n v="703.6"/>
    <x v="3"/>
    <s v="CC100"/>
    <s v="AutoPost 133"/>
    <s v="GBP"/>
    <s v="2025-02"/>
    <n v="703.6"/>
    <m/>
    <n v="703.6"/>
    <s v="N/A"/>
    <s v=" "/>
  </r>
  <r>
    <s v="GL000134"/>
    <x v="121"/>
    <n v="5010"/>
    <x v="3"/>
    <n v="355.53"/>
    <n v="0"/>
    <x v="3"/>
    <s v="CC400"/>
    <s v="AutoPost 134"/>
    <s v="EUR"/>
    <s v="2024-08"/>
    <n v="-355.53"/>
    <m/>
    <n v="-355.53"/>
    <s v="N/A"/>
    <s v=" "/>
  </r>
  <r>
    <s v="GL000135"/>
    <x v="19"/>
    <n v="5000"/>
    <x v="1"/>
    <n v="1915.19"/>
    <n v="0"/>
    <x v="1"/>
    <s v="CC300"/>
    <s v="AutoPost 135"/>
    <s v="USD"/>
    <s v="2024-09"/>
    <n v="-1915.19"/>
    <m/>
    <n v="-1915.19"/>
    <s v="N/A"/>
    <s v=" "/>
  </r>
  <r>
    <s v="GL000136"/>
    <x v="122"/>
    <n v="4010"/>
    <x v="4"/>
    <n v="0"/>
    <n v="877.66"/>
    <x v="1"/>
    <s v="CC300"/>
    <s v="AutoPost 136"/>
    <s v="AUD"/>
    <s v="2023-09"/>
    <n v="877.66"/>
    <m/>
    <n v="877.66"/>
    <s v="N/A"/>
    <s v=" "/>
  </r>
  <r>
    <s v="GL000137"/>
    <x v="123"/>
    <n v="4010"/>
    <x v="4"/>
    <n v="0"/>
    <n v="2719.49"/>
    <x v="3"/>
    <s v="CC300"/>
    <s v="AutoPost 137"/>
    <s v="USD"/>
    <s v="2024-10"/>
    <n v="2719.49"/>
    <m/>
    <n v="2719.49"/>
    <s v="N/A"/>
    <s v=" "/>
  </r>
  <r>
    <s v="GL000138"/>
    <x v="124"/>
    <n v="5010"/>
    <x v="3"/>
    <n v="1695.8"/>
    <n v="0"/>
    <x v="1"/>
    <s v="CC100"/>
    <s v="AutoPost 138"/>
    <s v="EUR"/>
    <s v="2025-01"/>
    <n v="-1695.8"/>
    <m/>
    <n v="-1695.8"/>
    <s v="N/A"/>
    <s v=" "/>
  </r>
  <r>
    <s v="GL000139"/>
    <x v="125"/>
    <n v="6000"/>
    <x v="2"/>
    <n v="1304.8399999999999"/>
    <n v="0"/>
    <x v="1"/>
    <s v="CC100"/>
    <s v="AutoPost 139"/>
    <s v="AUD"/>
    <s v="2024-09"/>
    <n v="-1304.8399999999999"/>
    <m/>
    <n v="-1304.8399999999999"/>
    <s v="N/A"/>
    <s v=" "/>
  </r>
  <r>
    <s v="GL000140"/>
    <x v="126"/>
    <n v="4000"/>
    <x v="0"/>
    <n v="0"/>
    <n v="708.58"/>
    <x v="2"/>
    <s v="CC200"/>
    <s v="AutoPost 140"/>
    <s v="GBP"/>
    <s v="2025-06"/>
    <n v="708.58"/>
    <m/>
    <n v="708.58"/>
    <s v="N/A"/>
    <s v=" "/>
  </r>
  <r>
    <s v="GL000141"/>
    <x v="127"/>
    <n v="5010"/>
    <x v="3"/>
    <n v="1650.46"/>
    <n v="0"/>
    <x v="3"/>
    <s v="CC100"/>
    <s v="AutoPost 141"/>
    <s v="CAD"/>
    <s v="2023-12"/>
    <n v="-1650.46"/>
    <m/>
    <n v="-1650.46"/>
    <s v="N/A"/>
    <s v=" "/>
  </r>
  <r>
    <s v="GL000142"/>
    <x v="128"/>
    <n v="4010"/>
    <x v="4"/>
    <n v="0"/>
    <n v="1112.1600000000001"/>
    <x v="4"/>
    <s v="CC200"/>
    <s v="AutoPost 142"/>
    <s v="CAD"/>
    <s v="2023-08"/>
    <n v="1112.1600000000001"/>
    <m/>
    <n v="1112.1600000000001"/>
    <s v="N/A"/>
    <s v=" "/>
  </r>
  <r>
    <s v="GL000143"/>
    <x v="129"/>
    <n v="4000"/>
    <x v="0"/>
    <n v="0"/>
    <n v="3711.83"/>
    <x v="0"/>
    <s v="CC400"/>
    <s v="AutoPost 143"/>
    <s v="CAD"/>
    <s v="2024-06"/>
    <n v="3711.83"/>
    <m/>
    <n v="3711.83"/>
    <s v="N/A"/>
    <s v=" "/>
  </r>
  <r>
    <s v="GL000144"/>
    <x v="130"/>
    <n v="5000"/>
    <x v="1"/>
    <n v="715.32"/>
    <n v="0"/>
    <x v="3"/>
    <s v="CC300"/>
    <s v="AutoPost 144"/>
    <s v="GBP"/>
    <s v="2023-04"/>
    <n v="-715.32"/>
    <m/>
    <n v="-715.32"/>
    <s v="N/A"/>
    <s v=" "/>
  </r>
  <r>
    <s v="GL000145"/>
    <x v="131"/>
    <n v="6000"/>
    <x v="2"/>
    <n v="1366.61"/>
    <n v="0"/>
    <x v="1"/>
    <s v="CC200"/>
    <s v="AutoPost 145"/>
    <s v="USD"/>
    <s v="2023-06"/>
    <n v="-1366.61"/>
    <m/>
    <n v="-1366.61"/>
    <s v="N/A"/>
    <s v=" "/>
  </r>
  <r>
    <s v="GL000146"/>
    <x v="132"/>
    <n v="5000"/>
    <x v="1"/>
    <n v="1091.43"/>
    <n v="0"/>
    <x v="2"/>
    <s v="CC200"/>
    <s v="AutoPost 146"/>
    <s v="CAD"/>
    <s v="2023-05"/>
    <n v="-1091.43"/>
    <m/>
    <n v="-1091.43"/>
    <s v="N/A"/>
    <s v=" "/>
  </r>
  <r>
    <s v="GL000147"/>
    <x v="133"/>
    <n v="4000"/>
    <x v="0"/>
    <n v="0"/>
    <n v="1164.3499999999999"/>
    <x v="5"/>
    <s v="CC200"/>
    <s v="AutoPost 147"/>
    <s v="GBP"/>
    <s v="2024-06"/>
    <n v="1164.3499999999999"/>
    <m/>
    <n v="1164.3499999999999"/>
    <s v="N/A"/>
    <s v=" "/>
  </r>
  <r>
    <s v="GL000148"/>
    <x v="134"/>
    <n v="5010"/>
    <x v="3"/>
    <n v="1139.5"/>
    <n v="0"/>
    <x v="5"/>
    <s v="CC200"/>
    <s v="AutoPost 148"/>
    <s v="AUD"/>
    <s v="2024-03"/>
    <n v="-1139.5"/>
    <m/>
    <n v="-1139.5"/>
    <s v="N/A"/>
    <s v=" "/>
  </r>
  <r>
    <s v="GL000149"/>
    <x v="135"/>
    <n v="4000"/>
    <x v="0"/>
    <n v="0"/>
    <n v="338.86"/>
    <x v="4"/>
    <s v="CC400"/>
    <s v="AutoPost 149"/>
    <s v="USD"/>
    <s v="2025-01"/>
    <n v="338.86"/>
    <m/>
    <n v="338.86"/>
    <s v="N/A"/>
    <s v=" "/>
  </r>
  <r>
    <s v="GL000150"/>
    <x v="136"/>
    <n v="5000"/>
    <x v="1"/>
    <n v="1379.51"/>
    <n v="0"/>
    <x v="1"/>
    <s v="CC400"/>
    <s v="AutoPost 150"/>
    <s v="USD"/>
    <s v="2025-02"/>
    <n v="-1379.51"/>
    <m/>
    <n v="-1379.51"/>
    <s v="N/A"/>
    <s v=" "/>
  </r>
  <r>
    <s v="GL000151"/>
    <x v="137"/>
    <n v="4010"/>
    <x v="4"/>
    <n v="0"/>
    <n v="978.34"/>
    <x v="3"/>
    <s v="CC300"/>
    <s v="AutoPost 151"/>
    <s v="AUD"/>
    <s v="2024-03"/>
    <n v="978.34"/>
    <m/>
    <n v="978.34"/>
    <s v="N/A"/>
    <s v=" "/>
  </r>
  <r>
    <s v="GL000152"/>
    <x v="138"/>
    <n v="6000"/>
    <x v="2"/>
    <n v="1490.29"/>
    <n v="0"/>
    <x v="0"/>
    <s v="CC300"/>
    <s v="AutoPost 152"/>
    <s v="EUR"/>
    <s v="2025-06"/>
    <n v="-1490.29"/>
    <m/>
    <n v="-1490.29"/>
    <s v="N/A"/>
    <s v=" "/>
  </r>
  <r>
    <s v="GL000153"/>
    <x v="139"/>
    <n v="5010"/>
    <x v="3"/>
    <n v="1515.7"/>
    <n v="0"/>
    <x v="5"/>
    <s v="CC400"/>
    <s v="AutoPost 153"/>
    <s v="USD"/>
    <s v="2024-10"/>
    <n v="-1515.7"/>
    <m/>
    <n v="-1515.7"/>
    <s v="N/A"/>
    <s v=" "/>
  </r>
  <r>
    <s v="GL000154"/>
    <x v="140"/>
    <n v="4000"/>
    <x v="0"/>
    <n v="0"/>
    <n v="1736.2"/>
    <x v="5"/>
    <s v="CC400"/>
    <s v="AutoPost 154"/>
    <s v="GBP"/>
    <s v="2025-06"/>
    <n v="1736.2"/>
    <m/>
    <n v="1736.2"/>
    <s v="N/A"/>
    <s v=" "/>
  </r>
  <r>
    <s v="GL000155"/>
    <x v="141"/>
    <n v="6000"/>
    <x v="2"/>
    <n v="1711.43"/>
    <n v="0"/>
    <x v="4"/>
    <s v="CC400"/>
    <s v="AutoPost 155"/>
    <s v="CAD"/>
    <s v="2023-07"/>
    <n v="-1711.43"/>
    <m/>
    <n v="-1711.43"/>
    <s v="N/A"/>
    <s v=" "/>
  </r>
  <r>
    <s v="GL000156"/>
    <x v="142"/>
    <n v="6000"/>
    <x v="2"/>
    <n v="511.34"/>
    <n v="0"/>
    <x v="3"/>
    <s v="CC200"/>
    <s v="AutoPost 156"/>
    <s v="GBP"/>
    <s v="2023-04"/>
    <n v="-511.34"/>
    <m/>
    <n v="-511.34"/>
    <s v="N/A"/>
    <s v=" "/>
  </r>
  <r>
    <s v="GL000157"/>
    <x v="143"/>
    <n v="4000"/>
    <x v="0"/>
    <n v="0"/>
    <n v="4520.9799999999996"/>
    <x v="0"/>
    <s v="CC400"/>
    <s v="AutoPost 157"/>
    <s v="AUD"/>
    <s v="2023-04"/>
    <n v="4520.9799999999996"/>
    <m/>
    <n v="4520.9799999999996"/>
    <s v="N/A"/>
    <s v=" "/>
  </r>
  <r>
    <s v="GL000158"/>
    <x v="144"/>
    <n v="5000"/>
    <x v="1"/>
    <n v="1483.66"/>
    <n v="0"/>
    <x v="2"/>
    <s v="CC200"/>
    <s v="AutoPost 158"/>
    <s v="AUD"/>
    <s v="2023-01"/>
    <n v="-1483.66"/>
    <m/>
    <n v="-1483.66"/>
    <s v="N/A"/>
    <s v=" "/>
  </r>
  <r>
    <s v="GL000159"/>
    <x v="145"/>
    <n v="5010"/>
    <x v="3"/>
    <n v="571.01"/>
    <n v="0"/>
    <x v="4"/>
    <s v="CC300"/>
    <s v="AutoPost 159"/>
    <s v="EUR"/>
    <s v="2025-06"/>
    <n v="-571.01"/>
    <m/>
    <n v="-571.01"/>
    <s v="N/A"/>
    <s v=" "/>
  </r>
  <r>
    <s v="GL000160"/>
    <x v="146"/>
    <n v="6000"/>
    <x v="2"/>
    <n v="1556.44"/>
    <n v="0"/>
    <x v="5"/>
    <s v="CC400"/>
    <s v="AutoPost 160"/>
    <s v="USD"/>
    <s v="2023-12"/>
    <n v="-1556.44"/>
    <m/>
    <n v="-1556.44"/>
    <s v="N/A"/>
    <s v=" "/>
  </r>
  <r>
    <s v="GL000161"/>
    <x v="147"/>
    <n v="4000"/>
    <x v="0"/>
    <n v="0"/>
    <n v="2614.6799999999998"/>
    <x v="1"/>
    <s v="CC100"/>
    <s v="AutoPost 161"/>
    <s v="AUD"/>
    <s v="2025-02"/>
    <n v="2614.6799999999998"/>
    <m/>
    <n v="2614.6799999999998"/>
    <s v="N/A"/>
    <s v=" "/>
  </r>
  <r>
    <s v="GL000162"/>
    <x v="148"/>
    <n v="4000"/>
    <x v="0"/>
    <n v="0"/>
    <n v="3901.69"/>
    <x v="5"/>
    <s v="CC100"/>
    <s v="AutoPost 162"/>
    <s v="EUR"/>
    <s v="2024-12"/>
    <n v="3901.69"/>
    <m/>
    <n v="3901.69"/>
    <s v="N/A"/>
    <s v=" "/>
  </r>
  <r>
    <s v="GL000163"/>
    <x v="149"/>
    <n v="4010"/>
    <x v="4"/>
    <n v="0"/>
    <n v="1890.76"/>
    <x v="1"/>
    <s v="CC200"/>
    <s v="AutoPost 163"/>
    <s v="CAD"/>
    <s v="2025-02"/>
    <n v="1890.76"/>
    <m/>
    <n v="1890.76"/>
    <s v="N/A"/>
    <s v=" "/>
  </r>
  <r>
    <s v="GL000164"/>
    <x v="150"/>
    <n v="4010"/>
    <x v="4"/>
    <n v="0"/>
    <n v="1829.98"/>
    <x v="1"/>
    <s v="CC100"/>
    <s v="AutoPost 164"/>
    <s v="CAD"/>
    <s v="2024-07"/>
    <n v="1829.98"/>
    <m/>
    <n v="1829.98"/>
    <s v="N/A"/>
    <s v=" "/>
  </r>
  <r>
    <s v="GL000165"/>
    <x v="151"/>
    <n v="4000"/>
    <x v="0"/>
    <n v="0"/>
    <n v="1161.94"/>
    <x v="4"/>
    <s v="CC300"/>
    <s v="AutoPost 165"/>
    <s v="EUR"/>
    <s v="2024-06"/>
    <n v="1161.94"/>
    <m/>
    <n v="1161.94"/>
    <s v="N/A"/>
    <s v=" "/>
  </r>
  <r>
    <s v="GL000166"/>
    <x v="152"/>
    <n v="6000"/>
    <x v="2"/>
    <n v="1114.08"/>
    <n v="0"/>
    <x v="0"/>
    <s v="CC100"/>
    <s v="AutoPost 166"/>
    <s v="EUR"/>
    <s v="2023-11"/>
    <n v="-1114.08"/>
    <m/>
    <n v="-1114.08"/>
    <s v="N/A"/>
    <s v=" "/>
  </r>
  <r>
    <s v="GL000167"/>
    <x v="153"/>
    <n v="4010"/>
    <x v="4"/>
    <n v="0"/>
    <n v="859.97"/>
    <x v="0"/>
    <s v="CC100"/>
    <s v="AutoPost 167"/>
    <s v="EUR"/>
    <s v="2024-05"/>
    <n v="859.97"/>
    <m/>
    <n v="859.97"/>
    <s v="N/A"/>
    <s v=" "/>
  </r>
  <r>
    <s v="GL000168"/>
    <x v="154"/>
    <n v="5000"/>
    <x v="1"/>
    <n v="1369.63"/>
    <n v="0"/>
    <x v="0"/>
    <s v="CC100"/>
    <s v="AutoPost 168"/>
    <s v="USD"/>
    <s v="2023-09"/>
    <n v="-1369.63"/>
    <m/>
    <n v="-1369.63"/>
    <s v="N/A"/>
    <s v=" "/>
  </r>
  <r>
    <s v="GL000169"/>
    <x v="155"/>
    <n v="6000"/>
    <x v="2"/>
    <n v="1174.4100000000001"/>
    <n v="0"/>
    <x v="0"/>
    <s v="CC500"/>
    <s v="AutoPost 169"/>
    <s v="AUD"/>
    <s v="2023-01"/>
    <n v="-1174.4100000000001"/>
    <m/>
    <n v="-1174.4100000000001"/>
    <s v="N/A"/>
    <s v=" "/>
  </r>
  <r>
    <s v="GL000170"/>
    <x v="156"/>
    <n v="5010"/>
    <x v="3"/>
    <n v="605.78"/>
    <n v="0"/>
    <x v="3"/>
    <s v="CC200"/>
    <s v="AutoPost 170"/>
    <s v="EUR"/>
    <s v="2024-09"/>
    <n v="-605.78"/>
    <m/>
    <n v="-605.78"/>
    <s v="N/A"/>
    <s v=" "/>
  </r>
  <r>
    <s v="GL000171"/>
    <x v="157"/>
    <n v="5000"/>
    <x v="1"/>
    <n v="60.93"/>
    <n v="0"/>
    <x v="4"/>
    <s v="CC400"/>
    <s v="AutoPost 171"/>
    <s v="AUD"/>
    <s v="2024-04"/>
    <n v="-60.93"/>
    <m/>
    <n v="-60.93"/>
    <s v="N/A"/>
    <s v=" "/>
  </r>
  <r>
    <s v="GL000172"/>
    <x v="158"/>
    <n v="5010"/>
    <x v="3"/>
    <n v="210.91"/>
    <n v="0"/>
    <x v="2"/>
    <s v="CC400"/>
    <s v="AutoPost 172"/>
    <s v="EUR"/>
    <s v="2024-07"/>
    <n v="-210.91"/>
    <m/>
    <n v="-210.91"/>
    <s v="N/A"/>
    <s v=" "/>
  </r>
  <r>
    <s v="GL000173"/>
    <x v="159"/>
    <n v="5010"/>
    <x v="3"/>
    <n v="763.11"/>
    <n v="0"/>
    <x v="4"/>
    <s v="CC100"/>
    <s v="AutoPost 173"/>
    <s v="EUR"/>
    <s v="2025-03"/>
    <n v="-763.11"/>
    <m/>
    <n v="-763.11"/>
    <s v="N/A"/>
    <s v=" "/>
  </r>
  <r>
    <s v="GL000174"/>
    <x v="160"/>
    <n v="5000"/>
    <x v="1"/>
    <n v="858.91"/>
    <n v="0"/>
    <x v="3"/>
    <s v="CC400"/>
    <s v="AutoPost 174"/>
    <s v="EUR"/>
    <s v="2024-08"/>
    <n v="-858.91"/>
    <m/>
    <n v="-858.91"/>
    <s v="N/A"/>
    <s v=" "/>
  </r>
  <r>
    <s v="GL000175"/>
    <x v="161"/>
    <n v="5010"/>
    <x v="3"/>
    <n v="1330.42"/>
    <n v="0"/>
    <x v="0"/>
    <s v="CC300"/>
    <s v="AutoPost 175"/>
    <s v="USD"/>
    <s v="2024-02"/>
    <n v="-1330.42"/>
    <m/>
    <n v="-1330.42"/>
    <s v="N/A"/>
    <s v=" "/>
  </r>
  <r>
    <s v="GL000176"/>
    <x v="162"/>
    <n v="4000"/>
    <x v="0"/>
    <n v="0"/>
    <n v="1750.45"/>
    <x v="1"/>
    <s v="CC400"/>
    <s v="AutoPost 176"/>
    <s v="USD"/>
    <s v="2024-08"/>
    <n v="1750.45"/>
    <m/>
    <n v="1750.45"/>
    <s v="N/A"/>
    <s v=" "/>
  </r>
  <r>
    <s v="GL000177"/>
    <x v="146"/>
    <n v="4000"/>
    <x v="0"/>
    <n v="0"/>
    <n v="335.99"/>
    <x v="2"/>
    <s v="CC500"/>
    <s v="AutoPost 177"/>
    <s v="GBP"/>
    <s v="2023-12"/>
    <n v="335.99"/>
    <m/>
    <n v="335.99"/>
    <s v="N/A"/>
    <s v=" "/>
  </r>
  <r>
    <s v="GL000178"/>
    <x v="163"/>
    <n v="6000"/>
    <x v="2"/>
    <n v="1783.05"/>
    <n v="0"/>
    <x v="2"/>
    <s v="CC200"/>
    <s v="AutoPost 178"/>
    <s v="USD"/>
    <s v="2025-06"/>
    <n v="-1783.05"/>
    <m/>
    <n v="-1783.05"/>
    <s v="N/A"/>
    <s v=" "/>
  </r>
  <r>
    <s v="GL000179"/>
    <x v="164"/>
    <n v="5010"/>
    <x v="3"/>
    <n v="278.89"/>
    <n v="0"/>
    <x v="0"/>
    <s v="CC400"/>
    <s v="AutoPost 179"/>
    <s v="CAD"/>
    <s v="2023-04"/>
    <n v="-278.89"/>
    <m/>
    <n v="-278.89"/>
    <s v="N/A"/>
    <s v=" "/>
  </r>
  <r>
    <s v="GL000180"/>
    <x v="165"/>
    <n v="4010"/>
    <x v="4"/>
    <n v="0"/>
    <n v="4714.1099999999997"/>
    <x v="0"/>
    <s v="CC500"/>
    <s v="AutoPost 180"/>
    <s v="GBP"/>
    <s v="2025-04"/>
    <n v="4714.1099999999997"/>
    <m/>
    <n v="4714.1099999999997"/>
    <s v="N/A"/>
    <s v=" "/>
  </r>
  <r>
    <s v="GL000181"/>
    <x v="166"/>
    <n v="5010"/>
    <x v="3"/>
    <n v="782.32"/>
    <n v="0"/>
    <x v="3"/>
    <s v="CC100"/>
    <s v="AutoPost 181"/>
    <s v="USD"/>
    <s v="2023-01"/>
    <n v="-782.32"/>
    <m/>
    <n v="-782.32"/>
    <s v="N/A"/>
    <s v=" "/>
  </r>
  <r>
    <s v="GL000182"/>
    <x v="106"/>
    <n v="5000"/>
    <x v="1"/>
    <n v="209.01"/>
    <n v="0"/>
    <x v="3"/>
    <s v="CC200"/>
    <s v="AutoPost 182"/>
    <s v="GBP"/>
    <s v="2024-09"/>
    <n v="-209.01"/>
    <m/>
    <n v="-209.01"/>
    <s v="N/A"/>
    <s v=" "/>
  </r>
  <r>
    <s v="GL000183"/>
    <x v="134"/>
    <n v="5000"/>
    <x v="1"/>
    <n v="449.54"/>
    <n v="0"/>
    <x v="5"/>
    <s v="CC100"/>
    <s v="AutoPost 183"/>
    <s v="EUR"/>
    <s v="2024-03"/>
    <n v="-449.54"/>
    <m/>
    <n v="-449.54"/>
    <s v="N/A"/>
    <s v=" "/>
  </r>
  <r>
    <s v="GL000184"/>
    <x v="167"/>
    <n v="6000"/>
    <x v="2"/>
    <n v="1740.12"/>
    <n v="0"/>
    <x v="3"/>
    <s v="CC100"/>
    <s v="AutoPost 184"/>
    <s v="AUD"/>
    <s v="2023-09"/>
    <n v="-1740.12"/>
    <m/>
    <n v="-1740.12"/>
    <s v="N/A"/>
    <s v=" "/>
  </r>
  <r>
    <s v="GL000185"/>
    <x v="168"/>
    <n v="5000"/>
    <x v="1"/>
    <n v="1625.69"/>
    <n v="0"/>
    <x v="3"/>
    <s v="CC300"/>
    <s v="AutoPost 185"/>
    <s v="GBP"/>
    <s v="2023-05"/>
    <n v="-1625.69"/>
    <m/>
    <n v="-1625.69"/>
    <s v="N/A"/>
    <s v=" "/>
  </r>
  <r>
    <s v="GL000186"/>
    <x v="169"/>
    <n v="5000"/>
    <x v="1"/>
    <n v="586.76"/>
    <n v="0"/>
    <x v="4"/>
    <s v="CC400"/>
    <s v="AutoPost 186"/>
    <s v="AUD"/>
    <s v="2024-12"/>
    <n v="-586.76"/>
    <m/>
    <n v="-586.76"/>
    <s v="N/A"/>
    <s v=" "/>
  </r>
  <r>
    <s v="GL000187"/>
    <x v="170"/>
    <n v="4000"/>
    <x v="0"/>
    <n v="0"/>
    <n v="2824.84"/>
    <x v="3"/>
    <s v="CC100"/>
    <s v="AutoPost 187"/>
    <s v="GBP"/>
    <s v="2023-03"/>
    <n v="2824.84"/>
    <m/>
    <n v="2824.84"/>
    <s v="N/A"/>
    <s v=" "/>
  </r>
  <r>
    <s v="GL000188"/>
    <x v="171"/>
    <n v="4000"/>
    <x v="0"/>
    <n v="0"/>
    <n v="1046.78"/>
    <x v="3"/>
    <s v="CC500"/>
    <s v="AutoPost 188"/>
    <s v="AUD"/>
    <s v="2024-11"/>
    <n v="1046.78"/>
    <m/>
    <n v="1046.78"/>
    <s v="N/A"/>
    <s v=" "/>
  </r>
  <r>
    <s v="GL000189"/>
    <x v="172"/>
    <n v="4010"/>
    <x v="4"/>
    <n v="0"/>
    <n v="3930.36"/>
    <x v="0"/>
    <s v="CC300"/>
    <s v="AutoPost 189"/>
    <s v="GBP"/>
    <s v="2023-02"/>
    <n v="3930.36"/>
    <m/>
    <n v="3930.36"/>
    <s v="N/A"/>
    <s v=" "/>
  </r>
  <r>
    <s v="GL000190"/>
    <x v="57"/>
    <n v="4000"/>
    <x v="0"/>
    <n v="0"/>
    <n v="2772.6"/>
    <x v="4"/>
    <s v="CC200"/>
    <s v="AutoPost 190"/>
    <s v="AUD"/>
    <s v="2024-09"/>
    <n v="2772.6"/>
    <m/>
    <n v="2772.6"/>
    <s v="N/A"/>
    <s v=" "/>
  </r>
  <r>
    <s v="GL000191"/>
    <x v="173"/>
    <n v="5000"/>
    <x v="1"/>
    <n v="1409.16"/>
    <n v="0"/>
    <x v="2"/>
    <s v="CC500"/>
    <s v="AutoPost 191"/>
    <s v="EUR"/>
    <s v="2025-06"/>
    <n v="-1409.16"/>
    <m/>
    <n v="-1409.16"/>
    <s v="N/A"/>
    <s v=" "/>
  </r>
  <r>
    <s v="GL000192"/>
    <x v="116"/>
    <n v="4000"/>
    <x v="0"/>
    <n v="0"/>
    <n v="1470.69"/>
    <x v="2"/>
    <s v="CC300"/>
    <s v="AutoPost 192"/>
    <s v="GBP"/>
    <s v="2023-12"/>
    <n v="1470.69"/>
    <m/>
    <n v="1470.69"/>
    <s v="N/A"/>
    <s v=" "/>
  </r>
  <r>
    <s v="GL000193"/>
    <x v="174"/>
    <n v="4010"/>
    <x v="4"/>
    <n v="0"/>
    <n v="3549.99"/>
    <x v="0"/>
    <s v="CC100"/>
    <s v="AutoPost 193"/>
    <s v="EUR"/>
    <s v="2024-08"/>
    <n v="3549.99"/>
    <m/>
    <n v="3549.99"/>
    <s v="N/A"/>
    <s v=" "/>
  </r>
  <r>
    <s v="GL000194"/>
    <x v="144"/>
    <n v="4000"/>
    <x v="0"/>
    <n v="0"/>
    <n v="2371.4"/>
    <x v="3"/>
    <s v="CC200"/>
    <s v="AutoPost 194"/>
    <s v="CAD"/>
    <s v="2023-01"/>
    <n v="2371.4"/>
    <m/>
    <n v="2371.4"/>
    <s v="N/A"/>
    <s v=" "/>
  </r>
  <r>
    <s v="GL000195"/>
    <x v="175"/>
    <n v="6000"/>
    <x v="2"/>
    <n v="1869.71"/>
    <n v="0"/>
    <x v="1"/>
    <s v="CC400"/>
    <s v="AutoPost 195"/>
    <s v="AUD"/>
    <s v="2023-02"/>
    <n v="-1869.71"/>
    <m/>
    <n v="-1869.71"/>
    <s v="N/A"/>
    <s v=" "/>
  </r>
  <r>
    <s v="GL000196"/>
    <x v="176"/>
    <n v="5000"/>
    <x v="1"/>
    <n v="1812.22"/>
    <n v="0"/>
    <x v="3"/>
    <s v="CC200"/>
    <s v="AutoPost 196"/>
    <s v="CAD"/>
    <s v="2024-01"/>
    <n v="-1812.22"/>
    <m/>
    <n v="-1812.22"/>
    <s v="N/A"/>
    <s v=" "/>
  </r>
  <r>
    <s v="GL000197"/>
    <x v="177"/>
    <n v="5000"/>
    <x v="1"/>
    <n v="218.2"/>
    <n v="0"/>
    <x v="5"/>
    <s v="CC500"/>
    <s v="AutoPost 197"/>
    <s v="GBP"/>
    <s v="2023-02"/>
    <n v="-218.2"/>
    <m/>
    <n v="-218.2"/>
    <s v="N/A"/>
    <s v=" "/>
  </r>
  <r>
    <s v="GL000198"/>
    <x v="178"/>
    <n v="4010"/>
    <x v="4"/>
    <n v="0"/>
    <n v="965.46"/>
    <x v="2"/>
    <s v="CC100"/>
    <s v="AutoPost 198"/>
    <s v="AUD"/>
    <s v="2023-03"/>
    <n v="965.46"/>
    <m/>
    <n v="965.46"/>
    <s v="N/A"/>
    <s v=" "/>
  </r>
  <r>
    <s v="GL000199"/>
    <x v="179"/>
    <n v="4000"/>
    <x v="0"/>
    <n v="0"/>
    <n v="321.5"/>
    <x v="2"/>
    <s v="CC100"/>
    <s v="AutoPost 199"/>
    <s v="AUD"/>
    <s v="2024-09"/>
    <n v="321.5"/>
    <m/>
    <n v="321.5"/>
    <s v="N/A"/>
    <s v=" "/>
  </r>
  <r>
    <s v="GL000200"/>
    <x v="180"/>
    <n v="6000"/>
    <x v="2"/>
    <n v="763.01"/>
    <n v="0"/>
    <x v="1"/>
    <s v="CC100"/>
    <s v="AutoPost 200"/>
    <s v="GBP"/>
    <s v="2024-02"/>
    <n v="-763.01"/>
    <m/>
    <n v="-763.01"/>
    <s v="N/A"/>
    <s v=" "/>
  </r>
  <r>
    <s v="GL000201"/>
    <x v="181"/>
    <n v="4010"/>
    <x v="4"/>
    <n v="0"/>
    <n v="2497.61"/>
    <x v="2"/>
    <s v="CC400"/>
    <s v="AutoPost 201"/>
    <s v="USD"/>
    <s v="2023-01"/>
    <n v="2497.61"/>
    <m/>
    <n v="2497.61"/>
    <s v="N/A"/>
    <s v=" "/>
  </r>
  <r>
    <s v="GL000202"/>
    <x v="182"/>
    <n v="4000"/>
    <x v="0"/>
    <n v="0"/>
    <n v="4299.82"/>
    <x v="0"/>
    <s v="CC200"/>
    <s v="AutoPost 202"/>
    <s v="CAD"/>
    <s v="2024-09"/>
    <n v="4299.82"/>
    <m/>
    <n v="4299.82"/>
    <s v="N/A"/>
    <s v=" "/>
  </r>
  <r>
    <s v="GL000203"/>
    <x v="50"/>
    <n v="6000"/>
    <x v="2"/>
    <n v="492.26"/>
    <n v="0"/>
    <x v="0"/>
    <s v="CC400"/>
    <s v="AutoPost 203"/>
    <s v="USD"/>
    <s v="2024-10"/>
    <n v="-492.26"/>
    <m/>
    <n v="-492.26"/>
    <s v="N/A"/>
    <s v=" "/>
  </r>
  <r>
    <s v="GL000204"/>
    <x v="183"/>
    <n v="4000"/>
    <x v="0"/>
    <n v="0"/>
    <n v="4036.79"/>
    <x v="2"/>
    <s v="CC500"/>
    <s v="AutoPost 204"/>
    <s v="EUR"/>
    <s v="2023-08"/>
    <n v="4036.79"/>
    <m/>
    <n v="4036.79"/>
    <s v="N/A"/>
    <s v=" "/>
  </r>
  <r>
    <s v="GL000205"/>
    <x v="184"/>
    <n v="4010"/>
    <x v="4"/>
    <n v="0"/>
    <n v="3885.84"/>
    <x v="2"/>
    <s v="CC300"/>
    <s v="AutoPost 205"/>
    <s v="GBP"/>
    <s v="2024-09"/>
    <n v="3885.84"/>
    <m/>
    <n v="3885.84"/>
    <s v="N/A"/>
    <s v=" "/>
  </r>
  <r>
    <s v="GL000206"/>
    <x v="42"/>
    <n v="6000"/>
    <x v="2"/>
    <n v="1161.43"/>
    <n v="0"/>
    <x v="2"/>
    <s v="CC500"/>
    <s v="AutoPost 206"/>
    <s v="GBP"/>
    <s v="2023-02"/>
    <n v="-1161.43"/>
    <m/>
    <n v="-1161.43"/>
    <s v="N/A"/>
    <s v=" "/>
  </r>
  <r>
    <s v="GL000207"/>
    <x v="73"/>
    <n v="4000"/>
    <x v="0"/>
    <n v="0"/>
    <n v="4478.0600000000004"/>
    <x v="1"/>
    <s v="CC200"/>
    <s v="AutoPost 207"/>
    <s v="AUD"/>
    <s v="2025-04"/>
    <n v="4478.0600000000004"/>
    <m/>
    <n v="4478.0600000000004"/>
    <s v="N/A"/>
    <s v=" "/>
  </r>
  <r>
    <s v="GL000208"/>
    <x v="185"/>
    <n v="6000"/>
    <x v="2"/>
    <n v="169.1"/>
    <n v="0"/>
    <x v="5"/>
    <s v="CC500"/>
    <s v="AutoPost 208"/>
    <s v="CAD"/>
    <s v="2025-03"/>
    <n v="-169.1"/>
    <m/>
    <n v="-169.1"/>
    <s v="N/A"/>
    <s v=" "/>
  </r>
  <r>
    <s v="GL000209"/>
    <x v="154"/>
    <n v="5000"/>
    <x v="1"/>
    <n v="1138.92"/>
    <n v="0"/>
    <x v="1"/>
    <s v="CC100"/>
    <s v="AutoPost 209"/>
    <s v="AUD"/>
    <s v="2023-09"/>
    <n v="-1138.92"/>
    <m/>
    <n v="-1138.92"/>
    <s v="N/A"/>
    <s v=" "/>
  </r>
  <r>
    <s v="GL000210"/>
    <x v="186"/>
    <n v="4010"/>
    <x v="4"/>
    <n v="0"/>
    <n v="3750.39"/>
    <x v="4"/>
    <s v="CC300"/>
    <s v="AutoPost 210"/>
    <s v="CAD"/>
    <s v="2023-08"/>
    <n v="3750.39"/>
    <m/>
    <n v="3750.39"/>
    <s v="N/A"/>
    <s v=" "/>
  </r>
  <r>
    <s v="GL000211"/>
    <x v="187"/>
    <n v="5010"/>
    <x v="3"/>
    <n v="1619.58"/>
    <n v="0"/>
    <x v="0"/>
    <s v="CC400"/>
    <s v="AutoPost 211"/>
    <s v="USD"/>
    <s v="2023-11"/>
    <n v="-1619.58"/>
    <m/>
    <n v="-1619.58"/>
    <s v="N/A"/>
    <s v=" "/>
  </r>
  <r>
    <s v="GL000212"/>
    <x v="11"/>
    <n v="4010"/>
    <x v="4"/>
    <n v="0"/>
    <n v="668.17"/>
    <x v="0"/>
    <s v="CC400"/>
    <s v="AutoPost 212"/>
    <s v="CAD"/>
    <s v="2024-11"/>
    <n v="668.17"/>
    <m/>
    <n v="668.17"/>
    <s v="N/A"/>
    <s v=" "/>
  </r>
  <r>
    <s v="GL000213"/>
    <x v="188"/>
    <n v="5000"/>
    <x v="1"/>
    <n v="1003.8"/>
    <n v="0"/>
    <x v="3"/>
    <s v="CC100"/>
    <s v="AutoPost 213"/>
    <s v="AUD"/>
    <s v="2025-02"/>
    <n v="-1003.8"/>
    <m/>
    <n v="-1003.8"/>
    <s v="N/A"/>
    <s v=" "/>
  </r>
  <r>
    <s v="GL000214"/>
    <x v="189"/>
    <n v="4010"/>
    <x v="4"/>
    <n v="0"/>
    <n v="1941.69"/>
    <x v="0"/>
    <s v="CC200"/>
    <s v="AutoPost 214"/>
    <s v="EUR"/>
    <s v="2023-08"/>
    <n v="1941.69"/>
    <m/>
    <n v="1941.69"/>
    <s v="N/A"/>
    <s v=" "/>
  </r>
  <r>
    <s v="GL000215"/>
    <x v="190"/>
    <n v="5010"/>
    <x v="3"/>
    <n v="521.33000000000004"/>
    <n v="0"/>
    <x v="4"/>
    <s v="CC100"/>
    <s v="AutoPost 215"/>
    <s v="AUD"/>
    <s v="2024-01"/>
    <n v="-521.33000000000004"/>
    <m/>
    <n v="-521.33000000000004"/>
    <s v="N/A"/>
    <s v=" "/>
  </r>
  <r>
    <s v="GL000216"/>
    <x v="153"/>
    <n v="5010"/>
    <x v="3"/>
    <n v="1612.68"/>
    <n v="0"/>
    <x v="0"/>
    <s v="CC500"/>
    <s v="AutoPost 216"/>
    <s v="AUD"/>
    <s v="2024-05"/>
    <n v="-1612.68"/>
    <m/>
    <n v="-1612.68"/>
    <s v="N/A"/>
    <s v=" "/>
  </r>
  <r>
    <s v="GL000217"/>
    <x v="191"/>
    <n v="5000"/>
    <x v="1"/>
    <n v="1386.6"/>
    <n v="0"/>
    <x v="2"/>
    <s v="CC100"/>
    <s v="AutoPost 217"/>
    <s v="USD"/>
    <s v="2023-11"/>
    <n v="-1386.6"/>
    <m/>
    <n v="-1386.6"/>
    <s v="N/A"/>
    <s v=" "/>
  </r>
  <r>
    <s v="GL000218"/>
    <x v="192"/>
    <n v="5010"/>
    <x v="3"/>
    <n v="1060.0999999999999"/>
    <n v="0"/>
    <x v="5"/>
    <s v="CC100"/>
    <s v="AutoPost 218"/>
    <s v="EUR"/>
    <s v="2024-02"/>
    <n v="-1060.0999999999999"/>
    <m/>
    <n v="-1060.0999999999999"/>
    <s v="N/A"/>
    <s v=" "/>
  </r>
  <r>
    <s v="GL000219"/>
    <x v="193"/>
    <n v="5000"/>
    <x v="1"/>
    <n v="558.04"/>
    <n v="0"/>
    <x v="2"/>
    <s v="CC300"/>
    <s v="AutoPost 219"/>
    <s v="AUD"/>
    <s v="2025-03"/>
    <n v="-558.04"/>
    <m/>
    <n v="-558.04"/>
    <s v="N/A"/>
    <s v=" "/>
  </r>
  <r>
    <s v="GL000220"/>
    <x v="194"/>
    <n v="4000"/>
    <x v="0"/>
    <n v="0"/>
    <n v="345.31"/>
    <x v="0"/>
    <s v="CC200"/>
    <s v="AutoPost 220"/>
    <s v="AUD"/>
    <s v="2024-12"/>
    <n v="345.31"/>
    <m/>
    <n v="345.31"/>
    <s v="N/A"/>
    <s v=" "/>
  </r>
  <r>
    <s v="GL000221"/>
    <x v="195"/>
    <n v="4010"/>
    <x v="4"/>
    <n v="0"/>
    <n v="1449.49"/>
    <x v="0"/>
    <s v="CC200"/>
    <s v="AutoPost 221"/>
    <s v="EUR"/>
    <s v="2024-05"/>
    <n v="1449.49"/>
    <m/>
    <n v="1449.49"/>
    <s v="N/A"/>
    <s v=" "/>
  </r>
  <r>
    <s v="GL000222"/>
    <x v="196"/>
    <n v="6000"/>
    <x v="2"/>
    <n v="491.91"/>
    <n v="0"/>
    <x v="0"/>
    <s v="CC500"/>
    <s v="AutoPost 222"/>
    <s v="USD"/>
    <s v="2023-11"/>
    <n v="-491.91"/>
    <m/>
    <n v="-491.91"/>
    <s v="N/A"/>
    <s v=" "/>
  </r>
  <r>
    <s v="GL000223"/>
    <x v="197"/>
    <n v="5000"/>
    <x v="1"/>
    <n v="1439"/>
    <n v="0"/>
    <x v="5"/>
    <s v="CC300"/>
    <s v="AutoPost 223"/>
    <s v="AUD"/>
    <s v="2024-03"/>
    <n v="-1439"/>
    <m/>
    <n v="-1439"/>
    <s v="N/A"/>
    <s v=" "/>
  </r>
  <r>
    <s v="GL000224"/>
    <x v="198"/>
    <n v="6000"/>
    <x v="2"/>
    <n v="858.22"/>
    <n v="0"/>
    <x v="0"/>
    <s v="CC300"/>
    <s v="AutoPost 224"/>
    <s v="GBP"/>
    <s v="2023-04"/>
    <n v="-858.22"/>
    <m/>
    <n v="-858.22"/>
    <s v="N/A"/>
    <s v=" "/>
  </r>
  <r>
    <s v="GL000225"/>
    <x v="199"/>
    <n v="4010"/>
    <x v="4"/>
    <n v="0"/>
    <n v="4850.6400000000003"/>
    <x v="5"/>
    <s v="CC300"/>
    <s v="AutoPost 225"/>
    <s v="GBP"/>
    <s v="2023-12"/>
    <n v="4850.6400000000003"/>
    <m/>
    <n v="4850.6400000000003"/>
    <s v="N/A"/>
    <s v=" "/>
  </r>
  <r>
    <s v="GL000226"/>
    <x v="200"/>
    <n v="6000"/>
    <x v="2"/>
    <n v="103.53"/>
    <n v="0"/>
    <x v="2"/>
    <s v="CC400"/>
    <s v="AutoPost 226"/>
    <s v="CAD"/>
    <s v="2024-11"/>
    <n v="-103.53"/>
    <m/>
    <n v="-103.53"/>
    <s v="N/A"/>
    <s v=" "/>
  </r>
  <r>
    <s v="GL000227"/>
    <x v="201"/>
    <n v="4010"/>
    <x v="4"/>
    <n v="0"/>
    <n v="4048.34"/>
    <x v="4"/>
    <s v="CC300"/>
    <s v="AutoPost 227"/>
    <s v="GBP"/>
    <s v="2025-05"/>
    <n v="4048.34"/>
    <m/>
    <n v="4048.34"/>
    <s v="N/A"/>
    <s v=" "/>
  </r>
  <r>
    <s v="GL000228"/>
    <x v="140"/>
    <n v="5010"/>
    <x v="3"/>
    <n v="581.82000000000005"/>
    <n v="0"/>
    <x v="3"/>
    <s v="CC200"/>
    <s v="AutoPost 228"/>
    <s v="USD"/>
    <s v="2025-06"/>
    <n v="-581.82000000000005"/>
    <m/>
    <n v="-581.82000000000005"/>
    <s v="N/A"/>
    <s v=" "/>
  </r>
  <r>
    <s v="GL000229"/>
    <x v="202"/>
    <n v="6000"/>
    <x v="2"/>
    <n v="539.15"/>
    <n v="0"/>
    <x v="2"/>
    <s v="CC500"/>
    <s v="AutoPost 229"/>
    <s v="USD"/>
    <s v="2023-08"/>
    <n v="-539.15"/>
    <m/>
    <n v="-539.15"/>
    <s v="N/A"/>
    <s v=" "/>
  </r>
  <r>
    <s v="GL000230"/>
    <x v="203"/>
    <n v="4000"/>
    <x v="0"/>
    <n v="0"/>
    <n v="2862.93"/>
    <x v="1"/>
    <s v="CC500"/>
    <s v="AutoPost 230"/>
    <s v="EUR"/>
    <s v="2025-02"/>
    <n v="2862.93"/>
    <m/>
    <n v="2862.93"/>
    <s v="N/A"/>
    <s v=" "/>
  </r>
  <r>
    <s v="GL000231"/>
    <x v="204"/>
    <n v="4010"/>
    <x v="4"/>
    <n v="0"/>
    <n v="3938.51"/>
    <x v="3"/>
    <s v="CC200"/>
    <s v="AutoPost 231"/>
    <s v="GBP"/>
    <s v="2024-01"/>
    <n v="3938.51"/>
    <m/>
    <n v="3938.51"/>
    <s v="N/A"/>
    <s v=" "/>
  </r>
  <r>
    <s v="GL000232"/>
    <x v="205"/>
    <n v="5010"/>
    <x v="3"/>
    <n v="871.28"/>
    <n v="0"/>
    <x v="2"/>
    <s v="CC300"/>
    <s v="AutoPost 232"/>
    <s v="CAD"/>
    <s v="2023-08"/>
    <n v="-871.28"/>
    <m/>
    <n v="-871.28"/>
    <s v="N/A"/>
    <s v=" "/>
  </r>
  <r>
    <s v="GL000233"/>
    <x v="206"/>
    <n v="5000"/>
    <x v="1"/>
    <n v="1527.74"/>
    <n v="0"/>
    <x v="5"/>
    <s v="CC500"/>
    <s v="AutoPost 233"/>
    <s v="GBP"/>
    <s v="2023-07"/>
    <n v="-1527.74"/>
    <m/>
    <n v="-1527.74"/>
    <s v="N/A"/>
    <s v=" "/>
  </r>
  <r>
    <s v="GL000234"/>
    <x v="84"/>
    <n v="4000"/>
    <x v="0"/>
    <n v="0"/>
    <n v="1075.51"/>
    <x v="2"/>
    <s v="CC100"/>
    <s v="AutoPost 234"/>
    <s v="USD"/>
    <s v="2023-12"/>
    <n v="1075.51"/>
    <m/>
    <n v="1075.51"/>
    <s v="N/A"/>
    <s v=" "/>
  </r>
  <r>
    <s v="GL000235"/>
    <x v="207"/>
    <n v="4000"/>
    <x v="0"/>
    <n v="0"/>
    <n v="2361.1799999999998"/>
    <x v="2"/>
    <s v="CC100"/>
    <s v="AutoPost 235"/>
    <s v="USD"/>
    <s v="2024-04"/>
    <n v="2361.1799999999998"/>
    <m/>
    <n v="2361.1799999999998"/>
    <s v="N/A"/>
    <s v=" "/>
  </r>
  <r>
    <s v="GL000236"/>
    <x v="208"/>
    <n v="5010"/>
    <x v="3"/>
    <n v="151.34"/>
    <n v="0"/>
    <x v="3"/>
    <s v="CC500"/>
    <s v="AutoPost 236"/>
    <s v="AUD"/>
    <s v="2024-10"/>
    <n v="-151.34"/>
    <m/>
    <n v="-151.34"/>
    <s v="N/A"/>
    <s v=" "/>
  </r>
  <r>
    <s v="GL000237"/>
    <x v="209"/>
    <n v="4010"/>
    <x v="4"/>
    <n v="0"/>
    <n v="1299.3699999999999"/>
    <x v="3"/>
    <s v="CC300"/>
    <s v="AutoPost 237"/>
    <s v="USD"/>
    <s v="2023-01"/>
    <n v="1299.3699999999999"/>
    <m/>
    <n v="1299.3699999999999"/>
    <s v="N/A"/>
    <s v=" "/>
  </r>
  <r>
    <s v="GL000238"/>
    <x v="210"/>
    <n v="5000"/>
    <x v="1"/>
    <n v="118.21"/>
    <n v="0"/>
    <x v="2"/>
    <s v="CC300"/>
    <s v="AutoPost 238"/>
    <s v="EUR"/>
    <s v="2024-08"/>
    <n v="-118.21"/>
    <m/>
    <n v="-118.21"/>
    <s v="N/A"/>
    <s v=" "/>
  </r>
  <r>
    <s v="GL000239"/>
    <x v="211"/>
    <n v="4000"/>
    <x v="0"/>
    <n v="0"/>
    <n v="4864.04"/>
    <x v="1"/>
    <s v="CC500"/>
    <s v="AutoPost 239"/>
    <s v="GBP"/>
    <s v="2023-07"/>
    <n v="4864.04"/>
    <m/>
    <n v="4864.04"/>
    <s v="N/A"/>
    <s v=" "/>
  </r>
  <r>
    <s v="GL000240"/>
    <x v="212"/>
    <n v="4000"/>
    <x v="0"/>
    <n v="0"/>
    <n v="4495.32"/>
    <x v="4"/>
    <s v="CC200"/>
    <s v="AutoPost 240"/>
    <s v="GBP"/>
    <s v="2025-02"/>
    <n v="4495.32"/>
    <m/>
    <n v="4495.32"/>
    <s v="N/A"/>
    <s v=" "/>
  </r>
  <r>
    <s v="GL000241"/>
    <x v="213"/>
    <n v="6000"/>
    <x v="2"/>
    <n v="1121.29"/>
    <n v="0"/>
    <x v="2"/>
    <s v="CC100"/>
    <s v="AutoPost 241"/>
    <s v="EUR"/>
    <s v="2023-03"/>
    <n v="-1121.29"/>
    <m/>
    <n v="-1121.29"/>
    <s v="N/A"/>
    <s v=" "/>
  </r>
  <r>
    <s v="GL000242"/>
    <x v="214"/>
    <n v="6000"/>
    <x v="2"/>
    <n v="908.7"/>
    <n v="0"/>
    <x v="1"/>
    <s v="CC100"/>
    <s v="AutoPost 242"/>
    <s v="EUR"/>
    <s v="2023-01"/>
    <n v="-908.7"/>
    <m/>
    <n v="-908.7"/>
    <s v="N/A"/>
    <s v=" "/>
  </r>
  <r>
    <s v="GL000243"/>
    <x v="215"/>
    <n v="4010"/>
    <x v="4"/>
    <n v="0"/>
    <n v="3760.55"/>
    <x v="2"/>
    <s v="CC300"/>
    <s v="AutoPost 243"/>
    <s v="AUD"/>
    <s v="2023-05"/>
    <n v="3760.55"/>
    <m/>
    <n v="3760.55"/>
    <s v="N/A"/>
    <s v=" "/>
  </r>
  <r>
    <s v="GL000244"/>
    <x v="216"/>
    <n v="5000"/>
    <x v="1"/>
    <n v="86.6"/>
    <n v="0"/>
    <x v="0"/>
    <s v="CC300"/>
    <s v="AutoPost 244"/>
    <s v="GBP"/>
    <s v="2025-03"/>
    <n v="-86.6"/>
    <m/>
    <n v="-86.6"/>
    <s v="N/A"/>
    <s v=" "/>
  </r>
  <r>
    <s v="GL000245"/>
    <x v="217"/>
    <n v="4010"/>
    <x v="4"/>
    <n v="0"/>
    <n v="4264.16"/>
    <x v="1"/>
    <s v="CC300"/>
    <s v="AutoPost 245"/>
    <s v="GBP"/>
    <s v="2024-07"/>
    <n v="4264.16"/>
    <m/>
    <n v="4264.16"/>
    <s v="N/A"/>
    <s v=" "/>
  </r>
  <r>
    <s v="GL000246"/>
    <x v="218"/>
    <n v="4010"/>
    <x v="4"/>
    <n v="0"/>
    <n v="4005.6"/>
    <x v="0"/>
    <s v="CC200"/>
    <s v="AutoPost 246"/>
    <s v="USD"/>
    <s v="2023-11"/>
    <n v="4005.6"/>
    <m/>
    <n v="4005.6"/>
    <s v="N/A"/>
    <s v=" "/>
  </r>
  <r>
    <s v="GL000247"/>
    <x v="219"/>
    <n v="5000"/>
    <x v="1"/>
    <n v="736.75"/>
    <n v="0"/>
    <x v="3"/>
    <s v="CC200"/>
    <s v="AutoPost 247"/>
    <s v="EUR"/>
    <s v="2025-06"/>
    <n v="-736.75"/>
    <m/>
    <n v="-736.75"/>
    <s v="N/A"/>
    <s v=" "/>
  </r>
  <r>
    <s v="GL000248"/>
    <x v="220"/>
    <n v="4010"/>
    <x v="4"/>
    <n v="0"/>
    <n v="4679.5"/>
    <x v="1"/>
    <s v="CC500"/>
    <s v="AutoPost 248"/>
    <s v="AUD"/>
    <s v="2024-06"/>
    <n v="4679.5"/>
    <m/>
    <n v="4679.5"/>
    <s v="N/A"/>
    <s v=" "/>
  </r>
  <r>
    <s v="GL000249"/>
    <x v="221"/>
    <n v="5010"/>
    <x v="3"/>
    <n v="1226.52"/>
    <n v="0"/>
    <x v="5"/>
    <s v="CC200"/>
    <s v="AutoPost 249"/>
    <s v="USD"/>
    <s v="2025-03"/>
    <n v="-1226.52"/>
    <m/>
    <n v="-1226.52"/>
    <s v="N/A"/>
    <s v=" "/>
  </r>
  <r>
    <s v="GL000250"/>
    <x v="222"/>
    <n v="4000"/>
    <x v="0"/>
    <n v="0"/>
    <n v="2655.25"/>
    <x v="1"/>
    <s v="CC500"/>
    <s v="AutoPost 250"/>
    <s v="USD"/>
    <s v="2024-07"/>
    <n v="2655.25"/>
    <m/>
    <n v="2655.25"/>
    <s v="N/A"/>
    <s v=" "/>
  </r>
  <r>
    <s v="GL000251"/>
    <x v="223"/>
    <n v="4000"/>
    <x v="0"/>
    <n v="0"/>
    <n v="889.23"/>
    <x v="2"/>
    <s v="CC400"/>
    <s v="AutoPost 251"/>
    <s v="CAD"/>
    <s v="2023-07"/>
    <n v="889.23"/>
    <m/>
    <n v="889.23"/>
    <s v="N/A"/>
    <s v=" "/>
  </r>
  <r>
    <s v="GL000252"/>
    <x v="224"/>
    <n v="6000"/>
    <x v="2"/>
    <n v="734.75"/>
    <n v="0"/>
    <x v="3"/>
    <s v="CC200"/>
    <s v="AutoPost 252"/>
    <s v="GBP"/>
    <s v="2024-06"/>
    <n v="-734.75"/>
    <m/>
    <n v="-734.75"/>
    <s v="N/A"/>
    <s v=" "/>
  </r>
  <r>
    <s v="GL000253"/>
    <x v="225"/>
    <n v="6000"/>
    <x v="2"/>
    <n v="1799.36"/>
    <n v="0"/>
    <x v="4"/>
    <s v="CC400"/>
    <s v="AutoPost 253"/>
    <s v="CAD"/>
    <s v="2025-04"/>
    <n v="-1799.36"/>
    <m/>
    <n v="-1799.36"/>
    <s v="N/A"/>
    <s v=" "/>
  </r>
  <r>
    <s v="GL000254"/>
    <x v="226"/>
    <n v="6000"/>
    <x v="2"/>
    <n v="950.03"/>
    <n v="0"/>
    <x v="3"/>
    <s v="CC200"/>
    <s v="AutoPost 254"/>
    <s v="EUR"/>
    <s v="2023-01"/>
    <n v="-950.03"/>
    <m/>
    <n v="-950.03"/>
    <s v="N/A"/>
    <s v=" "/>
  </r>
  <r>
    <s v="GL000255"/>
    <x v="227"/>
    <n v="4000"/>
    <x v="0"/>
    <n v="0"/>
    <n v="1523.43"/>
    <x v="4"/>
    <s v="CC500"/>
    <s v="AutoPost 255"/>
    <s v="GBP"/>
    <s v="2024-11"/>
    <n v="1523.43"/>
    <m/>
    <n v="1523.43"/>
    <s v="N/A"/>
    <s v=" "/>
  </r>
  <r>
    <s v="GL000256"/>
    <x v="228"/>
    <n v="4000"/>
    <x v="0"/>
    <n v="0"/>
    <n v="2725.09"/>
    <x v="4"/>
    <s v="CC500"/>
    <s v="AutoPost 256"/>
    <s v="GBP"/>
    <s v="2025-04"/>
    <n v="2725.09"/>
    <m/>
    <n v="2725.09"/>
    <s v="N/A"/>
    <s v=" "/>
  </r>
  <r>
    <s v="GL000257"/>
    <x v="229"/>
    <n v="6000"/>
    <x v="2"/>
    <n v="1186.77"/>
    <n v="0"/>
    <x v="1"/>
    <s v="CC200"/>
    <s v="AutoPost 257"/>
    <s v="USD"/>
    <s v="2024-05"/>
    <n v="-1186.77"/>
    <m/>
    <n v="-1186.77"/>
    <s v="N/A"/>
    <s v=" "/>
  </r>
  <r>
    <s v="GL000258"/>
    <x v="230"/>
    <n v="4010"/>
    <x v="4"/>
    <n v="0"/>
    <n v="3404.96"/>
    <x v="0"/>
    <s v="CC500"/>
    <s v="AutoPost 258"/>
    <s v="AUD"/>
    <s v="2024-03"/>
    <n v="3404.96"/>
    <m/>
    <n v="3404.96"/>
    <s v="N/A"/>
    <s v=" "/>
  </r>
  <r>
    <s v="GL000259"/>
    <x v="231"/>
    <n v="5010"/>
    <x v="3"/>
    <n v="436.8"/>
    <n v="0"/>
    <x v="1"/>
    <s v="CC200"/>
    <s v="AutoPost 259"/>
    <s v="AUD"/>
    <s v="2023-06"/>
    <n v="-436.8"/>
    <m/>
    <n v="-436.8"/>
    <s v="N/A"/>
    <s v=" "/>
  </r>
  <r>
    <s v="GL000260"/>
    <x v="232"/>
    <n v="5000"/>
    <x v="1"/>
    <n v="1095.1300000000001"/>
    <n v="0"/>
    <x v="1"/>
    <s v="CC100"/>
    <s v="AutoPost 260"/>
    <s v="GBP"/>
    <s v="2023-07"/>
    <n v="-1095.1300000000001"/>
    <m/>
    <n v="-1095.1300000000001"/>
    <s v="N/A"/>
    <s v=" "/>
  </r>
  <r>
    <s v="GL000261"/>
    <x v="233"/>
    <n v="5010"/>
    <x v="3"/>
    <n v="393.67"/>
    <n v="0"/>
    <x v="3"/>
    <s v="CC400"/>
    <s v="AutoPost 261"/>
    <s v="AUD"/>
    <s v="2024-02"/>
    <n v="-393.67"/>
    <m/>
    <n v="-393.67"/>
    <s v="N/A"/>
    <s v=" "/>
  </r>
  <r>
    <s v="GL000262"/>
    <x v="234"/>
    <n v="4000"/>
    <x v="0"/>
    <n v="0"/>
    <n v="799.77"/>
    <x v="5"/>
    <s v="CC300"/>
    <s v="AutoPost 262"/>
    <s v="GBP"/>
    <s v="2025-02"/>
    <n v="799.77"/>
    <m/>
    <n v="799.77"/>
    <s v="N/A"/>
    <s v=" "/>
  </r>
  <r>
    <s v="GL000263"/>
    <x v="235"/>
    <n v="4000"/>
    <x v="0"/>
    <n v="0"/>
    <n v="4354.13"/>
    <x v="3"/>
    <s v="CC400"/>
    <s v="AutoPost 263"/>
    <s v="EUR"/>
    <s v="2024-01"/>
    <n v="4354.13"/>
    <m/>
    <n v="4354.13"/>
    <s v="N/A"/>
    <s v=" "/>
  </r>
  <r>
    <s v="GL000264"/>
    <x v="236"/>
    <n v="5000"/>
    <x v="1"/>
    <n v="1157.8"/>
    <n v="0"/>
    <x v="0"/>
    <s v="CC500"/>
    <s v="AutoPost 264"/>
    <s v="CAD"/>
    <s v="2025-01"/>
    <n v="-1157.8"/>
    <m/>
    <n v="-1157.8"/>
    <s v="N/A"/>
    <s v=" "/>
  </r>
  <r>
    <s v="GL000265"/>
    <x v="237"/>
    <n v="4000"/>
    <x v="0"/>
    <n v="0"/>
    <n v="2597.25"/>
    <x v="5"/>
    <s v="CC500"/>
    <s v="AutoPost 265"/>
    <s v="AUD"/>
    <s v="2023-10"/>
    <n v="2597.25"/>
    <m/>
    <n v="2597.25"/>
    <s v="N/A"/>
    <s v=" "/>
  </r>
  <r>
    <s v="GL000266"/>
    <x v="238"/>
    <n v="5000"/>
    <x v="1"/>
    <n v="1343.21"/>
    <n v="0"/>
    <x v="3"/>
    <s v="CC200"/>
    <s v="AutoPost 266"/>
    <s v="EUR"/>
    <s v="2025-05"/>
    <n v="-1343.21"/>
    <m/>
    <n v="-1343.21"/>
    <s v="N/A"/>
    <s v=" "/>
  </r>
  <r>
    <s v="GL000267"/>
    <x v="239"/>
    <n v="5010"/>
    <x v="3"/>
    <n v="1498.82"/>
    <n v="0"/>
    <x v="1"/>
    <s v="CC100"/>
    <s v="AutoPost 267"/>
    <s v="EUR"/>
    <s v="2023-09"/>
    <n v="-1498.82"/>
    <m/>
    <n v="-1498.82"/>
    <s v="N/A"/>
    <s v=" "/>
  </r>
  <r>
    <s v="GL000268"/>
    <x v="240"/>
    <n v="4000"/>
    <x v="0"/>
    <n v="0"/>
    <n v="4728.58"/>
    <x v="3"/>
    <s v="CC400"/>
    <s v="AutoPost 268"/>
    <s v="AUD"/>
    <s v="2024-02"/>
    <n v="4728.58"/>
    <m/>
    <n v="4728.58"/>
    <s v="N/A"/>
    <s v=" "/>
  </r>
  <r>
    <s v="GL000269"/>
    <x v="241"/>
    <n v="4010"/>
    <x v="4"/>
    <n v="0"/>
    <n v="3612.83"/>
    <x v="5"/>
    <s v="CC100"/>
    <s v="AutoPost 269"/>
    <s v="EUR"/>
    <s v="2024-02"/>
    <n v="3612.83"/>
    <m/>
    <n v="3612.83"/>
    <s v="N/A"/>
    <s v=" "/>
  </r>
  <r>
    <s v="GL000270"/>
    <x v="242"/>
    <n v="4010"/>
    <x v="4"/>
    <n v="0"/>
    <n v="4506.28"/>
    <x v="3"/>
    <s v="CC300"/>
    <s v="AutoPost 270"/>
    <s v="EUR"/>
    <s v="2023-06"/>
    <n v="4506.28"/>
    <m/>
    <n v="4506.28"/>
    <s v="N/A"/>
    <s v=" "/>
  </r>
  <r>
    <s v="GL000271"/>
    <x v="243"/>
    <n v="5010"/>
    <x v="3"/>
    <n v="1000.3"/>
    <n v="0"/>
    <x v="5"/>
    <s v="CC100"/>
    <s v="AutoPost 271"/>
    <s v="CAD"/>
    <s v="2023-11"/>
    <n v="-1000.3"/>
    <m/>
    <n v="-1000.3"/>
    <s v="N/A"/>
    <s v=" "/>
  </r>
  <r>
    <s v="GL000272"/>
    <x v="244"/>
    <n v="5000"/>
    <x v="1"/>
    <n v="991.08"/>
    <n v="0"/>
    <x v="4"/>
    <s v="CC300"/>
    <s v="AutoPost 272"/>
    <s v="CAD"/>
    <s v="2023-08"/>
    <n v="-991.08"/>
    <m/>
    <n v="-991.08"/>
    <s v="N/A"/>
    <s v=" "/>
  </r>
  <r>
    <s v="GL000273"/>
    <x v="245"/>
    <n v="5000"/>
    <x v="1"/>
    <n v="1499.52"/>
    <n v="0"/>
    <x v="4"/>
    <s v="CC500"/>
    <s v="AutoPost 273"/>
    <s v="AUD"/>
    <s v="2024-04"/>
    <n v="-1499.52"/>
    <m/>
    <n v="-1499.52"/>
    <s v="N/A"/>
    <s v=" "/>
  </r>
  <r>
    <s v="GL000274"/>
    <x v="246"/>
    <n v="4010"/>
    <x v="4"/>
    <n v="0"/>
    <n v="1203.8"/>
    <x v="4"/>
    <s v="CC500"/>
    <s v="AutoPost 274"/>
    <s v="GBP"/>
    <s v="2023-05"/>
    <n v="1203.8"/>
    <m/>
    <n v="1203.8"/>
    <s v="N/A"/>
    <s v=" "/>
  </r>
  <r>
    <s v="GL000275"/>
    <x v="247"/>
    <n v="4000"/>
    <x v="0"/>
    <n v="0"/>
    <n v="656.25"/>
    <x v="3"/>
    <s v="CC200"/>
    <s v="AutoPost 275"/>
    <s v="AUD"/>
    <s v="2024-01"/>
    <n v="656.25"/>
    <m/>
    <n v="656.25"/>
    <s v="N/A"/>
    <s v=" "/>
  </r>
  <r>
    <s v="GL000276"/>
    <x v="248"/>
    <n v="5000"/>
    <x v="1"/>
    <n v="620.29999999999995"/>
    <n v="0"/>
    <x v="1"/>
    <s v="CC100"/>
    <s v="AutoPost 276"/>
    <s v="CAD"/>
    <s v="2025-02"/>
    <n v="-620.29999999999995"/>
    <m/>
    <n v="-620.29999999999995"/>
    <s v="N/A"/>
    <s v=" "/>
  </r>
  <r>
    <s v="GL000277"/>
    <x v="249"/>
    <n v="6000"/>
    <x v="2"/>
    <n v="85.24"/>
    <n v="0"/>
    <x v="4"/>
    <s v="CC200"/>
    <s v="AutoPost 277"/>
    <s v="CAD"/>
    <s v="2025-04"/>
    <n v="-85.24"/>
    <m/>
    <n v="-85.24"/>
    <s v="N/A"/>
    <s v=" "/>
  </r>
  <r>
    <s v="GL000278"/>
    <x v="119"/>
    <n v="5010"/>
    <x v="3"/>
    <n v="628.62"/>
    <n v="0"/>
    <x v="1"/>
    <s v="CC200"/>
    <s v="AutoPost 278"/>
    <s v="AUD"/>
    <s v="2023-09"/>
    <n v="-628.62"/>
    <m/>
    <n v="-628.62"/>
    <s v="N/A"/>
    <s v=" "/>
  </r>
  <r>
    <s v="GL000279"/>
    <x v="24"/>
    <n v="4000"/>
    <x v="0"/>
    <n v="0"/>
    <n v="1358.19"/>
    <x v="3"/>
    <s v="CC400"/>
    <s v="AutoPost 279"/>
    <s v="GBP"/>
    <s v="2023-04"/>
    <n v="1358.19"/>
    <m/>
    <n v="1358.19"/>
    <s v="N/A"/>
    <s v=" "/>
  </r>
  <r>
    <s v="GL000280"/>
    <x v="222"/>
    <n v="4010"/>
    <x v="4"/>
    <n v="0"/>
    <n v="2329.64"/>
    <x v="4"/>
    <s v="CC400"/>
    <s v="AutoPost 280"/>
    <s v="USD"/>
    <s v="2024-07"/>
    <n v="2329.64"/>
    <m/>
    <n v="2329.64"/>
    <s v="N/A"/>
    <s v=" "/>
  </r>
  <r>
    <s v="GL000281"/>
    <x v="250"/>
    <n v="6000"/>
    <x v="2"/>
    <n v="1039.56"/>
    <n v="0"/>
    <x v="0"/>
    <s v="CC200"/>
    <s v="AutoPost 281"/>
    <s v="CAD"/>
    <s v="2025-01"/>
    <n v="-1039.56"/>
    <m/>
    <n v="-1039.56"/>
    <s v="N/A"/>
    <s v=" "/>
  </r>
  <r>
    <s v="GL000282"/>
    <x v="43"/>
    <n v="5010"/>
    <x v="3"/>
    <n v="1441.17"/>
    <n v="0"/>
    <x v="1"/>
    <s v="CC400"/>
    <s v="AutoPost 282"/>
    <s v="CAD"/>
    <s v="2023-03"/>
    <n v="-1441.17"/>
    <m/>
    <n v="-1441.17"/>
    <s v="N/A"/>
    <s v=" "/>
  </r>
  <r>
    <s v="GL000283"/>
    <x v="251"/>
    <n v="4000"/>
    <x v="0"/>
    <n v="0"/>
    <n v="873.53"/>
    <x v="2"/>
    <s v="CC200"/>
    <s v="AutoPost 283"/>
    <s v="EUR"/>
    <s v="2023-04"/>
    <n v="873.53"/>
    <m/>
    <n v="873.53"/>
    <s v="N/A"/>
    <s v=" "/>
  </r>
  <r>
    <s v="GL000284"/>
    <x v="252"/>
    <n v="4000"/>
    <x v="0"/>
    <n v="0"/>
    <n v="1932.35"/>
    <x v="0"/>
    <s v="CC400"/>
    <s v="AutoPost 284"/>
    <s v="AUD"/>
    <s v="2025-01"/>
    <n v="1932.35"/>
    <m/>
    <n v="1932.35"/>
    <s v="N/A"/>
    <s v=" "/>
  </r>
  <r>
    <s v="GL000285"/>
    <x v="253"/>
    <n v="5000"/>
    <x v="1"/>
    <n v="1733.12"/>
    <n v="0"/>
    <x v="0"/>
    <s v="CC500"/>
    <s v="AutoPost 285"/>
    <s v="CAD"/>
    <s v="2025-06"/>
    <n v="-1733.12"/>
    <m/>
    <n v="-1733.12"/>
    <s v="N/A"/>
    <s v=" "/>
  </r>
  <r>
    <s v="GL000286"/>
    <x v="227"/>
    <n v="4000"/>
    <x v="0"/>
    <n v="0"/>
    <n v="3004.12"/>
    <x v="0"/>
    <s v="CC200"/>
    <s v="AutoPost 286"/>
    <s v="EUR"/>
    <s v="2024-11"/>
    <n v="3004.12"/>
    <m/>
    <n v="3004.12"/>
    <s v="N/A"/>
    <s v=" "/>
  </r>
  <r>
    <s v="GL000287"/>
    <x v="254"/>
    <n v="5010"/>
    <x v="3"/>
    <n v="1521.85"/>
    <n v="0"/>
    <x v="2"/>
    <s v="CC100"/>
    <s v="AutoPost 287"/>
    <s v="AUD"/>
    <s v="2024-04"/>
    <n v="-1521.85"/>
    <m/>
    <n v="-1521.85"/>
    <s v="N/A"/>
    <s v=" "/>
  </r>
  <r>
    <s v="GL000288"/>
    <x v="212"/>
    <n v="5000"/>
    <x v="1"/>
    <n v="1486.16"/>
    <n v="0"/>
    <x v="3"/>
    <s v="CC500"/>
    <s v="AutoPost 288"/>
    <s v="AUD"/>
    <s v="2025-02"/>
    <n v="-1486.16"/>
    <m/>
    <n v="-1486.16"/>
    <s v="N/A"/>
    <s v=" "/>
  </r>
  <r>
    <s v="GL000289"/>
    <x v="255"/>
    <n v="5000"/>
    <x v="1"/>
    <n v="1308.19"/>
    <n v="0"/>
    <x v="0"/>
    <s v="CC400"/>
    <s v="AutoPost 289"/>
    <s v="USD"/>
    <s v="2025-04"/>
    <n v="-1308.19"/>
    <m/>
    <n v="-1308.19"/>
    <s v="N/A"/>
    <s v=" "/>
  </r>
  <r>
    <s v="GL000290"/>
    <x v="71"/>
    <n v="5000"/>
    <x v="1"/>
    <n v="1765.16"/>
    <n v="0"/>
    <x v="3"/>
    <s v="CC200"/>
    <s v="AutoPost 290"/>
    <s v="AUD"/>
    <s v="2025-02"/>
    <n v="-1765.16"/>
    <m/>
    <n v="-1765.16"/>
    <s v="N/A"/>
    <s v=" "/>
  </r>
  <r>
    <s v="GL000291"/>
    <x v="256"/>
    <n v="5010"/>
    <x v="3"/>
    <n v="842.35"/>
    <n v="0"/>
    <x v="3"/>
    <s v="CC200"/>
    <s v="AutoPost 291"/>
    <s v="USD"/>
    <s v="2024-05"/>
    <n v="-842.35"/>
    <m/>
    <n v="-842.35"/>
    <s v="N/A"/>
    <s v=" "/>
  </r>
  <r>
    <s v="GL000292"/>
    <x v="257"/>
    <n v="5010"/>
    <x v="3"/>
    <n v="788.28"/>
    <n v="0"/>
    <x v="1"/>
    <s v="CC500"/>
    <s v="AutoPost 292"/>
    <s v="EUR"/>
    <s v="2024-02"/>
    <n v="-788.28"/>
    <m/>
    <n v="-788.28"/>
    <s v="N/A"/>
    <s v=" "/>
  </r>
  <r>
    <s v="GL000293"/>
    <x v="121"/>
    <n v="4000"/>
    <x v="0"/>
    <n v="0"/>
    <n v="239.94"/>
    <x v="4"/>
    <s v="CC200"/>
    <s v="AutoPost 293"/>
    <s v="EUR"/>
    <s v="2024-08"/>
    <n v="239.94"/>
    <m/>
    <n v="239.94"/>
    <s v="N/A"/>
    <s v=" "/>
  </r>
  <r>
    <s v="GL000294"/>
    <x v="258"/>
    <n v="4000"/>
    <x v="0"/>
    <n v="0"/>
    <n v="4378.1899999999996"/>
    <x v="3"/>
    <s v="CC400"/>
    <s v="AutoPost 294"/>
    <s v="EUR"/>
    <s v="2025-01"/>
    <n v="4378.1899999999996"/>
    <m/>
    <n v="4378.1899999999996"/>
    <s v="N/A"/>
    <s v=" "/>
  </r>
  <r>
    <s v="GL000295"/>
    <x v="259"/>
    <n v="6000"/>
    <x v="2"/>
    <n v="1116.99"/>
    <n v="0"/>
    <x v="0"/>
    <s v="CC500"/>
    <s v="AutoPost 295"/>
    <s v="AUD"/>
    <s v="2023-12"/>
    <n v="-1116.99"/>
    <m/>
    <n v="-1116.99"/>
    <s v="N/A"/>
    <s v=" "/>
  </r>
  <r>
    <s v="GL000296"/>
    <x v="146"/>
    <n v="5010"/>
    <x v="3"/>
    <n v="1902.75"/>
    <n v="0"/>
    <x v="4"/>
    <s v="CC400"/>
    <s v="AutoPost 296"/>
    <s v="GBP"/>
    <s v="2023-12"/>
    <n v="-1902.75"/>
    <m/>
    <n v="-1902.75"/>
    <s v="N/A"/>
    <s v=" "/>
  </r>
  <r>
    <s v="GL000297"/>
    <x v="260"/>
    <n v="5010"/>
    <x v="3"/>
    <n v="275.93"/>
    <n v="0"/>
    <x v="1"/>
    <s v="CC300"/>
    <s v="AutoPost 297"/>
    <s v="USD"/>
    <s v="2024-11"/>
    <n v="-275.93"/>
    <m/>
    <n v="-275.93"/>
    <s v="N/A"/>
    <s v=" "/>
  </r>
  <r>
    <s v="GL000298"/>
    <x v="261"/>
    <n v="6000"/>
    <x v="2"/>
    <n v="1761.1"/>
    <n v="0"/>
    <x v="3"/>
    <s v="CC400"/>
    <s v="AutoPost 298"/>
    <s v="AUD"/>
    <s v="2024-09"/>
    <n v="-1761.1"/>
    <m/>
    <n v="-1761.1"/>
    <s v="N/A"/>
    <s v=" "/>
  </r>
  <r>
    <s v="GL000299"/>
    <x v="262"/>
    <n v="4010"/>
    <x v="4"/>
    <n v="0"/>
    <n v="4260.88"/>
    <x v="1"/>
    <s v="CC200"/>
    <s v="AutoPost 299"/>
    <s v="USD"/>
    <s v="2024-01"/>
    <n v="4260.88"/>
    <m/>
    <n v="4260.88"/>
    <s v="N/A"/>
    <s v=" "/>
  </r>
  <r>
    <s v="GL000300"/>
    <x v="263"/>
    <n v="4000"/>
    <x v="0"/>
    <n v="0"/>
    <n v="1229.46"/>
    <x v="3"/>
    <s v="CC500"/>
    <s v="AutoPost 300"/>
    <s v="CAD"/>
    <s v="2023-10"/>
    <n v="1229.46"/>
    <m/>
    <n v="1229.46"/>
    <s v="N/A"/>
    <s v=" "/>
  </r>
  <r>
    <s v="GL000301"/>
    <x v="11"/>
    <n v="5000"/>
    <x v="1"/>
    <n v="1804.04"/>
    <n v="0"/>
    <x v="1"/>
    <s v="CC200"/>
    <s v="AutoPost 301"/>
    <s v="GBP"/>
    <s v="2024-11"/>
    <n v="-1804.04"/>
    <m/>
    <n v="-1804.04"/>
    <s v="N/A"/>
    <s v=" "/>
  </r>
  <r>
    <s v="GL000302"/>
    <x v="264"/>
    <n v="5000"/>
    <x v="1"/>
    <n v="1637.96"/>
    <n v="0"/>
    <x v="1"/>
    <s v="CC500"/>
    <s v="AutoPost 302"/>
    <s v="AUD"/>
    <s v="2024-10"/>
    <n v="-1637.96"/>
    <m/>
    <n v="-1637.96"/>
    <s v="N/A"/>
    <s v=" "/>
  </r>
  <r>
    <s v="GL000303"/>
    <x v="265"/>
    <n v="4000"/>
    <x v="0"/>
    <n v="0"/>
    <n v="1400.77"/>
    <x v="0"/>
    <s v="CC200"/>
    <s v="AutoPost 303"/>
    <s v="EUR"/>
    <s v="2024-07"/>
    <n v="1400.77"/>
    <m/>
    <n v="1400.77"/>
    <s v="N/A"/>
    <s v=" "/>
  </r>
  <r>
    <s v="GL000304"/>
    <x v="159"/>
    <n v="5010"/>
    <x v="3"/>
    <n v="1010.88"/>
    <n v="0"/>
    <x v="0"/>
    <s v="CC400"/>
    <s v="AutoPost 304"/>
    <s v="AUD"/>
    <s v="2025-03"/>
    <n v="-1010.88"/>
    <m/>
    <n v="-1010.88"/>
    <s v="N/A"/>
    <s v=" "/>
  </r>
  <r>
    <s v="GL000305"/>
    <x v="266"/>
    <n v="4000"/>
    <x v="0"/>
    <n v="0"/>
    <n v="1059.18"/>
    <x v="2"/>
    <s v="CC400"/>
    <s v="AutoPost 305"/>
    <s v="USD"/>
    <s v="2024-04"/>
    <n v="1059.18"/>
    <m/>
    <n v="1059.18"/>
    <s v="N/A"/>
    <s v=" "/>
  </r>
  <r>
    <s v="GL000306"/>
    <x v="189"/>
    <n v="4010"/>
    <x v="4"/>
    <n v="0"/>
    <n v="951.38"/>
    <x v="0"/>
    <s v="CC500"/>
    <s v="AutoPost 306"/>
    <s v="GBP"/>
    <s v="2023-08"/>
    <n v="951.38"/>
    <m/>
    <n v="951.38"/>
    <s v="N/A"/>
    <s v=" "/>
  </r>
  <r>
    <s v="GL000307"/>
    <x v="267"/>
    <n v="4000"/>
    <x v="0"/>
    <n v="0"/>
    <n v="2648.82"/>
    <x v="5"/>
    <s v="CC200"/>
    <s v="AutoPost 307"/>
    <s v="GBP"/>
    <s v="2023-01"/>
    <n v="2648.82"/>
    <m/>
    <n v="2648.82"/>
    <s v="N/A"/>
    <s v=" "/>
  </r>
  <r>
    <s v="GL000308"/>
    <x v="268"/>
    <n v="4010"/>
    <x v="4"/>
    <n v="0"/>
    <n v="2008.6"/>
    <x v="4"/>
    <s v="CC400"/>
    <s v="AutoPost 308"/>
    <s v="USD"/>
    <s v="2023-03"/>
    <n v="2008.6"/>
    <m/>
    <n v="2008.6"/>
    <s v="N/A"/>
    <s v=" "/>
  </r>
  <r>
    <s v="GL000309"/>
    <x v="269"/>
    <n v="6000"/>
    <x v="2"/>
    <n v="1604.44"/>
    <n v="0"/>
    <x v="2"/>
    <s v="CC500"/>
    <s v="AutoPost 309"/>
    <s v="CAD"/>
    <s v="2024-05"/>
    <n v="-1604.44"/>
    <m/>
    <n v="-1604.44"/>
    <s v="N/A"/>
    <s v=" "/>
  </r>
  <r>
    <s v="GL000310"/>
    <x v="270"/>
    <n v="5010"/>
    <x v="3"/>
    <n v="350.19"/>
    <n v="0"/>
    <x v="4"/>
    <s v="CC500"/>
    <s v="AutoPost 310"/>
    <s v="GBP"/>
    <s v="2024-10"/>
    <n v="-350.19"/>
    <m/>
    <n v="-350.19"/>
    <s v="N/A"/>
    <s v=" "/>
  </r>
  <r>
    <s v="GL000311"/>
    <x v="271"/>
    <n v="5000"/>
    <x v="1"/>
    <n v="547.95000000000005"/>
    <n v="0"/>
    <x v="4"/>
    <s v="CC500"/>
    <s v="AutoPost 311"/>
    <s v="GBP"/>
    <s v="2024-02"/>
    <n v="-547.95000000000005"/>
    <m/>
    <n v="-547.95000000000005"/>
    <s v="N/A"/>
    <s v=" "/>
  </r>
  <r>
    <s v="GL000312"/>
    <x v="272"/>
    <n v="4000"/>
    <x v="0"/>
    <n v="0"/>
    <n v="561.46"/>
    <x v="4"/>
    <s v="CC100"/>
    <s v="AutoPost 312"/>
    <s v="GBP"/>
    <s v="2025-05"/>
    <n v="561.46"/>
    <m/>
    <n v="561.46"/>
    <s v="N/A"/>
    <s v=" "/>
  </r>
  <r>
    <s v="GL000313"/>
    <x v="205"/>
    <n v="6000"/>
    <x v="2"/>
    <n v="737.29"/>
    <n v="0"/>
    <x v="0"/>
    <s v="CC100"/>
    <s v="AutoPost 313"/>
    <s v="AUD"/>
    <s v="2023-08"/>
    <n v="-737.29"/>
    <m/>
    <n v="-737.29"/>
    <s v="N/A"/>
    <s v=" "/>
  </r>
  <r>
    <s v="GL000314"/>
    <x v="273"/>
    <n v="4010"/>
    <x v="4"/>
    <n v="0"/>
    <n v="963.96"/>
    <x v="2"/>
    <s v="CC400"/>
    <s v="AutoPost 314"/>
    <s v="GBP"/>
    <s v="2025-06"/>
    <n v="963.96"/>
    <m/>
    <n v="963.96"/>
    <s v="N/A"/>
    <s v=" "/>
  </r>
  <r>
    <s v="GL000315"/>
    <x v="274"/>
    <n v="5010"/>
    <x v="3"/>
    <n v="1233.1600000000001"/>
    <n v="0"/>
    <x v="0"/>
    <s v="CC100"/>
    <s v="AutoPost 315"/>
    <s v="USD"/>
    <s v="2023-07"/>
    <n v="-1233.1600000000001"/>
    <m/>
    <n v="-1233.1600000000001"/>
    <s v="N/A"/>
    <s v=" "/>
  </r>
  <r>
    <s v="GL000316"/>
    <x v="275"/>
    <n v="4000"/>
    <x v="0"/>
    <n v="0"/>
    <n v="1228"/>
    <x v="4"/>
    <s v="CC500"/>
    <s v="AutoPost 316"/>
    <s v="USD"/>
    <s v="2023-12"/>
    <n v="1228"/>
    <m/>
    <n v="1228"/>
    <s v="N/A"/>
    <s v=" "/>
  </r>
  <r>
    <s v="GL000317"/>
    <x v="155"/>
    <n v="4000"/>
    <x v="0"/>
    <n v="0"/>
    <n v="1067.1500000000001"/>
    <x v="0"/>
    <s v="CC400"/>
    <s v="AutoPost 317"/>
    <s v="CAD"/>
    <s v="2023-01"/>
    <n v="1067.1500000000001"/>
    <m/>
    <n v="1067.1500000000001"/>
    <s v="N/A"/>
    <s v=" "/>
  </r>
  <r>
    <s v="GL000318"/>
    <x v="276"/>
    <n v="4010"/>
    <x v="4"/>
    <n v="0"/>
    <n v="1167.53"/>
    <x v="1"/>
    <s v="CC300"/>
    <s v="AutoPost 318"/>
    <s v="AUD"/>
    <s v="2024-01"/>
    <n v="1167.53"/>
    <m/>
    <n v="1167.53"/>
    <s v="N/A"/>
    <s v=" "/>
  </r>
  <r>
    <s v="GL000319"/>
    <x v="277"/>
    <n v="5010"/>
    <x v="3"/>
    <n v="1808.37"/>
    <n v="0"/>
    <x v="4"/>
    <s v="CC400"/>
    <s v="AutoPost 319"/>
    <s v="CAD"/>
    <s v="2024-02"/>
    <n v="-1808.37"/>
    <m/>
    <n v="-1808.37"/>
    <s v="N/A"/>
    <s v=" "/>
  </r>
  <r>
    <s v="GL000320"/>
    <x v="31"/>
    <n v="4000"/>
    <x v="0"/>
    <n v="0"/>
    <n v="3683.59"/>
    <x v="1"/>
    <s v="CC200"/>
    <s v="AutoPost 320"/>
    <s v="CAD"/>
    <s v="2024-05"/>
    <n v="3683.59"/>
    <m/>
    <n v="3683.59"/>
    <s v="N/A"/>
    <s v=" "/>
  </r>
  <r>
    <s v="GL000321"/>
    <x v="278"/>
    <n v="4010"/>
    <x v="4"/>
    <n v="0"/>
    <n v="2268.92"/>
    <x v="4"/>
    <s v="CC500"/>
    <s v="AutoPost 321"/>
    <s v="GBP"/>
    <s v="2023-04"/>
    <n v="2268.92"/>
    <m/>
    <n v="2268.92"/>
    <s v="N/A"/>
    <s v=" "/>
  </r>
  <r>
    <s v="GL000322"/>
    <x v="279"/>
    <n v="6000"/>
    <x v="2"/>
    <n v="791.64"/>
    <n v="0"/>
    <x v="4"/>
    <s v="CC200"/>
    <s v="AutoPost 322"/>
    <s v="CAD"/>
    <s v="2024-01"/>
    <n v="-791.64"/>
    <m/>
    <n v="-791.64"/>
    <s v="N/A"/>
    <s v=" "/>
  </r>
  <r>
    <s v="GL000323"/>
    <x v="280"/>
    <n v="4000"/>
    <x v="0"/>
    <n v="0"/>
    <n v="381.77"/>
    <x v="5"/>
    <s v="CC100"/>
    <s v="AutoPost 323"/>
    <s v="GBP"/>
    <s v="2024-08"/>
    <n v="381.77"/>
    <m/>
    <n v="381.77"/>
    <s v="N/A"/>
    <s v=" "/>
  </r>
  <r>
    <s v="GL000324"/>
    <x v="92"/>
    <n v="6000"/>
    <x v="2"/>
    <n v="603.09"/>
    <n v="0"/>
    <x v="2"/>
    <s v="CC200"/>
    <s v="AutoPost 324"/>
    <s v="USD"/>
    <s v="2023-02"/>
    <n v="-603.09"/>
    <m/>
    <n v="-603.09"/>
    <s v="N/A"/>
    <s v=" "/>
  </r>
  <r>
    <s v="GL000325"/>
    <x v="196"/>
    <n v="5000"/>
    <x v="1"/>
    <n v="76.959999999999994"/>
    <n v="0"/>
    <x v="4"/>
    <s v="CC400"/>
    <s v="AutoPost 325"/>
    <s v="GBP"/>
    <s v="2023-11"/>
    <n v="-76.959999999999994"/>
    <m/>
    <n v="-76.959999999999994"/>
    <s v="N/A"/>
    <s v=" "/>
  </r>
  <r>
    <s v="GL000326"/>
    <x v="281"/>
    <n v="6000"/>
    <x v="2"/>
    <n v="870.26"/>
    <n v="0"/>
    <x v="5"/>
    <s v="CC400"/>
    <s v="AutoPost 326"/>
    <s v="CAD"/>
    <s v="2023-11"/>
    <n v="-870.26"/>
    <m/>
    <n v="-870.26"/>
    <s v="N/A"/>
    <s v=" "/>
  </r>
  <r>
    <s v="GL000327"/>
    <x v="282"/>
    <n v="4000"/>
    <x v="0"/>
    <n v="0"/>
    <n v="195.85"/>
    <x v="5"/>
    <s v="CC300"/>
    <s v="AutoPost 327"/>
    <s v="AUD"/>
    <s v="2024-02"/>
    <n v="195.85"/>
    <m/>
    <n v="195.85"/>
    <s v="N/A"/>
    <s v=" "/>
  </r>
  <r>
    <s v="GL000328"/>
    <x v="283"/>
    <n v="4000"/>
    <x v="0"/>
    <n v="0"/>
    <n v="3924.16"/>
    <x v="4"/>
    <s v="CC500"/>
    <s v="AutoPost 328"/>
    <s v="AUD"/>
    <s v="2024-05"/>
    <n v="3924.16"/>
    <m/>
    <n v="3924.16"/>
    <s v="N/A"/>
    <s v=" "/>
  </r>
  <r>
    <s v="GL000329"/>
    <x v="284"/>
    <n v="5010"/>
    <x v="3"/>
    <n v="745.46"/>
    <n v="0"/>
    <x v="4"/>
    <s v="CC500"/>
    <s v="AutoPost 329"/>
    <s v="EUR"/>
    <s v="2025-05"/>
    <n v="-745.46"/>
    <m/>
    <n v="-745.46"/>
    <s v="N/A"/>
    <s v=" "/>
  </r>
  <r>
    <s v="GL000330"/>
    <x v="285"/>
    <n v="4000"/>
    <x v="0"/>
    <n v="0"/>
    <n v="2579.5"/>
    <x v="0"/>
    <s v="CC300"/>
    <s v="AutoPost 330"/>
    <s v="EUR"/>
    <s v="2023-11"/>
    <n v="2579.5"/>
    <m/>
    <n v="2579.5"/>
    <s v="N/A"/>
    <s v=" "/>
  </r>
  <r>
    <s v="GL000331"/>
    <x v="286"/>
    <n v="5000"/>
    <x v="1"/>
    <n v="1763.39"/>
    <n v="0"/>
    <x v="4"/>
    <s v="CC100"/>
    <s v="AutoPost 331"/>
    <s v="USD"/>
    <s v="2024-10"/>
    <n v="-1763.39"/>
    <m/>
    <n v="-1763.39"/>
    <s v="N/A"/>
    <s v=" "/>
  </r>
  <r>
    <s v="GL000332"/>
    <x v="270"/>
    <n v="5000"/>
    <x v="1"/>
    <n v="957.72"/>
    <n v="0"/>
    <x v="4"/>
    <s v="CC400"/>
    <s v="AutoPost 332"/>
    <s v="EUR"/>
    <s v="2024-10"/>
    <n v="-957.72"/>
    <m/>
    <n v="-957.72"/>
    <s v="N/A"/>
    <s v=" "/>
  </r>
  <r>
    <s v="GL000333"/>
    <x v="41"/>
    <n v="4000"/>
    <x v="0"/>
    <n v="0"/>
    <n v="312.52"/>
    <x v="0"/>
    <s v="CC400"/>
    <s v="AutoPost 333"/>
    <s v="USD"/>
    <s v="2023-09"/>
    <n v="312.52"/>
    <m/>
    <n v="312.52"/>
    <s v="N/A"/>
    <s v=" "/>
  </r>
  <r>
    <s v="GL000334"/>
    <x v="287"/>
    <n v="4010"/>
    <x v="4"/>
    <n v="0"/>
    <n v="4032.89"/>
    <x v="1"/>
    <s v="CC300"/>
    <s v="AutoPost 334"/>
    <s v="GBP"/>
    <s v="2023-11"/>
    <n v="4032.89"/>
    <m/>
    <n v="4032.89"/>
    <s v="N/A"/>
    <s v=" "/>
  </r>
  <r>
    <s v="GL000335"/>
    <x v="247"/>
    <n v="5000"/>
    <x v="1"/>
    <n v="822.42"/>
    <n v="0"/>
    <x v="4"/>
    <s v="CC400"/>
    <s v="AutoPost 335"/>
    <s v="USD"/>
    <s v="2024-01"/>
    <n v="-822.42"/>
    <m/>
    <n v="-822.42"/>
    <s v="N/A"/>
    <s v=" "/>
  </r>
  <r>
    <s v="GL000336"/>
    <x v="288"/>
    <n v="4010"/>
    <x v="4"/>
    <n v="0"/>
    <n v="2096.4299999999998"/>
    <x v="3"/>
    <s v="CC100"/>
    <s v="AutoPost 336"/>
    <s v="EUR"/>
    <s v="2023-02"/>
    <n v="2096.4299999999998"/>
    <m/>
    <n v="2096.4299999999998"/>
    <s v="N/A"/>
    <s v=" "/>
  </r>
  <r>
    <s v="GL000337"/>
    <x v="289"/>
    <n v="4000"/>
    <x v="0"/>
    <n v="0"/>
    <n v="2254.64"/>
    <x v="3"/>
    <s v="CC500"/>
    <s v="AutoPost 337"/>
    <s v="EUR"/>
    <s v="2024-11"/>
    <n v="2254.64"/>
    <m/>
    <n v="2254.64"/>
    <s v="N/A"/>
    <s v=" "/>
  </r>
  <r>
    <s v="GL000338"/>
    <x v="290"/>
    <n v="5010"/>
    <x v="3"/>
    <n v="1898.13"/>
    <n v="0"/>
    <x v="5"/>
    <s v="CC200"/>
    <s v="AutoPost 338"/>
    <s v="AUD"/>
    <s v="2024-09"/>
    <n v="-1898.13"/>
    <m/>
    <n v="-1898.13"/>
    <s v="N/A"/>
    <s v=" "/>
  </r>
  <r>
    <s v="GL000339"/>
    <x v="291"/>
    <n v="5000"/>
    <x v="1"/>
    <n v="92.89"/>
    <n v="0"/>
    <x v="2"/>
    <s v="CC100"/>
    <s v="AutoPost 339"/>
    <s v="EUR"/>
    <s v="2023-10"/>
    <n v="-92.89"/>
    <m/>
    <n v="-92.89"/>
    <s v="N/A"/>
    <s v=" "/>
  </r>
  <r>
    <s v="GL000340"/>
    <x v="292"/>
    <n v="5000"/>
    <x v="1"/>
    <n v="192.59"/>
    <n v="0"/>
    <x v="2"/>
    <s v="CC400"/>
    <s v="AutoPost 340"/>
    <s v="EUR"/>
    <s v="2024-12"/>
    <n v="-192.59"/>
    <m/>
    <n v="-192.59"/>
    <s v="N/A"/>
    <s v=" "/>
  </r>
  <r>
    <s v="GL000341"/>
    <x v="293"/>
    <n v="4000"/>
    <x v="0"/>
    <n v="0"/>
    <n v="1924.88"/>
    <x v="5"/>
    <s v="CC100"/>
    <s v="AutoPost 341"/>
    <s v="CAD"/>
    <s v="2024-01"/>
    <n v="1924.88"/>
    <m/>
    <n v="1924.88"/>
    <s v="N/A"/>
    <s v=" "/>
  </r>
  <r>
    <s v="GL000342"/>
    <x v="294"/>
    <n v="5000"/>
    <x v="1"/>
    <n v="1161.96"/>
    <n v="0"/>
    <x v="1"/>
    <s v="CC100"/>
    <s v="AutoPost 342"/>
    <s v="GBP"/>
    <s v="2023-05"/>
    <n v="-1161.96"/>
    <m/>
    <n v="-1161.96"/>
    <s v="N/A"/>
    <s v=" "/>
  </r>
  <r>
    <s v="GL000343"/>
    <x v="295"/>
    <n v="5010"/>
    <x v="3"/>
    <n v="1693.2"/>
    <n v="0"/>
    <x v="2"/>
    <s v="CC300"/>
    <s v="AutoPost 343"/>
    <s v="EUR"/>
    <s v="2024-10"/>
    <n v="-1693.2"/>
    <m/>
    <n v="-1693.2"/>
    <s v="N/A"/>
    <s v=" "/>
  </r>
  <r>
    <s v="GL000344"/>
    <x v="296"/>
    <n v="4010"/>
    <x v="4"/>
    <n v="0"/>
    <n v="535.42999999999995"/>
    <x v="0"/>
    <s v="CC300"/>
    <s v="AutoPost 344"/>
    <s v="GBP"/>
    <s v="2023-10"/>
    <n v="535.42999999999995"/>
    <m/>
    <n v="535.42999999999995"/>
    <s v="N/A"/>
    <s v=" "/>
  </r>
  <r>
    <s v="GL000345"/>
    <x v="297"/>
    <n v="5000"/>
    <x v="1"/>
    <n v="449.09"/>
    <n v="0"/>
    <x v="3"/>
    <s v="CC100"/>
    <s v="AutoPost 345"/>
    <s v="GBP"/>
    <s v="2024-08"/>
    <n v="-449.09"/>
    <m/>
    <n v="-449.09"/>
    <s v="N/A"/>
    <s v=" "/>
  </r>
  <r>
    <s v="GL000346"/>
    <x v="298"/>
    <n v="5010"/>
    <x v="3"/>
    <n v="938.21"/>
    <n v="0"/>
    <x v="1"/>
    <s v="CC100"/>
    <s v="AutoPost 346"/>
    <s v="GBP"/>
    <s v="2023-09"/>
    <n v="-938.21"/>
    <m/>
    <n v="-938.21"/>
    <s v="N/A"/>
    <s v=" "/>
  </r>
  <r>
    <s v="GL000347"/>
    <x v="103"/>
    <n v="5010"/>
    <x v="3"/>
    <n v="131.84"/>
    <n v="0"/>
    <x v="5"/>
    <s v="CC200"/>
    <s v="AutoPost 347"/>
    <s v="EUR"/>
    <s v="2025-02"/>
    <n v="-131.84"/>
    <m/>
    <n v="-131.84"/>
    <s v="N/A"/>
    <s v=" "/>
  </r>
  <r>
    <s v="GL000348"/>
    <x v="299"/>
    <n v="4000"/>
    <x v="0"/>
    <n v="0"/>
    <n v="3658.34"/>
    <x v="2"/>
    <s v="CC300"/>
    <s v="AutoPost 348"/>
    <s v="AUD"/>
    <s v="2023-09"/>
    <n v="3658.34"/>
    <m/>
    <n v="3658.34"/>
    <s v="N/A"/>
    <s v=" "/>
  </r>
  <r>
    <s v="GL000349"/>
    <x v="300"/>
    <n v="5000"/>
    <x v="1"/>
    <n v="509.89"/>
    <n v="0"/>
    <x v="1"/>
    <s v="CC500"/>
    <s v="AutoPost 349"/>
    <s v="EUR"/>
    <s v="2023-04"/>
    <n v="-509.89"/>
    <m/>
    <n v="-509.89"/>
    <s v="N/A"/>
    <s v=" "/>
  </r>
  <r>
    <s v="GL000350"/>
    <x v="301"/>
    <n v="5000"/>
    <x v="1"/>
    <n v="697.58"/>
    <n v="0"/>
    <x v="2"/>
    <s v="CC200"/>
    <s v="AutoPost 350"/>
    <s v="CAD"/>
    <s v="2024-08"/>
    <n v="-697.58"/>
    <m/>
    <n v="-697.58"/>
    <s v="N/A"/>
    <s v=" "/>
  </r>
  <r>
    <s v="GL000351"/>
    <x v="123"/>
    <n v="5010"/>
    <x v="3"/>
    <n v="1580.47"/>
    <n v="0"/>
    <x v="4"/>
    <s v="CC100"/>
    <s v="AutoPost 351"/>
    <s v="AUD"/>
    <s v="2024-10"/>
    <n v="-1580.47"/>
    <m/>
    <n v="-1580.47"/>
    <s v="N/A"/>
    <s v=" "/>
  </r>
  <r>
    <s v="GL000352"/>
    <x v="262"/>
    <n v="5000"/>
    <x v="1"/>
    <n v="1567.36"/>
    <n v="0"/>
    <x v="4"/>
    <s v="CC300"/>
    <s v="AutoPost 352"/>
    <s v="EUR"/>
    <s v="2024-01"/>
    <n v="-1567.36"/>
    <m/>
    <n v="-1567.36"/>
    <s v="N/A"/>
    <s v=" "/>
  </r>
  <r>
    <s v="GL000353"/>
    <x v="302"/>
    <n v="5010"/>
    <x v="3"/>
    <n v="443.79"/>
    <n v="0"/>
    <x v="1"/>
    <s v="CC400"/>
    <s v="AutoPost 353"/>
    <s v="AUD"/>
    <s v="2025-02"/>
    <n v="-443.79"/>
    <m/>
    <n v="-443.79"/>
    <s v="N/A"/>
    <s v=" "/>
  </r>
  <r>
    <s v="GL000354"/>
    <x v="287"/>
    <n v="5010"/>
    <x v="3"/>
    <n v="889.34"/>
    <n v="0"/>
    <x v="2"/>
    <s v="CC500"/>
    <s v="AutoPost 354"/>
    <s v="USD"/>
    <s v="2023-11"/>
    <n v="-889.34"/>
    <m/>
    <n v="-889.34"/>
    <s v="N/A"/>
    <s v=" "/>
  </r>
  <r>
    <s v="GL000355"/>
    <x v="303"/>
    <n v="4010"/>
    <x v="4"/>
    <n v="0"/>
    <n v="2239.96"/>
    <x v="4"/>
    <s v="CC500"/>
    <s v="AutoPost 355"/>
    <s v="USD"/>
    <s v="2025-05"/>
    <n v="2239.96"/>
    <m/>
    <n v="2239.96"/>
    <s v="N/A"/>
    <s v=" "/>
  </r>
  <r>
    <s v="GL000356"/>
    <x v="304"/>
    <n v="5010"/>
    <x v="3"/>
    <n v="1291.24"/>
    <n v="0"/>
    <x v="4"/>
    <s v="CC400"/>
    <s v="AutoPost 356"/>
    <s v="AUD"/>
    <s v="2024-01"/>
    <n v="-1291.24"/>
    <m/>
    <n v="-1291.24"/>
    <s v="N/A"/>
    <s v=" "/>
  </r>
  <r>
    <s v="GL000357"/>
    <x v="4"/>
    <n v="5010"/>
    <x v="3"/>
    <n v="397.07"/>
    <n v="0"/>
    <x v="4"/>
    <s v="CC300"/>
    <s v="AutoPost 357"/>
    <s v="CAD"/>
    <s v="2023-08"/>
    <n v="-397.07"/>
    <m/>
    <n v="-397.07"/>
    <s v="N/A"/>
    <s v=" "/>
  </r>
  <r>
    <s v="GL000358"/>
    <x v="305"/>
    <n v="6000"/>
    <x v="2"/>
    <n v="803.21"/>
    <n v="0"/>
    <x v="0"/>
    <s v="CC100"/>
    <s v="AutoPost 358"/>
    <s v="AUD"/>
    <s v="2024-08"/>
    <n v="-803.21"/>
    <m/>
    <n v="-803.21"/>
    <s v="N/A"/>
    <s v=" "/>
  </r>
  <r>
    <s v="GL000359"/>
    <x v="129"/>
    <n v="4000"/>
    <x v="0"/>
    <n v="0"/>
    <n v="1032.8399999999999"/>
    <x v="2"/>
    <s v="CC200"/>
    <s v="AutoPost 359"/>
    <s v="CAD"/>
    <s v="2024-06"/>
    <n v="1032.8399999999999"/>
    <m/>
    <n v="1032.8399999999999"/>
    <s v="N/A"/>
    <s v=" "/>
  </r>
  <r>
    <s v="GL000360"/>
    <x v="306"/>
    <n v="6000"/>
    <x v="2"/>
    <n v="1071.7"/>
    <n v="0"/>
    <x v="3"/>
    <s v="CC200"/>
    <s v="AutoPost 360"/>
    <s v="USD"/>
    <s v="2025-05"/>
    <n v="-1071.7"/>
    <m/>
    <n v="-1071.7"/>
    <s v="N/A"/>
    <s v=" "/>
  </r>
  <r>
    <s v="GL000361"/>
    <x v="307"/>
    <n v="5000"/>
    <x v="1"/>
    <n v="842.82"/>
    <n v="0"/>
    <x v="2"/>
    <s v="CC200"/>
    <s v="AutoPost 361"/>
    <s v="GBP"/>
    <s v="2024-06"/>
    <n v="-842.82"/>
    <m/>
    <n v="-842.82"/>
    <s v="N/A"/>
    <s v=" "/>
  </r>
  <r>
    <s v="GL000362"/>
    <x v="308"/>
    <n v="5010"/>
    <x v="3"/>
    <n v="1375.81"/>
    <n v="0"/>
    <x v="0"/>
    <s v="CC400"/>
    <s v="AutoPost 362"/>
    <s v="CAD"/>
    <s v="2024-08"/>
    <n v="-1375.81"/>
    <m/>
    <n v="-1375.81"/>
    <s v="N/A"/>
    <s v=" "/>
  </r>
  <r>
    <s v="GL000363"/>
    <x v="309"/>
    <n v="4000"/>
    <x v="0"/>
    <n v="0"/>
    <n v="4517.55"/>
    <x v="2"/>
    <s v="CC400"/>
    <s v="AutoPost 363"/>
    <s v="CAD"/>
    <s v="2024-01"/>
    <n v="4517.55"/>
    <m/>
    <n v="4517.55"/>
    <s v="N/A"/>
    <s v=" "/>
  </r>
  <r>
    <s v="GL000364"/>
    <x v="169"/>
    <n v="5010"/>
    <x v="3"/>
    <n v="837.89"/>
    <n v="0"/>
    <x v="1"/>
    <s v="CC400"/>
    <s v="AutoPost 364"/>
    <s v="EUR"/>
    <s v="2024-12"/>
    <n v="-837.89"/>
    <m/>
    <n v="-837.89"/>
    <s v="N/A"/>
    <s v=" "/>
  </r>
  <r>
    <s v="GL000365"/>
    <x v="48"/>
    <n v="5010"/>
    <x v="3"/>
    <n v="426.78"/>
    <n v="0"/>
    <x v="0"/>
    <s v="CC400"/>
    <s v="AutoPost 365"/>
    <s v="CAD"/>
    <s v="2023-03"/>
    <n v="-426.78"/>
    <m/>
    <n v="-426.78"/>
    <s v="N/A"/>
    <s v=" "/>
  </r>
  <r>
    <s v="GL000366"/>
    <x v="310"/>
    <n v="6000"/>
    <x v="2"/>
    <n v="999.72"/>
    <n v="0"/>
    <x v="5"/>
    <s v="CC300"/>
    <s v="AutoPost 366"/>
    <s v="EUR"/>
    <s v="2025-04"/>
    <n v="-999.72"/>
    <m/>
    <n v="-999.72"/>
    <s v="N/A"/>
    <s v=" "/>
  </r>
  <r>
    <s v="GL000367"/>
    <x v="278"/>
    <n v="5000"/>
    <x v="1"/>
    <n v="74.209999999999994"/>
    <n v="0"/>
    <x v="3"/>
    <s v="CC100"/>
    <s v="AutoPost 367"/>
    <s v="CAD"/>
    <s v="2023-04"/>
    <n v="-74.209999999999994"/>
    <m/>
    <n v="-74.209999999999994"/>
    <s v="N/A"/>
    <s v=" "/>
  </r>
  <r>
    <s v="GL000368"/>
    <x v="311"/>
    <n v="4000"/>
    <x v="0"/>
    <n v="0"/>
    <n v="1158.73"/>
    <x v="5"/>
    <s v="CC500"/>
    <s v="AutoPost 368"/>
    <s v="EUR"/>
    <s v="2023-01"/>
    <n v="1158.73"/>
    <m/>
    <n v="1158.73"/>
    <s v="N/A"/>
    <s v=" "/>
  </r>
  <r>
    <s v="GL000369"/>
    <x v="154"/>
    <n v="6000"/>
    <x v="2"/>
    <n v="1129.06"/>
    <n v="0"/>
    <x v="5"/>
    <s v="CC400"/>
    <s v="AutoPost 369"/>
    <s v="EUR"/>
    <s v="2023-09"/>
    <n v="-1129.06"/>
    <m/>
    <n v="-1129.06"/>
    <s v="N/A"/>
    <s v=" "/>
  </r>
  <r>
    <s v="GL000370"/>
    <x v="312"/>
    <n v="5010"/>
    <x v="3"/>
    <n v="1450.58"/>
    <n v="0"/>
    <x v="2"/>
    <s v="CC400"/>
    <s v="AutoPost 370"/>
    <s v="USD"/>
    <s v="2024-02"/>
    <n v="-1450.58"/>
    <m/>
    <n v="-1450.58"/>
    <s v="N/A"/>
    <s v=" "/>
  </r>
  <r>
    <s v="GL000371"/>
    <x v="313"/>
    <n v="6000"/>
    <x v="2"/>
    <n v="820.46"/>
    <n v="0"/>
    <x v="4"/>
    <s v="CC500"/>
    <s v="AutoPost 371"/>
    <s v="GBP"/>
    <s v="2023-01"/>
    <n v="-820.46"/>
    <m/>
    <n v="-820.46"/>
    <s v="N/A"/>
    <s v=" "/>
  </r>
  <r>
    <s v="GL000372"/>
    <x v="314"/>
    <n v="5000"/>
    <x v="1"/>
    <n v="1027.96"/>
    <n v="0"/>
    <x v="1"/>
    <s v="CC200"/>
    <s v="AutoPost 372"/>
    <s v="CAD"/>
    <s v="2025-03"/>
    <n v="-1027.96"/>
    <m/>
    <n v="-1027.96"/>
    <s v="N/A"/>
    <s v=" "/>
  </r>
  <r>
    <s v="GL000373"/>
    <x v="315"/>
    <n v="4000"/>
    <x v="0"/>
    <n v="0"/>
    <n v="2599.69"/>
    <x v="0"/>
    <s v="CC200"/>
    <s v="AutoPost 373"/>
    <s v="AUD"/>
    <s v="2023-01"/>
    <n v="2599.69"/>
    <m/>
    <n v="2599.69"/>
    <s v="N/A"/>
    <s v=" "/>
  </r>
  <r>
    <s v="GL000374"/>
    <x v="316"/>
    <n v="5010"/>
    <x v="3"/>
    <n v="903.24"/>
    <n v="0"/>
    <x v="2"/>
    <s v="CC400"/>
    <s v="AutoPost 374"/>
    <s v="EUR"/>
    <s v="2024-10"/>
    <n v="-903.24"/>
    <m/>
    <n v="-903.24"/>
    <s v="N/A"/>
    <s v=" "/>
  </r>
  <r>
    <s v="GL000375"/>
    <x v="317"/>
    <n v="5000"/>
    <x v="1"/>
    <n v="1037.05"/>
    <n v="0"/>
    <x v="0"/>
    <s v="CC500"/>
    <s v="AutoPost 375"/>
    <s v="EUR"/>
    <s v="2024-03"/>
    <n v="-1037.05"/>
    <m/>
    <n v="-1037.05"/>
    <s v="N/A"/>
    <s v=" "/>
  </r>
  <r>
    <s v="GL000376"/>
    <x v="318"/>
    <n v="5010"/>
    <x v="3"/>
    <n v="390.22"/>
    <n v="0"/>
    <x v="1"/>
    <s v="CC200"/>
    <s v="AutoPost 376"/>
    <s v="EUR"/>
    <s v="2025-05"/>
    <n v="-390.22"/>
    <m/>
    <n v="-390.22"/>
    <s v="N/A"/>
    <s v=" "/>
  </r>
  <r>
    <s v="GL000377"/>
    <x v="319"/>
    <n v="4010"/>
    <x v="4"/>
    <n v="0"/>
    <n v="4450.59"/>
    <x v="3"/>
    <s v="CC100"/>
    <s v="AutoPost 377"/>
    <s v="USD"/>
    <s v="2025-02"/>
    <n v="4450.59"/>
    <m/>
    <n v="4450.59"/>
    <s v="N/A"/>
    <s v=" "/>
  </r>
  <r>
    <s v="GL000378"/>
    <x v="320"/>
    <n v="6000"/>
    <x v="2"/>
    <n v="1836.23"/>
    <n v="0"/>
    <x v="3"/>
    <s v="CC100"/>
    <s v="AutoPost 378"/>
    <s v="GBP"/>
    <s v="2023-11"/>
    <n v="-1836.23"/>
    <m/>
    <n v="-1836.23"/>
    <s v="N/A"/>
    <s v=" "/>
  </r>
  <r>
    <s v="GL000379"/>
    <x v="179"/>
    <n v="6000"/>
    <x v="2"/>
    <n v="1033.93"/>
    <n v="0"/>
    <x v="5"/>
    <s v="CC300"/>
    <s v="AutoPost 379"/>
    <s v="USD"/>
    <s v="2024-09"/>
    <n v="-1033.93"/>
    <m/>
    <n v="-1033.93"/>
    <s v="N/A"/>
    <s v=" "/>
  </r>
  <r>
    <s v="GL000380"/>
    <x v="321"/>
    <n v="5010"/>
    <x v="3"/>
    <n v="64.73"/>
    <n v="0"/>
    <x v="1"/>
    <s v="CC200"/>
    <s v="AutoPost 380"/>
    <s v="USD"/>
    <s v="2023-07"/>
    <n v="-64.73"/>
    <m/>
    <n v="-64.73"/>
    <s v="N/A"/>
    <s v=" "/>
  </r>
  <r>
    <s v="GL000381"/>
    <x v="322"/>
    <n v="5010"/>
    <x v="3"/>
    <n v="891.36"/>
    <n v="0"/>
    <x v="3"/>
    <s v="CC400"/>
    <s v="AutoPost 381"/>
    <s v="EUR"/>
    <s v="2023-01"/>
    <n v="-891.36"/>
    <m/>
    <n v="-891.36"/>
    <s v="N/A"/>
    <s v=" "/>
  </r>
  <r>
    <s v="GL000382"/>
    <x v="323"/>
    <n v="5010"/>
    <x v="3"/>
    <n v="983.92"/>
    <n v="0"/>
    <x v="4"/>
    <s v="CC200"/>
    <s v="AutoPost 382"/>
    <s v="AUD"/>
    <s v="2023-04"/>
    <n v="-983.92"/>
    <m/>
    <n v="-983.92"/>
    <s v="N/A"/>
    <s v=" "/>
  </r>
  <r>
    <s v="GL000383"/>
    <x v="324"/>
    <n v="5010"/>
    <x v="3"/>
    <n v="412.44"/>
    <n v="0"/>
    <x v="0"/>
    <s v="CC100"/>
    <s v="AutoPost 383"/>
    <s v="EUR"/>
    <s v="2023-02"/>
    <n v="-412.44"/>
    <m/>
    <n v="-412.44"/>
    <s v="N/A"/>
    <s v=" "/>
  </r>
  <r>
    <s v="GL000384"/>
    <x v="325"/>
    <n v="4010"/>
    <x v="4"/>
    <n v="0"/>
    <n v="2409.8200000000002"/>
    <x v="0"/>
    <s v="CC500"/>
    <s v="AutoPost 384"/>
    <s v="CAD"/>
    <s v="2023-05"/>
    <n v="2409.8200000000002"/>
    <m/>
    <n v="2409.8200000000002"/>
    <s v="N/A"/>
    <s v=" "/>
  </r>
  <r>
    <s v="GL000385"/>
    <x v="326"/>
    <n v="5010"/>
    <x v="3"/>
    <n v="1490.61"/>
    <n v="0"/>
    <x v="5"/>
    <s v="CC500"/>
    <s v="AutoPost 385"/>
    <s v="CAD"/>
    <s v="2025-05"/>
    <n v="-1490.61"/>
    <m/>
    <n v="-1490.61"/>
    <s v="N/A"/>
    <s v=" "/>
  </r>
  <r>
    <s v="GL000386"/>
    <x v="327"/>
    <n v="4000"/>
    <x v="0"/>
    <n v="0"/>
    <n v="2946.46"/>
    <x v="0"/>
    <s v="CC400"/>
    <s v="AutoPost 386"/>
    <s v="GBP"/>
    <s v="2024-08"/>
    <n v="2946.46"/>
    <m/>
    <n v="2946.46"/>
    <s v="N/A"/>
    <s v=" "/>
  </r>
  <r>
    <s v="GL000387"/>
    <x v="184"/>
    <n v="6000"/>
    <x v="2"/>
    <n v="542.61"/>
    <n v="0"/>
    <x v="4"/>
    <s v="CC200"/>
    <s v="AutoPost 387"/>
    <s v="USD"/>
    <s v="2024-09"/>
    <n v="-542.61"/>
    <m/>
    <n v="-542.61"/>
    <s v="N/A"/>
    <s v=" "/>
  </r>
  <r>
    <s v="GL000388"/>
    <x v="152"/>
    <n v="4010"/>
    <x v="4"/>
    <n v="0"/>
    <n v="3453.36"/>
    <x v="0"/>
    <s v="CC400"/>
    <s v="AutoPost 388"/>
    <s v="EUR"/>
    <s v="2023-11"/>
    <n v="3453.36"/>
    <m/>
    <n v="3453.36"/>
    <s v="N/A"/>
    <s v=" "/>
  </r>
  <r>
    <s v="GL000389"/>
    <x v="279"/>
    <n v="5000"/>
    <x v="1"/>
    <n v="1550.28"/>
    <n v="0"/>
    <x v="1"/>
    <s v="CC400"/>
    <s v="AutoPost 389"/>
    <s v="GBP"/>
    <s v="2024-01"/>
    <n v="-1550.28"/>
    <m/>
    <n v="-1550.28"/>
    <s v="N/A"/>
    <s v=" "/>
  </r>
  <r>
    <s v="GL000390"/>
    <x v="328"/>
    <n v="4010"/>
    <x v="4"/>
    <n v="0"/>
    <n v="2348.4"/>
    <x v="5"/>
    <s v="CC100"/>
    <s v="AutoPost 390"/>
    <s v="CAD"/>
    <s v="2023-08"/>
    <n v="2348.4"/>
    <m/>
    <n v="2348.4"/>
    <s v="N/A"/>
    <s v=" "/>
  </r>
  <r>
    <s v="GL000391"/>
    <x v="112"/>
    <n v="5000"/>
    <x v="1"/>
    <n v="761.57"/>
    <n v="0"/>
    <x v="1"/>
    <s v="CC500"/>
    <s v="AutoPost 391"/>
    <s v="EUR"/>
    <s v="2023-07"/>
    <n v="-761.57"/>
    <m/>
    <n v="-761.57"/>
    <s v="N/A"/>
    <s v=" "/>
  </r>
  <r>
    <s v="GL000392"/>
    <x v="329"/>
    <n v="4000"/>
    <x v="0"/>
    <n v="0"/>
    <n v="958.3"/>
    <x v="1"/>
    <s v="CC200"/>
    <s v="AutoPost 392"/>
    <s v="CAD"/>
    <s v="2023-11"/>
    <n v="958.3"/>
    <m/>
    <n v="958.3"/>
    <s v="N/A"/>
    <s v=" "/>
  </r>
  <r>
    <s v="GL000393"/>
    <x v="71"/>
    <n v="5000"/>
    <x v="1"/>
    <n v="618.6"/>
    <n v="0"/>
    <x v="4"/>
    <s v="CC500"/>
    <s v="AutoPost 393"/>
    <s v="USD"/>
    <s v="2025-02"/>
    <n v="-618.6"/>
    <m/>
    <n v="-618.6"/>
    <s v="N/A"/>
    <s v=" "/>
  </r>
  <r>
    <s v="GL000394"/>
    <x v="330"/>
    <n v="4000"/>
    <x v="0"/>
    <n v="0"/>
    <n v="334.65"/>
    <x v="3"/>
    <s v="CC500"/>
    <s v="AutoPost 394"/>
    <s v="GBP"/>
    <s v="2023-10"/>
    <n v="334.65"/>
    <m/>
    <n v="334.65"/>
    <s v="N/A"/>
    <s v=" "/>
  </r>
  <r>
    <s v="GL000395"/>
    <x v="305"/>
    <n v="5000"/>
    <x v="1"/>
    <n v="1922.54"/>
    <n v="0"/>
    <x v="3"/>
    <s v="CC100"/>
    <s v="AutoPost 395"/>
    <s v="USD"/>
    <s v="2024-08"/>
    <n v="-1922.54"/>
    <m/>
    <n v="-1922.54"/>
    <s v="N/A"/>
    <s v=" "/>
  </r>
  <r>
    <s v="GL000396"/>
    <x v="331"/>
    <n v="4000"/>
    <x v="0"/>
    <n v="0"/>
    <n v="3519.07"/>
    <x v="1"/>
    <s v="CC300"/>
    <s v="AutoPost 396"/>
    <s v="AUD"/>
    <s v="2023-08"/>
    <n v="3519.07"/>
    <m/>
    <n v="3519.07"/>
    <s v="N/A"/>
    <s v=" "/>
  </r>
  <r>
    <s v="GL000397"/>
    <x v="332"/>
    <n v="5010"/>
    <x v="3"/>
    <n v="1944.25"/>
    <n v="0"/>
    <x v="1"/>
    <s v="CC100"/>
    <s v="AutoPost 397"/>
    <s v="CAD"/>
    <s v="2023-02"/>
    <n v="-1944.25"/>
    <m/>
    <n v="-1944.25"/>
    <s v="N/A"/>
    <s v=" "/>
  </r>
  <r>
    <s v="GL000398"/>
    <x v="333"/>
    <n v="5000"/>
    <x v="1"/>
    <n v="51.54"/>
    <n v="0"/>
    <x v="2"/>
    <s v="CC400"/>
    <s v="AutoPost 398"/>
    <s v="GBP"/>
    <s v="2023-01"/>
    <n v="-51.54"/>
    <m/>
    <n v="-51.54"/>
    <s v="N/A"/>
    <s v=" "/>
  </r>
  <r>
    <s v="GL000399"/>
    <x v="160"/>
    <n v="4010"/>
    <x v="4"/>
    <n v="0"/>
    <n v="952.59"/>
    <x v="1"/>
    <s v="CC300"/>
    <s v="AutoPost 399"/>
    <s v="GBP"/>
    <s v="2024-08"/>
    <n v="952.59"/>
    <m/>
    <n v="952.59"/>
    <s v="N/A"/>
    <s v=" "/>
  </r>
  <r>
    <s v="GL000400"/>
    <x v="334"/>
    <n v="5010"/>
    <x v="3"/>
    <n v="312.45"/>
    <n v="0"/>
    <x v="1"/>
    <s v="CC500"/>
    <s v="AutoPost 400"/>
    <s v="GBP"/>
    <s v="2024-07"/>
    <n v="-312.45"/>
    <m/>
    <n v="-312.45"/>
    <s v="N/A"/>
    <s v=" "/>
  </r>
  <r>
    <s v="GL000401"/>
    <x v="258"/>
    <n v="5010"/>
    <x v="3"/>
    <n v="571.80999999999995"/>
    <n v="0"/>
    <x v="3"/>
    <s v="CC200"/>
    <s v="AutoPost 401"/>
    <s v="EUR"/>
    <s v="2025-01"/>
    <n v="-571.80999999999995"/>
    <m/>
    <n v="-571.80999999999995"/>
    <s v="N/A"/>
    <s v=" "/>
  </r>
  <r>
    <s v="GL000402"/>
    <x v="148"/>
    <n v="5010"/>
    <x v="3"/>
    <n v="750.55"/>
    <n v="0"/>
    <x v="1"/>
    <s v="CC400"/>
    <s v="AutoPost 402"/>
    <s v="CAD"/>
    <s v="2024-12"/>
    <n v="-750.55"/>
    <m/>
    <n v="-750.55"/>
    <s v="N/A"/>
    <s v=" "/>
  </r>
  <r>
    <s v="GL000403"/>
    <x v="335"/>
    <n v="4010"/>
    <x v="4"/>
    <n v="0"/>
    <n v="4835.87"/>
    <x v="2"/>
    <s v="CC500"/>
    <s v="AutoPost 403"/>
    <s v="EUR"/>
    <s v="2023-02"/>
    <n v="4835.87"/>
    <m/>
    <n v="4835.87"/>
    <s v="N/A"/>
    <s v=" "/>
  </r>
  <r>
    <s v="GL000404"/>
    <x v="336"/>
    <n v="4000"/>
    <x v="0"/>
    <n v="0"/>
    <n v="2979.48"/>
    <x v="5"/>
    <s v="CC500"/>
    <s v="AutoPost 404"/>
    <s v="GBP"/>
    <s v="2025-01"/>
    <n v="2979.48"/>
    <m/>
    <n v="2979.48"/>
    <s v="N/A"/>
    <s v=" "/>
  </r>
  <r>
    <s v="GL000405"/>
    <x v="337"/>
    <n v="5000"/>
    <x v="1"/>
    <n v="1288.94"/>
    <n v="0"/>
    <x v="0"/>
    <s v="CC500"/>
    <s v="AutoPost 405"/>
    <s v="GBP"/>
    <s v="2024-05"/>
    <n v="-1288.94"/>
    <m/>
    <n v="-1288.94"/>
    <s v="N/A"/>
    <s v=" "/>
  </r>
  <r>
    <s v="GL000406"/>
    <x v="338"/>
    <n v="5000"/>
    <x v="1"/>
    <n v="578.6"/>
    <n v="0"/>
    <x v="0"/>
    <s v="CC200"/>
    <s v="AutoPost 406"/>
    <s v="AUD"/>
    <s v="2023-05"/>
    <n v="-578.6"/>
    <m/>
    <n v="-578.6"/>
    <s v="N/A"/>
    <s v=" "/>
  </r>
  <r>
    <s v="GL000407"/>
    <x v="75"/>
    <n v="5000"/>
    <x v="1"/>
    <n v="341.06"/>
    <n v="0"/>
    <x v="5"/>
    <s v="CC100"/>
    <s v="AutoPost 407"/>
    <s v="AUD"/>
    <s v="2025-03"/>
    <n v="-341.06"/>
    <m/>
    <n v="-341.06"/>
    <s v="N/A"/>
    <s v=" "/>
  </r>
  <r>
    <s v="GL000408"/>
    <x v="339"/>
    <n v="5010"/>
    <x v="3"/>
    <n v="1074.77"/>
    <n v="0"/>
    <x v="1"/>
    <s v="CC200"/>
    <s v="AutoPost 408"/>
    <s v="EUR"/>
    <s v="2024-04"/>
    <n v="-1074.77"/>
    <m/>
    <n v="-1074.77"/>
    <s v="N/A"/>
    <s v=" "/>
  </r>
  <r>
    <s v="GL000409"/>
    <x v="340"/>
    <n v="4010"/>
    <x v="4"/>
    <n v="0"/>
    <n v="1025.56"/>
    <x v="1"/>
    <s v="CC500"/>
    <s v="AutoPost 409"/>
    <s v="GBP"/>
    <s v="2024-05"/>
    <n v="1025.56"/>
    <m/>
    <n v="1025.56"/>
    <s v="N/A"/>
    <s v=" "/>
  </r>
  <r>
    <s v="GL000410"/>
    <x v="137"/>
    <n v="4000"/>
    <x v="0"/>
    <n v="0"/>
    <n v="1148.8499999999999"/>
    <x v="4"/>
    <s v="CC400"/>
    <s v="AutoPost 410"/>
    <s v="GBP"/>
    <s v="2024-03"/>
    <n v="1148.8499999999999"/>
    <m/>
    <n v="1148.8499999999999"/>
    <s v="N/A"/>
    <s v=" "/>
  </r>
  <r>
    <s v="GL000411"/>
    <x v="341"/>
    <n v="5000"/>
    <x v="1"/>
    <n v="1644.1"/>
    <n v="0"/>
    <x v="0"/>
    <s v="CC400"/>
    <s v="AutoPost 411"/>
    <s v="EUR"/>
    <s v="2023-11"/>
    <n v="-1644.1"/>
    <m/>
    <n v="-1644.1"/>
    <s v="N/A"/>
    <s v=" "/>
  </r>
  <r>
    <s v="GL000412"/>
    <x v="262"/>
    <n v="4010"/>
    <x v="4"/>
    <n v="0"/>
    <n v="3002.11"/>
    <x v="3"/>
    <s v="CC400"/>
    <s v="AutoPost 412"/>
    <s v="GBP"/>
    <s v="2024-01"/>
    <n v="3002.11"/>
    <m/>
    <n v="3002.11"/>
    <s v="N/A"/>
    <s v=" "/>
  </r>
  <r>
    <s v="GL000413"/>
    <x v="240"/>
    <n v="5010"/>
    <x v="3"/>
    <n v="327.57"/>
    <n v="0"/>
    <x v="1"/>
    <s v="CC100"/>
    <s v="AutoPost 413"/>
    <s v="EUR"/>
    <s v="2024-02"/>
    <n v="-327.57"/>
    <m/>
    <n v="-327.57"/>
    <s v="N/A"/>
    <s v=" "/>
  </r>
  <r>
    <s v="GL000414"/>
    <x v="342"/>
    <n v="4000"/>
    <x v="0"/>
    <n v="0"/>
    <n v="2146.0700000000002"/>
    <x v="3"/>
    <s v="CC500"/>
    <s v="AutoPost 414"/>
    <s v="AUD"/>
    <s v="2023-08"/>
    <n v="2146.0700000000002"/>
    <m/>
    <n v="2146.0700000000002"/>
    <s v="N/A"/>
    <s v=" "/>
  </r>
  <r>
    <s v="GL000415"/>
    <x v="280"/>
    <n v="4000"/>
    <x v="0"/>
    <n v="0"/>
    <n v="811.92"/>
    <x v="1"/>
    <s v="CC500"/>
    <s v="AutoPost 415"/>
    <s v="AUD"/>
    <s v="2024-08"/>
    <n v="811.92"/>
    <m/>
    <n v="811.92"/>
    <s v="N/A"/>
    <s v=" "/>
  </r>
  <r>
    <s v="GL000416"/>
    <x v="343"/>
    <n v="5000"/>
    <x v="1"/>
    <n v="943.91"/>
    <n v="0"/>
    <x v="1"/>
    <s v="CC200"/>
    <s v="AutoPost 416"/>
    <s v="USD"/>
    <s v="2024-08"/>
    <n v="-943.91"/>
    <m/>
    <n v="-943.91"/>
    <s v="N/A"/>
    <s v=" "/>
  </r>
  <r>
    <s v="GL000417"/>
    <x v="94"/>
    <n v="5000"/>
    <x v="1"/>
    <n v="453.48"/>
    <n v="0"/>
    <x v="0"/>
    <s v="CC500"/>
    <s v="AutoPost 417"/>
    <s v="USD"/>
    <s v="2025-01"/>
    <n v="-453.48"/>
    <m/>
    <n v="-453.48"/>
    <s v="N/A"/>
    <s v=" "/>
  </r>
  <r>
    <s v="GL000418"/>
    <x v="344"/>
    <n v="4000"/>
    <x v="0"/>
    <n v="0"/>
    <n v="4075.25"/>
    <x v="1"/>
    <s v="CC300"/>
    <s v="AutoPost 418"/>
    <s v="USD"/>
    <s v="2023-07"/>
    <n v="4075.25"/>
    <m/>
    <n v="4075.25"/>
    <s v="N/A"/>
    <s v=" "/>
  </r>
  <r>
    <s v="GL000419"/>
    <x v="345"/>
    <n v="4000"/>
    <x v="0"/>
    <n v="0"/>
    <n v="4559.4399999999996"/>
    <x v="4"/>
    <s v="CC100"/>
    <s v="AutoPost 419"/>
    <s v="GBP"/>
    <s v="2024-02"/>
    <n v="4559.4399999999996"/>
    <m/>
    <n v="4559.4399999999996"/>
    <s v="N/A"/>
    <s v=" "/>
  </r>
  <r>
    <s v="GL000420"/>
    <x v="346"/>
    <n v="5010"/>
    <x v="3"/>
    <n v="50.64"/>
    <n v="0"/>
    <x v="0"/>
    <s v="CC400"/>
    <s v="AutoPost 420"/>
    <s v="EUR"/>
    <s v="2025-03"/>
    <n v="-50.64"/>
    <m/>
    <n v="-50.64"/>
    <s v="N/A"/>
    <s v=" "/>
  </r>
  <r>
    <s v="GL000421"/>
    <x v="347"/>
    <n v="5000"/>
    <x v="1"/>
    <n v="1277.92"/>
    <n v="0"/>
    <x v="1"/>
    <s v="CC100"/>
    <s v="AutoPost 421"/>
    <s v="EUR"/>
    <s v="2023-07"/>
    <n v="-1277.92"/>
    <m/>
    <n v="-1277.92"/>
    <s v="N/A"/>
    <s v=" "/>
  </r>
  <r>
    <s v="GL000422"/>
    <x v="52"/>
    <n v="5010"/>
    <x v="3"/>
    <n v="707.53"/>
    <n v="0"/>
    <x v="1"/>
    <s v="CC400"/>
    <s v="AutoPost 422"/>
    <s v="USD"/>
    <s v="2023-11"/>
    <n v="-707.53"/>
    <m/>
    <n v="-707.53"/>
    <s v="N/A"/>
    <s v=" "/>
  </r>
  <r>
    <s v="GL000423"/>
    <x v="348"/>
    <n v="6000"/>
    <x v="2"/>
    <n v="356.21"/>
    <n v="0"/>
    <x v="5"/>
    <s v="CC500"/>
    <s v="AutoPost 423"/>
    <s v="EUR"/>
    <s v="2024-02"/>
    <n v="-356.21"/>
    <m/>
    <n v="-356.21"/>
    <s v="N/A"/>
    <s v=" "/>
  </r>
  <r>
    <s v="GL000424"/>
    <x v="349"/>
    <n v="5010"/>
    <x v="3"/>
    <n v="189.31"/>
    <n v="0"/>
    <x v="1"/>
    <s v="CC100"/>
    <s v="AutoPost 424"/>
    <s v="EUR"/>
    <s v="2024-11"/>
    <n v="-189.31"/>
    <m/>
    <n v="-189.31"/>
    <s v="N/A"/>
    <s v=" "/>
  </r>
  <r>
    <s v="GL000425"/>
    <x v="101"/>
    <n v="6000"/>
    <x v="2"/>
    <n v="519.61"/>
    <n v="0"/>
    <x v="3"/>
    <s v="CC300"/>
    <s v="AutoPost 425"/>
    <s v="GBP"/>
    <s v="2024-01"/>
    <n v="-519.61"/>
    <m/>
    <n v="-519.61"/>
    <s v="N/A"/>
    <s v=" "/>
  </r>
  <r>
    <s v="GL000426"/>
    <x v="350"/>
    <n v="4000"/>
    <x v="0"/>
    <n v="0"/>
    <n v="3923.81"/>
    <x v="5"/>
    <s v="CC400"/>
    <s v="AutoPost 426"/>
    <s v="AUD"/>
    <s v="2024-02"/>
    <n v="3923.81"/>
    <m/>
    <n v="3923.81"/>
    <s v="N/A"/>
    <s v=" "/>
  </r>
  <r>
    <s v="GL000427"/>
    <x v="107"/>
    <n v="5000"/>
    <x v="1"/>
    <n v="171.38"/>
    <n v="0"/>
    <x v="3"/>
    <s v="CC400"/>
    <s v="AutoPost 427"/>
    <s v="CAD"/>
    <s v="2023-10"/>
    <n v="-171.38"/>
    <m/>
    <n v="-171.38"/>
    <s v="N/A"/>
    <s v=" "/>
  </r>
  <r>
    <s v="GL000428"/>
    <x v="347"/>
    <n v="5000"/>
    <x v="1"/>
    <n v="960.38"/>
    <n v="0"/>
    <x v="3"/>
    <s v="CC100"/>
    <s v="AutoPost 428"/>
    <s v="EUR"/>
    <s v="2023-07"/>
    <n v="-960.38"/>
    <m/>
    <n v="-960.38"/>
    <s v="N/A"/>
    <s v=" "/>
  </r>
  <r>
    <s v="GL000429"/>
    <x v="76"/>
    <n v="5010"/>
    <x v="3"/>
    <n v="931.96"/>
    <n v="0"/>
    <x v="3"/>
    <s v="CC100"/>
    <s v="AutoPost 429"/>
    <s v="GBP"/>
    <s v="2023-03"/>
    <n v="-931.96"/>
    <m/>
    <n v="-931.96"/>
    <s v="N/A"/>
    <s v=" "/>
  </r>
  <r>
    <s v="GL000430"/>
    <x v="351"/>
    <n v="4000"/>
    <x v="0"/>
    <n v="0"/>
    <n v="353.32"/>
    <x v="4"/>
    <s v="CC300"/>
    <s v="AutoPost 430"/>
    <s v="USD"/>
    <s v="2023-12"/>
    <n v="353.32"/>
    <m/>
    <n v="353.32"/>
    <s v="N/A"/>
    <s v=" "/>
  </r>
  <r>
    <s v="GL000431"/>
    <x v="352"/>
    <n v="6000"/>
    <x v="2"/>
    <n v="66.08"/>
    <n v="0"/>
    <x v="2"/>
    <s v="CC200"/>
    <s v="AutoPost 431"/>
    <s v="GBP"/>
    <s v="2025-02"/>
    <n v="-66.08"/>
    <m/>
    <n v="-66.08"/>
    <s v="N/A"/>
    <s v=" "/>
  </r>
  <r>
    <s v="GL000432"/>
    <x v="353"/>
    <n v="4000"/>
    <x v="0"/>
    <n v="0"/>
    <n v="361.74"/>
    <x v="3"/>
    <s v="CC100"/>
    <s v="AutoPost 432"/>
    <s v="GBP"/>
    <s v="2024-07"/>
    <n v="361.74"/>
    <m/>
    <n v="361.74"/>
    <s v="N/A"/>
    <s v=" "/>
  </r>
  <r>
    <s v="GL000433"/>
    <x v="354"/>
    <n v="6000"/>
    <x v="2"/>
    <n v="1392.66"/>
    <n v="0"/>
    <x v="2"/>
    <s v="CC100"/>
    <s v="AutoPost 433"/>
    <s v="CAD"/>
    <s v="2023-01"/>
    <n v="-1392.66"/>
    <m/>
    <n v="-1392.66"/>
    <s v="N/A"/>
    <s v=" "/>
  </r>
  <r>
    <s v="GL000434"/>
    <x v="355"/>
    <n v="4000"/>
    <x v="0"/>
    <n v="0"/>
    <n v="4172.26"/>
    <x v="3"/>
    <s v="CC100"/>
    <s v="AutoPost 434"/>
    <s v="USD"/>
    <s v="2024-01"/>
    <n v="4172.26"/>
    <m/>
    <n v="4172.26"/>
    <s v="N/A"/>
    <s v=" "/>
  </r>
  <r>
    <s v="GL000435"/>
    <x v="356"/>
    <n v="6000"/>
    <x v="2"/>
    <n v="1792.82"/>
    <n v="0"/>
    <x v="0"/>
    <s v="CC500"/>
    <s v="AutoPost 435"/>
    <s v="GBP"/>
    <s v="2023-01"/>
    <n v="-1792.82"/>
    <m/>
    <n v="-1792.82"/>
    <s v="N/A"/>
    <s v=" "/>
  </r>
  <r>
    <s v="GL000436"/>
    <x v="10"/>
    <n v="5000"/>
    <x v="1"/>
    <n v="164.54"/>
    <n v="0"/>
    <x v="3"/>
    <s v="CC400"/>
    <s v="AutoPost 436"/>
    <s v="GBP"/>
    <s v="2023-11"/>
    <n v="-164.54"/>
    <m/>
    <n v="-164.54"/>
    <s v="N/A"/>
    <s v=" "/>
  </r>
  <r>
    <s v="GL000437"/>
    <x v="349"/>
    <n v="6000"/>
    <x v="2"/>
    <n v="217.44"/>
    <n v="0"/>
    <x v="0"/>
    <s v="CC200"/>
    <s v="AutoPost 437"/>
    <s v="EUR"/>
    <s v="2024-11"/>
    <n v="-217.44"/>
    <m/>
    <n v="-217.44"/>
    <s v="N/A"/>
    <s v=" "/>
  </r>
  <r>
    <s v="GL000438"/>
    <x v="38"/>
    <n v="6000"/>
    <x v="2"/>
    <n v="1899.59"/>
    <n v="0"/>
    <x v="4"/>
    <s v="CC500"/>
    <s v="AutoPost 438"/>
    <s v="USD"/>
    <s v="2025-01"/>
    <n v="-1899.59"/>
    <m/>
    <n v="-1899.59"/>
    <s v="N/A"/>
    <s v=" "/>
  </r>
  <r>
    <s v="GL000439"/>
    <x v="220"/>
    <n v="5010"/>
    <x v="3"/>
    <n v="808.94"/>
    <n v="0"/>
    <x v="5"/>
    <s v="CC300"/>
    <s v="AutoPost 439"/>
    <s v="EUR"/>
    <s v="2024-06"/>
    <n v="-808.94"/>
    <m/>
    <n v="-808.94"/>
    <s v="N/A"/>
    <s v=" "/>
  </r>
  <r>
    <s v="GL000440"/>
    <x v="344"/>
    <n v="4000"/>
    <x v="0"/>
    <n v="0"/>
    <n v="3691.59"/>
    <x v="3"/>
    <s v="CC500"/>
    <s v="AutoPost 440"/>
    <s v="AUD"/>
    <s v="2023-07"/>
    <n v="3691.59"/>
    <m/>
    <n v="3691.59"/>
    <s v="N/A"/>
    <s v=" "/>
  </r>
  <r>
    <s v="GL000441"/>
    <x v="357"/>
    <n v="4010"/>
    <x v="4"/>
    <n v="0"/>
    <n v="2510.66"/>
    <x v="2"/>
    <s v="CC100"/>
    <s v="AutoPost 441"/>
    <s v="USD"/>
    <s v="2024-12"/>
    <n v="2510.66"/>
    <m/>
    <n v="2510.66"/>
    <s v="N/A"/>
    <s v=" "/>
  </r>
  <r>
    <s v="GL000442"/>
    <x v="358"/>
    <n v="4000"/>
    <x v="0"/>
    <n v="0"/>
    <n v="1959.12"/>
    <x v="2"/>
    <s v="CC100"/>
    <s v="AutoPost 442"/>
    <s v="EUR"/>
    <s v="2024-06"/>
    <n v="1959.12"/>
    <m/>
    <n v="1959.12"/>
    <s v="N/A"/>
    <s v=" "/>
  </r>
  <r>
    <s v="GL000443"/>
    <x v="316"/>
    <n v="5010"/>
    <x v="3"/>
    <n v="1541.66"/>
    <n v="0"/>
    <x v="2"/>
    <s v="CC400"/>
    <s v="AutoPost 443"/>
    <s v="CAD"/>
    <s v="2024-10"/>
    <n v="-1541.66"/>
    <m/>
    <n v="-1541.66"/>
    <s v="N/A"/>
    <s v=" "/>
  </r>
  <r>
    <s v="GL000444"/>
    <x v="314"/>
    <n v="5010"/>
    <x v="3"/>
    <n v="1240.1400000000001"/>
    <n v="0"/>
    <x v="3"/>
    <s v="CC500"/>
    <s v="AutoPost 444"/>
    <s v="CAD"/>
    <s v="2025-03"/>
    <n v="-1240.1400000000001"/>
    <m/>
    <n v="-1240.1400000000001"/>
    <s v="N/A"/>
    <s v=" "/>
  </r>
  <r>
    <s v="GL000445"/>
    <x v="359"/>
    <n v="5010"/>
    <x v="3"/>
    <n v="889.94"/>
    <n v="0"/>
    <x v="2"/>
    <s v="CC300"/>
    <s v="AutoPost 445"/>
    <s v="AUD"/>
    <s v="2025-01"/>
    <n v="-889.94"/>
    <m/>
    <n v="-889.94"/>
    <s v="N/A"/>
    <s v=" "/>
  </r>
  <r>
    <s v="GL000446"/>
    <x v="219"/>
    <n v="5000"/>
    <x v="1"/>
    <n v="1562.72"/>
    <n v="0"/>
    <x v="2"/>
    <s v="CC100"/>
    <s v="AutoPost 446"/>
    <s v="EUR"/>
    <s v="2025-06"/>
    <n v="-1562.72"/>
    <m/>
    <n v="-1562.72"/>
    <s v="N/A"/>
    <s v=" "/>
  </r>
  <r>
    <s v="GL000447"/>
    <x v="360"/>
    <n v="6000"/>
    <x v="2"/>
    <n v="1182.8"/>
    <n v="0"/>
    <x v="1"/>
    <s v="CC200"/>
    <s v="AutoPost 447"/>
    <s v="EUR"/>
    <s v="2024-09"/>
    <n v="-1182.8"/>
    <m/>
    <n v="-1182.8"/>
    <s v="N/A"/>
    <s v=" "/>
  </r>
  <r>
    <s v="GL000448"/>
    <x v="122"/>
    <n v="6000"/>
    <x v="2"/>
    <n v="489.72"/>
    <n v="0"/>
    <x v="4"/>
    <s v="CC100"/>
    <s v="AutoPost 448"/>
    <s v="CAD"/>
    <s v="2023-09"/>
    <n v="-489.72"/>
    <m/>
    <n v="-489.72"/>
    <s v="N/A"/>
    <s v=" "/>
  </r>
  <r>
    <s v="GL000449"/>
    <x v="23"/>
    <n v="6000"/>
    <x v="2"/>
    <n v="1003.21"/>
    <n v="0"/>
    <x v="3"/>
    <s v="CC200"/>
    <s v="AutoPost 449"/>
    <s v="EUR"/>
    <s v="2023-03"/>
    <n v="-1003.21"/>
    <m/>
    <n v="-1003.21"/>
    <s v="N/A"/>
    <s v=" "/>
  </r>
  <r>
    <s v="GL000450"/>
    <x v="361"/>
    <n v="4000"/>
    <x v="0"/>
    <n v="0"/>
    <n v="1571.79"/>
    <x v="5"/>
    <s v="CC100"/>
    <s v="AutoPost 450"/>
    <s v="AUD"/>
    <s v="2023-10"/>
    <n v="1571.79"/>
    <m/>
    <n v="1571.79"/>
    <s v="N/A"/>
    <s v=" "/>
  </r>
  <r>
    <s v="GL000451"/>
    <x v="51"/>
    <n v="6000"/>
    <x v="2"/>
    <n v="1413.19"/>
    <n v="0"/>
    <x v="4"/>
    <s v="CC500"/>
    <s v="AutoPost 451"/>
    <s v="AUD"/>
    <s v="2025-06"/>
    <n v="-1413.19"/>
    <m/>
    <n v="-1413.19"/>
    <s v="N/A"/>
    <s v=" "/>
  </r>
  <r>
    <s v="GL000452"/>
    <x v="362"/>
    <n v="6000"/>
    <x v="2"/>
    <n v="819.5"/>
    <n v="0"/>
    <x v="2"/>
    <s v="CC400"/>
    <s v="AutoPost 452"/>
    <s v="GBP"/>
    <s v="2023-11"/>
    <n v="-819.5"/>
    <m/>
    <n v="-819.5"/>
    <s v="N/A"/>
    <s v=" "/>
  </r>
  <r>
    <s v="GL000453"/>
    <x v="363"/>
    <n v="4010"/>
    <x v="4"/>
    <n v="0"/>
    <n v="1428.23"/>
    <x v="1"/>
    <s v="CC200"/>
    <s v="AutoPost 453"/>
    <s v="USD"/>
    <s v="2023-02"/>
    <n v="1428.23"/>
    <m/>
    <n v="1428.23"/>
    <s v="N/A"/>
    <s v=" "/>
  </r>
  <r>
    <s v="GL000454"/>
    <x v="93"/>
    <n v="4000"/>
    <x v="0"/>
    <n v="0"/>
    <n v="1859.84"/>
    <x v="0"/>
    <s v="CC200"/>
    <s v="AutoPost 454"/>
    <s v="EUR"/>
    <s v="2023-01"/>
    <n v="1859.84"/>
    <m/>
    <n v="1859.84"/>
    <s v="N/A"/>
    <s v=" "/>
  </r>
  <r>
    <s v="GL000455"/>
    <x v="364"/>
    <n v="5010"/>
    <x v="3"/>
    <n v="1060.6500000000001"/>
    <n v="0"/>
    <x v="1"/>
    <s v="CC100"/>
    <s v="AutoPost 455"/>
    <s v="USD"/>
    <s v="2024-05"/>
    <n v="-1060.6500000000001"/>
    <m/>
    <n v="-1060.6500000000001"/>
    <s v="N/A"/>
    <s v=" "/>
  </r>
  <r>
    <s v="GL000456"/>
    <x v="110"/>
    <n v="6000"/>
    <x v="2"/>
    <n v="493.78"/>
    <n v="0"/>
    <x v="3"/>
    <s v="CC300"/>
    <s v="AutoPost 456"/>
    <s v="EUR"/>
    <s v="2024-11"/>
    <n v="-493.78"/>
    <m/>
    <n v="-493.78"/>
    <s v="N/A"/>
    <s v=" "/>
  </r>
  <r>
    <s v="GL000457"/>
    <x v="364"/>
    <n v="5010"/>
    <x v="3"/>
    <n v="911.05"/>
    <n v="0"/>
    <x v="3"/>
    <s v="CC400"/>
    <s v="AutoPost 457"/>
    <s v="USD"/>
    <s v="2024-05"/>
    <n v="-911.05"/>
    <m/>
    <n v="-911.05"/>
    <s v="N/A"/>
    <s v=" "/>
  </r>
  <r>
    <s v="GL000458"/>
    <x v="365"/>
    <n v="4010"/>
    <x v="4"/>
    <n v="0"/>
    <n v="855.46"/>
    <x v="3"/>
    <s v="CC500"/>
    <s v="AutoPost 458"/>
    <s v="GBP"/>
    <s v="2024-09"/>
    <n v="855.46"/>
    <m/>
    <n v="855.46"/>
    <s v="N/A"/>
    <s v=" "/>
  </r>
  <r>
    <s v="GL000459"/>
    <x v="154"/>
    <n v="5000"/>
    <x v="1"/>
    <n v="1218.8900000000001"/>
    <n v="0"/>
    <x v="3"/>
    <s v="CC200"/>
    <s v="AutoPost 459"/>
    <s v="USD"/>
    <s v="2023-09"/>
    <n v="-1218.8900000000001"/>
    <m/>
    <n v="-1218.8900000000001"/>
    <s v="N/A"/>
    <s v=" "/>
  </r>
  <r>
    <s v="GL000460"/>
    <x v="366"/>
    <n v="6000"/>
    <x v="2"/>
    <n v="670.27"/>
    <n v="0"/>
    <x v="3"/>
    <s v="CC100"/>
    <s v="AutoPost 460"/>
    <s v="USD"/>
    <s v="2023-02"/>
    <n v="-670.27"/>
    <m/>
    <n v="-670.27"/>
    <s v="N/A"/>
    <s v=" "/>
  </r>
  <r>
    <s v="GL000461"/>
    <x v="367"/>
    <n v="5010"/>
    <x v="3"/>
    <n v="579"/>
    <n v="0"/>
    <x v="4"/>
    <s v="CC400"/>
    <s v="AutoPost 461"/>
    <s v="GBP"/>
    <s v="2024-05"/>
    <n v="-579"/>
    <m/>
    <n v="-579"/>
    <s v="N/A"/>
    <s v=" "/>
  </r>
  <r>
    <s v="GL000462"/>
    <x v="50"/>
    <n v="4010"/>
    <x v="4"/>
    <n v="0"/>
    <n v="1322.5"/>
    <x v="1"/>
    <s v="CC500"/>
    <s v="AutoPost 462"/>
    <s v="GBP"/>
    <s v="2024-10"/>
    <n v="1322.5"/>
    <m/>
    <n v="1322.5"/>
    <s v="N/A"/>
    <s v=" "/>
  </r>
  <r>
    <s v="GL000463"/>
    <x v="94"/>
    <n v="5010"/>
    <x v="3"/>
    <n v="1920.52"/>
    <n v="0"/>
    <x v="0"/>
    <s v="CC300"/>
    <s v="AutoPost 463"/>
    <s v="EUR"/>
    <s v="2025-01"/>
    <n v="-1920.52"/>
    <m/>
    <n v="-1920.52"/>
    <s v="N/A"/>
    <s v=" "/>
  </r>
  <r>
    <s v="GL000464"/>
    <x v="130"/>
    <n v="6000"/>
    <x v="2"/>
    <n v="417.54"/>
    <n v="0"/>
    <x v="3"/>
    <s v="CC300"/>
    <s v="AutoPost 464"/>
    <s v="CAD"/>
    <s v="2023-04"/>
    <n v="-417.54"/>
    <m/>
    <n v="-417.54"/>
    <s v="N/A"/>
    <s v=" "/>
  </r>
  <r>
    <s v="GL000465"/>
    <x v="368"/>
    <n v="5000"/>
    <x v="1"/>
    <n v="1832.61"/>
    <n v="0"/>
    <x v="3"/>
    <s v="CC500"/>
    <s v="AutoPost 465"/>
    <s v="CAD"/>
    <s v="2025-05"/>
    <n v="-1832.61"/>
    <m/>
    <n v="-1832.61"/>
    <s v="N/A"/>
    <s v=" "/>
  </r>
  <r>
    <s v="GL000466"/>
    <x v="369"/>
    <n v="4000"/>
    <x v="0"/>
    <n v="0"/>
    <n v="1225.02"/>
    <x v="5"/>
    <s v="CC200"/>
    <s v="AutoPost 466"/>
    <s v="EUR"/>
    <s v="2023-02"/>
    <n v="1225.02"/>
    <m/>
    <n v="1225.02"/>
    <s v="N/A"/>
    <s v=" "/>
  </r>
  <r>
    <s v="GL000467"/>
    <x v="370"/>
    <n v="5000"/>
    <x v="1"/>
    <n v="973.97"/>
    <n v="0"/>
    <x v="4"/>
    <s v="CC500"/>
    <s v="AutoPost 467"/>
    <s v="GBP"/>
    <s v="2024-10"/>
    <n v="-973.97"/>
    <m/>
    <n v="-973.97"/>
    <s v="N/A"/>
    <s v=" "/>
  </r>
  <r>
    <s v="GL000468"/>
    <x v="101"/>
    <n v="6000"/>
    <x v="2"/>
    <n v="525.5"/>
    <n v="0"/>
    <x v="5"/>
    <s v="CC200"/>
    <s v="AutoPost 468"/>
    <s v="EUR"/>
    <s v="2024-01"/>
    <n v="-525.5"/>
    <m/>
    <n v="-525.5"/>
    <s v="N/A"/>
    <s v=" "/>
  </r>
  <r>
    <s v="GL000469"/>
    <x v="79"/>
    <n v="5000"/>
    <x v="1"/>
    <n v="805.56"/>
    <n v="0"/>
    <x v="0"/>
    <s v="CC400"/>
    <s v="AutoPost 469"/>
    <s v="CAD"/>
    <s v="2023-10"/>
    <n v="-805.56"/>
    <m/>
    <n v="-805.56"/>
    <s v="N/A"/>
    <s v=" "/>
  </r>
  <r>
    <s v="GL000470"/>
    <x v="371"/>
    <n v="6000"/>
    <x v="2"/>
    <n v="1466.97"/>
    <n v="0"/>
    <x v="1"/>
    <s v="CC200"/>
    <s v="AutoPost 470"/>
    <s v="AUD"/>
    <s v="2023-12"/>
    <n v="-1466.97"/>
    <m/>
    <n v="-1466.97"/>
    <s v="N/A"/>
    <s v=" "/>
  </r>
  <r>
    <s v="GL000471"/>
    <x v="372"/>
    <n v="4010"/>
    <x v="4"/>
    <n v="0"/>
    <n v="4734.3599999999997"/>
    <x v="0"/>
    <s v="CC400"/>
    <s v="AutoPost 471"/>
    <s v="AUD"/>
    <s v="2024-12"/>
    <n v="4734.3599999999997"/>
    <m/>
    <n v="4734.3599999999997"/>
    <s v="N/A"/>
    <s v=" "/>
  </r>
  <r>
    <s v="GL000472"/>
    <x v="239"/>
    <n v="4010"/>
    <x v="4"/>
    <n v="0"/>
    <n v="1668.4"/>
    <x v="4"/>
    <s v="CC100"/>
    <s v="AutoPost 472"/>
    <s v="USD"/>
    <s v="2023-09"/>
    <n v="1668.4"/>
    <m/>
    <n v="1668.4"/>
    <s v="N/A"/>
    <s v=" "/>
  </r>
  <r>
    <s v="GL000473"/>
    <x v="116"/>
    <n v="4010"/>
    <x v="4"/>
    <n v="0"/>
    <n v="4991.26"/>
    <x v="3"/>
    <s v="CC200"/>
    <s v="AutoPost 473"/>
    <s v="USD"/>
    <s v="2023-12"/>
    <n v="4991.26"/>
    <m/>
    <n v="4991.26"/>
    <s v="N/A"/>
    <s v=" "/>
  </r>
  <r>
    <s v="GL000474"/>
    <x v="250"/>
    <n v="6000"/>
    <x v="2"/>
    <n v="445.53"/>
    <n v="0"/>
    <x v="2"/>
    <s v="CC100"/>
    <s v="AutoPost 474"/>
    <s v="GBP"/>
    <s v="2025-01"/>
    <n v="-445.53"/>
    <m/>
    <n v="-445.53"/>
    <s v="N/A"/>
    <s v=" "/>
  </r>
  <r>
    <s v="GL000475"/>
    <x v="373"/>
    <n v="6000"/>
    <x v="2"/>
    <n v="1464.99"/>
    <n v="0"/>
    <x v="3"/>
    <s v="CC100"/>
    <s v="AutoPost 475"/>
    <s v="EUR"/>
    <s v="2024-07"/>
    <n v="-1464.99"/>
    <m/>
    <n v="-1464.99"/>
    <s v="N/A"/>
    <s v=" "/>
  </r>
  <r>
    <s v="GL000476"/>
    <x v="374"/>
    <n v="4010"/>
    <x v="4"/>
    <n v="0"/>
    <n v="1422.45"/>
    <x v="1"/>
    <s v="CC500"/>
    <s v="AutoPost 476"/>
    <s v="EUR"/>
    <s v="2023-12"/>
    <n v="1422.45"/>
    <m/>
    <n v="1422.45"/>
    <s v="N/A"/>
    <s v=" "/>
  </r>
  <r>
    <s v="GL000477"/>
    <x v="370"/>
    <n v="4010"/>
    <x v="4"/>
    <n v="0"/>
    <n v="2350.1999999999998"/>
    <x v="1"/>
    <s v="CC500"/>
    <s v="AutoPost 477"/>
    <s v="AUD"/>
    <s v="2024-10"/>
    <n v="2350.1999999999998"/>
    <m/>
    <n v="2350.1999999999998"/>
    <s v="N/A"/>
    <s v=" "/>
  </r>
  <r>
    <s v="GL000478"/>
    <x v="239"/>
    <n v="6000"/>
    <x v="2"/>
    <n v="1559.89"/>
    <n v="0"/>
    <x v="1"/>
    <s v="CC400"/>
    <s v="AutoPost 478"/>
    <s v="AUD"/>
    <s v="2023-09"/>
    <n v="-1559.89"/>
    <m/>
    <n v="-1559.89"/>
    <s v="N/A"/>
    <s v=" "/>
  </r>
  <r>
    <s v="GL000479"/>
    <x v="208"/>
    <n v="5010"/>
    <x v="3"/>
    <n v="1570.96"/>
    <n v="0"/>
    <x v="0"/>
    <s v="CC500"/>
    <s v="AutoPost 479"/>
    <s v="USD"/>
    <s v="2024-10"/>
    <n v="-1570.96"/>
    <m/>
    <n v="-1570.96"/>
    <s v="N/A"/>
    <s v=" "/>
  </r>
  <r>
    <s v="GL000480"/>
    <x v="375"/>
    <n v="4000"/>
    <x v="0"/>
    <n v="0"/>
    <n v="3947.32"/>
    <x v="0"/>
    <s v="CC400"/>
    <s v="AutoPost 480"/>
    <s v="GBP"/>
    <s v="2023-10"/>
    <n v="3947.32"/>
    <m/>
    <n v="3947.32"/>
    <s v="N/A"/>
    <s v=" "/>
  </r>
  <r>
    <s v="GL000481"/>
    <x v="289"/>
    <n v="6000"/>
    <x v="2"/>
    <n v="1467.92"/>
    <n v="0"/>
    <x v="0"/>
    <s v="CC300"/>
    <s v="AutoPost 481"/>
    <s v="USD"/>
    <s v="2024-11"/>
    <n v="-1467.92"/>
    <m/>
    <n v="-1467.92"/>
    <s v="N/A"/>
    <s v=" "/>
  </r>
  <r>
    <s v="GL000482"/>
    <x v="376"/>
    <n v="5000"/>
    <x v="1"/>
    <n v="1843.54"/>
    <n v="0"/>
    <x v="4"/>
    <s v="CC500"/>
    <s v="AutoPost 482"/>
    <s v="GBP"/>
    <s v="2023-06"/>
    <n v="-1843.54"/>
    <m/>
    <n v="-1843.54"/>
    <s v="N/A"/>
    <s v=" "/>
  </r>
  <r>
    <s v="GL000483"/>
    <x v="108"/>
    <n v="5010"/>
    <x v="3"/>
    <n v="134.56"/>
    <n v="0"/>
    <x v="0"/>
    <s v="CC100"/>
    <s v="AutoPost 483"/>
    <s v="EUR"/>
    <s v="2025-04"/>
    <n v="-134.56"/>
    <m/>
    <n v="-134.56"/>
    <s v="N/A"/>
    <s v=" "/>
  </r>
  <r>
    <s v="GL000484"/>
    <x v="377"/>
    <n v="4000"/>
    <x v="0"/>
    <n v="0"/>
    <n v="1712.94"/>
    <x v="4"/>
    <s v="CC500"/>
    <s v="AutoPost 484"/>
    <s v="EUR"/>
    <s v="2025-01"/>
    <n v="1712.94"/>
    <m/>
    <n v="1712.94"/>
    <s v="N/A"/>
    <s v=" "/>
  </r>
  <r>
    <s v="GL000485"/>
    <x v="378"/>
    <n v="5010"/>
    <x v="3"/>
    <n v="551.23"/>
    <n v="0"/>
    <x v="5"/>
    <s v="CC200"/>
    <s v="AutoPost 485"/>
    <s v="GBP"/>
    <s v="2023-08"/>
    <n v="-551.23"/>
    <m/>
    <n v="-551.23"/>
    <s v="N/A"/>
    <s v=" "/>
  </r>
  <r>
    <s v="GL000486"/>
    <x v="379"/>
    <n v="4000"/>
    <x v="0"/>
    <n v="0"/>
    <n v="588.37"/>
    <x v="0"/>
    <s v="CC400"/>
    <s v="AutoPost 486"/>
    <s v="GBP"/>
    <s v="2024-08"/>
    <n v="588.37"/>
    <m/>
    <n v="588.37"/>
    <s v="N/A"/>
    <s v=" "/>
  </r>
  <r>
    <s v="GL000487"/>
    <x v="114"/>
    <n v="6000"/>
    <x v="2"/>
    <n v="134.5"/>
    <n v="0"/>
    <x v="4"/>
    <s v="CC500"/>
    <s v="AutoPost 487"/>
    <s v="CAD"/>
    <s v="2024-08"/>
    <n v="-134.5"/>
    <m/>
    <n v="-134.5"/>
    <s v="N/A"/>
    <s v=" "/>
  </r>
  <r>
    <s v="GL000488"/>
    <x v="26"/>
    <n v="5000"/>
    <x v="1"/>
    <n v="630.03"/>
    <n v="0"/>
    <x v="4"/>
    <s v="CC200"/>
    <s v="AutoPost 488"/>
    <s v="CAD"/>
    <s v="2024-11"/>
    <n v="-630.03"/>
    <m/>
    <n v="-630.03"/>
    <s v="N/A"/>
    <s v=" "/>
  </r>
  <r>
    <s v="GL000489"/>
    <x v="380"/>
    <n v="6000"/>
    <x v="2"/>
    <n v="1840.05"/>
    <n v="0"/>
    <x v="0"/>
    <s v="CC500"/>
    <s v="AutoPost 489"/>
    <s v="AUD"/>
    <s v="2023-07"/>
    <n v="-1840.05"/>
    <m/>
    <n v="-1840.05"/>
    <s v="N/A"/>
    <s v=" "/>
  </r>
  <r>
    <s v="GL000490"/>
    <x v="164"/>
    <n v="5000"/>
    <x v="1"/>
    <n v="1943.87"/>
    <n v="0"/>
    <x v="3"/>
    <s v="CC100"/>
    <s v="AutoPost 490"/>
    <s v="AUD"/>
    <s v="2023-04"/>
    <n v="-1943.87"/>
    <m/>
    <n v="-1943.87"/>
    <s v="N/A"/>
    <s v=" "/>
  </r>
  <r>
    <s v="GL000491"/>
    <x v="381"/>
    <n v="4000"/>
    <x v="0"/>
    <n v="0"/>
    <n v="2322.15"/>
    <x v="0"/>
    <s v="CC400"/>
    <s v="AutoPost 491"/>
    <s v="USD"/>
    <s v="2024-09"/>
    <n v="2322.15"/>
    <m/>
    <n v="2322.15"/>
    <s v="N/A"/>
    <s v=" "/>
  </r>
  <r>
    <s v="GL000492"/>
    <x v="382"/>
    <n v="4000"/>
    <x v="0"/>
    <n v="0"/>
    <n v="1615.42"/>
    <x v="3"/>
    <s v="CC300"/>
    <s v="AutoPost 492"/>
    <s v="CAD"/>
    <s v="2025-03"/>
    <n v="1615.42"/>
    <m/>
    <n v="1615.42"/>
    <s v="N/A"/>
    <s v=" "/>
  </r>
  <r>
    <s v="GL000493"/>
    <x v="383"/>
    <n v="4010"/>
    <x v="4"/>
    <n v="0"/>
    <n v="3274.24"/>
    <x v="1"/>
    <s v="CC100"/>
    <s v="AutoPost 493"/>
    <s v="CAD"/>
    <s v="2024-05"/>
    <n v="3274.24"/>
    <m/>
    <n v="3274.24"/>
    <s v="N/A"/>
    <s v=" "/>
  </r>
  <r>
    <s v="GL000494"/>
    <x v="384"/>
    <n v="5010"/>
    <x v="3"/>
    <n v="293.63"/>
    <n v="0"/>
    <x v="3"/>
    <s v="CC300"/>
    <s v="AutoPost 494"/>
    <s v="CAD"/>
    <s v="2023-11"/>
    <n v="-293.63"/>
    <m/>
    <n v="-293.63"/>
    <s v="N/A"/>
    <s v=" "/>
  </r>
  <r>
    <s v="GL000495"/>
    <x v="92"/>
    <n v="4000"/>
    <x v="0"/>
    <n v="0"/>
    <n v="2924.19"/>
    <x v="4"/>
    <s v="CC200"/>
    <s v="AutoPost 495"/>
    <s v="USD"/>
    <s v="2023-02"/>
    <n v="2924.19"/>
    <m/>
    <n v="2924.19"/>
    <s v="N/A"/>
    <s v=" "/>
  </r>
  <r>
    <s v="GL000496"/>
    <x v="385"/>
    <n v="5000"/>
    <x v="1"/>
    <n v="630.34"/>
    <n v="0"/>
    <x v="0"/>
    <s v="CC500"/>
    <s v="AutoPost 496"/>
    <s v="USD"/>
    <s v="2024-11"/>
    <n v="-630.34"/>
    <m/>
    <n v="-630.34"/>
    <s v="N/A"/>
    <s v=" "/>
  </r>
  <r>
    <s v="GL000497"/>
    <x v="348"/>
    <n v="4000"/>
    <x v="0"/>
    <n v="0"/>
    <n v="2794.59"/>
    <x v="1"/>
    <s v="CC200"/>
    <s v="AutoPost 497"/>
    <s v="EUR"/>
    <s v="2024-02"/>
    <n v="2794.59"/>
    <m/>
    <n v="2794.59"/>
    <s v="N/A"/>
    <s v=" "/>
  </r>
  <r>
    <s v="GL000498"/>
    <x v="154"/>
    <n v="5000"/>
    <x v="1"/>
    <n v="276.86"/>
    <n v="0"/>
    <x v="3"/>
    <s v="CC400"/>
    <s v="AutoPost 498"/>
    <s v="USD"/>
    <s v="2023-09"/>
    <n v="-276.86"/>
    <m/>
    <n v="-276.86"/>
    <s v="N/A"/>
    <s v=" "/>
  </r>
  <r>
    <s v="GL000499"/>
    <x v="211"/>
    <n v="5000"/>
    <x v="1"/>
    <n v="1358.2"/>
    <n v="0"/>
    <x v="0"/>
    <s v="CC200"/>
    <s v="AutoPost 499"/>
    <s v="GBP"/>
    <s v="2023-07"/>
    <n v="-1358.2"/>
    <m/>
    <n v="-1358.2"/>
    <s v="N/A"/>
    <s v=" "/>
  </r>
  <r>
    <s v="GL000500"/>
    <x v="53"/>
    <n v="5010"/>
    <x v="3"/>
    <n v="701.01"/>
    <n v="0"/>
    <x v="3"/>
    <s v="CC100"/>
    <s v="AutoPost 500"/>
    <s v="GBP"/>
    <s v="2024-04"/>
    <n v="-701.01"/>
    <m/>
    <n v="-701.01"/>
    <s v="N/A"/>
    <s v=" "/>
  </r>
  <r>
    <s v="GL000501"/>
    <x v="139"/>
    <n v="4000"/>
    <x v="0"/>
    <n v="0"/>
    <n v="3951.26"/>
    <x v="4"/>
    <s v="CC500"/>
    <s v="AutoPost 501"/>
    <s v="AUD"/>
    <s v="2024-10"/>
    <n v="3951.26"/>
    <m/>
    <n v="3951.26"/>
    <s v="N/A"/>
    <s v=" "/>
  </r>
  <r>
    <s v="GL000502"/>
    <x v="386"/>
    <n v="4000"/>
    <x v="0"/>
    <n v="0"/>
    <n v="1521.81"/>
    <x v="3"/>
    <s v="CC200"/>
    <s v="AutoPost 502"/>
    <s v="EUR"/>
    <s v="2023-06"/>
    <n v="1521.81"/>
    <m/>
    <n v="1521.81"/>
    <s v="N/A"/>
    <s v=" "/>
  </r>
  <r>
    <s v="GL000503"/>
    <x v="387"/>
    <n v="5010"/>
    <x v="3"/>
    <n v="402.01"/>
    <n v="0"/>
    <x v="3"/>
    <s v="CC500"/>
    <s v="AutoPost 503"/>
    <s v="EUR"/>
    <s v="2023-08"/>
    <n v="-402.01"/>
    <m/>
    <n v="-402.01"/>
    <s v="N/A"/>
    <s v=" "/>
  </r>
  <r>
    <s v="GL000504"/>
    <x v="192"/>
    <n v="5000"/>
    <x v="1"/>
    <n v="610.08000000000004"/>
    <n v="0"/>
    <x v="0"/>
    <s v="CC100"/>
    <s v="AutoPost 504"/>
    <s v="CAD"/>
    <s v="2024-02"/>
    <n v="-610.08000000000004"/>
    <m/>
    <n v="-610.08000000000004"/>
    <s v="N/A"/>
    <s v=" "/>
  </r>
  <r>
    <s v="GL000505"/>
    <x v="388"/>
    <n v="4000"/>
    <x v="0"/>
    <n v="0"/>
    <n v="4713.8999999999996"/>
    <x v="1"/>
    <s v="CC100"/>
    <s v="AutoPost 505"/>
    <s v="EUR"/>
    <s v="2024-01"/>
    <n v="4713.8999999999996"/>
    <m/>
    <n v="4713.8999999999996"/>
    <s v="N/A"/>
    <s v=" "/>
  </r>
  <r>
    <s v="GL000506"/>
    <x v="389"/>
    <n v="6000"/>
    <x v="2"/>
    <n v="1547.67"/>
    <n v="0"/>
    <x v="0"/>
    <s v="CC500"/>
    <s v="AutoPost 506"/>
    <s v="EUR"/>
    <s v="2023-03"/>
    <n v="-1547.67"/>
    <m/>
    <n v="-1547.67"/>
    <s v="N/A"/>
    <s v=" "/>
  </r>
  <r>
    <s v="GL000507"/>
    <x v="42"/>
    <n v="4010"/>
    <x v="4"/>
    <n v="0"/>
    <n v="3002.52"/>
    <x v="1"/>
    <s v="CC100"/>
    <s v="AutoPost 507"/>
    <s v="CAD"/>
    <s v="2023-02"/>
    <n v="3002.52"/>
    <m/>
    <n v="3002.52"/>
    <s v="N/A"/>
    <s v=" "/>
  </r>
  <r>
    <s v="GL000508"/>
    <x v="154"/>
    <n v="6000"/>
    <x v="2"/>
    <n v="1295.97"/>
    <n v="0"/>
    <x v="1"/>
    <s v="CC300"/>
    <s v="AutoPost 508"/>
    <s v="GBP"/>
    <s v="2023-09"/>
    <n v="-1295.97"/>
    <m/>
    <n v="-1295.97"/>
    <s v="N/A"/>
    <s v=" "/>
  </r>
  <r>
    <s v="GL000509"/>
    <x v="148"/>
    <n v="5010"/>
    <x v="3"/>
    <n v="1648.77"/>
    <n v="0"/>
    <x v="5"/>
    <s v="CC100"/>
    <s v="AutoPost 509"/>
    <s v="CAD"/>
    <s v="2024-12"/>
    <n v="-1648.77"/>
    <m/>
    <n v="-1648.77"/>
    <s v="N/A"/>
    <s v=" "/>
  </r>
  <r>
    <s v="GL000510"/>
    <x v="390"/>
    <n v="4010"/>
    <x v="4"/>
    <n v="0"/>
    <n v="1351.35"/>
    <x v="1"/>
    <s v="CC500"/>
    <s v="AutoPost 510"/>
    <s v="EUR"/>
    <s v="2023-01"/>
    <n v="1351.35"/>
    <m/>
    <n v="1351.35"/>
    <s v="N/A"/>
    <s v=" "/>
  </r>
  <r>
    <s v="GL000511"/>
    <x v="2"/>
    <n v="4010"/>
    <x v="4"/>
    <n v="0"/>
    <n v="1986.96"/>
    <x v="5"/>
    <s v="CC100"/>
    <s v="AutoPost 511"/>
    <s v="EUR"/>
    <s v="2025-01"/>
    <n v="1986.96"/>
    <m/>
    <n v="1986.96"/>
    <s v="N/A"/>
    <s v=" "/>
  </r>
  <r>
    <s v="GL000512"/>
    <x v="391"/>
    <n v="5010"/>
    <x v="3"/>
    <n v="1723.41"/>
    <n v="0"/>
    <x v="0"/>
    <s v="CC100"/>
    <s v="AutoPost 512"/>
    <s v="EUR"/>
    <s v="2023-08"/>
    <n v="-1723.41"/>
    <m/>
    <n v="-1723.41"/>
    <s v="N/A"/>
    <s v=" "/>
  </r>
  <r>
    <s v="GL000513"/>
    <x v="23"/>
    <n v="4010"/>
    <x v="4"/>
    <n v="0"/>
    <n v="386.09"/>
    <x v="3"/>
    <s v="CC400"/>
    <s v="AutoPost 513"/>
    <s v="AUD"/>
    <s v="2023-03"/>
    <n v="386.09"/>
    <m/>
    <n v="386.09"/>
    <s v="N/A"/>
    <s v=" "/>
  </r>
  <r>
    <s v="GL000514"/>
    <x v="392"/>
    <n v="4000"/>
    <x v="0"/>
    <n v="0"/>
    <n v="2180.11"/>
    <x v="1"/>
    <s v="CC400"/>
    <s v="AutoPost 514"/>
    <s v="EUR"/>
    <s v="2024-09"/>
    <n v="2180.11"/>
    <m/>
    <n v="2180.11"/>
    <s v="N/A"/>
    <s v=" "/>
  </r>
  <r>
    <s v="GL000515"/>
    <x v="290"/>
    <n v="6000"/>
    <x v="2"/>
    <n v="1283.72"/>
    <n v="0"/>
    <x v="0"/>
    <s v="CC200"/>
    <s v="AutoPost 515"/>
    <s v="AUD"/>
    <s v="2024-09"/>
    <n v="-1283.72"/>
    <m/>
    <n v="-1283.72"/>
    <s v="N/A"/>
    <s v=" "/>
  </r>
  <r>
    <s v="GL000516"/>
    <x v="318"/>
    <n v="6000"/>
    <x v="2"/>
    <n v="1809.13"/>
    <n v="0"/>
    <x v="3"/>
    <s v="CC100"/>
    <s v="AutoPost 516"/>
    <s v="CAD"/>
    <s v="2025-05"/>
    <n v="-1809.13"/>
    <m/>
    <n v="-1809.13"/>
    <s v="N/A"/>
    <s v=" "/>
  </r>
  <r>
    <s v="GL000517"/>
    <x v="185"/>
    <n v="5000"/>
    <x v="1"/>
    <n v="1785.9"/>
    <n v="0"/>
    <x v="4"/>
    <s v="CC500"/>
    <s v="AutoPost 517"/>
    <s v="AUD"/>
    <s v="2025-03"/>
    <n v="-1785.9"/>
    <m/>
    <n v="-1785.9"/>
    <s v="N/A"/>
    <s v=" "/>
  </r>
  <r>
    <s v="GL000518"/>
    <x v="56"/>
    <n v="4010"/>
    <x v="4"/>
    <n v="0"/>
    <n v="4808.83"/>
    <x v="5"/>
    <s v="CC100"/>
    <s v="AutoPost 518"/>
    <s v="USD"/>
    <s v="2023-12"/>
    <n v="4808.83"/>
    <m/>
    <n v="4808.83"/>
    <s v="N/A"/>
    <s v=" "/>
  </r>
  <r>
    <s v="GL000519"/>
    <x v="393"/>
    <n v="5000"/>
    <x v="1"/>
    <n v="922.15"/>
    <n v="0"/>
    <x v="3"/>
    <s v="CC200"/>
    <s v="AutoPost 519"/>
    <s v="USD"/>
    <s v="2024-10"/>
    <n v="-922.15"/>
    <m/>
    <n v="-922.15"/>
    <s v="N/A"/>
    <s v=" "/>
  </r>
  <r>
    <s v="GL000520"/>
    <x v="394"/>
    <n v="4000"/>
    <x v="0"/>
    <n v="0"/>
    <n v="2754.43"/>
    <x v="0"/>
    <s v="CC100"/>
    <s v="AutoPost 520"/>
    <s v="USD"/>
    <s v="2024-12"/>
    <n v="2754.43"/>
    <m/>
    <n v="2754.43"/>
    <s v="N/A"/>
    <s v=" "/>
  </r>
  <r>
    <s v="GL000521"/>
    <x v="395"/>
    <n v="4000"/>
    <x v="0"/>
    <n v="0"/>
    <n v="2370.2800000000002"/>
    <x v="1"/>
    <s v="CC200"/>
    <s v="AutoPost 521"/>
    <s v="AUD"/>
    <s v="2025-05"/>
    <n v="2370.2800000000002"/>
    <m/>
    <n v="2370.2800000000002"/>
    <s v="N/A"/>
    <s v=" "/>
  </r>
  <r>
    <s v="GL000522"/>
    <x v="396"/>
    <n v="5000"/>
    <x v="1"/>
    <n v="649.98"/>
    <n v="0"/>
    <x v="2"/>
    <s v="CC200"/>
    <s v="AutoPost 522"/>
    <s v="EUR"/>
    <s v="2023-09"/>
    <n v="-649.98"/>
    <m/>
    <n v="-649.98"/>
    <s v="N/A"/>
    <s v=" "/>
  </r>
  <r>
    <s v="GL000523"/>
    <x v="22"/>
    <n v="4010"/>
    <x v="4"/>
    <n v="0"/>
    <n v="402.69"/>
    <x v="3"/>
    <s v="CC200"/>
    <s v="AutoPost 523"/>
    <s v="EUR"/>
    <s v="2024-05"/>
    <n v="402.69"/>
    <m/>
    <n v="402.69"/>
    <s v="N/A"/>
    <s v=" "/>
  </r>
  <r>
    <s v="GL000524"/>
    <x v="10"/>
    <n v="6000"/>
    <x v="2"/>
    <n v="154.30000000000001"/>
    <n v="0"/>
    <x v="3"/>
    <s v="CC500"/>
    <s v="AutoPost 524"/>
    <s v="GBP"/>
    <s v="2023-11"/>
    <n v="-154.30000000000001"/>
    <m/>
    <n v="-154.30000000000001"/>
    <s v="N/A"/>
    <s v=" "/>
  </r>
  <r>
    <s v="GL000525"/>
    <x v="397"/>
    <n v="4000"/>
    <x v="0"/>
    <n v="0"/>
    <n v="3155.19"/>
    <x v="4"/>
    <s v="CC500"/>
    <s v="AutoPost 525"/>
    <s v="EUR"/>
    <s v="2024-03"/>
    <n v="3155.19"/>
    <m/>
    <n v="3155.19"/>
    <s v="N/A"/>
    <s v=" "/>
  </r>
  <r>
    <s v="GL000526"/>
    <x v="398"/>
    <n v="6000"/>
    <x v="2"/>
    <n v="1455.97"/>
    <n v="0"/>
    <x v="3"/>
    <s v="CC400"/>
    <s v="AutoPost 526"/>
    <s v="USD"/>
    <s v="2023-01"/>
    <n v="-1455.97"/>
    <m/>
    <n v="-1455.97"/>
    <s v="N/A"/>
    <s v=" "/>
  </r>
  <r>
    <s v="GL000527"/>
    <x v="399"/>
    <n v="5000"/>
    <x v="1"/>
    <n v="133.86000000000001"/>
    <n v="0"/>
    <x v="5"/>
    <s v="CC200"/>
    <s v="AutoPost 527"/>
    <s v="EUR"/>
    <s v="2023-12"/>
    <n v="-133.86000000000001"/>
    <m/>
    <n v="-133.86000000000001"/>
    <s v="N/A"/>
    <s v=" "/>
  </r>
  <r>
    <s v="GL000528"/>
    <x v="400"/>
    <n v="5000"/>
    <x v="1"/>
    <n v="928.81"/>
    <n v="0"/>
    <x v="5"/>
    <s v="CC300"/>
    <s v="AutoPost 528"/>
    <s v="AUD"/>
    <s v="2024-05"/>
    <n v="-928.81"/>
    <m/>
    <n v="-928.81"/>
    <s v="N/A"/>
    <s v=" "/>
  </r>
  <r>
    <s v="GL000529"/>
    <x v="198"/>
    <n v="4010"/>
    <x v="4"/>
    <n v="0"/>
    <n v="4936.62"/>
    <x v="2"/>
    <s v="CC400"/>
    <s v="AutoPost 529"/>
    <s v="GBP"/>
    <s v="2023-04"/>
    <n v="4936.62"/>
    <m/>
    <n v="4936.62"/>
    <s v="N/A"/>
    <s v=" "/>
  </r>
  <r>
    <s v="GL000530"/>
    <x v="400"/>
    <n v="6000"/>
    <x v="2"/>
    <n v="1152.7"/>
    <n v="0"/>
    <x v="0"/>
    <s v="CC300"/>
    <s v="AutoPost 530"/>
    <s v="EUR"/>
    <s v="2024-05"/>
    <n v="-1152.7"/>
    <m/>
    <n v="-1152.7"/>
    <s v="N/A"/>
    <s v=" "/>
  </r>
  <r>
    <s v="GL000531"/>
    <x v="372"/>
    <n v="5010"/>
    <x v="3"/>
    <n v="1793.92"/>
    <n v="0"/>
    <x v="4"/>
    <s v="CC100"/>
    <s v="AutoPost 531"/>
    <s v="AUD"/>
    <s v="2024-12"/>
    <n v="-1793.92"/>
    <m/>
    <n v="-1793.92"/>
    <s v="N/A"/>
    <s v=" "/>
  </r>
  <r>
    <s v="GL000532"/>
    <x v="133"/>
    <n v="5000"/>
    <x v="1"/>
    <n v="1022.78"/>
    <n v="0"/>
    <x v="0"/>
    <s v="CC500"/>
    <s v="AutoPost 532"/>
    <s v="USD"/>
    <s v="2024-06"/>
    <n v="-1022.78"/>
    <m/>
    <n v="-1022.78"/>
    <s v="N/A"/>
    <s v=" "/>
  </r>
  <r>
    <s v="GL000533"/>
    <x v="250"/>
    <n v="4000"/>
    <x v="0"/>
    <n v="0"/>
    <n v="1831.2"/>
    <x v="3"/>
    <s v="CC100"/>
    <s v="AutoPost 533"/>
    <s v="EUR"/>
    <s v="2025-01"/>
    <n v="1831.2"/>
    <m/>
    <n v="1831.2"/>
    <s v="N/A"/>
    <s v=" "/>
  </r>
  <r>
    <s v="GL000534"/>
    <x v="401"/>
    <n v="4000"/>
    <x v="0"/>
    <n v="0"/>
    <n v="1273.25"/>
    <x v="3"/>
    <s v="CC200"/>
    <s v="AutoPost 534"/>
    <s v="EUR"/>
    <s v="2025-05"/>
    <n v="1273.25"/>
    <m/>
    <n v="1273.25"/>
    <s v="N/A"/>
    <s v=" "/>
  </r>
  <r>
    <s v="GL000535"/>
    <x v="64"/>
    <n v="4010"/>
    <x v="4"/>
    <n v="0"/>
    <n v="3620.97"/>
    <x v="4"/>
    <s v="CC100"/>
    <s v="AutoPost 535"/>
    <s v="GBP"/>
    <s v="2023-10"/>
    <n v="3620.97"/>
    <m/>
    <n v="3620.97"/>
    <s v="N/A"/>
    <s v=" "/>
  </r>
  <r>
    <s v="GL000536"/>
    <x v="224"/>
    <n v="4000"/>
    <x v="0"/>
    <n v="0"/>
    <n v="2592.4299999999998"/>
    <x v="3"/>
    <s v="CC500"/>
    <s v="AutoPost 536"/>
    <s v="EUR"/>
    <s v="2024-06"/>
    <n v="2592.4299999999998"/>
    <m/>
    <n v="2592.4299999999998"/>
    <s v="N/A"/>
    <s v=" "/>
  </r>
  <r>
    <s v="GL000537"/>
    <x v="402"/>
    <n v="5000"/>
    <x v="1"/>
    <n v="1683.82"/>
    <n v="0"/>
    <x v="3"/>
    <s v="CC400"/>
    <s v="AutoPost 537"/>
    <s v="AUD"/>
    <s v="2025-03"/>
    <n v="-1683.82"/>
    <m/>
    <n v="-1683.82"/>
    <s v="N/A"/>
    <s v=" "/>
  </r>
  <r>
    <s v="GL000538"/>
    <x v="403"/>
    <n v="5010"/>
    <x v="3"/>
    <n v="1735.98"/>
    <n v="0"/>
    <x v="0"/>
    <s v="CC500"/>
    <s v="AutoPost 538"/>
    <s v="AUD"/>
    <s v="2023-09"/>
    <n v="-1735.98"/>
    <m/>
    <n v="-1735.98"/>
    <s v="N/A"/>
    <s v=" "/>
  </r>
  <r>
    <s v="GL000539"/>
    <x v="404"/>
    <n v="4000"/>
    <x v="0"/>
    <n v="0"/>
    <n v="3791.55"/>
    <x v="4"/>
    <s v="CC400"/>
    <s v="AutoPost 539"/>
    <s v="EUR"/>
    <s v="2025-05"/>
    <n v="3791.55"/>
    <m/>
    <n v="3791.55"/>
    <s v="N/A"/>
    <s v=" "/>
  </r>
  <r>
    <s v="GL000540"/>
    <x v="405"/>
    <n v="4010"/>
    <x v="4"/>
    <n v="0"/>
    <n v="2119.27"/>
    <x v="0"/>
    <s v="CC500"/>
    <s v="AutoPost 540"/>
    <s v="USD"/>
    <s v="2025-01"/>
    <n v="2119.27"/>
    <m/>
    <n v="2119.27"/>
    <s v="N/A"/>
    <s v=" "/>
  </r>
  <r>
    <s v="GL000541"/>
    <x v="208"/>
    <n v="4010"/>
    <x v="4"/>
    <n v="0"/>
    <n v="3802.31"/>
    <x v="3"/>
    <s v="CC400"/>
    <s v="AutoPost 541"/>
    <s v="CAD"/>
    <s v="2024-10"/>
    <n v="3802.31"/>
    <m/>
    <n v="3802.31"/>
    <s v="N/A"/>
    <s v=" "/>
  </r>
  <r>
    <s v="GL000542"/>
    <x v="406"/>
    <n v="4010"/>
    <x v="4"/>
    <n v="0"/>
    <n v="1414.25"/>
    <x v="0"/>
    <s v="CC200"/>
    <s v="AutoPost 542"/>
    <s v="USD"/>
    <s v="2025-01"/>
    <n v="1414.25"/>
    <m/>
    <n v="1414.25"/>
    <s v="N/A"/>
    <s v=" "/>
  </r>
  <r>
    <s v="GL000543"/>
    <x v="407"/>
    <n v="4000"/>
    <x v="0"/>
    <n v="0"/>
    <n v="1404.17"/>
    <x v="2"/>
    <s v="CC500"/>
    <s v="AutoPost 543"/>
    <s v="AUD"/>
    <s v="2024-12"/>
    <n v="1404.17"/>
    <m/>
    <n v="1404.17"/>
    <s v="N/A"/>
    <s v=" "/>
  </r>
  <r>
    <s v="GL000544"/>
    <x v="408"/>
    <n v="4010"/>
    <x v="4"/>
    <n v="0"/>
    <n v="3160.15"/>
    <x v="4"/>
    <s v="CC400"/>
    <s v="AutoPost 544"/>
    <s v="CAD"/>
    <s v="2023-05"/>
    <n v="3160.15"/>
    <m/>
    <n v="3160.15"/>
    <s v="N/A"/>
    <s v=" "/>
  </r>
  <r>
    <s v="GL000545"/>
    <x v="409"/>
    <n v="6000"/>
    <x v="2"/>
    <n v="344.52"/>
    <n v="0"/>
    <x v="4"/>
    <s v="CC400"/>
    <s v="AutoPost 545"/>
    <s v="AUD"/>
    <s v="2023-05"/>
    <n v="-344.52"/>
    <m/>
    <n v="-344.52"/>
    <s v="N/A"/>
    <s v=" "/>
  </r>
  <r>
    <s v="GL000546"/>
    <x v="360"/>
    <n v="6000"/>
    <x v="2"/>
    <n v="846.89"/>
    <n v="0"/>
    <x v="3"/>
    <s v="CC200"/>
    <s v="AutoPost 546"/>
    <s v="GBP"/>
    <s v="2024-09"/>
    <n v="-846.89"/>
    <m/>
    <n v="-846.89"/>
    <s v="N/A"/>
    <s v=" "/>
  </r>
  <r>
    <s v="GL000547"/>
    <x v="306"/>
    <n v="5010"/>
    <x v="3"/>
    <n v="1316.39"/>
    <n v="0"/>
    <x v="4"/>
    <s v="CC100"/>
    <s v="AutoPost 547"/>
    <s v="CAD"/>
    <s v="2025-05"/>
    <n v="-1316.39"/>
    <m/>
    <n v="-1316.39"/>
    <s v="N/A"/>
    <s v=" "/>
  </r>
  <r>
    <s v="GL000548"/>
    <x v="410"/>
    <n v="5010"/>
    <x v="3"/>
    <n v="1731.71"/>
    <n v="0"/>
    <x v="0"/>
    <s v="CC400"/>
    <s v="AutoPost 548"/>
    <s v="GBP"/>
    <s v="2024-11"/>
    <n v="-1731.71"/>
    <m/>
    <n v="-1731.71"/>
    <s v="N/A"/>
    <s v=" "/>
  </r>
  <r>
    <s v="GL000549"/>
    <x v="340"/>
    <n v="5000"/>
    <x v="1"/>
    <n v="1683.19"/>
    <n v="0"/>
    <x v="4"/>
    <s v="CC400"/>
    <s v="AutoPost 549"/>
    <s v="USD"/>
    <s v="2024-05"/>
    <n v="-1683.19"/>
    <m/>
    <n v="-1683.19"/>
    <s v="N/A"/>
    <s v=" "/>
  </r>
  <r>
    <s v="GL000550"/>
    <x v="411"/>
    <n v="6000"/>
    <x v="2"/>
    <n v="225.82"/>
    <n v="0"/>
    <x v="3"/>
    <s v="CC400"/>
    <s v="AutoPost 550"/>
    <s v="GBP"/>
    <s v="2024-09"/>
    <n v="-225.82"/>
    <m/>
    <n v="-225.82"/>
    <s v="N/A"/>
    <s v=" "/>
  </r>
  <r>
    <s v="GL000551"/>
    <x v="294"/>
    <n v="4000"/>
    <x v="0"/>
    <n v="0"/>
    <n v="3218.47"/>
    <x v="2"/>
    <s v="CC400"/>
    <s v="AutoPost 551"/>
    <s v="AUD"/>
    <s v="2023-05"/>
    <n v="3218.47"/>
    <m/>
    <n v="3218.47"/>
    <s v="N/A"/>
    <s v=" "/>
  </r>
  <r>
    <s v="GL000552"/>
    <x v="154"/>
    <n v="4010"/>
    <x v="4"/>
    <n v="0"/>
    <n v="489.03"/>
    <x v="2"/>
    <s v="CC500"/>
    <s v="AutoPost 552"/>
    <s v="CAD"/>
    <s v="2023-09"/>
    <n v="489.03"/>
    <m/>
    <n v="489.03"/>
    <s v="N/A"/>
    <s v=" "/>
  </r>
  <r>
    <s v="GL000553"/>
    <x v="27"/>
    <n v="5010"/>
    <x v="3"/>
    <n v="558.76"/>
    <n v="0"/>
    <x v="2"/>
    <s v="CC200"/>
    <s v="AutoPost 553"/>
    <s v="USD"/>
    <s v="2025-06"/>
    <n v="-558.76"/>
    <m/>
    <n v="-558.76"/>
    <s v="N/A"/>
    <s v=" "/>
  </r>
  <r>
    <s v="GL000554"/>
    <x v="267"/>
    <n v="4000"/>
    <x v="0"/>
    <n v="0"/>
    <n v="3368.07"/>
    <x v="3"/>
    <s v="CC300"/>
    <s v="AutoPost 554"/>
    <s v="GBP"/>
    <s v="2023-01"/>
    <n v="3368.07"/>
    <m/>
    <n v="3368.07"/>
    <s v="N/A"/>
    <s v=" "/>
  </r>
  <r>
    <s v="GL000555"/>
    <x v="82"/>
    <n v="5000"/>
    <x v="1"/>
    <n v="1354.74"/>
    <n v="0"/>
    <x v="1"/>
    <s v="CC500"/>
    <s v="AutoPost 555"/>
    <s v="CAD"/>
    <s v="2025-02"/>
    <n v="-1354.74"/>
    <m/>
    <n v="-1354.74"/>
    <s v="N/A"/>
    <s v=" "/>
  </r>
  <r>
    <s v="GL000556"/>
    <x v="412"/>
    <n v="5010"/>
    <x v="3"/>
    <n v="421.39"/>
    <n v="0"/>
    <x v="4"/>
    <s v="CC400"/>
    <s v="AutoPost 556"/>
    <s v="USD"/>
    <s v="2024-10"/>
    <n v="-421.39"/>
    <m/>
    <n v="-421.39"/>
    <s v="N/A"/>
    <s v=" "/>
  </r>
  <r>
    <s v="GL000557"/>
    <x v="413"/>
    <n v="5010"/>
    <x v="3"/>
    <n v="618.39"/>
    <n v="0"/>
    <x v="1"/>
    <s v="CC400"/>
    <s v="AutoPost 557"/>
    <s v="GBP"/>
    <s v="2024-02"/>
    <n v="-618.39"/>
    <m/>
    <n v="-618.39"/>
    <s v="N/A"/>
    <s v=" "/>
  </r>
  <r>
    <s v="GL000558"/>
    <x v="14"/>
    <n v="6000"/>
    <x v="2"/>
    <n v="1649.25"/>
    <n v="0"/>
    <x v="3"/>
    <s v="CC300"/>
    <s v="AutoPost 558"/>
    <s v="AUD"/>
    <s v="2025-04"/>
    <n v="-1649.25"/>
    <m/>
    <n v="-1649.25"/>
    <s v="N/A"/>
    <s v=" "/>
  </r>
  <r>
    <s v="GL000559"/>
    <x v="120"/>
    <n v="4000"/>
    <x v="0"/>
    <n v="0"/>
    <n v="3741.45"/>
    <x v="3"/>
    <s v="CC200"/>
    <s v="AutoPost 559"/>
    <s v="GBP"/>
    <s v="2025-02"/>
    <n v="3741.45"/>
    <m/>
    <n v="3741.45"/>
    <s v="N/A"/>
    <s v=" "/>
  </r>
  <r>
    <s v="GL000560"/>
    <x v="414"/>
    <n v="4000"/>
    <x v="0"/>
    <n v="0"/>
    <n v="3563.43"/>
    <x v="1"/>
    <s v="CC100"/>
    <s v="AutoPost 560"/>
    <s v="USD"/>
    <s v="2023-02"/>
    <n v="3563.43"/>
    <m/>
    <n v="3563.43"/>
    <s v="N/A"/>
    <s v=" "/>
  </r>
  <r>
    <s v="GL000561"/>
    <x v="87"/>
    <n v="6000"/>
    <x v="2"/>
    <n v="1010.12"/>
    <n v="0"/>
    <x v="1"/>
    <s v="CC400"/>
    <s v="AutoPost 561"/>
    <s v="USD"/>
    <s v="2024-11"/>
    <n v="-1010.12"/>
    <m/>
    <n v="-1010.12"/>
    <s v="N/A"/>
    <s v=" "/>
  </r>
  <r>
    <s v="GL000562"/>
    <x v="284"/>
    <n v="4000"/>
    <x v="0"/>
    <n v="0"/>
    <n v="4926.55"/>
    <x v="2"/>
    <s v="CC200"/>
    <s v="AutoPost 562"/>
    <s v="USD"/>
    <s v="2025-05"/>
    <n v="4926.55"/>
    <m/>
    <n v="4926.55"/>
    <s v="N/A"/>
    <s v=" "/>
  </r>
  <r>
    <s v="GL000563"/>
    <x v="86"/>
    <n v="4000"/>
    <x v="0"/>
    <n v="0"/>
    <n v="3762.76"/>
    <x v="5"/>
    <s v="CC100"/>
    <s v="AutoPost 563"/>
    <s v="USD"/>
    <s v="2024-04"/>
    <n v="3762.76"/>
    <m/>
    <n v="3762.76"/>
    <s v="N/A"/>
    <s v=" "/>
  </r>
  <r>
    <s v="GL000564"/>
    <x v="391"/>
    <n v="5010"/>
    <x v="3"/>
    <n v="372.65"/>
    <n v="0"/>
    <x v="1"/>
    <s v="CC100"/>
    <s v="AutoPost 564"/>
    <s v="AUD"/>
    <s v="2023-08"/>
    <n v="-372.65"/>
    <m/>
    <n v="-372.65"/>
    <s v="N/A"/>
    <s v=" "/>
  </r>
  <r>
    <s v="GL000565"/>
    <x v="415"/>
    <n v="5010"/>
    <x v="3"/>
    <n v="1040.76"/>
    <n v="0"/>
    <x v="4"/>
    <s v="CC400"/>
    <s v="AutoPost 565"/>
    <s v="GBP"/>
    <s v="2024-10"/>
    <n v="-1040.76"/>
    <m/>
    <n v="-1040.76"/>
    <s v="N/A"/>
    <s v=" "/>
  </r>
  <r>
    <s v="GL000566"/>
    <x v="260"/>
    <n v="5010"/>
    <x v="3"/>
    <n v="1458.37"/>
    <n v="0"/>
    <x v="2"/>
    <s v="CC500"/>
    <s v="AutoPost 566"/>
    <s v="AUD"/>
    <s v="2024-11"/>
    <n v="-1458.37"/>
    <m/>
    <n v="-1458.37"/>
    <s v="N/A"/>
    <s v=" "/>
  </r>
  <r>
    <s v="GL000567"/>
    <x v="416"/>
    <n v="4010"/>
    <x v="4"/>
    <n v="0"/>
    <n v="529.02"/>
    <x v="4"/>
    <s v="CC200"/>
    <s v="AutoPost 567"/>
    <s v="GBP"/>
    <s v="2024-06"/>
    <n v="529.02"/>
    <m/>
    <n v="529.02"/>
    <s v="N/A"/>
    <s v=" "/>
  </r>
  <r>
    <s v="GL000568"/>
    <x v="417"/>
    <n v="4010"/>
    <x v="4"/>
    <n v="0"/>
    <n v="4167.67"/>
    <x v="4"/>
    <s v="CC300"/>
    <s v="AutoPost 568"/>
    <s v="USD"/>
    <s v="2024-12"/>
    <n v="4167.67"/>
    <m/>
    <n v="4167.67"/>
    <s v="N/A"/>
    <s v=" "/>
  </r>
  <r>
    <s v="GL000569"/>
    <x v="408"/>
    <n v="5010"/>
    <x v="3"/>
    <n v="1788.83"/>
    <n v="0"/>
    <x v="2"/>
    <s v="CC500"/>
    <s v="AutoPost 569"/>
    <s v="EUR"/>
    <s v="2023-05"/>
    <n v="-1788.83"/>
    <m/>
    <n v="-1788.83"/>
    <s v="N/A"/>
    <s v=" "/>
  </r>
  <r>
    <s v="GL000570"/>
    <x v="418"/>
    <n v="5010"/>
    <x v="3"/>
    <n v="929.85"/>
    <n v="0"/>
    <x v="2"/>
    <s v="CC400"/>
    <s v="AutoPost 570"/>
    <s v="USD"/>
    <s v="2024-12"/>
    <n v="-929.85"/>
    <m/>
    <n v="-929.85"/>
    <s v="N/A"/>
    <s v=" "/>
  </r>
  <r>
    <s v="GL000571"/>
    <x v="102"/>
    <n v="4000"/>
    <x v="0"/>
    <n v="0"/>
    <n v="3706.89"/>
    <x v="2"/>
    <s v="CC400"/>
    <s v="AutoPost 571"/>
    <s v="CAD"/>
    <s v="2024-03"/>
    <n v="3706.89"/>
    <m/>
    <n v="3706.89"/>
    <s v="N/A"/>
    <s v=" "/>
  </r>
  <r>
    <s v="GL000572"/>
    <x v="419"/>
    <n v="4000"/>
    <x v="0"/>
    <n v="0"/>
    <n v="4692.96"/>
    <x v="2"/>
    <s v="CC100"/>
    <s v="AutoPost 572"/>
    <s v="CAD"/>
    <s v="2025-03"/>
    <n v="4692.96"/>
    <m/>
    <n v="4692.96"/>
    <s v="N/A"/>
    <s v=" "/>
  </r>
  <r>
    <s v="GL000573"/>
    <x v="420"/>
    <n v="6000"/>
    <x v="2"/>
    <n v="179.56"/>
    <n v="0"/>
    <x v="4"/>
    <s v="CC500"/>
    <s v="AutoPost 573"/>
    <s v="GBP"/>
    <s v="2024-08"/>
    <n v="-179.56"/>
    <m/>
    <n v="-179.56"/>
    <s v="N/A"/>
    <s v=" "/>
  </r>
  <r>
    <s v="GL000574"/>
    <x v="421"/>
    <n v="5010"/>
    <x v="3"/>
    <n v="649.71"/>
    <n v="0"/>
    <x v="0"/>
    <s v="CC400"/>
    <s v="AutoPost 574"/>
    <s v="GBP"/>
    <s v="2024-10"/>
    <n v="-649.71"/>
    <m/>
    <n v="-649.71"/>
    <s v="N/A"/>
    <s v=" "/>
  </r>
  <r>
    <s v="GL000575"/>
    <x v="422"/>
    <n v="4010"/>
    <x v="4"/>
    <n v="0"/>
    <n v="3347.45"/>
    <x v="0"/>
    <s v="CC500"/>
    <s v="AutoPost 575"/>
    <s v="USD"/>
    <s v="2023-12"/>
    <n v="3347.45"/>
    <m/>
    <n v="3347.45"/>
    <s v="N/A"/>
    <s v=" "/>
  </r>
  <r>
    <s v="GL000576"/>
    <x v="423"/>
    <n v="4010"/>
    <x v="4"/>
    <n v="0"/>
    <n v="2584"/>
    <x v="1"/>
    <s v="CC200"/>
    <s v="AutoPost 576"/>
    <s v="EUR"/>
    <s v="2025-06"/>
    <n v="2584"/>
    <m/>
    <n v="2584"/>
    <s v="N/A"/>
    <s v=" "/>
  </r>
  <r>
    <s v="GL000577"/>
    <x v="424"/>
    <n v="4000"/>
    <x v="0"/>
    <n v="0"/>
    <n v="4254.54"/>
    <x v="3"/>
    <s v="CC300"/>
    <s v="AutoPost 577"/>
    <s v="CAD"/>
    <s v="2023-08"/>
    <n v="4254.54"/>
    <m/>
    <n v="4254.54"/>
    <s v="N/A"/>
    <s v=" "/>
  </r>
  <r>
    <s v="GL000578"/>
    <x v="417"/>
    <n v="4000"/>
    <x v="0"/>
    <n v="0"/>
    <n v="1301.08"/>
    <x v="2"/>
    <s v="CC200"/>
    <s v="AutoPost 578"/>
    <s v="GBP"/>
    <s v="2024-12"/>
    <n v="1301.08"/>
    <m/>
    <n v="1301.08"/>
    <s v="N/A"/>
    <s v=" "/>
  </r>
  <r>
    <s v="GL000579"/>
    <x v="425"/>
    <n v="4010"/>
    <x v="4"/>
    <n v="0"/>
    <n v="1565.18"/>
    <x v="1"/>
    <s v="CC400"/>
    <s v="AutoPost 579"/>
    <s v="USD"/>
    <s v="2023-05"/>
    <n v="1565.18"/>
    <m/>
    <n v="1565.18"/>
    <s v="N/A"/>
    <s v=" "/>
  </r>
  <r>
    <s v="GL000580"/>
    <x v="273"/>
    <n v="5000"/>
    <x v="1"/>
    <n v="69.31"/>
    <n v="0"/>
    <x v="0"/>
    <s v="CC100"/>
    <s v="AutoPost 580"/>
    <s v="USD"/>
    <s v="2025-06"/>
    <n v="-69.31"/>
    <m/>
    <n v="-69.31"/>
    <s v="N/A"/>
    <s v=" "/>
  </r>
  <r>
    <s v="GL000581"/>
    <x v="426"/>
    <n v="5000"/>
    <x v="1"/>
    <n v="1752.75"/>
    <n v="0"/>
    <x v="1"/>
    <s v="CC500"/>
    <s v="AutoPost 581"/>
    <s v="CAD"/>
    <s v="2024-10"/>
    <n v="-1752.75"/>
    <m/>
    <n v="-1752.75"/>
    <s v="N/A"/>
    <s v=" "/>
  </r>
  <r>
    <s v="GL000582"/>
    <x v="361"/>
    <n v="4010"/>
    <x v="4"/>
    <n v="0"/>
    <n v="759.16"/>
    <x v="5"/>
    <s v="CC400"/>
    <s v="AutoPost 582"/>
    <s v="CAD"/>
    <s v="2023-10"/>
    <n v="759.16"/>
    <m/>
    <n v="759.16"/>
    <s v="N/A"/>
    <s v=" "/>
  </r>
  <r>
    <s v="GL000583"/>
    <x v="427"/>
    <n v="6000"/>
    <x v="2"/>
    <n v="350.75"/>
    <n v="0"/>
    <x v="4"/>
    <s v="CC400"/>
    <s v="AutoPost 583"/>
    <s v="CAD"/>
    <s v="2023-12"/>
    <n v="-350.75"/>
    <m/>
    <n v="-350.75"/>
    <s v="N/A"/>
    <s v=" "/>
  </r>
  <r>
    <s v="GL000584"/>
    <x v="257"/>
    <n v="6000"/>
    <x v="2"/>
    <n v="1991.12"/>
    <n v="0"/>
    <x v="2"/>
    <s v="CC100"/>
    <s v="AutoPost 584"/>
    <s v="AUD"/>
    <s v="2024-02"/>
    <n v="-1991.12"/>
    <m/>
    <n v="-1991.12"/>
    <s v="N/A"/>
    <s v=" "/>
  </r>
  <r>
    <s v="GL000585"/>
    <x v="338"/>
    <n v="5000"/>
    <x v="1"/>
    <n v="661.12"/>
    <n v="0"/>
    <x v="1"/>
    <s v="CC100"/>
    <s v="AutoPost 585"/>
    <s v="CAD"/>
    <s v="2023-05"/>
    <n v="-661.12"/>
    <m/>
    <n v="-661.12"/>
    <s v="N/A"/>
    <s v=" "/>
  </r>
  <r>
    <s v="GL000586"/>
    <x v="428"/>
    <n v="5010"/>
    <x v="3"/>
    <n v="1109.8599999999999"/>
    <n v="0"/>
    <x v="5"/>
    <s v="CC500"/>
    <s v="AutoPost 586"/>
    <s v="EUR"/>
    <s v="2023-10"/>
    <n v="-1109.8599999999999"/>
    <m/>
    <n v="-1109.8599999999999"/>
    <s v="N/A"/>
    <s v=" "/>
  </r>
  <r>
    <s v="GL000587"/>
    <x v="429"/>
    <n v="4010"/>
    <x v="4"/>
    <n v="0"/>
    <n v="4533.8"/>
    <x v="5"/>
    <s v="CC200"/>
    <s v="AutoPost 587"/>
    <s v="CAD"/>
    <s v="2025-05"/>
    <n v="4533.8"/>
    <m/>
    <n v="4533.8"/>
    <s v="N/A"/>
    <s v=" "/>
  </r>
  <r>
    <s v="GL000588"/>
    <x v="430"/>
    <n v="5010"/>
    <x v="3"/>
    <n v="329.57"/>
    <n v="0"/>
    <x v="3"/>
    <s v="CC100"/>
    <s v="AutoPost 588"/>
    <s v="CAD"/>
    <s v="2025-04"/>
    <n v="-329.57"/>
    <m/>
    <n v="-329.57"/>
    <s v="N/A"/>
    <s v=" "/>
  </r>
  <r>
    <s v="GL000589"/>
    <x v="431"/>
    <n v="4000"/>
    <x v="0"/>
    <n v="0"/>
    <n v="4725.13"/>
    <x v="4"/>
    <s v="CC500"/>
    <s v="AutoPost 589"/>
    <s v="EUR"/>
    <s v="2023-03"/>
    <n v="4725.13"/>
    <m/>
    <n v="4725.13"/>
    <s v="N/A"/>
    <s v=" "/>
  </r>
  <r>
    <s v="GL000590"/>
    <x v="206"/>
    <n v="5010"/>
    <x v="3"/>
    <n v="206.46"/>
    <n v="0"/>
    <x v="1"/>
    <s v="CC200"/>
    <s v="AutoPost 590"/>
    <s v="AUD"/>
    <s v="2023-07"/>
    <n v="-206.46"/>
    <m/>
    <n v="-206.46"/>
    <s v="N/A"/>
    <s v=" "/>
  </r>
  <r>
    <s v="GL000591"/>
    <x v="432"/>
    <n v="6000"/>
    <x v="2"/>
    <n v="402.92"/>
    <n v="0"/>
    <x v="5"/>
    <s v="CC400"/>
    <s v="AutoPost 591"/>
    <s v="GBP"/>
    <s v="2025-05"/>
    <n v="-402.92"/>
    <m/>
    <n v="-402.92"/>
    <s v="N/A"/>
    <s v=" "/>
  </r>
  <r>
    <s v="GL000592"/>
    <x v="406"/>
    <n v="4010"/>
    <x v="4"/>
    <n v="0"/>
    <n v="4295.83"/>
    <x v="2"/>
    <s v="CC500"/>
    <s v="AutoPost 592"/>
    <s v="GBP"/>
    <s v="2025-01"/>
    <n v="4295.83"/>
    <m/>
    <n v="4295.83"/>
    <s v="N/A"/>
    <s v=" "/>
  </r>
  <r>
    <s v="GL000593"/>
    <x v="433"/>
    <n v="4010"/>
    <x v="4"/>
    <n v="0"/>
    <n v="3237.32"/>
    <x v="4"/>
    <s v="CC400"/>
    <s v="AutoPost 593"/>
    <s v="GBP"/>
    <s v="2023-12"/>
    <n v="3237.32"/>
    <m/>
    <n v="3237.32"/>
    <s v="N/A"/>
    <s v=" "/>
  </r>
  <r>
    <s v="GL000594"/>
    <x v="362"/>
    <n v="6000"/>
    <x v="2"/>
    <n v="648.30999999999995"/>
    <n v="0"/>
    <x v="4"/>
    <s v="CC300"/>
    <s v="AutoPost 594"/>
    <s v="GBP"/>
    <s v="2023-11"/>
    <n v="-648.30999999999995"/>
    <m/>
    <n v="-648.30999999999995"/>
    <s v="N/A"/>
    <s v=" "/>
  </r>
  <r>
    <s v="GL000595"/>
    <x v="153"/>
    <n v="5000"/>
    <x v="1"/>
    <n v="710.64"/>
    <n v="0"/>
    <x v="0"/>
    <s v="CC500"/>
    <s v="AutoPost 595"/>
    <s v="EUR"/>
    <s v="2024-05"/>
    <n v="-710.64"/>
    <m/>
    <n v="-710.64"/>
    <s v="N/A"/>
    <s v=" "/>
  </r>
  <r>
    <s v="GL000596"/>
    <x v="434"/>
    <n v="5000"/>
    <x v="1"/>
    <n v="309.33999999999997"/>
    <n v="0"/>
    <x v="4"/>
    <s v="CC300"/>
    <s v="AutoPost 596"/>
    <s v="EUR"/>
    <s v="2023-10"/>
    <n v="-309.33999999999997"/>
    <m/>
    <n v="-309.33999999999997"/>
    <s v="N/A"/>
    <s v=" "/>
  </r>
  <r>
    <s v="GL000597"/>
    <x v="435"/>
    <n v="6000"/>
    <x v="2"/>
    <n v="1657.7"/>
    <n v="0"/>
    <x v="0"/>
    <s v="CC300"/>
    <s v="AutoPost 597"/>
    <s v="AUD"/>
    <s v="2023-03"/>
    <n v="-1657.7"/>
    <m/>
    <n v="-1657.7"/>
    <s v="N/A"/>
    <s v=" "/>
  </r>
  <r>
    <s v="GL000598"/>
    <x v="436"/>
    <n v="5010"/>
    <x v="3"/>
    <n v="1748.81"/>
    <n v="0"/>
    <x v="4"/>
    <s v="CC500"/>
    <s v="AutoPost 598"/>
    <s v="EUR"/>
    <s v="2023-12"/>
    <n v="-1748.81"/>
    <m/>
    <n v="-1748.81"/>
    <s v="N/A"/>
    <s v=" "/>
  </r>
  <r>
    <s v="GL000599"/>
    <x v="437"/>
    <n v="6000"/>
    <x v="2"/>
    <n v="278.26"/>
    <n v="0"/>
    <x v="0"/>
    <s v="CC400"/>
    <s v="AutoPost 599"/>
    <s v="USD"/>
    <s v="2024-07"/>
    <n v="-278.26"/>
    <m/>
    <n v="-278.26"/>
    <s v="N/A"/>
    <s v=" "/>
  </r>
  <r>
    <s v="GL000600"/>
    <x v="438"/>
    <n v="5010"/>
    <x v="3"/>
    <n v="387.61"/>
    <n v="0"/>
    <x v="5"/>
    <s v="CC400"/>
    <s v="AutoPost 600"/>
    <s v="GBP"/>
    <s v="2023-06"/>
    <n v="-387.61"/>
    <m/>
    <n v="-387.61"/>
    <s v="N/A"/>
    <s v=" "/>
  </r>
  <r>
    <s v="GL000601"/>
    <x v="439"/>
    <n v="5000"/>
    <x v="1"/>
    <n v="930.92"/>
    <n v="0"/>
    <x v="1"/>
    <s v="CC500"/>
    <s v="AutoPost 601"/>
    <s v="CAD"/>
    <s v="2025-03"/>
    <n v="-930.92"/>
    <m/>
    <n v="-930.92"/>
    <s v="N/A"/>
    <s v=" "/>
  </r>
  <r>
    <s v="GL000602"/>
    <x v="440"/>
    <n v="5000"/>
    <x v="1"/>
    <n v="1231.94"/>
    <n v="0"/>
    <x v="3"/>
    <s v="CC300"/>
    <s v="AutoPost 602"/>
    <s v="GBP"/>
    <s v="2025-04"/>
    <n v="-1231.94"/>
    <m/>
    <n v="-1231.94"/>
    <s v="N/A"/>
    <s v=" "/>
  </r>
  <r>
    <s v="GL000603"/>
    <x v="441"/>
    <n v="5010"/>
    <x v="3"/>
    <n v="1911.86"/>
    <n v="0"/>
    <x v="5"/>
    <s v="CC200"/>
    <s v="AutoPost 603"/>
    <s v="CAD"/>
    <s v="2025-02"/>
    <n v="-1911.86"/>
    <m/>
    <n v="-1911.86"/>
    <s v="N/A"/>
    <s v=" "/>
  </r>
  <r>
    <s v="GL000604"/>
    <x v="442"/>
    <n v="4010"/>
    <x v="4"/>
    <n v="0"/>
    <n v="1161.8599999999999"/>
    <x v="3"/>
    <s v="CC400"/>
    <s v="AutoPost 604"/>
    <s v="AUD"/>
    <s v="2023-05"/>
    <n v="1161.8599999999999"/>
    <m/>
    <n v="1161.8599999999999"/>
    <s v="N/A"/>
    <s v=" "/>
  </r>
  <r>
    <s v="GL000605"/>
    <x v="443"/>
    <n v="5010"/>
    <x v="3"/>
    <n v="622.09"/>
    <n v="0"/>
    <x v="5"/>
    <s v="CC100"/>
    <s v="AutoPost 605"/>
    <s v="GBP"/>
    <s v="2023-09"/>
    <n v="-622.09"/>
    <m/>
    <n v="-622.09"/>
    <s v="N/A"/>
    <s v=" "/>
  </r>
  <r>
    <s v="GL000606"/>
    <x v="444"/>
    <n v="6000"/>
    <x v="2"/>
    <n v="895.07"/>
    <n v="0"/>
    <x v="5"/>
    <s v="CC200"/>
    <s v="AutoPost 606"/>
    <s v="USD"/>
    <s v="2023-03"/>
    <n v="-895.07"/>
    <m/>
    <n v="-895.07"/>
    <s v="N/A"/>
    <s v=" "/>
  </r>
  <r>
    <s v="GL000607"/>
    <x v="192"/>
    <n v="6000"/>
    <x v="2"/>
    <n v="1093.48"/>
    <n v="0"/>
    <x v="4"/>
    <s v="CC300"/>
    <s v="AutoPost 607"/>
    <s v="CAD"/>
    <s v="2024-02"/>
    <n v="-1093.48"/>
    <m/>
    <n v="-1093.48"/>
    <s v="N/A"/>
    <s v=" "/>
  </r>
  <r>
    <s v="GL000608"/>
    <x v="445"/>
    <n v="4000"/>
    <x v="0"/>
    <n v="0"/>
    <n v="1178.75"/>
    <x v="0"/>
    <s v="CC100"/>
    <s v="AutoPost 608"/>
    <s v="AUD"/>
    <s v="2023-10"/>
    <n v="1178.75"/>
    <m/>
    <n v="1178.75"/>
    <s v="N/A"/>
    <s v=" "/>
  </r>
  <r>
    <s v="GL000609"/>
    <x v="446"/>
    <n v="4010"/>
    <x v="4"/>
    <n v="0"/>
    <n v="1843.27"/>
    <x v="0"/>
    <s v="CC300"/>
    <s v="AutoPost 609"/>
    <s v="CAD"/>
    <s v="2024-10"/>
    <n v="1843.27"/>
    <m/>
    <n v="1843.27"/>
    <s v="N/A"/>
    <s v=" "/>
  </r>
  <r>
    <s v="GL000610"/>
    <x v="133"/>
    <n v="6000"/>
    <x v="2"/>
    <n v="1239.45"/>
    <n v="0"/>
    <x v="2"/>
    <s v="CC300"/>
    <s v="AutoPost 610"/>
    <s v="EUR"/>
    <s v="2024-06"/>
    <n v="-1239.45"/>
    <m/>
    <n v="-1239.45"/>
    <s v="N/A"/>
    <s v=" "/>
  </r>
  <r>
    <s v="GL000611"/>
    <x v="155"/>
    <n v="4000"/>
    <x v="0"/>
    <n v="0"/>
    <n v="3317.75"/>
    <x v="0"/>
    <s v="CC300"/>
    <s v="AutoPost 611"/>
    <s v="EUR"/>
    <s v="2023-01"/>
    <n v="3317.75"/>
    <m/>
    <n v="3317.75"/>
    <s v="N/A"/>
    <s v=" "/>
  </r>
  <r>
    <s v="GL000612"/>
    <x v="447"/>
    <n v="4000"/>
    <x v="0"/>
    <n v="0"/>
    <n v="493.21"/>
    <x v="3"/>
    <s v="CC300"/>
    <s v="AutoPost 612"/>
    <s v="CAD"/>
    <s v="2025-03"/>
    <n v="493.21"/>
    <m/>
    <n v="493.21"/>
    <s v="N/A"/>
    <s v=" "/>
  </r>
  <r>
    <s v="GL000613"/>
    <x v="43"/>
    <n v="6000"/>
    <x v="2"/>
    <n v="1638.5"/>
    <n v="0"/>
    <x v="2"/>
    <s v="CC500"/>
    <s v="AutoPost 613"/>
    <s v="GBP"/>
    <s v="2023-03"/>
    <n v="-1638.5"/>
    <m/>
    <n v="-1638.5"/>
    <s v="N/A"/>
    <s v=" "/>
  </r>
  <r>
    <s v="GL000614"/>
    <x v="80"/>
    <n v="4000"/>
    <x v="0"/>
    <n v="0"/>
    <n v="1848.61"/>
    <x v="1"/>
    <s v="CC300"/>
    <s v="AutoPost 614"/>
    <s v="GBP"/>
    <s v="2023-12"/>
    <n v="1848.61"/>
    <m/>
    <n v="1848.61"/>
    <s v="N/A"/>
    <s v=" "/>
  </r>
  <r>
    <s v="GL000615"/>
    <x v="448"/>
    <n v="5010"/>
    <x v="3"/>
    <n v="436.93"/>
    <n v="0"/>
    <x v="1"/>
    <s v="CC200"/>
    <s v="AutoPost 615"/>
    <s v="CAD"/>
    <s v="2023-04"/>
    <n v="-436.93"/>
    <m/>
    <n v="-436.93"/>
    <s v="N/A"/>
    <s v=" "/>
  </r>
  <r>
    <s v="GL000616"/>
    <x v="222"/>
    <n v="5000"/>
    <x v="1"/>
    <n v="1498.49"/>
    <n v="0"/>
    <x v="1"/>
    <s v="CC400"/>
    <s v="AutoPost 616"/>
    <s v="USD"/>
    <s v="2024-07"/>
    <n v="-1498.49"/>
    <m/>
    <n v="-1498.49"/>
    <s v="N/A"/>
    <s v=" "/>
  </r>
  <r>
    <s v="GL000617"/>
    <x v="69"/>
    <n v="6000"/>
    <x v="2"/>
    <n v="1030.46"/>
    <n v="0"/>
    <x v="2"/>
    <s v="CC500"/>
    <s v="AutoPost 617"/>
    <s v="USD"/>
    <s v="2025-05"/>
    <n v="-1030.46"/>
    <m/>
    <n v="-1030.46"/>
    <s v="N/A"/>
    <s v=" "/>
  </r>
  <r>
    <s v="GL000618"/>
    <x v="173"/>
    <n v="4010"/>
    <x v="4"/>
    <n v="0"/>
    <n v="2665.08"/>
    <x v="4"/>
    <s v="CC500"/>
    <s v="AutoPost 618"/>
    <s v="CAD"/>
    <s v="2025-06"/>
    <n v="2665.08"/>
    <m/>
    <n v="2665.08"/>
    <s v="N/A"/>
    <s v=" "/>
  </r>
  <r>
    <s v="GL000619"/>
    <x v="449"/>
    <n v="5010"/>
    <x v="3"/>
    <n v="416.41"/>
    <n v="0"/>
    <x v="3"/>
    <s v="CC300"/>
    <s v="AutoPost 619"/>
    <s v="CAD"/>
    <s v="2024-08"/>
    <n v="-416.41"/>
    <m/>
    <n v="-416.41"/>
    <s v="N/A"/>
    <s v=" "/>
  </r>
  <r>
    <s v="GL000620"/>
    <x v="450"/>
    <n v="4000"/>
    <x v="0"/>
    <n v="0"/>
    <n v="2058.4"/>
    <x v="2"/>
    <s v="CC200"/>
    <s v="AutoPost 620"/>
    <s v="GBP"/>
    <s v="2025-02"/>
    <n v="2058.4"/>
    <m/>
    <n v="2058.4"/>
    <s v="N/A"/>
    <s v=" "/>
  </r>
  <r>
    <s v="GL000621"/>
    <x v="109"/>
    <n v="4000"/>
    <x v="0"/>
    <n v="0"/>
    <n v="203.81"/>
    <x v="5"/>
    <s v="CC500"/>
    <s v="AutoPost 621"/>
    <s v="AUD"/>
    <s v="2025-01"/>
    <n v="203.81"/>
    <m/>
    <n v="203.81"/>
    <s v="N/A"/>
    <s v=" "/>
  </r>
  <r>
    <s v="GL000622"/>
    <x v="451"/>
    <n v="5010"/>
    <x v="3"/>
    <n v="1876.28"/>
    <n v="0"/>
    <x v="4"/>
    <s v="CC400"/>
    <s v="AutoPost 622"/>
    <s v="CAD"/>
    <s v="2024-10"/>
    <n v="-1876.28"/>
    <m/>
    <n v="-1876.28"/>
    <s v="N/A"/>
    <s v=" "/>
  </r>
  <r>
    <s v="GL000623"/>
    <x v="375"/>
    <n v="5000"/>
    <x v="1"/>
    <n v="1047.55"/>
    <n v="0"/>
    <x v="1"/>
    <s v="CC400"/>
    <s v="AutoPost 623"/>
    <s v="AUD"/>
    <s v="2023-10"/>
    <n v="-1047.55"/>
    <m/>
    <n v="-1047.55"/>
    <s v="N/A"/>
    <s v=" "/>
  </r>
  <r>
    <s v="GL000624"/>
    <x v="155"/>
    <n v="4000"/>
    <x v="0"/>
    <n v="0"/>
    <n v="3567.5"/>
    <x v="4"/>
    <s v="CC200"/>
    <s v="AutoPost 624"/>
    <s v="EUR"/>
    <s v="2023-01"/>
    <n v="3567.5"/>
    <m/>
    <n v="3567.5"/>
    <s v="N/A"/>
    <s v=" "/>
  </r>
  <r>
    <s v="GL000625"/>
    <x v="240"/>
    <n v="4000"/>
    <x v="0"/>
    <n v="0"/>
    <n v="1073.3499999999999"/>
    <x v="1"/>
    <s v="CC500"/>
    <s v="AutoPost 625"/>
    <s v="CAD"/>
    <s v="2024-02"/>
    <n v="1073.3499999999999"/>
    <m/>
    <n v="1073.3499999999999"/>
    <s v="N/A"/>
    <s v=" "/>
  </r>
  <r>
    <s v="GL000626"/>
    <x v="82"/>
    <n v="6000"/>
    <x v="2"/>
    <n v="1340.18"/>
    <n v="0"/>
    <x v="0"/>
    <s v="CC500"/>
    <s v="AutoPost 626"/>
    <s v="USD"/>
    <s v="2025-02"/>
    <n v="-1340.18"/>
    <m/>
    <n v="-1340.18"/>
    <s v="N/A"/>
    <s v=" "/>
  </r>
  <r>
    <s v="GL000627"/>
    <x v="197"/>
    <n v="4010"/>
    <x v="4"/>
    <n v="0"/>
    <n v="2847.98"/>
    <x v="0"/>
    <s v="CC100"/>
    <s v="AutoPost 627"/>
    <s v="USD"/>
    <s v="2024-03"/>
    <n v="2847.98"/>
    <m/>
    <n v="2847.98"/>
    <s v="N/A"/>
    <s v=" "/>
  </r>
  <r>
    <s v="GL000628"/>
    <x v="111"/>
    <n v="5000"/>
    <x v="1"/>
    <n v="1084.3800000000001"/>
    <n v="0"/>
    <x v="5"/>
    <s v="CC500"/>
    <s v="AutoPost 628"/>
    <s v="GBP"/>
    <s v="2025-01"/>
    <n v="-1084.3800000000001"/>
    <m/>
    <n v="-1084.3800000000001"/>
    <s v="N/A"/>
    <s v=" "/>
  </r>
  <r>
    <s v="GL000629"/>
    <x v="452"/>
    <n v="5000"/>
    <x v="1"/>
    <n v="1437.11"/>
    <n v="0"/>
    <x v="4"/>
    <s v="CC200"/>
    <s v="AutoPost 629"/>
    <s v="USD"/>
    <s v="2025-06"/>
    <n v="-1437.11"/>
    <m/>
    <n v="-1437.11"/>
    <s v="N/A"/>
    <s v=" "/>
  </r>
  <r>
    <s v="GL000630"/>
    <x v="453"/>
    <n v="4000"/>
    <x v="0"/>
    <n v="0"/>
    <n v="4116.3900000000003"/>
    <x v="1"/>
    <s v="CC100"/>
    <s v="AutoPost 630"/>
    <s v="GBP"/>
    <s v="2024-06"/>
    <n v="4116.3900000000003"/>
    <m/>
    <n v="4116.3900000000003"/>
    <s v="N/A"/>
    <s v=" "/>
  </r>
  <r>
    <s v="GL000631"/>
    <x v="454"/>
    <n v="5010"/>
    <x v="3"/>
    <n v="1732.79"/>
    <n v="0"/>
    <x v="1"/>
    <s v="CC400"/>
    <s v="AutoPost 631"/>
    <s v="CAD"/>
    <s v="2023-02"/>
    <n v="-1732.79"/>
    <m/>
    <n v="-1732.79"/>
    <s v="N/A"/>
    <s v=" "/>
  </r>
  <r>
    <s v="GL000632"/>
    <x v="30"/>
    <n v="5000"/>
    <x v="1"/>
    <n v="1107.71"/>
    <n v="0"/>
    <x v="5"/>
    <s v="CC300"/>
    <s v="AutoPost 632"/>
    <s v="GBP"/>
    <s v="2024-01"/>
    <n v="-1107.71"/>
    <m/>
    <n v="-1107.71"/>
    <s v="N/A"/>
    <s v=" "/>
  </r>
  <r>
    <s v="GL000633"/>
    <x v="244"/>
    <n v="4010"/>
    <x v="4"/>
    <n v="0"/>
    <n v="303.27"/>
    <x v="1"/>
    <s v="CC200"/>
    <s v="AutoPost 633"/>
    <s v="AUD"/>
    <s v="2023-08"/>
    <n v="303.27"/>
    <m/>
    <n v="303.27"/>
    <s v="N/A"/>
    <s v=" "/>
  </r>
  <r>
    <s v="GL000634"/>
    <x v="390"/>
    <n v="5000"/>
    <x v="1"/>
    <n v="608.84"/>
    <n v="0"/>
    <x v="5"/>
    <s v="CC100"/>
    <s v="AutoPost 634"/>
    <s v="AUD"/>
    <s v="2023-01"/>
    <n v="-608.84"/>
    <m/>
    <n v="-608.84"/>
    <s v="N/A"/>
    <s v=" "/>
  </r>
  <r>
    <s v="GL000635"/>
    <x v="455"/>
    <n v="6000"/>
    <x v="2"/>
    <n v="1438.43"/>
    <n v="0"/>
    <x v="1"/>
    <s v="CC400"/>
    <s v="AutoPost 635"/>
    <s v="CAD"/>
    <s v="2023-06"/>
    <n v="-1438.43"/>
    <m/>
    <n v="-1438.43"/>
    <s v="N/A"/>
    <s v=" "/>
  </r>
  <r>
    <s v="GL000636"/>
    <x v="268"/>
    <n v="4000"/>
    <x v="0"/>
    <n v="0"/>
    <n v="1141.46"/>
    <x v="4"/>
    <s v="CC100"/>
    <s v="AutoPost 636"/>
    <s v="EUR"/>
    <s v="2023-03"/>
    <n v="1141.46"/>
    <m/>
    <n v="1141.46"/>
    <s v="N/A"/>
    <s v=" "/>
  </r>
  <r>
    <s v="GL000637"/>
    <x v="456"/>
    <n v="6000"/>
    <x v="2"/>
    <n v="1263.43"/>
    <n v="0"/>
    <x v="4"/>
    <s v="CC300"/>
    <s v="AutoPost 637"/>
    <s v="CAD"/>
    <s v="2024-08"/>
    <n v="-1263.43"/>
    <m/>
    <n v="-1263.43"/>
    <s v="N/A"/>
    <s v=" "/>
  </r>
  <r>
    <s v="GL000638"/>
    <x v="206"/>
    <n v="4000"/>
    <x v="0"/>
    <n v="0"/>
    <n v="3107.95"/>
    <x v="1"/>
    <s v="CC500"/>
    <s v="AutoPost 638"/>
    <s v="GBP"/>
    <s v="2023-07"/>
    <n v="3107.95"/>
    <m/>
    <n v="3107.95"/>
    <s v="N/A"/>
    <s v=" "/>
  </r>
  <r>
    <s v="GL000639"/>
    <x v="457"/>
    <n v="5000"/>
    <x v="1"/>
    <n v="1600.99"/>
    <n v="0"/>
    <x v="4"/>
    <s v="CC100"/>
    <s v="AutoPost 639"/>
    <s v="CAD"/>
    <s v="2024-10"/>
    <n v="-1600.99"/>
    <m/>
    <n v="-1600.99"/>
    <s v="N/A"/>
    <s v=" "/>
  </r>
  <r>
    <s v="GL000640"/>
    <x v="394"/>
    <n v="5000"/>
    <x v="1"/>
    <n v="563.6"/>
    <n v="0"/>
    <x v="0"/>
    <s v="CC200"/>
    <s v="AutoPost 640"/>
    <s v="USD"/>
    <s v="2024-12"/>
    <n v="-563.6"/>
    <m/>
    <n v="-563.6"/>
    <s v="N/A"/>
    <s v=" "/>
  </r>
  <r>
    <s v="GL000641"/>
    <x v="37"/>
    <n v="5000"/>
    <x v="1"/>
    <n v="961.83"/>
    <n v="0"/>
    <x v="3"/>
    <s v="CC100"/>
    <s v="AutoPost 641"/>
    <s v="GBP"/>
    <s v="2023-06"/>
    <n v="-961.83"/>
    <m/>
    <n v="-961.83"/>
    <s v="N/A"/>
    <s v=" "/>
  </r>
  <r>
    <s v="GL000642"/>
    <x v="201"/>
    <n v="6000"/>
    <x v="2"/>
    <n v="1455.41"/>
    <n v="0"/>
    <x v="4"/>
    <s v="CC400"/>
    <s v="AutoPost 642"/>
    <s v="USD"/>
    <s v="2025-05"/>
    <n v="-1455.41"/>
    <m/>
    <n v="-1455.41"/>
    <s v="N/A"/>
    <s v=" "/>
  </r>
  <r>
    <s v="GL000643"/>
    <x v="322"/>
    <n v="5000"/>
    <x v="1"/>
    <n v="1057.3599999999999"/>
    <n v="0"/>
    <x v="0"/>
    <s v="CC300"/>
    <s v="AutoPost 643"/>
    <s v="USD"/>
    <s v="2023-01"/>
    <n v="-1057.3599999999999"/>
    <m/>
    <n v="-1057.3599999999999"/>
    <s v="N/A"/>
    <s v=" "/>
  </r>
  <r>
    <s v="GL000644"/>
    <x v="337"/>
    <n v="4010"/>
    <x v="4"/>
    <n v="0"/>
    <n v="3358.16"/>
    <x v="1"/>
    <s v="CC100"/>
    <s v="AutoPost 644"/>
    <s v="EUR"/>
    <s v="2024-05"/>
    <n v="3358.16"/>
    <m/>
    <n v="3358.16"/>
    <s v="N/A"/>
    <s v=" "/>
  </r>
  <r>
    <s v="GL000645"/>
    <x v="338"/>
    <n v="4010"/>
    <x v="4"/>
    <n v="0"/>
    <n v="1525.47"/>
    <x v="2"/>
    <s v="CC200"/>
    <s v="AutoPost 645"/>
    <s v="GBP"/>
    <s v="2023-05"/>
    <n v="1525.47"/>
    <m/>
    <n v="1525.47"/>
    <s v="N/A"/>
    <s v=" "/>
  </r>
  <r>
    <s v="GL000646"/>
    <x v="458"/>
    <n v="5010"/>
    <x v="3"/>
    <n v="707.2"/>
    <n v="0"/>
    <x v="4"/>
    <s v="CC500"/>
    <s v="AutoPost 646"/>
    <s v="EUR"/>
    <s v="2023-03"/>
    <n v="-707.2"/>
    <m/>
    <n v="-707.2"/>
    <s v="N/A"/>
    <s v=" "/>
  </r>
  <r>
    <s v="GL000647"/>
    <x v="107"/>
    <n v="6000"/>
    <x v="2"/>
    <n v="1209.72"/>
    <n v="0"/>
    <x v="2"/>
    <s v="CC400"/>
    <s v="AutoPost 647"/>
    <s v="AUD"/>
    <s v="2023-10"/>
    <n v="-1209.72"/>
    <m/>
    <n v="-1209.72"/>
    <s v="N/A"/>
    <s v=" "/>
  </r>
  <r>
    <s v="GL000648"/>
    <x v="22"/>
    <n v="5000"/>
    <x v="1"/>
    <n v="1696.57"/>
    <n v="0"/>
    <x v="0"/>
    <s v="CC400"/>
    <s v="AutoPost 648"/>
    <s v="GBP"/>
    <s v="2024-05"/>
    <n v="-1696.57"/>
    <m/>
    <n v="-1696.57"/>
    <s v="N/A"/>
    <s v=" "/>
  </r>
  <r>
    <s v="GL000649"/>
    <x v="350"/>
    <n v="4000"/>
    <x v="0"/>
    <n v="0"/>
    <n v="2657.38"/>
    <x v="5"/>
    <s v="CC300"/>
    <s v="AutoPost 649"/>
    <s v="GBP"/>
    <s v="2024-02"/>
    <n v="2657.38"/>
    <m/>
    <n v="2657.38"/>
    <s v="N/A"/>
    <s v=" "/>
  </r>
  <r>
    <s v="GL000650"/>
    <x v="75"/>
    <n v="4000"/>
    <x v="0"/>
    <n v="0"/>
    <n v="4294.0600000000004"/>
    <x v="1"/>
    <s v="CC200"/>
    <s v="AutoPost 650"/>
    <s v="USD"/>
    <s v="2025-03"/>
    <n v="4294.0600000000004"/>
    <m/>
    <n v="4294.0600000000004"/>
    <s v="N/A"/>
    <s v=" "/>
  </r>
  <r>
    <s v="GL000651"/>
    <x v="459"/>
    <n v="4000"/>
    <x v="0"/>
    <n v="0"/>
    <n v="451.28"/>
    <x v="4"/>
    <s v="CC300"/>
    <s v="AutoPost 651"/>
    <s v="USD"/>
    <s v="2023-11"/>
    <n v="451.28"/>
    <m/>
    <n v="451.28"/>
    <s v="N/A"/>
    <s v=" "/>
  </r>
  <r>
    <s v="GL000652"/>
    <x v="460"/>
    <n v="5010"/>
    <x v="3"/>
    <n v="1730.45"/>
    <n v="0"/>
    <x v="1"/>
    <s v="CC200"/>
    <s v="AutoPost 652"/>
    <s v="USD"/>
    <s v="2024-08"/>
    <n v="-1730.45"/>
    <m/>
    <n v="-1730.45"/>
    <s v="N/A"/>
    <s v=" "/>
  </r>
  <r>
    <s v="GL000653"/>
    <x v="461"/>
    <n v="4000"/>
    <x v="0"/>
    <n v="0"/>
    <n v="4570.1099999999997"/>
    <x v="4"/>
    <s v="CC100"/>
    <s v="AutoPost 653"/>
    <s v="USD"/>
    <s v="2023-01"/>
    <n v="4570.1099999999997"/>
    <m/>
    <n v="4570.1099999999997"/>
    <s v="N/A"/>
    <s v=" "/>
  </r>
  <r>
    <s v="GL000654"/>
    <x v="462"/>
    <n v="5010"/>
    <x v="3"/>
    <n v="1200.67"/>
    <n v="0"/>
    <x v="5"/>
    <s v="CC500"/>
    <s v="AutoPost 654"/>
    <s v="CAD"/>
    <s v="2024-12"/>
    <n v="-1200.67"/>
    <m/>
    <n v="-1200.67"/>
    <s v="N/A"/>
    <s v=" "/>
  </r>
  <r>
    <s v="GL000655"/>
    <x v="463"/>
    <n v="5000"/>
    <x v="1"/>
    <n v="1429.26"/>
    <n v="0"/>
    <x v="5"/>
    <s v="CC200"/>
    <s v="AutoPost 655"/>
    <s v="EUR"/>
    <s v="2024-04"/>
    <n v="-1429.26"/>
    <m/>
    <n v="-1429.26"/>
    <s v="N/A"/>
    <s v=" "/>
  </r>
  <r>
    <s v="GL000656"/>
    <x v="464"/>
    <n v="5010"/>
    <x v="3"/>
    <n v="1489.09"/>
    <n v="0"/>
    <x v="0"/>
    <s v="CC400"/>
    <s v="AutoPost 656"/>
    <s v="EUR"/>
    <s v="2023-08"/>
    <n v="-1489.09"/>
    <m/>
    <n v="-1489.09"/>
    <s v="N/A"/>
    <s v=" "/>
  </r>
  <r>
    <s v="GL000657"/>
    <x v="465"/>
    <n v="4000"/>
    <x v="0"/>
    <n v="0"/>
    <n v="1528.95"/>
    <x v="3"/>
    <s v="CC100"/>
    <s v="AutoPost 657"/>
    <s v="CAD"/>
    <s v="2024-05"/>
    <n v="1528.95"/>
    <m/>
    <n v="1528.95"/>
    <s v="N/A"/>
    <s v=" "/>
  </r>
  <r>
    <s v="GL000658"/>
    <x v="87"/>
    <n v="4010"/>
    <x v="4"/>
    <n v="0"/>
    <n v="4139.3100000000004"/>
    <x v="1"/>
    <s v="CC300"/>
    <s v="AutoPost 658"/>
    <s v="CAD"/>
    <s v="2024-11"/>
    <n v="4139.3100000000004"/>
    <m/>
    <n v="4139.3100000000004"/>
    <s v="N/A"/>
    <s v=" "/>
  </r>
  <r>
    <s v="GL000659"/>
    <x v="466"/>
    <n v="6000"/>
    <x v="2"/>
    <n v="1781.01"/>
    <n v="0"/>
    <x v="0"/>
    <s v="CC100"/>
    <s v="AutoPost 659"/>
    <s v="CAD"/>
    <s v="2024-06"/>
    <n v="-1781.01"/>
    <m/>
    <n v="-1781.01"/>
    <s v="N/A"/>
    <s v=" "/>
  </r>
  <r>
    <s v="GL000660"/>
    <x v="396"/>
    <n v="5000"/>
    <x v="1"/>
    <n v="1659.6"/>
    <n v="0"/>
    <x v="1"/>
    <s v="CC200"/>
    <s v="AutoPost 660"/>
    <s v="GBP"/>
    <s v="2023-09"/>
    <n v="-1659.6"/>
    <m/>
    <n v="-1659.6"/>
    <s v="N/A"/>
    <s v=" "/>
  </r>
  <r>
    <s v="GL000661"/>
    <x v="255"/>
    <n v="6000"/>
    <x v="2"/>
    <n v="1220.3"/>
    <n v="0"/>
    <x v="2"/>
    <s v="CC300"/>
    <s v="AutoPost 661"/>
    <s v="USD"/>
    <s v="2025-04"/>
    <n v="-1220.3"/>
    <m/>
    <n v="-1220.3"/>
    <s v="N/A"/>
    <s v=" "/>
  </r>
  <r>
    <s v="GL000662"/>
    <x v="467"/>
    <n v="5000"/>
    <x v="1"/>
    <n v="1327.71"/>
    <n v="0"/>
    <x v="3"/>
    <s v="CC200"/>
    <s v="AutoPost 662"/>
    <s v="EUR"/>
    <s v="2024-10"/>
    <n v="-1327.71"/>
    <m/>
    <n v="-1327.71"/>
    <s v="N/A"/>
    <s v=" "/>
  </r>
  <r>
    <s v="GL000663"/>
    <x v="418"/>
    <n v="5000"/>
    <x v="1"/>
    <n v="1760.57"/>
    <n v="0"/>
    <x v="3"/>
    <s v="CC300"/>
    <s v="AutoPost 663"/>
    <s v="GBP"/>
    <s v="2024-12"/>
    <n v="-1760.57"/>
    <m/>
    <n v="-1760.57"/>
    <s v="N/A"/>
    <s v=" "/>
  </r>
  <r>
    <s v="GL000664"/>
    <x v="197"/>
    <n v="6000"/>
    <x v="2"/>
    <n v="832.19"/>
    <n v="0"/>
    <x v="2"/>
    <s v="CC500"/>
    <s v="AutoPost 664"/>
    <s v="AUD"/>
    <s v="2024-03"/>
    <n v="-832.19"/>
    <m/>
    <n v="-832.19"/>
    <s v="N/A"/>
    <s v=" "/>
  </r>
  <r>
    <s v="GL000665"/>
    <x v="46"/>
    <n v="5000"/>
    <x v="1"/>
    <n v="243.79"/>
    <n v="0"/>
    <x v="1"/>
    <s v="CC400"/>
    <s v="AutoPost 665"/>
    <s v="CAD"/>
    <s v="2023-01"/>
    <n v="-243.79"/>
    <m/>
    <n v="-243.79"/>
    <s v="N/A"/>
    <s v=" "/>
  </r>
  <r>
    <s v="GL000666"/>
    <x v="165"/>
    <n v="5010"/>
    <x v="3"/>
    <n v="560.62"/>
    <n v="0"/>
    <x v="0"/>
    <s v="CC300"/>
    <s v="AutoPost 666"/>
    <s v="AUD"/>
    <s v="2025-04"/>
    <n v="-560.62"/>
    <m/>
    <n v="-560.62"/>
    <s v="N/A"/>
    <s v=" "/>
  </r>
  <r>
    <s v="GL000667"/>
    <x v="445"/>
    <n v="4010"/>
    <x v="4"/>
    <n v="0"/>
    <n v="4106.57"/>
    <x v="3"/>
    <s v="CC500"/>
    <s v="AutoPost 667"/>
    <s v="GBP"/>
    <s v="2023-10"/>
    <n v="4106.57"/>
    <m/>
    <n v="4106.57"/>
    <s v="N/A"/>
    <s v=" "/>
  </r>
  <r>
    <s v="GL000668"/>
    <x v="468"/>
    <n v="5010"/>
    <x v="3"/>
    <n v="873.19"/>
    <n v="0"/>
    <x v="2"/>
    <s v="CC300"/>
    <s v="AutoPost 668"/>
    <s v="GBP"/>
    <s v="2025-03"/>
    <n v="-873.19"/>
    <m/>
    <n v="-873.19"/>
    <s v="N/A"/>
    <s v=" "/>
  </r>
  <r>
    <s v="GL000669"/>
    <x v="469"/>
    <n v="4010"/>
    <x v="4"/>
    <n v="0"/>
    <n v="541.23"/>
    <x v="3"/>
    <s v="CC400"/>
    <s v="AutoPost 669"/>
    <s v="CAD"/>
    <s v="2023-10"/>
    <n v="541.23"/>
    <m/>
    <n v="541.23"/>
    <s v="N/A"/>
    <s v=" "/>
  </r>
  <r>
    <s v="GL000670"/>
    <x v="470"/>
    <n v="5000"/>
    <x v="1"/>
    <n v="793.98"/>
    <n v="0"/>
    <x v="2"/>
    <s v="CC200"/>
    <s v="AutoPost 670"/>
    <s v="EUR"/>
    <s v="2024-04"/>
    <n v="-793.98"/>
    <m/>
    <n v="-793.98"/>
    <s v="N/A"/>
    <s v=" "/>
  </r>
  <r>
    <s v="GL000671"/>
    <x v="471"/>
    <n v="5010"/>
    <x v="3"/>
    <n v="644.58000000000004"/>
    <n v="0"/>
    <x v="5"/>
    <s v="CC400"/>
    <s v="AutoPost 671"/>
    <s v="USD"/>
    <s v="2023-06"/>
    <n v="-644.58000000000004"/>
    <m/>
    <n v="-644.58000000000004"/>
    <s v="N/A"/>
    <s v=" "/>
  </r>
  <r>
    <s v="GL000672"/>
    <x v="177"/>
    <n v="5010"/>
    <x v="3"/>
    <n v="222.19"/>
    <n v="0"/>
    <x v="3"/>
    <s v="CC200"/>
    <s v="AutoPost 672"/>
    <s v="GBP"/>
    <s v="2023-02"/>
    <n v="-222.19"/>
    <m/>
    <n v="-222.19"/>
    <s v="N/A"/>
    <s v=" "/>
  </r>
  <r>
    <s v="GL000673"/>
    <x v="105"/>
    <n v="6000"/>
    <x v="2"/>
    <n v="296.98"/>
    <n v="0"/>
    <x v="5"/>
    <s v="CC100"/>
    <s v="AutoPost 673"/>
    <s v="AUD"/>
    <s v="2024-03"/>
    <n v="-296.98"/>
    <m/>
    <n v="-296.98"/>
    <s v="N/A"/>
    <s v=" "/>
  </r>
  <r>
    <s v="GL000674"/>
    <x v="53"/>
    <n v="5010"/>
    <x v="3"/>
    <n v="1919.89"/>
    <n v="0"/>
    <x v="0"/>
    <s v="CC200"/>
    <s v="AutoPost 674"/>
    <s v="CAD"/>
    <s v="2024-04"/>
    <n v="-1919.89"/>
    <m/>
    <n v="-1919.89"/>
    <s v="N/A"/>
    <s v=" "/>
  </r>
  <r>
    <s v="GL000675"/>
    <x v="358"/>
    <n v="4010"/>
    <x v="4"/>
    <n v="0"/>
    <n v="3948.96"/>
    <x v="3"/>
    <s v="CC200"/>
    <s v="AutoPost 675"/>
    <s v="EUR"/>
    <s v="2024-06"/>
    <n v="3948.96"/>
    <m/>
    <n v="3948.96"/>
    <s v="N/A"/>
    <s v=" "/>
  </r>
  <r>
    <s v="GL000676"/>
    <x v="391"/>
    <n v="4000"/>
    <x v="0"/>
    <n v="0"/>
    <n v="1952.91"/>
    <x v="4"/>
    <s v="CC500"/>
    <s v="AutoPost 676"/>
    <s v="EUR"/>
    <s v="2023-08"/>
    <n v="1952.91"/>
    <m/>
    <n v="1952.91"/>
    <s v="N/A"/>
    <s v=" "/>
  </r>
  <r>
    <s v="GL000677"/>
    <x v="433"/>
    <n v="4000"/>
    <x v="0"/>
    <n v="0"/>
    <n v="4819.25"/>
    <x v="5"/>
    <s v="CC500"/>
    <s v="AutoPost 677"/>
    <s v="USD"/>
    <s v="2023-12"/>
    <n v="4819.25"/>
    <m/>
    <n v="4819.25"/>
    <s v="N/A"/>
    <s v=" "/>
  </r>
  <r>
    <s v="GL000678"/>
    <x v="472"/>
    <n v="6000"/>
    <x v="2"/>
    <n v="385.69"/>
    <n v="0"/>
    <x v="3"/>
    <s v="CC100"/>
    <s v="AutoPost 678"/>
    <s v="AUD"/>
    <s v="2023-05"/>
    <n v="-385.69"/>
    <m/>
    <n v="-385.69"/>
    <s v="N/A"/>
    <s v=" "/>
  </r>
  <r>
    <s v="GL000679"/>
    <x v="267"/>
    <n v="5010"/>
    <x v="3"/>
    <n v="269.3"/>
    <n v="0"/>
    <x v="4"/>
    <s v="CC100"/>
    <s v="AutoPost 679"/>
    <s v="EUR"/>
    <s v="2023-01"/>
    <n v="-269.3"/>
    <m/>
    <n v="-269.3"/>
    <s v="N/A"/>
    <s v=" "/>
  </r>
  <r>
    <s v="GL000680"/>
    <x v="265"/>
    <n v="4010"/>
    <x v="4"/>
    <n v="0"/>
    <n v="4910.29"/>
    <x v="0"/>
    <s v="CC100"/>
    <s v="AutoPost 680"/>
    <s v="GBP"/>
    <s v="2024-07"/>
    <n v="4910.29"/>
    <m/>
    <n v="4910.29"/>
    <s v="N/A"/>
    <s v=" "/>
  </r>
  <r>
    <s v="GL000681"/>
    <x v="207"/>
    <n v="4010"/>
    <x v="4"/>
    <n v="0"/>
    <n v="2866.16"/>
    <x v="4"/>
    <s v="CC200"/>
    <s v="AutoPost 681"/>
    <s v="AUD"/>
    <s v="2024-04"/>
    <n v="2866.16"/>
    <m/>
    <n v="2866.16"/>
    <s v="N/A"/>
    <s v=" "/>
  </r>
  <r>
    <s v="GL000682"/>
    <x v="126"/>
    <n v="5010"/>
    <x v="3"/>
    <n v="151.68"/>
    <n v="0"/>
    <x v="2"/>
    <s v="CC200"/>
    <s v="AutoPost 682"/>
    <s v="AUD"/>
    <s v="2025-06"/>
    <n v="-151.68"/>
    <m/>
    <n v="-151.68"/>
    <s v="N/A"/>
    <s v=" "/>
  </r>
  <r>
    <s v="GL000683"/>
    <x v="473"/>
    <n v="4010"/>
    <x v="4"/>
    <n v="0"/>
    <n v="1246.53"/>
    <x v="2"/>
    <s v="CC400"/>
    <s v="AutoPost 683"/>
    <s v="USD"/>
    <s v="2023-08"/>
    <n v="1246.53"/>
    <m/>
    <n v="1246.53"/>
    <s v="N/A"/>
    <s v=" "/>
  </r>
  <r>
    <s v="GL000684"/>
    <x v="474"/>
    <n v="6000"/>
    <x v="2"/>
    <n v="1724.65"/>
    <n v="0"/>
    <x v="4"/>
    <s v="CC500"/>
    <s v="AutoPost 684"/>
    <s v="GBP"/>
    <s v="2024-12"/>
    <n v="-1724.65"/>
    <m/>
    <n v="-1724.65"/>
    <s v="N/A"/>
    <s v=" "/>
  </r>
  <r>
    <s v="GL000685"/>
    <x v="475"/>
    <n v="5010"/>
    <x v="3"/>
    <n v="1411.99"/>
    <n v="0"/>
    <x v="0"/>
    <s v="CC200"/>
    <s v="AutoPost 685"/>
    <s v="USD"/>
    <s v="2025-02"/>
    <n v="-1411.99"/>
    <m/>
    <n v="-1411.99"/>
    <s v="N/A"/>
    <s v=" "/>
  </r>
  <r>
    <s v="GL000686"/>
    <x v="476"/>
    <n v="5010"/>
    <x v="3"/>
    <n v="753.12"/>
    <n v="0"/>
    <x v="4"/>
    <s v="CC400"/>
    <s v="AutoPost 686"/>
    <s v="USD"/>
    <s v="2024-01"/>
    <n v="-753.12"/>
    <m/>
    <n v="-753.12"/>
    <s v="N/A"/>
    <s v=" "/>
  </r>
  <r>
    <s v="GL000687"/>
    <x v="477"/>
    <n v="4000"/>
    <x v="0"/>
    <n v="0"/>
    <n v="3744.19"/>
    <x v="4"/>
    <s v="CC100"/>
    <s v="AutoPost 687"/>
    <s v="EUR"/>
    <s v="2024-11"/>
    <n v="3744.19"/>
    <m/>
    <n v="3744.19"/>
    <s v="N/A"/>
    <s v=" "/>
  </r>
  <r>
    <s v="GL000688"/>
    <x v="478"/>
    <n v="5000"/>
    <x v="1"/>
    <n v="906.55"/>
    <n v="0"/>
    <x v="0"/>
    <s v="CC200"/>
    <s v="AutoPost 688"/>
    <s v="CAD"/>
    <s v="2024-03"/>
    <n v="-906.55"/>
    <m/>
    <n v="-906.55"/>
    <s v="N/A"/>
    <s v=" "/>
  </r>
  <r>
    <s v="GL000689"/>
    <x v="414"/>
    <n v="5010"/>
    <x v="3"/>
    <n v="215.69"/>
    <n v="0"/>
    <x v="2"/>
    <s v="CC300"/>
    <s v="AutoPost 689"/>
    <s v="AUD"/>
    <s v="2023-02"/>
    <n v="-215.69"/>
    <m/>
    <n v="-215.69"/>
    <s v="N/A"/>
    <s v=" "/>
  </r>
  <r>
    <s v="GL000690"/>
    <x v="418"/>
    <n v="5000"/>
    <x v="1"/>
    <n v="1478.7"/>
    <n v="0"/>
    <x v="1"/>
    <s v="CC100"/>
    <s v="AutoPost 690"/>
    <s v="AUD"/>
    <s v="2024-12"/>
    <n v="-1478.7"/>
    <m/>
    <n v="-1478.7"/>
    <s v="N/A"/>
    <s v=" "/>
  </r>
  <r>
    <s v="GL000691"/>
    <x v="479"/>
    <n v="4000"/>
    <x v="0"/>
    <n v="0"/>
    <n v="3502.79"/>
    <x v="5"/>
    <s v="CC500"/>
    <s v="AutoPost 691"/>
    <s v="GBP"/>
    <s v="2025-03"/>
    <n v="3502.79"/>
    <m/>
    <n v="3502.79"/>
    <s v="N/A"/>
    <s v=" "/>
  </r>
  <r>
    <s v="GL000692"/>
    <x v="197"/>
    <n v="4000"/>
    <x v="0"/>
    <n v="0"/>
    <n v="2828.86"/>
    <x v="0"/>
    <s v="CC500"/>
    <s v="AutoPost 692"/>
    <s v="USD"/>
    <s v="2024-03"/>
    <n v="2828.86"/>
    <m/>
    <n v="2828.86"/>
    <s v="N/A"/>
    <s v=" "/>
  </r>
  <r>
    <s v="GL000693"/>
    <x v="24"/>
    <n v="6000"/>
    <x v="2"/>
    <n v="130.63999999999999"/>
    <n v="0"/>
    <x v="4"/>
    <s v="CC500"/>
    <s v="AutoPost 693"/>
    <s v="EUR"/>
    <s v="2023-04"/>
    <n v="-130.63999999999999"/>
    <m/>
    <n v="-130.63999999999999"/>
    <s v="N/A"/>
    <s v=" "/>
  </r>
  <r>
    <s v="GL000694"/>
    <x v="480"/>
    <n v="6000"/>
    <x v="2"/>
    <n v="1824.18"/>
    <n v="0"/>
    <x v="2"/>
    <s v="CC300"/>
    <s v="AutoPost 694"/>
    <s v="CAD"/>
    <s v="2024-05"/>
    <n v="-1824.18"/>
    <m/>
    <n v="-1824.18"/>
    <s v="N/A"/>
    <s v=" "/>
  </r>
  <r>
    <s v="GL000695"/>
    <x v="481"/>
    <n v="4010"/>
    <x v="4"/>
    <n v="0"/>
    <n v="2401.06"/>
    <x v="0"/>
    <s v="CC500"/>
    <s v="AutoPost 695"/>
    <s v="EUR"/>
    <s v="2024-12"/>
    <n v="2401.06"/>
    <m/>
    <n v="2401.06"/>
    <s v="N/A"/>
    <s v=" "/>
  </r>
  <r>
    <s v="GL000696"/>
    <x v="482"/>
    <n v="4010"/>
    <x v="4"/>
    <n v="0"/>
    <n v="3086.33"/>
    <x v="1"/>
    <s v="CC400"/>
    <s v="AutoPost 696"/>
    <s v="EUR"/>
    <s v="2023-10"/>
    <n v="3086.33"/>
    <m/>
    <n v="3086.33"/>
    <s v="N/A"/>
    <s v=" "/>
  </r>
  <r>
    <s v="GL000697"/>
    <x v="111"/>
    <n v="5000"/>
    <x v="1"/>
    <n v="1546.69"/>
    <n v="0"/>
    <x v="1"/>
    <s v="CC200"/>
    <s v="AutoPost 697"/>
    <s v="GBP"/>
    <s v="2025-01"/>
    <n v="-1546.69"/>
    <m/>
    <n v="-1546.69"/>
    <s v="N/A"/>
    <s v=" "/>
  </r>
  <r>
    <s v="GL000698"/>
    <x v="483"/>
    <n v="4010"/>
    <x v="4"/>
    <n v="0"/>
    <n v="2135.0700000000002"/>
    <x v="2"/>
    <s v="CC300"/>
    <s v="AutoPost 698"/>
    <s v="USD"/>
    <s v="2024-03"/>
    <n v="2135.0700000000002"/>
    <m/>
    <n v="2135.0700000000002"/>
    <s v="N/A"/>
    <s v=" "/>
  </r>
  <r>
    <s v="GL000699"/>
    <x v="300"/>
    <n v="4000"/>
    <x v="0"/>
    <n v="0"/>
    <n v="337.27"/>
    <x v="4"/>
    <s v="CC200"/>
    <s v="AutoPost 699"/>
    <s v="EUR"/>
    <s v="2023-04"/>
    <n v="337.27"/>
    <m/>
    <n v="337.27"/>
    <s v="N/A"/>
    <s v=" "/>
  </r>
  <r>
    <s v="GL000700"/>
    <x v="435"/>
    <n v="4010"/>
    <x v="4"/>
    <n v="0"/>
    <n v="4145.3100000000004"/>
    <x v="3"/>
    <s v="CC100"/>
    <s v="AutoPost 700"/>
    <s v="GBP"/>
    <s v="2023-03"/>
    <n v="4145.3100000000004"/>
    <m/>
    <n v="4145.3100000000004"/>
    <s v="N/A"/>
    <s v=" "/>
  </r>
  <r>
    <s v="GL000701"/>
    <x v="52"/>
    <n v="5010"/>
    <x v="3"/>
    <n v="322.43"/>
    <n v="0"/>
    <x v="4"/>
    <s v="CC200"/>
    <s v="AutoPost 701"/>
    <s v="CAD"/>
    <s v="2023-11"/>
    <n v="-322.43"/>
    <m/>
    <n v="-322.43"/>
    <s v="N/A"/>
    <s v=" "/>
  </r>
  <r>
    <s v="GL000702"/>
    <x v="484"/>
    <n v="6000"/>
    <x v="2"/>
    <n v="1350.68"/>
    <n v="0"/>
    <x v="0"/>
    <s v="CC200"/>
    <s v="AutoPost 702"/>
    <s v="USD"/>
    <s v="2024-07"/>
    <n v="-1350.68"/>
    <m/>
    <n v="-1350.68"/>
    <s v="N/A"/>
    <s v=" "/>
  </r>
  <r>
    <s v="GL000703"/>
    <x v="485"/>
    <n v="6000"/>
    <x v="2"/>
    <n v="1038.71"/>
    <n v="0"/>
    <x v="2"/>
    <s v="CC300"/>
    <s v="AutoPost 703"/>
    <s v="EUR"/>
    <s v="2023-12"/>
    <n v="-1038.71"/>
    <m/>
    <n v="-1038.71"/>
    <s v="N/A"/>
    <s v=" "/>
  </r>
  <r>
    <s v="GL000704"/>
    <x v="486"/>
    <n v="5000"/>
    <x v="1"/>
    <n v="1455.61"/>
    <n v="0"/>
    <x v="2"/>
    <s v="CC500"/>
    <s v="AutoPost 704"/>
    <s v="EUR"/>
    <s v="2025-01"/>
    <n v="-1455.61"/>
    <m/>
    <n v="-1455.61"/>
    <s v="N/A"/>
    <s v=" "/>
  </r>
  <r>
    <s v="GL000705"/>
    <x v="487"/>
    <n v="6000"/>
    <x v="2"/>
    <n v="1723.07"/>
    <n v="0"/>
    <x v="5"/>
    <s v="CC100"/>
    <s v="AutoPost 705"/>
    <s v="GBP"/>
    <s v="2024-01"/>
    <n v="-1723.07"/>
    <m/>
    <n v="-1723.07"/>
    <s v="N/A"/>
    <s v=" "/>
  </r>
  <r>
    <s v="GL000706"/>
    <x v="7"/>
    <n v="4010"/>
    <x v="4"/>
    <n v="0"/>
    <n v="965.55"/>
    <x v="0"/>
    <s v="CC300"/>
    <s v="AutoPost 706"/>
    <s v="EUR"/>
    <s v="2023-12"/>
    <n v="965.55"/>
    <m/>
    <n v="965.55"/>
    <s v="N/A"/>
    <s v=" "/>
  </r>
  <r>
    <s v="GL000707"/>
    <x v="488"/>
    <n v="4010"/>
    <x v="4"/>
    <n v="0"/>
    <n v="1927.89"/>
    <x v="1"/>
    <s v="CC500"/>
    <s v="AutoPost 707"/>
    <s v="GBP"/>
    <s v="2024-12"/>
    <n v="1927.89"/>
    <m/>
    <n v="1927.89"/>
    <s v="N/A"/>
    <s v=" "/>
  </r>
  <r>
    <s v="GL000708"/>
    <x v="489"/>
    <n v="5010"/>
    <x v="3"/>
    <n v="1789.3"/>
    <n v="0"/>
    <x v="3"/>
    <s v="CC100"/>
    <s v="AutoPost 708"/>
    <s v="EUR"/>
    <s v="2025-06"/>
    <n v="-1789.3"/>
    <m/>
    <n v="-1789.3"/>
    <s v="N/A"/>
    <s v=" "/>
  </r>
  <r>
    <s v="GL000709"/>
    <x v="490"/>
    <n v="4010"/>
    <x v="4"/>
    <n v="0"/>
    <n v="1155.8499999999999"/>
    <x v="4"/>
    <s v="CC100"/>
    <s v="AutoPost 709"/>
    <s v="CAD"/>
    <s v="2024-03"/>
    <n v="1155.8499999999999"/>
    <m/>
    <n v="1155.8499999999999"/>
    <s v="N/A"/>
    <s v=" "/>
  </r>
  <r>
    <s v="GL000710"/>
    <x v="132"/>
    <n v="4000"/>
    <x v="0"/>
    <n v="0"/>
    <n v="1701.37"/>
    <x v="3"/>
    <s v="CC400"/>
    <s v="AutoPost 710"/>
    <s v="USD"/>
    <s v="2023-05"/>
    <n v="1701.37"/>
    <m/>
    <n v="1701.37"/>
    <s v="N/A"/>
    <s v=" "/>
  </r>
  <r>
    <s v="GL000711"/>
    <x v="491"/>
    <n v="5010"/>
    <x v="3"/>
    <n v="706.44"/>
    <n v="0"/>
    <x v="1"/>
    <s v="CC400"/>
    <s v="AutoPost 711"/>
    <s v="USD"/>
    <s v="2025-05"/>
    <n v="-706.44"/>
    <m/>
    <n v="-706.44"/>
    <s v="N/A"/>
    <s v=" "/>
  </r>
  <r>
    <s v="GL000712"/>
    <x v="492"/>
    <n v="4000"/>
    <x v="0"/>
    <n v="0"/>
    <n v="734.04"/>
    <x v="0"/>
    <s v="CC100"/>
    <s v="AutoPost 712"/>
    <s v="AUD"/>
    <s v="2024-10"/>
    <n v="734.04"/>
    <m/>
    <n v="734.04"/>
    <s v="N/A"/>
    <s v=" "/>
  </r>
  <r>
    <s v="GL000713"/>
    <x v="493"/>
    <n v="5010"/>
    <x v="3"/>
    <n v="1551.77"/>
    <n v="0"/>
    <x v="0"/>
    <s v="CC400"/>
    <s v="AutoPost 713"/>
    <s v="AUD"/>
    <s v="2025-04"/>
    <n v="-1551.77"/>
    <m/>
    <n v="-1551.77"/>
    <s v="N/A"/>
    <s v=" "/>
  </r>
  <r>
    <s v="GL000714"/>
    <x v="137"/>
    <n v="6000"/>
    <x v="2"/>
    <n v="176.54"/>
    <n v="0"/>
    <x v="5"/>
    <s v="CC200"/>
    <s v="AutoPost 714"/>
    <s v="EUR"/>
    <s v="2024-03"/>
    <n v="-176.54"/>
    <m/>
    <n v="-176.54"/>
    <s v="N/A"/>
    <s v=" "/>
  </r>
  <r>
    <s v="GL000715"/>
    <x v="79"/>
    <n v="4010"/>
    <x v="4"/>
    <n v="0"/>
    <n v="1019.92"/>
    <x v="2"/>
    <s v="CC300"/>
    <s v="AutoPost 715"/>
    <s v="AUD"/>
    <s v="2023-10"/>
    <n v="1019.92"/>
    <m/>
    <n v="1019.92"/>
    <s v="N/A"/>
    <s v=" "/>
  </r>
  <r>
    <s v="GL000716"/>
    <x v="494"/>
    <n v="6000"/>
    <x v="2"/>
    <n v="1858.28"/>
    <n v="0"/>
    <x v="5"/>
    <s v="CC400"/>
    <s v="AutoPost 716"/>
    <s v="USD"/>
    <s v="2024-07"/>
    <n v="-1858.28"/>
    <m/>
    <n v="-1858.28"/>
    <s v="N/A"/>
    <s v=" "/>
  </r>
  <r>
    <s v="GL000717"/>
    <x v="314"/>
    <n v="6000"/>
    <x v="2"/>
    <n v="682.74"/>
    <n v="0"/>
    <x v="0"/>
    <s v="CC200"/>
    <s v="AutoPost 717"/>
    <s v="USD"/>
    <s v="2025-03"/>
    <n v="-682.74"/>
    <m/>
    <n v="-682.74"/>
    <s v="N/A"/>
    <s v=" "/>
  </r>
  <r>
    <s v="GL000718"/>
    <x v="495"/>
    <n v="6000"/>
    <x v="2"/>
    <n v="958.28"/>
    <n v="0"/>
    <x v="3"/>
    <s v="CC500"/>
    <s v="AutoPost 718"/>
    <s v="USD"/>
    <s v="2025-02"/>
    <n v="-958.28"/>
    <m/>
    <n v="-958.28"/>
    <s v="N/A"/>
    <s v=" "/>
  </r>
  <r>
    <s v="GL000719"/>
    <x v="496"/>
    <n v="4010"/>
    <x v="4"/>
    <n v="0"/>
    <n v="3448.25"/>
    <x v="4"/>
    <s v="CC100"/>
    <s v="AutoPost 719"/>
    <s v="USD"/>
    <s v="2024-12"/>
    <n v="3448.25"/>
    <m/>
    <n v="3448.25"/>
    <s v="N/A"/>
    <s v=" "/>
  </r>
  <r>
    <s v="GL000720"/>
    <x v="497"/>
    <n v="5000"/>
    <x v="1"/>
    <n v="863.44"/>
    <n v="0"/>
    <x v="3"/>
    <s v="CC200"/>
    <s v="AutoPost 720"/>
    <s v="USD"/>
    <s v="2025-02"/>
    <n v="-863.44"/>
    <m/>
    <n v="-863.44"/>
    <s v="N/A"/>
    <s v=" "/>
  </r>
  <r>
    <s v="GL000721"/>
    <x v="389"/>
    <n v="6000"/>
    <x v="2"/>
    <n v="1764.03"/>
    <n v="0"/>
    <x v="1"/>
    <s v="CC500"/>
    <s v="AutoPost 721"/>
    <s v="AUD"/>
    <s v="2023-03"/>
    <n v="-1764.03"/>
    <m/>
    <n v="-1764.03"/>
    <s v="N/A"/>
    <s v=" "/>
  </r>
  <r>
    <s v="GL000722"/>
    <x v="394"/>
    <n v="5010"/>
    <x v="3"/>
    <n v="1182.72"/>
    <n v="0"/>
    <x v="4"/>
    <s v="CC100"/>
    <s v="AutoPost 722"/>
    <s v="EUR"/>
    <s v="2024-12"/>
    <n v="-1182.72"/>
    <m/>
    <n v="-1182.72"/>
    <s v="N/A"/>
    <s v=" "/>
  </r>
  <r>
    <s v="GL000723"/>
    <x v="498"/>
    <n v="6000"/>
    <x v="2"/>
    <n v="1094.9100000000001"/>
    <n v="0"/>
    <x v="1"/>
    <s v="CC400"/>
    <s v="AutoPost 723"/>
    <s v="GBP"/>
    <s v="2025-04"/>
    <n v="-1094.9100000000001"/>
    <m/>
    <n v="-1094.9100000000001"/>
    <s v="N/A"/>
    <s v=" "/>
  </r>
  <r>
    <s v="GL000724"/>
    <x v="499"/>
    <n v="5010"/>
    <x v="3"/>
    <n v="889.16"/>
    <n v="0"/>
    <x v="1"/>
    <s v="CC100"/>
    <s v="AutoPost 724"/>
    <s v="GBP"/>
    <s v="2025-06"/>
    <n v="-889.16"/>
    <m/>
    <n v="-889.16"/>
    <s v="N/A"/>
    <s v=" "/>
  </r>
  <r>
    <s v="GL000725"/>
    <x v="269"/>
    <n v="5000"/>
    <x v="1"/>
    <n v="1474.83"/>
    <n v="0"/>
    <x v="1"/>
    <s v="CC200"/>
    <s v="AutoPost 725"/>
    <s v="USD"/>
    <s v="2024-05"/>
    <n v="-1474.83"/>
    <m/>
    <n v="-1474.83"/>
    <s v="N/A"/>
    <s v=" "/>
  </r>
  <r>
    <s v="GL000726"/>
    <x v="271"/>
    <n v="5000"/>
    <x v="1"/>
    <n v="1846.14"/>
    <n v="0"/>
    <x v="1"/>
    <s v="CC300"/>
    <s v="AutoPost 726"/>
    <s v="CAD"/>
    <s v="2024-02"/>
    <n v="-1846.14"/>
    <m/>
    <n v="-1846.14"/>
    <s v="N/A"/>
    <s v=" "/>
  </r>
  <r>
    <s v="GL000727"/>
    <x v="203"/>
    <n v="4000"/>
    <x v="0"/>
    <n v="0"/>
    <n v="4903.1499999999996"/>
    <x v="2"/>
    <s v="CC400"/>
    <s v="AutoPost 727"/>
    <s v="AUD"/>
    <s v="2025-02"/>
    <n v="4903.1499999999996"/>
    <m/>
    <n v="4903.1499999999996"/>
    <s v="N/A"/>
    <s v=" "/>
  </r>
  <r>
    <s v="GL000728"/>
    <x v="500"/>
    <n v="4000"/>
    <x v="0"/>
    <n v="0"/>
    <n v="2093.2399999999998"/>
    <x v="5"/>
    <s v="CC100"/>
    <s v="AutoPost 728"/>
    <s v="AUD"/>
    <s v="2024-11"/>
    <n v="2093.2399999999998"/>
    <m/>
    <n v="2093.2399999999998"/>
    <s v="N/A"/>
    <s v=" "/>
  </r>
  <r>
    <s v="GL000729"/>
    <x v="501"/>
    <n v="6000"/>
    <x v="2"/>
    <n v="1171.3"/>
    <n v="0"/>
    <x v="0"/>
    <s v="CC500"/>
    <s v="AutoPost 729"/>
    <s v="CAD"/>
    <s v="2024-06"/>
    <n v="-1171.3"/>
    <m/>
    <n v="-1171.3"/>
    <s v="N/A"/>
    <s v=" "/>
  </r>
  <r>
    <s v="GL000730"/>
    <x v="502"/>
    <n v="5010"/>
    <x v="3"/>
    <n v="930.25"/>
    <n v="0"/>
    <x v="2"/>
    <s v="CC500"/>
    <s v="AutoPost 730"/>
    <s v="GBP"/>
    <s v="2024-09"/>
    <n v="-930.25"/>
    <m/>
    <n v="-930.25"/>
    <s v="N/A"/>
    <s v=" "/>
  </r>
  <r>
    <s v="GL000731"/>
    <x v="503"/>
    <n v="4000"/>
    <x v="0"/>
    <n v="0"/>
    <n v="4977.82"/>
    <x v="2"/>
    <s v="CC400"/>
    <s v="AutoPost 731"/>
    <s v="CAD"/>
    <s v="2024-09"/>
    <n v="4977.82"/>
    <m/>
    <n v="4977.82"/>
    <s v="N/A"/>
    <s v=" "/>
  </r>
  <r>
    <s v="GL000732"/>
    <x v="131"/>
    <n v="5010"/>
    <x v="3"/>
    <n v="1937.34"/>
    <n v="0"/>
    <x v="3"/>
    <s v="CC100"/>
    <s v="AutoPost 732"/>
    <s v="AUD"/>
    <s v="2023-06"/>
    <n v="-1937.34"/>
    <m/>
    <n v="-1937.34"/>
    <s v="N/A"/>
    <s v=" "/>
  </r>
  <r>
    <s v="GL000733"/>
    <x v="504"/>
    <n v="4000"/>
    <x v="0"/>
    <n v="0"/>
    <n v="1978.42"/>
    <x v="3"/>
    <s v="CC100"/>
    <s v="AutoPost 733"/>
    <s v="EUR"/>
    <s v="2025-05"/>
    <n v="1978.42"/>
    <m/>
    <n v="1978.42"/>
    <s v="N/A"/>
    <s v=" "/>
  </r>
  <r>
    <s v="GL000734"/>
    <x v="505"/>
    <n v="6000"/>
    <x v="2"/>
    <n v="678.83"/>
    <n v="0"/>
    <x v="4"/>
    <s v="CC200"/>
    <s v="AutoPost 734"/>
    <s v="AUD"/>
    <s v="2024-06"/>
    <n v="-678.83"/>
    <m/>
    <n v="-678.83"/>
    <s v="N/A"/>
    <s v=" "/>
  </r>
  <r>
    <s v="GL000735"/>
    <x v="13"/>
    <n v="4010"/>
    <x v="4"/>
    <n v="0"/>
    <n v="463.02"/>
    <x v="5"/>
    <s v="CC500"/>
    <s v="AutoPost 735"/>
    <s v="GBP"/>
    <s v="2024-02"/>
    <n v="463.02"/>
    <m/>
    <n v="463.02"/>
    <s v="N/A"/>
    <s v=" "/>
  </r>
  <r>
    <s v="GL000736"/>
    <x v="506"/>
    <n v="5010"/>
    <x v="3"/>
    <n v="1296.07"/>
    <n v="0"/>
    <x v="1"/>
    <s v="CC100"/>
    <s v="AutoPost 736"/>
    <s v="AUD"/>
    <s v="2024-04"/>
    <n v="-1296.07"/>
    <m/>
    <n v="-1296.07"/>
    <s v="N/A"/>
    <s v=" "/>
  </r>
  <r>
    <s v="GL000737"/>
    <x v="436"/>
    <n v="4010"/>
    <x v="4"/>
    <n v="0"/>
    <n v="3270.5"/>
    <x v="0"/>
    <s v="CC300"/>
    <s v="AutoPost 737"/>
    <s v="EUR"/>
    <s v="2023-12"/>
    <n v="3270.5"/>
    <m/>
    <n v="3270.5"/>
    <s v="N/A"/>
    <s v=" "/>
  </r>
  <r>
    <s v="GL000738"/>
    <x v="507"/>
    <n v="4010"/>
    <x v="4"/>
    <n v="0"/>
    <n v="2188.77"/>
    <x v="4"/>
    <s v="CC200"/>
    <s v="AutoPost 738"/>
    <s v="CAD"/>
    <s v="2024-03"/>
    <n v="2188.77"/>
    <m/>
    <n v="2188.77"/>
    <s v="N/A"/>
    <s v=" "/>
  </r>
  <r>
    <s v="GL000739"/>
    <x v="467"/>
    <n v="5000"/>
    <x v="1"/>
    <n v="655.77"/>
    <n v="0"/>
    <x v="1"/>
    <s v="CC100"/>
    <s v="AutoPost 739"/>
    <s v="AUD"/>
    <s v="2024-10"/>
    <n v="-655.77"/>
    <m/>
    <n v="-655.77"/>
    <s v="N/A"/>
    <s v=" "/>
  </r>
  <r>
    <s v="GL000740"/>
    <x v="420"/>
    <n v="6000"/>
    <x v="2"/>
    <n v="407.27"/>
    <n v="0"/>
    <x v="4"/>
    <s v="CC200"/>
    <s v="AutoPost 740"/>
    <s v="GBP"/>
    <s v="2024-08"/>
    <n v="-407.27"/>
    <m/>
    <n v="-407.27"/>
    <s v="N/A"/>
    <s v=" "/>
  </r>
  <r>
    <s v="GL000741"/>
    <x v="508"/>
    <n v="5010"/>
    <x v="3"/>
    <n v="744.16"/>
    <n v="0"/>
    <x v="1"/>
    <s v="CC500"/>
    <s v="AutoPost 741"/>
    <s v="GBP"/>
    <s v="2023-12"/>
    <n v="-744.16"/>
    <m/>
    <n v="-744.16"/>
    <s v="N/A"/>
    <s v=" "/>
  </r>
  <r>
    <s v="GL000742"/>
    <x v="378"/>
    <n v="4010"/>
    <x v="4"/>
    <n v="0"/>
    <n v="4474.66"/>
    <x v="1"/>
    <s v="CC300"/>
    <s v="AutoPost 742"/>
    <s v="GBP"/>
    <s v="2023-08"/>
    <n v="4474.66"/>
    <m/>
    <n v="4474.66"/>
    <s v="N/A"/>
    <s v=" "/>
  </r>
  <r>
    <s v="GL000743"/>
    <x v="509"/>
    <n v="5000"/>
    <x v="1"/>
    <n v="75.27"/>
    <n v="0"/>
    <x v="5"/>
    <s v="CC400"/>
    <s v="AutoPost 743"/>
    <s v="EUR"/>
    <s v="2025-04"/>
    <n v="-75.27"/>
    <m/>
    <n v="-75.27"/>
    <s v="N/A"/>
    <s v=" "/>
  </r>
  <r>
    <s v="GL000744"/>
    <x v="236"/>
    <n v="5000"/>
    <x v="1"/>
    <n v="1164.26"/>
    <n v="0"/>
    <x v="1"/>
    <s v="CC400"/>
    <s v="AutoPost 744"/>
    <s v="EUR"/>
    <s v="2025-01"/>
    <n v="-1164.26"/>
    <m/>
    <n v="-1164.26"/>
    <s v="N/A"/>
    <s v=" "/>
  </r>
  <r>
    <s v="GL000745"/>
    <x v="435"/>
    <n v="5000"/>
    <x v="1"/>
    <n v="937.56"/>
    <n v="0"/>
    <x v="0"/>
    <s v="CC100"/>
    <s v="AutoPost 745"/>
    <s v="AUD"/>
    <s v="2023-03"/>
    <n v="-937.56"/>
    <m/>
    <n v="-937.56"/>
    <s v="N/A"/>
    <s v=" "/>
  </r>
  <r>
    <s v="GL000746"/>
    <x v="510"/>
    <n v="4010"/>
    <x v="4"/>
    <n v="0"/>
    <n v="4164.95"/>
    <x v="0"/>
    <s v="CC300"/>
    <s v="AutoPost 746"/>
    <s v="GBP"/>
    <s v="2024-10"/>
    <n v="4164.95"/>
    <m/>
    <n v="4164.95"/>
    <s v="N/A"/>
    <s v=" "/>
  </r>
  <r>
    <s v="GL000747"/>
    <x v="267"/>
    <n v="4000"/>
    <x v="0"/>
    <n v="0"/>
    <n v="2820.1"/>
    <x v="4"/>
    <s v="CC200"/>
    <s v="AutoPost 747"/>
    <s v="GBP"/>
    <s v="2023-01"/>
    <n v="2820.1"/>
    <m/>
    <n v="2820.1"/>
    <s v="N/A"/>
    <s v=" "/>
  </r>
  <r>
    <s v="GL000748"/>
    <x v="511"/>
    <n v="4000"/>
    <x v="0"/>
    <n v="0"/>
    <n v="2983.93"/>
    <x v="2"/>
    <s v="CC500"/>
    <s v="AutoPost 748"/>
    <s v="AUD"/>
    <s v="2023-04"/>
    <n v="2983.93"/>
    <m/>
    <n v="2983.93"/>
    <s v="N/A"/>
    <s v=" "/>
  </r>
  <r>
    <s v="GL000749"/>
    <x v="512"/>
    <n v="5000"/>
    <x v="1"/>
    <n v="319.47000000000003"/>
    <n v="0"/>
    <x v="2"/>
    <s v="CC100"/>
    <s v="AutoPost 749"/>
    <s v="GBP"/>
    <s v="2024-02"/>
    <n v="-319.47000000000003"/>
    <m/>
    <n v="-319.47000000000003"/>
    <s v="N/A"/>
    <s v=" "/>
  </r>
  <r>
    <s v="GL000750"/>
    <x v="259"/>
    <n v="4000"/>
    <x v="0"/>
    <n v="0"/>
    <n v="1222.08"/>
    <x v="1"/>
    <s v="CC500"/>
    <s v="AutoPost 750"/>
    <s v="USD"/>
    <s v="2023-12"/>
    <n v="1222.08"/>
    <m/>
    <n v="1222.08"/>
    <s v="N/A"/>
    <s v=" "/>
  </r>
  <r>
    <s v="GL000751"/>
    <x v="424"/>
    <n v="5010"/>
    <x v="3"/>
    <n v="199.77"/>
    <n v="0"/>
    <x v="5"/>
    <s v="CC300"/>
    <s v="AutoPost 751"/>
    <s v="AUD"/>
    <s v="2023-08"/>
    <n v="-199.77"/>
    <m/>
    <n v="-199.77"/>
    <s v="N/A"/>
    <s v=" "/>
  </r>
  <r>
    <s v="GL000752"/>
    <x v="333"/>
    <n v="4000"/>
    <x v="0"/>
    <n v="0"/>
    <n v="4349.28"/>
    <x v="1"/>
    <s v="CC300"/>
    <s v="AutoPost 752"/>
    <s v="AUD"/>
    <s v="2023-01"/>
    <n v="4349.28"/>
    <m/>
    <n v="4349.28"/>
    <s v="N/A"/>
    <s v=" "/>
  </r>
  <r>
    <s v="GL000753"/>
    <x v="103"/>
    <n v="5010"/>
    <x v="3"/>
    <n v="1496.23"/>
    <n v="0"/>
    <x v="2"/>
    <s v="CC100"/>
    <s v="AutoPost 753"/>
    <s v="EUR"/>
    <s v="2025-02"/>
    <n v="-1496.23"/>
    <m/>
    <n v="-1496.23"/>
    <s v="N/A"/>
    <s v=" "/>
  </r>
  <r>
    <s v="GL000754"/>
    <x v="120"/>
    <n v="4010"/>
    <x v="4"/>
    <n v="0"/>
    <n v="324.7"/>
    <x v="0"/>
    <s v="CC300"/>
    <s v="AutoPost 754"/>
    <s v="EUR"/>
    <s v="2025-02"/>
    <n v="324.7"/>
    <m/>
    <n v="324.7"/>
    <s v="N/A"/>
    <s v=" "/>
  </r>
  <r>
    <s v="GL000755"/>
    <x v="356"/>
    <n v="5000"/>
    <x v="1"/>
    <n v="1504.62"/>
    <n v="0"/>
    <x v="0"/>
    <s v="CC200"/>
    <s v="AutoPost 755"/>
    <s v="USD"/>
    <s v="2023-01"/>
    <n v="-1504.62"/>
    <m/>
    <n v="-1504.62"/>
    <s v="N/A"/>
    <s v=" "/>
  </r>
  <r>
    <s v="GL000756"/>
    <x v="513"/>
    <n v="4010"/>
    <x v="4"/>
    <n v="0"/>
    <n v="2507.58"/>
    <x v="5"/>
    <s v="CC300"/>
    <s v="AutoPost 756"/>
    <s v="AUD"/>
    <s v="2025-03"/>
    <n v="2507.58"/>
    <m/>
    <n v="2507.58"/>
    <s v="N/A"/>
    <s v=" "/>
  </r>
  <r>
    <s v="GL000757"/>
    <x v="375"/>
    <n v="5010"/>
    <x v="3"/>
    <n v="837.65"/>
    <n v="0"/>
    <x v="1"/>
    <s v="CC200"/>
    <s v="AutoPost 757"/>
    <s v="EUR"/>
    <s v="2023-10"/>
    <n v="-837.65"/>
    <m/>
    <n v="-837.65"/>
    <s v="N/A"/>
    <s v=" "/>
  </r>
  <r>
    <s v="GL000758"/>
    <x v="514"/>
    <n v="6000"/>
    <x v="2"/>
    <n v="787.73"/>
    <n v="0"/>
    <x v="0"/>
    <s v="CC300"/>
    <s v="AutoPost 758"/>
    <s v="USD"/>
    <s v="2024-08"/>
    <n v="-787.73"/>
    <m/>
    <n v="-787.73"/>
    <s v="N/A"/>
    <s v=" "/>
  </r>
  <r>
    <s v="GL000759"/>
    <x v="515"/>
    <n v="6000"/>
    <x v="2"/>
    <n v="910.72"/>
    <n v="0"/>
    <x v="3"/>
    <s v="CC500"/>
    <s v="AutoPost 759"/>
    <s v="AUD"/>
    <s v="2024-11"/>
    <n v="-910.72"/>
    <m/>
    <n v="-910.72"/>
    <s v="N/A"/>
    <s v=" "/>
  </r>
  <r>
    <s v="GL000760"/>
    <x v="516"/>
    <n v="5010"/>
    <x v="3"/>
    <n v="1362.52"/>
    <n v="0"/>
    <x v="3"/>
    <s v="CC500"/>
    <s v="AutoPost 760"/>
    <s v="USD"/>
    <s v="2023-01"/>
    <n v="-1362.52"/>
    <m/>
    <n v="-1362.52"/>
    <s v="N/A"/>
    <s v=" "/>
  </r>
  <r>
    <s v="GL000761"/>
    <x v="124"/>
    <n v="5000"/>
    <x v="1"/>
    <n v="1261.48"/>
    <n v="0"/>
    <x v="3"/>
    <s v="CC300"/>
    <s v="AutoPost 761"/>
    <s v="USD"/>
    <s v="2025-01"/>
    <n v="-1261.48"/>
    <m/>
    <n v="-1261.48"/>
    <s v="N/A"/>
    <s v=" "/>
  </r>
  <r>
    <s v="GL000762"/>
    <x v="100"/>
    <n v="4010"/>
    <x v="4"/>
    <n v="0"/>
    <n v="3519.33"/>
    <x v="4"/>
    <s v="CC400"/>
    <s v="AutoPost 762"/>
    <s v="GBP"/>
    <s v="2025-06"/>
    <n v="3519.33"/>
    <m/>
    <n v="3519.33"/>
    <s v="N/A"/>
    <s v=" "/>
  </r>
  <r>
    <s v="GL000763"/>
    <x v="136"/>
    <n v="5000"/>
    <x v="1"/>
    <n v="1425.68"/>
    <n v="0"/>
    <x v="2"/>
    <s v="CC300"/>
    <s v="AutoPost 763"/>
    <s v="USD"/>
    <s v="2025-02"/>
    <n v="-1425.68"/>
    <m/>
    <n v="-1425.68"/>
    <s v="N/A"/>
    <s v=" "/>
  </r>
  <r>
    <s v="GL000764"/>
    <x v="437"/>
    <n v="4010"/>
    <x v="4"/>
    <n v="0"/>
    <n v="4831.59"/>
    <x v="5"/>
    <s v="CC100"/>
    <s v="AutoPost 764"/>
    <s v="CAD"/>
    <s v="2024-07"/>
    <n v="4831.59"/>
    <m/>
    <n v="4831.59"/>
    <s v="N/A"/>
    <s v=" "/>
  </r>
  <r>
    <s v="GL000765"/>
    <x v="307"/>
    <n v="4010"/>
    <x v="4"/>
    <n v="0"/>
    <n v="3282.7"/>
    <x v="4"/>
    <s v="CC500"/>
    <s v="AutoPost 765"/>
    <s v="AUD"/>
    <s v="2024-06"/>
    <n v="3282.7"/>
    <m/>
    <n v="3282.7"/>
    <s v="N/A"/>
    <s v=" "/>
  </r>
  <r>
    <s v="GL000766"/>
    <x v="517"/>
    <n v="5000"/>
    <x v="1"/>
    <n v="1789.76"/>
    <n v="0"/>
    <x v="2"/>
    <s v="CC400"/>
    <s v="AutoPost 766"/>
    <s v="AUD"/>
    <s v="2025-05"/>
    <n v="-1789.76"/>
    <m/>
    <n v="-1789.76"/>
    <s v="N/A"/>
    <s v=" "/>
  </r>
  <r>
    <s v="GL000767"/>
    <x v="431"/>
    <n v="5000"/>
    <x v="1"/>
    <n v="1557.62"/>
    <n v="0"/>
    <x v="4"/>
    <s v="CC200"/>
    <s v="AutoPost 767"/>
    <s v="EUR"/>
    <s v="2023-03"/>
    <n v="-1557.62"/>
    <m/>
    <n v="-1557.62"/>
    <s v="N/A"/>
    <s v=" "/>
  </r>
  <r>
    <s v="GL000768"/>
    <x v="419"/>
    <n v="4000"/>
    <x v="0"/>
    <n v="0"/>
    <n v="4262.2299999999996"/>
    <x v="5"/>
    <s v="CC300"/>
    <s v="AutoPost 768"/>
    <s v="EUR"/>
    <s v="2025-03"/>
    <n v="4262.2299999999996"/>
    <m/>
    <n v="4262.2299999999996"/>
    <s v="N/A"/>
    <s v=" "/>
  </r>
  <r>
    <s v="GL000769"/>
    <x v="505"/>
    <n v="5000"/>
    <x v="1"/>
    <n v="1754.04"/>
    <n v="0"/>
    <x v="3"/>
    <s v="CC200"/>
    <s v="AutoPost 769"/>
    <s v="EUR"/>
    <s v="2024-06"/>
    <n v="-1754.04"/>
    <m/>
    <n v="-1754.04"/>
    <s v="N/A"/>
    <s v=" "/>
  </r>
  <r>
    <s v="GL000770"/>
    <x v="518"/>
    <n v="5010"/>
    <x v="3"/>
    <n v="604.27"/>
    <n v="0"/>
    <x v="5"/>
    <s v="CC200"/>
    <s v="AutoPost 770"/>
    <s v="EUR"/>
    <s v="2024-11"/>
    <n v="-604.27"/>
    <m/>
    <n v="-604.27"/>
    <s v="N/A"/>
    <s v=" "/>
  </r>
  <r>
    <s v="GL000771"/>
    <x v="393"/>
    <n v="5010"/>
    <x v="3"/>
    <n v="788.46"/>
    <n v="0"/>
    <x v="4"/>
    <s v="CC200"/>
    <s v="AutoPost 771"/>
    <s v="CAD"/>
    <s v="2024-10"/>
    <n v="-788.46"/>
    <m/>
    <n v="-788.46"/>
    <s v="N/A"/>
    <s v=" "/>
  </r>
  <r>
    <s v="GL000772"/>
    <x v="519"/>
    <n v="4000"/>
    <x v="0"/>
    <n v="0"/>
    <n v="1493.92"/>
    <x v="1"/>
    <s v="CC300"/>
    <s v="AutoPost 772"/>
    <s v="USD"/>
    <s v="2023-08"/>
    <n v="1493.92"/>
    <m/>
    <n v="1493.92"/>
    <s v="N/A"/>
    <s v=" "/>
  </r>
  <r>
    <s v="GL000773"/>
    <x v="480"/>
    <n v="5000"/>
    <x v="1"/>
    <n v="588.44000000000005"/>
    <n v="0"/>
    <x v="3"/>
    <s v="CC300"/>
    <s v="AutoPost 773"/>
    <s v="CAD"/>
    <s v="2024-05"/>
    <n v="-588.44000000000005"/>
    <m/>
    <n v="-588.44000000000005"/>
    <s v="N/A"/>
    <s v=" "/>
  </r>
  <r>
    <s v="GL000774"/>
    <x v="182"/>
    <n v="5000"/>
    <x v="1"/>
    <n v="1078.52"/>
    <n v="0"/>
    <x v="3"/>
    <s v="CC300"/>
    <s v="AutoPost 774"/>
    <s v="AUD"/>
    <s v="2024-09"/>
    <n v="-1078.52"/>
    <m/>
    <n v="-1078.52"/>
    <s v="N/A"/>
    <s v=" "/>
  </r>
  <r>
    <s v="GL000775"/>
    <x v="520"/>
    <n v="4010"/>
    <x v="4"/>
    <n v="0"/>
    <n v="4324.54"/>
    <x v="2"/>
    <s v="CC500"/>
    <s v="AutoPost 775"/>
    <s v="EUR"/>
    <s v="2024-04"/>
    <n v="4324.54"/>
    <m/>
    <n v="4324.54"/>
    <s v="N/A"/>
    <s v=" "/>
  </r>
  <r>
    <s v="GL000776"/>
    <x v="521"/>
    <n v="4010"/>
    <x v="4"/>
    <n v="0"/>
    <n v="2300.21"/>
    <x v="4"/>
    <s v="CC300"/>
    <s v="AutoPost 776"/>
    <s v="GBP"/>
    <s v="2024-06"/>
    <n v="2300.21"/>
    <m/>
    <n v="2300.21"/>
    <s v="N/A"/>
    <s v=" "/>
  </r>
  <r>
    <s v="GL000777"/>
    <x v="97"/>
    <n v="6000"/>
    <x v="2"/>
    <n v="446.19"/>
    <n v="0"/>
    <x v="5"/>
    <s v="CC200"/>
    <s v="AutoPost 777"/>
    <s v="GBP"/>
    <s v="2023-09"/>
    <n v="-446.19"/>
    <m/>
    <n v="-446.19"/>
    <s v="N/A"/>
    <s v=" "/>
  </r>
  <r>
    <s v="GL000778"/>
    <x v="197"/>
    <n v="4000"/>
    <x v="0"/>
    <n v="0"/>
    <n v="1518.24"/>
    <x v="3"/>
    <s v="CC200"/>
    <s v="AutoPost 778"/>
    <s v="AUD"/>
    <s v="2024-03"/>
    <n v="1518.24"/>
    <m/>
    <n v="1518.24"/>
    <s v="N/A"/>
    <s v=" "/>
  </r>
  <r>
    <s v="GL000779"/>
    <x v="522"/>
    <n v="6000"/>
    <x v="2"/>
    <n v="1385.02"/>
    <n v="0"/>
    <x v="3"/>
    <s v="CC200"/>
    <s v="AutoPost 779"/>
    <s v="AUD"/>
    <s v="2024-04"/>
    <n v="-1385.02"/>
    <m/>
    <n v="-1385.02"/>
    <s v="N/A"/>
    <s v=" "/>
  </r>
  <r>
    <s v="GL000780"/>
    <x v="523"/>
    <n v="6000"/>
    <x v="2"/>
    <n v="1887.31"/>
    <n v="0"/>
    <x v="3"/>
    <s v="CC500"/>
    <s v="AutoPost 780"/>
    <s v="GBP"/>
    <s v="2024-06"/>
    <n v="-1887.31"/>
    <m/>
    <n v="-1887.31"/>
    <s v="N/A"/>
    <s v=" "/>
  </r>
  <r>
    <s v="GL000781"/>
    <x v="327"/>
    <n v="4000"/>
    <x v="0"/>
    <n v="0"/>
    <n v="4476.07"/>
    <x v="5"/>
    <s v="CC200"/>
    <s v="AutoPost 781"/>
    <s v="AUD"/>
    <s v="2024-08"/>
    <n v="4476.07"/>
    <m/>
    <n v="4476.07"/>
    <s v="N/A"/>
    <s v=" "/>
  </r>
  <r>
    <s v="GL000782"/>
    <x v="524"/>
    <n v="6000"/>
    <x v="2"/>
    <n v="170.41"/>
    <n v="0"/>
    <x v="5"/>
    <s v="CC200"/>
    <s v="AutoPost 782"/>
    <s v="USD"/>
    <s v="2024-05"/>
    <n v="-170.41"/>
    <m/>
    <n v="-170.41"/>
    <s v="N/A"/>
    <s v=" "/>
  </r>
  <r>
    <s v="GL000783"/>
    <x v="525"/>
    <n v="5010"/>
    <x v="3"/>
    <n v="1650.02"/>
    <n v="0"/>
    <x v="5"/>
    <s v="CC400"/>
    <s v="AutoPost 783"/>
    <s v="GBP"/>
    <s v="2023-03"/>
    <n v="-1650.02"/>
    <m/>
    <n v="-1650.02"/>
    <s v="N/A"/>
    <s v=" "/>
  </r>
  <r>
    <s v="GL000784"/>
    <x v="67"/>
    <n v="4010"/>
    <x v="4"/>
    <n v="0"/>
    <n v="3235.44"/>
    <x v="0"/>
    <s v="CC500"/>
    <s v="AutoPost 784"/>
    <s v="AUD"/>
    <s v="2025-06"/>
    <n v="3235.44"/>
    <m/>
    <n v="3235.44"/>
    <s v="N/A"/>
    <s v=" "/>
  </r>
  <r>
    <s v="GL000785"/>
    <x v="526"/>
    <n v="5000"/>
    <x v="1"/>
    <n v="459.65"/>
    <n v="0"/>
    <x v="0"/>
    <s v="CC500"/>
    <s v="AutoPost 785"/>
    <s v="CAD"/>
    <s v="2024-01"/>
    <n v="-459.65"/>
    <m/>
    <n v="-459.65"/>
    <s v="N/A"/>
    <s v=" "/>
  </r>
  <r>
    <s v="GL000786"/>
    <x v="482"/>
    <n v="5010"/>
    <x v="3"/>
    <n v="882.11"/>
    <n v="0"/>
    <x v="5"/>
    <s v="CC200"/>
    <s v="AutoPost 786"/>
    <s v="CAD"/>
    <s v="2023-10"/>
    <n v="-882.11"/>
    <m/>
    <n v="-882.11"/>
    <s v="N/A"/>
    <s v=" "/>
  </r>
  <r>
    <s v="GL000787"/>
    <x v="171"/>
    <n v="6000"/>
    <x v="2"/>
    <n v="1023.17"/>
    <n v="0"/>
    <x v="5"/>
    <s v="CC200"/>
    <s v="AutoPost 787"/>
    <s v="GBP"/>
    <s v="2024-11"/>
    <n v="-1023.17"/>
    <m/>
    <n v="-1023.17"/>
    <s v="N/A"/>
    <s v=" "/>
  </r>
  <r>
    <s v="GL000788"/>
    <x v="527"/>
    <n v="5010"/>
    <x v="3"/>
    <n v="510.05"/>
    <n v="0"/>
    <x v="3"/>
    <s v="CC500"/>
    <s v="AutoPost 788"/>
    <s v="CAD"/>
    <s v="2024-03"/>
    <n v="-510.05"/>
    <m/>
    <n v="-510.05"/>
    <s v="N/A"/>
    <s v=" "/>
  </r>
  <r>
    <s v="GL000789"/>
    <x v="528"/>
    <n v="4010"/>
    <x v="4"/>
    <n v="0"/>
    <n v="3848.25"/>
    <x v="0"/>
    <s v="CC300"/>
    <s v="AutoPost 789"/>
    <s v="AUD"/>
    <s v="2023-03"/>
    <n v="3848.25"/>
    <m/>
    <n v="3848.25"/>
    <s v="N/A"/>
    <s v=" "/>
  </r>
  <r>
    <s v="GL000790"/>
    <x v="245"/>
    <n v="5000"/>
    <x v="1"/>
    <n v="315.25"/>
    <n v="0"/>
    <x v="3"/>
    <s v="CC200"/>
    <s v="AutoPost 790"/>
    <s v="AUD"/>
    <s v="2024-04"/>
    <n v="-315.25"/>
    <m/>
    <n v="-315.25"/>
    <s v="N/A"/>
    <s v=" "/>
  </r>
  <r>
    <s v="GL000791"/>
    <x v="266"/>
    <n v="4010"/>
    <x v="4"/>
    <n v="0"/>
    <n v="4030.96"/>
    <x v="5"/>
    <s v="CC300"/>
    <s v="AutoPost 791"/>
    <s v="USD"/>
    <s v="2024-04"/>
    <n v="4030.96"/>
    <m/>
    <n v="4030.96"/>
    <s v="N/A"/>
    <s v=" "/>
  </r>
  <r>
    <s v="GL000792"/>
    <x v="42"/>
    <n v="4000"/>
    <x v="0"/>
    <n v="0"/>
    <n v="1965.39"/>
    <x v="3"/>
    <s v="CC300"/>
    <s v="AutoPost 792"/>
    <s v="CAD"/>
    <s v="2023-02"/>
    <n v="1965.39"/>
    <m/>
    <n v="1965.39"/>
    <s v="N/A"/>
    <s v=" "/>
  </r>
  <r>
    <s v="GL000793"/>
    <x v="529"/>
    <n v="4010"/>
    <x v="4"/>
    <n v="0"/>
    <n v="3170.84"/>
    <x v="4"/>
    <s v="CC100"/>
    <s v="AutoPost 793"/>
    <s v="USD"/>
    <s v="2024-08"/>
    <n v="3170.84"/>
    <m/>
    <n v="3170.84"/>
    <s v="N/A"/>
    <s v=" "/>
  </r>
  <r>
    <s v="GL000794"/>
    <x v="207"/>
    <n v="4010"/>
    <x v="4"/>
    <n v="0"/>
    <n v="3010.78"/>
    <x v="3"/>
    <s v="CC300"/>
    <s v="AutoPost 794"/>
    <s v="USD"/>
    <s v="2024-04"/>
    <n v="3010.78"/>
    <m/>
    <n v="3010.78"/>
    <s v="N/A"/>
    <s v=" "/>
  </r>
  <r>
    <s v="GL000795"/>
    <x v="530"/>
    <n v="6000"/>
    <x v="2"/>
    <n v="1953.3"/>
    <n v="0"/>
    <x v="4"/>
    <s v="CC300"/>
    <s v="AutoPost 795"/>
    <s v="CAD"/>
    <s v="2025-03"/>
    <n v="-1953.3"/>
    <m/>
    <n v="-1953.3"/>
    <s v="N/A"/>
    <s v=" "/>
  </r>
  <r>
    <s v="GL000796"/>
    <x v="373"/>
    <n v="5010"/>
    <x v="3"/>
    <n v="1420.92"/>
    <n v="0"/>
    <x v="4"/>
    <s v="CC500"/>
    <s v="AutoPost 796"/>
    <s v="AUD"/>
    <s v="2024-07"/>
    <n v="-1420.92"/>
    <m/>
    <n v="-1420.92"/>
    <s v="N/A"/>
    <s v=" "/>
  </r>
  <r>
    <s v="GL000797"/>
    <x v="204"/>
    <n v="6000"/>
    <x v="2"/>
    <n v="203.96"/>
    <n v="0"/>
    <x v="5"/>
    <s v="CC400"/>
    <s v="AutoPost 797"/>
    <s v="USD"/>
    <s v="2024-01"/>
    <n v="-203.96"/>
    <m/>
    <n v="-203.96"/>
    <s v="N/A"/>
    <s v=" "/>
  </r>
  <r>
    <s v="GL000798"/>
    <x v="531"/>
    <n v="4010"/>
    <x v="4"/>
    <n v="0"/>
    <n v="2860.2"/>
    <x v="3"/>
    <s v="CC300"/>
    <s v="AutoPost 798"/>
    <s v="CAD"/>
    <s v="2023-06"/>
    <n v="2860.2"/>
    <m/>
    <n v="2860.2"/>
    <s v="N/A"/>
    <s v=" "/>
  </r>
  <r>
    <s v="GL000799"/>
    <x v="186"/>
    <n v="5010"/>
    <x v="3"/>
    <n v="1363.92"/>
    <n v="0"/>
    <x v="5"/>
    <s v="CC300"/>
    <s v="AutoPost 799"/>
    <s v="CAD"/>
    <s v="2023-08"/>
    <n v="-1363.92"/>
    <m/>
    <n v="-1363.92"/>
    <s v="N/A"/>
    <s v=" "/>
  </r>
  <r>
    <s v="GL000800"/>
    <x v="487"/>
    <n v="4000"/>
    <x v="0"/>
    <n v="0"/>
    <n v="4449.82"/>
    <x v="3"/>
    <s v="CC300"/>
    <s v="AutoPost 800"/>
    <s v="CAD"/>
    <s v="2024-01"/>
    <n v="4449.82"/>
    <m/>
    <n v="4449.82"/>
    <s v="N/A"/>
    <s v=" "/>
  </r>
  <r>
    <s v="GL000801"/>
    <x v="532"/>
    <n v="5010"/>
    <x v="3"/>
    <n v="256.63"/>
    <n v="0"/>
    <x v="3"/>
    <s v="CC200"/>
    <s v="AutoPost 801"/>
    <s v="AUD"/>
    <s v="2023-05"/>
    <n v="-256.63"/>
    <m/>
    <n v="-256.63"/>
    <s v="N/A"/>
    <s v=" "/>
  </r>
  <r>
    <s v="GL000802"/>
    <x v="265"/>
    <n v="4000"/>
    <x v="0"/>
    <n v="0"/>
    <n v="303.74"/>
    <x v="0"/>
    <s v="CC200"/>
    <s v="AutoPost 802"/>
    <s v="EUR"/>
    <s v="2024-07"/>
    <n v="303.74"/>
    <m/>
    <n v="303.74"/>
    <s v="N/A"/>
    <s v=" "/>
  </r>
  <r>
    <s v="GL000803"/>
    <x v="410"/>
    <n v="5000"/>
    <x v="1"/>
    <n v="1181.69"/>
    <n v="0"/>
    <x v="0"/>
    <s v="CC100"/>
    <s v="AutoPost 803"/>
    <s v="GBP"/>
    <s v="2024-11"/>
    <n v="-1181.69"/>
    <m/>
    <n v="-1181.69"/>
    <s v="N/A"/>
    <s v=" "/>
  </r>
  <r>
    <s v="GL000804"/>
    <x v="533"/>
    <n v="4010"/>
    <x v="4"/>
    <n v="0"/>
    <n v="2568.02"/>
    <x v="5"/>
    <s v="CC500"/>
    <s v="AutoPost 804"/>
    <s v="AUD"/>
    <s v="2023-10"/>
    <n v="2568.02"/>
    <m/>
    <n v="2568.02"/>
    <s v="N/A"/>
    <s v=" "/>
  </r>
  <r>
    <s v="GL000805"/>
    <x v="263"/>
    <n v="5000"/>
    <x v="1"/>
    <n v="1567.28"/>
    <n v="0"/>
    <x v="3"/>
    <s v="CC100"/>
    <s v="AutoPost 805"/>
    <s v="AUD"/>
    <s v="2023-10"/>
    <n v="-1567.28"/>
    <m/>
    <n v="-1567.28"/>
    <s v="N/A"/>
    <s v=" "/>
  </r>
  <r>
    <s v="GL000806"/>
    <x v="440"/>
    <n v="4010"/>
    <x v="4"/>
    <n v="0"/>
    <n v="1614.33"/>
    <x v="0"/>
    <s v="CC200"/>
    <s v="AutoPost 806"/>
    <s v="GBP"/>
    <s v="2025-04"/>
    <n v="1614.33"/>
    <m/>
    <n v="1614.33"/>
    <s v="N/A"/>
    <s v=" "/>
  </r>
  <r>
    <s v="GL000807"/>
    <x v="534"/>
    <n v="6000"/>
    <x v="2"/>
    <n v="335.31"/>
    <n v="0"/>
    <x v="0"/>
    <s v="CC500"/>
    <s v="AutoPost 807"/>
    <s v="GBP"/>
    <s v="2024-07"/>
    <n v="-335.31"/>
    <m/>
    <n v="-335.31"/>
    <s v="N/A"/>
    <s v=" "/>
  </r>
  <r>
    <s v="GL000808"/>
    <x v="126"/>
    <n v="5010"/>
    <x v="3"/>
    <n v="1491.54"/>
    <n v="0"/>
    <x v="3"/>
    <s v="CC100"/>
    <s v="AutoPost 808"/>
    <s v="USD"/>
    <s v="2025-06"/>
    <n v="-1491.54"/>
    <m/>
    <n v="-1491.54"/>
    <s v="N/A"/>
    <s v=" "/>
  </r>
  <r>
    <s v="GL000809"/>
    <x v="319"/>
    <n v="4010"/>
    <x v="4"/>
    <n v="0"/>
    <n v="2809.76"/>
    <x v="4"/>
    <s v="CC300"/>
    <s v="AutoPost 809"/>
    <s v="USD"/>
    <s v="2025-02"/>
    <n v="2809.76"/>
    <m/>
    <n v="2809.76"/>
    <s v="N/A"/>
    <s v=" "/>
  </r>
  <r>
    <s v="GL000810"/>
    <x v="535"/>
    <n v="4000"/>
    <x v="0"/>
    <n v="0"/>
    <n v="460.23"/>
    <x v="2"/>
    <s v="CC200"/>
    <s v="AutoPost 810"/>
    <s v="USD"/>
    <s v="2023-10"/>
    <n v="460.23"/>
    <m/>
    <n v="460.23"/>
    <s v="N/A"/>
    <s v=" "/>
  </r>
  <r>
    <s v="GL000811"/>
    <x v="536"/>
    <n v="4010"/>
    <x v="4"/>
    <n v="0"/>
    <n v="2788.91"/>
    <x v="5"/>
    <s v="CC200"/>
    <s v="AutoPost 811"/>
    <s v="GBP"/>
    <s v="2023-09"/>
    <n v="2788.91"/>
    <m/>
    <n v="2788.91"/>
    <s v="N/A"/>
    <s v=" "/>
  </r>
  <r>
    <s v="GL000812"/>
    <x v="249"/>
    <n v="6000"/>
    <x v="2"/>
    <n v="695.92"/>
    <n v="0"/>
    <x v="1"/>
    <s v="CC400"/>
    <s v="AutoPost 812"/>
    <s v="GBP"/>
    <s v="2025-04"/>
    <n v="-695.92"/>
    <m/>
    <n v="-695.92"/>
    <s v="N/A"/>
    <s v=" "/>
  </r>
  <r>
    <s v="GL000813"/>
    <x v="537"/>
    <n v="5010"/>
    <x v="3"/>
    <n v="1845.75"/>
    <n v="0"/>
    <x v="0"/>
    <s v="CC200"/>
    <s v="AutoPost 813"/>
    <s v="GBP"/>
    <s v="2025-04"/>
    <n v="-1845.75"/>
    <m/>
    <n v="-1845.75"/>
    <s v="N/A"/>
    <s v=" "/>
  </r>
  <r>
    <s v="GL000814"/>
    <x v="405"/>
    <n v="5000"/>
    <x v="1"/>
    <n v="892.42"/>
    <n v="0"/>
    <x v="4"/>
    <s v="CC500"/>
    <s v="AutoPost 814"/>
    <s v="CAD"/>
    <s v="2025-01"/>
    <n v="-892.42"/>
    <m/>
    <n v="-892.42"/>
    <s v="N/A"/>
    <s v=" "/>
  </r>
  <r>
    <s v="GL000815"/>
    <x v="97"/>
    <n v="5010"/>
    <x v="3"/>
    <n v="1024.68"/>
    <n v="0"/>
    <x v="1"/>
    <s v="CC500"/>
    <s v="AutoPost 815"/>
    <s v="GBP"/>
    <s v="2023-09"/>
    <n v="-1024.68"/>
    <m/>
    <n v="-1024.68"/>
    <s v="N/A"/>
    <s v=" "/>
  </r>
  <r>
    <s v="GL000816"/>
    <x v="191"/>
    <n v="6000"/>
    <x v="2"/>
    <n v="927.04"/>
    <n v="0"/>
    <x v="3"/>
    <s v="CC200"/>
    <s v="AutoPost 816"/>
    <s v="CAD"/>
    <s v="2023-11"/>
    <n v="-927.04"/>
    <m/>
    <n v="-927.04"/>
    <s v="N/A"/>
    <s v=" "/>
  </r>
  <r>
    <s v="GL000817"/>
    <x v="538"/>
    <n v="4000"/>
    <x v="0"/>
    <n v="0"/>
    <n v="3540.18"/>
    <x v="3"/>
    <s v="CC500"/>
    <s v="AutoPost 817"/>
    <s v="CAD"/>
    <s v="2024-03"/>
    <n v="3540.18"/>
    <m/>
    <n v="3540.18"/>
    <s v="N/A"/>
    <s v=" "/>
  </r>
  <r>
    <s v="GL000818"/>
    <x v="169"/>
    <n v="4010"/>
    <x v="4"/>
    <n v="0"/>
    <n v="4254.72"/>
    <x v="2"/>
    <s v="CC500"/>
    <s v="AutoPost 818"/>
    <s v="GBP"/>
    <s v="2024-12"/>
    <n v="4254.72"/>
    <m/>
    <n v="4254.72"/>
    <s v="N/A"/>
    <s v=" "/>
  </r>
  <r>
    <s v="GL000819"/>
    <x v="90"/>
    <n v="5010"/>
    <x v="3"/>
    <n v="1013.65"/>
    <n v="0"/>
    <x v="0"/>
    <s v="CC200"/>
    <s v="AutoPost 819"/>
    <s v="AUD"/>
    <s v="2023-10"/>
    <n v="-1013.65"/>
    <m/>
    <n v="-1013.65"/>
    <s v="N/A"/>
    <s v=" "/>
  </r>
  <r>
    <s v="GL000820"/>
    <x v="539"/>
    <n v="4010"/>
    <x v="4"/>
    <n v="0"/>
    <n v="2994.63"/>
    <x v="2"/>
    <s v="CC200"/>
    <s v="AutoPost 820"/>
    <s v="USD"/>
    <s v="2023-05"/>
    <n v="2994.63"/>
    <m/>
    <n v="2994.63"/>
    <s v="N/A"/>
    <s v=" "/>
  </r>
  <r>
    <s v="GL000821"/>
    <x v="167"/>
    <n v="4000"/>
    <x v="0"/>
    <n v="0"/>
    <n v="4094.14"/>
    <x v="4"/>
    <s v="CC500"/>
    <s v="AutoPost 821"/>
    <s v="USD"/>
    <s v="2023-09"/>
    <n v="4094.14"/>
    <m/>
    <n v="4094.14"/>
    <s v="N/A"/>
    <s v=" "/>
  </r>
  <r>
    <s v="GL000822"/>
    <x v="119"/>
    <n v="6000"/>
    <x v="2"/>
    <n v="784.89"/>
    <n v="0"/>
    <x v="1"/>
    <s v="CC300"/>
    <s v="AutoPost 822"/>
    <s v="AUD"/>
    <s v="2023-09"/>
    <n v="-784.89"/>
    <m/>
    <n v="-784.89"/>
    <s v="N/A"/>
    <s v=" "/>
  </r>
  <r>
    <s v="GL000823"/>
    <x v="82"/>
    <n v="5000"/>
    <x v="1"/>
    <n v="219.41"/>
    <n v="0"/>
    <x v="2"/>
    <s v="CC500"/>
    <s v="AutoPost 823"/>
    <s v="AUD"/>
    <s v="2025-02"/>
    <n v="-219.41"/>
    <m/>
    <n v="-219.41"/>
    <s v="N/A"/>
    <s v=" "/>
  </r>
  <r>
    <s v="GL000824"/>
    <x v="72"/>
    <n v="4000"/>
    <x v="0"/>
    <n v="0"/>
    <n v="1558.82"/>
    <x v="4"/>
    <s v="CC200"/>
    <s v="AutoPost 824"/>
    <s v="EUR"/>
    <s v="2024-09"/>
    <n v="1558.82"/>
    <m/>
    <n v="1558.82"/>
    <s v="N/A"/>
    <s v=" "/>
  </r>
  <r>
    <s v="GL000825"/>
    <x v="319"/>
    <n v="6000"/>
    <x v="2"/>
    <n v="723.9"/>
    <n v="0"/>
    <x v="2"/>
    <s v="CC400"/>
    <s v="AutoPost 825"/>
    <s v="CAD"/>
    <s v="2025-02"/>
    <n v="-723.9"/>
    <m/>
    <n v="-723.9"/>
    <s v="N/A"/>
    <s v=" "/>
  </r>
  <r>
    <s v="GL000826"/>
    <x v="477"/>
    <n v="4010"/>
    <x v="4"/>
    <n v="0"/>
    <n v="2447.66"/>
    <x v="5"/>
    <s v="CC300"/>
    <s v="AutoPost 826"/>
    <s v="AUD"/>
    <s v="2024-11"/>
    <n v="2447.66"/>
    <m/>
    <n v="2447.66"/>
    <s v="N/A"/>
    <s v=" "/>
  </r>
  <r>
    <s v="GL000827"/>
    <x v="525"/>
    <n v="4000"/>
    <x v="0"/>
    <n v="0"/>
    <n v="1067.43"/>
    <x v="5"/>
    <s v="CC500"/>
    <s v="AutoPost 827"/>
    <s v="EUR"/>
    <s v="2023-03"/>
    <n v="1067.43"/>
    <m/>
    <n v="1067.43"/>
    <s v="N/A"/>
    <s v=" "/>
  </r>
  <r>
    <s v="GL000828"/>
    <x v="132"/>
    <n v="5010"/>
    <x v="3"/>
    <n v="977.48"/>
    <n v="0"/>
    <x v="1"/>
    <s v="CC200"/>
    <s v="AutoPost 828"/>
    <s v="AUD"/>
    <s v="2023-05"/>
    <n v="-977.48"/>
    <m/>
    <n v="-977.48"/>
    <s v="N/A"/>
    <s v=" "/>
  </r>
  <r>
    <s v="GL000829"/>
    <x v="402"/>
    <n v="6000"/>
    <x v="2"/>
    <n v="1331.39"/>
    <n v="0"/>
    <x v="0"/>
    <s v="CC500"/>
    <s v="AutoPost 829"/>
    <s v="USD"/>
    <s v="2025-03"/>
    <n v="-1331.39"/>
    <m/>
    <n v="-1331.39"/>
    <s v="N/A"/>
    <s v=" "/>
  </r>
  <r>
    <s v="GL000830"/>
    <x v="540"/>
    <n v="4010"/>
    <x v="4"/>
    <n v="0"/>
    <n v="4756.54"/>
    <x v="1"/>
    <s v="CC400"/>
    <s v="AutoPost 830"/>
    <s v="EUR"/>
    <s v="2023-04"/>
    <n v="4756.54"/>
    <m/>
    <n v="4756.54"/>
    <s v="N/A"/>
    <s v=" "/>
  </r>
  <r>
    <s v="GL000831"/>
    <x v="541"/>
    <n v="5000"/>
    <x v="1"/>
    <n v="543"/>
    <n v="0"/>
    <x v="2"/>
    <s v="CC300"/>
    <s v="AutoPost 831"/>
    <s v="USD"/>
    <s v="2023-07"/>
    <n v="-543"/>
    <m/>
    <n v="-543"/>
    <s v="N/A"/>
    <s v=" "/>
  </r>
  <r>
    <s v="GL000832"/>
    <x v="336"/>
    <n v="5010"/>
    <x v="3"/>
    <n v="635.02"/>
    <n v="0"/>
    <x v="3"/>
    <s v="CC400"/>
    <s v="AutoPost 832"/>
    <s v="CAD"/>
    <s v="2025-01"/>
    <n v="-635.02"/>
    <m/>
    <n v="-635.02"/>
    <s v="N/A"/>
    <s v=" "/>
  </r>
  <r>
    <s v="GL000833"/>
    <x v="542"/>
    <n v="6000"/>
    <x v="2"/>
    <n v="1114.53"/>
    <n v="0"/>
    <x v="3"/>
    <s v="CC300"/>
    <s v="AutoPost 833"/>
    <s v="AUD"/>
    <s v="2024-02"/>
    <n v="-1114.53"/>
    <m/>
    <n v="-1114.53"/>
    <s v="N/A"/>
    <s v=" "/>
  </r>
  <r>
    <s v="GL000834"/>
    <x v="110"/>
    <n v="4000"/>
    <x v="0"/>
    <n v="0"/>
    <n v="1484.62"/>
    <x v="3"/>
    <s v="CC200"/>
    <s v="AutoPost 834"/>
    <s v="GBP"/>
    <s v="2024-11"/>
    <n v="1484.62"/>
    <m/>
    <n v="1484.62"/>
    <s v="N/A"/>
    <s v=" "/>
  </r>
  <r>
    <s v="GL000835"/>
    <x v="308"/>
    <n v="6000"/>
    <x v="2"/>
    <n v="742.51"/>
    <n v="0"/>
    <x v="4"/>
    <s v="CC400"/>
    <s v="AutoPost 835"/>
    <s v="GBP"/>
    <s v="2024-08"/>
    <n v="-742.51"/>
    <m/>
    <n v="-742.51"/>
    <s v="N/A"/>
    <s v=" "/>
  </r>
  <r>
    <s v="GL000836"/>
    <x v="59"/>
    <n v="4000"/>
    <x v="0"/>
    <n v="0"/>
    <n v="3933.89"/>
    <x v="1"/>
    <s v="CC200"/>
    <s v="AutoPost 836"/>
    <s v="CAD"/>
    <s v="2024-06"/>
    <n v="3933.89"/>
    <m/>
    <n v="3933.89"/>
    <s v="N/A"/>
    <s v=" "/>
  </r>
  <r>
    <s v="GL000837"/>
    <x v="45"/>
    <n v="4010"/>
    <x v="4"/>
    <n v="0"/>
    <n v="4092.61"/>
    <x v="5"/>
    <s v="CC400"/>
    <s v="AutoPost 837"/>
    <s v="EUR"/>
    <s v="2024-03"/>
    <n v="4092.61"/>
    <m/>
    <n v="4092.61"/>
    <s v="N/A"/>
    <s v=" "/>
  </r>
  <r>
    <s v="GL000838"/>
    <x v="543"/>
    <n v="4010"/>
    <x v="4"/>
    <n v="0"/>
    <n v="4772.83"/>
    <x v="3"/>
    <s v="CC400"/>
    <s v="AutoPost 838"/>
    <s v="USD"/>
    <s v="2023-09"/>
    <n v="4772.83"/>
    <m/>
    <n v="4772.83"/>
    <s v="N/A"/>
    <s v=" "/>
  </r>
  <r>
    <s v="GL000839"/>
    <x v="544"/>
    <n v="5010"/>
    <x v="3"/>
    <n v="1965.5"/>
    <n v="0"/>
    <x v="3"/>
    <s v="CC400"/>
    <s v="AutoPost 839"/>
    <s v="USD"/>
    <s v="2025-06"/>
    <n v="-1965.5"/>
    <m/>
    <n v="-1965.5"/>
    <s v="N/A"/>
    <s v=" "/>
  </r>
  <r>
    <s v="GL000840"/>
    <x v="545"/>
    <n v="6000"/>
    <x v="2"/>
    <n v="1386.65"/>
    <n v="0"/>
    <x v="4"/>
    <s v="CC300"/>
    <s v="AutoPost 840"/>
    <s v="USD"/>
    <s v="2024-07"/>
    <n v="-1386.65"/>
    <m/>
    <n v="-1386.65"/>
    <s v="N/A"/>
    <s v=" "/>
  </r>
  <r>
    <s v="GL000841"/>
    <x v="246"/>
    <n v="4010"/>
    <x v="4"/>
    <n v="0"/>
    <n v="872.06"/>
    <x v="1"/>
    <s v="CC500"/>
    <s v="AutoPost 841"/>
    <s v="GBP"/>
    <s v="2023-05"/>
    <n v="872.06"/>
    <m/>
    <n v="872.06"/>
    <s v="N/A"/>
    <s v=" "/>
  </r>
  <r>
    <s v="GL000842"/>
    <x v="316"/>
    <n v="5010"/>
    <x v="3"/>
    <n v="1801.16"/>
    <n v="0"/>
    <x v="5"/>
    <s v="CC100"/>
    <s v="AutoPost 842"/>
    <s v="EUR"/>
    <s v="2024-10"/>
    <n v="-1801.16"/>
    <m/>
    <n v="-1801.16"/>
    <s v="N/A"/>
    <s v=" "/>
  </r>
  <r>
    <s v="GL000843"/>
    <x v="531"/>
    <n v="5010"/>
    <x v="3"/>
    <n v="1990.94"/>
    <n v="0"/>
    <x v="3"/>
    <s v="CC100"/>
    <s v="AutoPost 843"/>
    <s v="AUD"/>
    <s v="2023-06"/>
    <n v="-1990.94"/>
    <m/>
    <n v="-1990.94"/>
    <s v="N/A"/>
    <s v=" "/>
  </r>
  <r>
    <s v="GL000844"/>
    <x v="182"/>
    <n v="4000"/>
    <x v="0"/>
    <n v="0"/>
    <n v="1372.78"/>
    <x v="1"/>
    <s v="CC400"/>
    <s v="AutoPost 844"/>
    <s v="AUD"/>
    <s v="2024-09"/>
    <n v="1372.78"/>
    <m/>
    <n v="1372.78"/>
    <s v="N/A"/>
    <s v=" "/>
  </r>
  <r>
    <s v="GL000845"/>
    <x v="360"/>
    <n v="5000"/>
    <x v="1"/>
    <n v="1600.28"/>
    <n v="0"/>
    <x v="1"/>
    <s v="CC400"/>
    <s v="AutoPost 845"/>
    <s v="USD"/>
    <s v="2024-09"/>
    <n v="-1600.28"/>
    <m/>
    <n v="-1600.28"/>
    <s v="N/A"/>
    <s v=" "/>
  </r>
  <r>
    <s v="GL000846"/>
    <x v="546"/>
    <n v="5010"/>
    <x v="3"/>
    <n v="618.05999999999995"/>
    <n v="0"/>
    <x v="4"/>
    <s v="CC500"/>
    <s v="AutoPost 846"/>
    <s v="CAD"/>
    <s v="2024-05"/>
    <n v="-618.05999999999995"/>
    <m/>
    <n v="-618.05999999999995"/>
    <s v="N/A"/>
    <s v=" "/>
  </r>
  <r>
    <s v="GL000847"/>
    <x v="31"/>
    <n v="4000"/>
    <x v="0"/>
    <n v="0"/>
    <n v="3150.6"/>
    <x v="3"/>
    <s v="CC200"/>
    <s v="AutoPost 847"/>
    <s v="USD"/>
    <s v="2024-05"/>
    <n v="3150.6"/>
    <m/>
    <n v="3150.6"/>
    <s v="N/A"/>
    <s v=" "/>
  </r>
  <r>
    <s v="GL000848"/>
    <x v="509"/>
    <n v="6000"/>
    <x v="2"/>
    <n v="1288.25"/>
    <n v="0"/>
    <x v="2"/>
    <s v="CC300"/>
    <s v="AutoPost 848"/>
    <s v="EUR"/>
    <s v="2025-04"/>
    <n v="-1288.25"/>
    <m/>
    <n v="-1288.25"/>
    <s v="N/A"/>
    <s v=" "/>
  </r>
  <r>
    <s v="GL000849"/>
    <x v="217"/>
    <n v="5010"/>
    <x v="3"/>
    <n v="1629.27"/>
    <n v="0"/>
    <x v="5"/>
    <s v="CC200"/>
    <s v="AutoPost 849"/>
    <s v="CAD"/>
    <s v="2024-07"/>
    <n v="-1629.27"/>
    <m/>
    <n v="-1629.27"/>
    <s v="N/A"/>
    <s v=" "/>
  </r>
  <r>
    <s v="GL000850"/>
    <x v="405"/>
    <n v="5000"/>
    <x v="1"/>
    <n v="436.4"/>
    <n v="0"/>
    <x v="0"/>
    <s v="CC100"/>
    <s v="AutoPost 850"/>
    <s v="USD"/>
    <s v="2025-01"/>
    <n v="-436.4"/>
    <m/>
    <n v="-436.4"/>
    <s v="N/A"/>
    <s v=" "/>
  </r>
  <r>
    <s v="GL000851"/>
    <x v="547"/>
    <n v="5010"/>
    <x v="3"/>
    <n v="186.27"/>
    <n v="0"/>
    <x v="1"/>
    <s v="CC400"/>
    <s v="AutoPost 851"/>
    <s v="AUD"/>
    <s v="2023-11"/>
    <n v="-186.27"/>
    <m/>
    <n v="-186.27"/>
    <s v="N/A"/>
    <s v=" "/>
  </r>
  <r>
    <s v="GL000852"/>
    <x v="548"/>
    <n v="4000"/>
    <x v="0"/>
    <n v="0"/>
    <n v="3025.08"/>
    <x v="3"/>
    <s v="CC100"/>
    <s v="AutoPost 852"/>
    <s v="AUD"/>
    <s v="2023-10"/>
    <n v="3025.08"/>
    <m/>
    <n v="3025.08"/>
    <s v="N/A"/>
    <s v=" "/>
  </r>
  <r>
    <s v="GL000853"/>
    <x v="155"/>
    <n v="5000"/>
    <x v="1"/>
    <n v="793.16"/>
    <n v="0"/>
    <x v="4"/>
    <s v="CC200"/>
    <s v="AutoPost 853"/>
    <s v="USD"/>
    <s v="2023-01"/>
    <n v="-793.16"/>
    <m/>
    <n v="-793.16"/>
    <s v="N/A"/>
    <s v=" "/>
  </r>
  <r>
    <s v="GL000854"/>
    <x v="549"/>
    <n v="5010"/>
    <x v="3"/>
    <n v="1753.87"/>
    <n v="0"/>
    <x v="5"/>
    <s v="CC400"/>
    <s v="AutoPost 854"/>
    <s v="AUD"/>
    <s v="2023-04"/>
    <n v="-1753.87"/>
    <m/>
    <n v="-1753.87"/>
    <s v="N/A"/>
    <s v=" "/>
  </r>
  <r>
    <s v="GL000855"/>
    <x v="550"/>
    <n v="4000"/>
    <x v="0"/>
    <n v="0"/>
    <n v="915.77"/>
    <x v="0"/>
    <s v="CC300"/>
    <s v="AutoPost 855"/>
    <s v="AUD"/>
    <s v="2024-06"/>
    <n v="915.77"/>
    <m/>
    <n v="915.77"/>
    <s v="N/A"/>
    <s v=" "/>
  </r>
  <r>
    <s v="GL000856"/>
    <x v="551"/>
    <n v="5000"/>
    <x v="1"/>
    <n v="1083.5899999999999"/>
    <n v="0"/>
    <x v="0"/>
    <s v="CC300"/>
    <s v="AutoPost 856"/>
    <s v="USD"/>
    <s v="2023-04"/>
    <n v="-1083.5899999999999"/>
    <m/>
    <n v="-1083.5899999999999"/>
    <s v="N/A"/>
    <s v=" "/>
  </r>
  <r>
    <s v="GL000857"/>
    <x v="201"/>
    <n v="4010"/>
    <x v="4"/>
    <n v="0"/>
    <n v="889.07"/>
    <x v="0"/>
    <s v="CC200"/>
    <s v="AutoPost 857"/>
    <s v="EUR"/>
    <s v="2025-05"/>
    <n v="889.07"/>
    <m/>
    <n v="889.07"/>
    <s v="N/A"/>
    <s v=" "/>
  </r>
  <r>
    <s v="GL000858"/>
    <x v="552"/>
    <n v="6000"/>
    <x v="2"/>
    <n v="1620.36"/>
    <n v="0"/>
    <x v="0"/>
    <s v="CC400"/>
    <s v="AutoPost 858"/>
    <s v="EUR"/>
    <s v="2024-04"/>
    <n v="-1620.36"/>
    <m/>
    <n v="-1620.36"/>
    <s v="N/A"/>
    <s v=" "/>
  </r>
  <r>
    <s v="GL000859"/>
    <x v="553"/>
    <n v="4000"/>
    <x v="0"/>
    <n v="0"/>
    <n v="549.91999999999996"/>
    <x v="4"/>
    <s v="CC300"/>
    <s v="AutoPost 859"/>
    <s v="GBP"/>
    <s v="2025-05"/>
    <n v="549.91999999999996"/>
    <m/>
    <n v="549.91999999999996"/>
    <s v="N/A"/>
    <s v=" "/>
  </r>
  <r>
    <s v="GL000860"/>
    <x v="554"/>
    <n v="4010"/>
    <x v="4"/>
    <n v="0"/>
    <n v="4103.1000000000004"/>
    <x v="2"/>
    <s v="CC400"/>
    <s v="AutoPost 860"/>
    <s v="USD"/>
    <s v="2025-04"/>
    <n v="4103.1000000000004"/>
    <m/>
    <n v="4103.1000000000004"/>
    <s v="N/A"/>
    <s v=" "/>
  </r>
  <r>
    <s v="GL000861"/>
    <x v="364"/>
    <n v="5010"/>
    <x v="3"/>
    <n v="316.45"/>
    <n v="0"/>
    <x v="4"/>
    <s v="CC200"/>
    <s v="AutoPost 861"/>
    <s v="USD"/>
    <s v="2024-05"/>
    <n v="-316.45"/>
    <m/>
    <n v="-316.45"/>
    <s v="N/A"/>
    <s v=" "/>
  </r>
  <r>
    <s v="GL000862"/>
    <x v="555"/>
    <n v="6000"/>
    <x v="2"/>
    <n v="1384.87"/>
    <n v="0"/>
    <x v="1"/>
    <s v="CC200"/>
    <s v="AutoPost 862"/>
    <s v="AUD"/>
    <s v="2024-04"/>
    <n v="-1384.87"/>
    <m/>
    <n v="-1384.87"/>
    <s v="N/A"/>
    <s v=" "/>
  </r>
  <r>
    <s v="GL000863"/>
    <x v="523"/>
    <n v="6000"/>
    <x v="2"/>
    <n v="932.11"/>
    <n v="0"/>
    <x v="2"/>
    <s v="CC500"/>
    <s v="AutoPost 863"/>
    <s v="GBP"/>
    <s v="2024-06"/>
    <n v="-932.11"/>
    <m/>
    <n v="-932.11"/>
    <s v="N/A"/>
    <s v=" "/>
  </r>
  <r>
    <s v="GL000864"/>
    <x v="556"/>
    <n v="4000"/>
    <x v="0"/>
    <n v="0"/>
    <n v="2355.54"/>
    <x v="5"/>
    <s v="CC400"/>
    <s v="AutoPost 864"/>
    <s v="CAD"/>
    <s v="2024-07"/>
    <n v="2355.54"/>
    <m/>
    <n v="2355.54"/>
    <s v="N/A"/>
    <s v=" "/>
  </r>
  <r>
    <s v="GL000865"/>
    <x v="557"/>
    <n v="5000"/>
    <x v="1"/>
    <n v="1327.52"/>
    <n v="0"/>
    <x v="5"/>
    <s v="CC400"/>
    <s v="AutoPost 865"/>
    <s v="USD"/>
    <s v="2024-08"/>
    <n v="-1327.52"/>
    <m/>
    <n v="-1327.52"/>
    <s v="N/A"/>
    <s v=" "/>
  </r>
  <r>
    <s v="GL000866"/>
    <x v="558"/>
    <n v="6000"/>
    <x v="2"/>
    <n v="77.790000000000006"/>
    <n v="0"/>
    <x v="3"/>
    <s v="CC200"/>
    <s v="AutoPost 866"/>
    <s v="USD"/>
    <s v="2023-04"/>
    <n v="-77.790000000000006"/>
    <m/>
    <n v="-77.790000000000006"/>
    <s v="N/A"/>
    <s v=" "/>
  </r>
  <r>
    <s v="GL000867"/>
    <x v="498"/>
    <n v="4000"/>
    <x v="0"/>
    <n v="0"/>
    <n v="2100.39"/>
    <x v="2"/>
    <s v="CC400"/>
    <s v="AutoPost 867"/>
    <s v="GBP"/>
    <s v="2025-04"/>
    <n v="2100.39"/>
    <m/>
    <n v="2100.39"/>
    <s v="N/A"/>
    <s v=" "/>
  </r>
  <r>
    <s v="GL000868"/>
    <x v="559"/>
    <n v="5010"/>
    <x v="3"/>
    <n v="882.8"/>
    <n v="0"/>
    <x v="5"/>
    <s v="CC400"/>
    <s v="AutoPost 868"/>
    <s v="AUD"/>
    <s v="2024-09"/>
    <n v="-882.8"/>
    <m/>
    <n v="-882.8"/>
    <s v="N/A"/>
    <s v=" "/>
  </r>
  <r>
    <s v="GL000869"/>
    <x v="560"/>
    <n v="4010"/>
    <x v="4"/>
    <n v="0"/>
    <n v="3194.96"/>
    <x v="4"/>
    <s v="CC500"/>
    <s v="AutoPost 869"/>
    <s v="USD"/>
    <s v="2023-07"/>
    <n v="3194.96"/>
    <m/>
    <n v="3194.96"/>
    <s v="N/A"/>
    <s v=" "/>
  </r>
  <r>
    <s v="GL000870"/>
    <x v="250"/>
    <n v="6000"/>
    <x v="2"/>
    <n v="981.76"/>
    <n v="0"/>
    <x v="4"/>
    <s v="CC200"/>
    <s v="AutoPost 870"/>
    <s v="EUR"/>
    <s v="2025-01"/>
    <n v="-981.76"/>
    <m/>
    <n v="-981.76"/>
    <s v="N/A"/>
    <s v=" "/>
  </r>
  <r>
    <s v="GL000871"/>
    <x v="131"/>
    <n v="4010"/>
    <x v="4"/>
    <n v="0"/>
    <n v="1322.78"/>
    <x v="1"/>
    <s v="CC200"/>
    <s v="AutoPost 871"/>
    <s v="USD"/>
    <s v="2023-06"/>
    <n v="1322.78"/>
    <m/>
    <n v="1322.78"/>
    <s v="N/A"/>
    <s v=" "/>
  </r>
  <r>
    <s v="GL000872"/>
    <x v="235"/>
    <n v="6000"/>
    <x v="2"/>
    <n v="508.47"/>
    <n v="0"/>
    <x v="2"/>
    <s v="CC500"/>
    <s v="AutoPost 872"/>
    <s v="USD"/>
    <s v="2024-01"/>
    <n v="-508.47"/>
    <m/>
    <n v="-508.47"/>
    <s v="N/A"/>
    <s v=" "/>
  </r>
  <r>
    <s v="GL000873"/>
    <x v="561"/>
    <n v="6000"/>
    <x v="2"/>
    <n v="1587.23"/>
    <n v="0"/>
    <x v="4"/>
    <s v="CC200"/>
    <s v="AutoPost 873"/>
    <s v="AUD"/>
    <s v="2025-04"/>
    <n v="-1587.23"/>
    <m/>
    <n v="-1587.23"/>
    <s v="N/A"/>
    <s v=" "/>
  </r>
  <r>
    <s v="GL000874"/>
    <x v="562"/>
    <n v="4000"/>
    <x v="0"/>
    <n v="0"/>
    <n v="2067.5700000000002"/>
    <x v="4"/>
    <s v="CC100"/>
    <s v="AutoPost 874"/>
    <s v="GBP"/>
    <s v="2025-01"/>
    <n v="2067.5700000000002"/>
    <m/>
    <n v="2067.5700000000002"/>
    <s v="N/A"/>
    <s v=" "/>
  </r>
  <r>
    <s v="GL000875"/>
    <x v="232"/>
    <n v="4000"/>
    <x v="0"/>
    <n v="0"/>
    <n v="1379.98"/>
    <x v="3"/>
    <s v="CC400"/>
    <s v="AutoPost 875"/>
    <s v="CAD"/>
    <s v="2023-07"/>
    <n v="1379.98"/>
    <m/>
    <n v="1379.98"/>
    <s v="N/A"/>
    <s v=" "/>
  </r>
  <r>
    <s v="GL000876"/>
    <x v="110"/>
    <n v="4010"/>
    <x v="4"/>
    <n v="0"/>
    <n v="4346.96"/>
    <x v="4"/>
    <s v="CC400"/>
    <s v="AutoPost 876"/>
    <s v="CAD"/>
    <s v="2024-11"/>
    <n v="4346.96"/>
    <m/>
    <n v="4346.96"/>
    <s v="N/A"/>
    <s v=" "/>
  </r>
  <r>
    <s v="GL000877"/>
    <x v="563"/>
    <n v="4000"/>
    <x v="0"/>
    <n v="0"/>
    <n v="525.34"/>
    <x v="1"/>
    <s v="CC200"/>
    <s v="AutoPost 877"/>
    <s v="GBP"/>
    <s v="2023-06"/>
    <n v="525.34"/>
    <m/>
    <n v="525.34"/>
    <s v="N/A"/>
    <s v=" "/>
  </r>
  <r>
    <s v="GL000878"/>
    <x v="564"/>
    <n v="5010"/>
    <x v="3"/>
    <n v="275.32"/>
    <n v="0"/>
    <x v="1"/>
    <s v="CC200"/>
    <s v="AutoPost 878"/>
    <s v="USD"/>
    <s v="2023-12"/>
    <n v="-275.32"/>
    <m/>
    <n v="-275.32"/>
    <s v="N/A"/>
    <s v=" "/>
  </r>
  <r>
    <s v="GL000879"/>
    <x v="222"/>
    <n v="6000"/>
    <x v="2"/>
    <n v="1408.29"/>
    <n v="0"/>
    <x v="0"/>
    <s v="CC300"/>
    <s v="AutoPost 879"/>
    <s v="CAD"/>
    <s v="2024-07"/>
    <n v="-1408.29"/>
    <m/>
    <n v="-1408.29"/>
    <s v="N/A"/>
    <s v=" "/>
  </r>
  <r>
    <s v="GL000880"/>
    <x v="565"/>
    <n v="4010"/>
    <x v="4"/>
    <n v="0"/>
    <n v="2640.87"/>
    <x v="2"/>
    <s v="CC500"/>
    <s v="AutoPost 880"/>
    <s v="USD"/>
    <s v="2024-07"/>
    <n v="2640.87"/>
    <m/>
    <n v="2640.87"/>
    <s v="N/A"/>
    <s v=" "/>
  </r>
  <r>
    <s v="GL000881"/>
    <x v="509"/>
    <n v="4000"/>
    <x v="0"/>
    <n v="0"/>
    <n v="2978.56"/>
    <x v="5"/>
    <s v="CC200"/>
    <s v="AutoPost 881"/>
    <s v="GBP"/>
    <s v="2025-04"/>
    <n v="2978.56"/>
    <m/>
    <n v="2978.56"/>
    <s v="N/A"/>
    <s v=" "/>
  </r>
  <r>
    <s v="GL000882"/>
    <x v="7"/>
    <n v="5010"/>
    <x v="3"/>
    <n v="100.56"/>
    <n v="0"/>
    <x v="1"/>
    <s v="CC500"/>
    <s v="AutoPost 882"/>
    <s v="CAD"/>
    <s v="2023-12"/>
    <n v="-100.56"/>
    <m/>
    <n v="-100.56"/>
    <s v="N/A"/>
    <s v=" "/>
  </r>
  <r>
    <s v="GL000883"/>
    <x v="566"/>
    <n v="5010"/>
    <x v="3"/>
    <n v="581.4"/>
    <n v="0"/>
    <x v="2"/>
    <s v="CC400"/>
    <s v="AutoPost 883"/>
    <s v="AUD"/>
    <s v="2024-02"/>
    <n v="-581.4"/>
    <m/>
    <n v="-581.4"/>
    <s v="N/A"/>
    <s v=" "/>
  </r>
  <r>
    <s v="GL000884"/>
    <x v="209"/>
    <n v="6000"/>
    <x v="2"/>
    <n v="176.17"/>
    <n v="0"/>
    <x v="0"/>
    <s v="CC100"/>
    <s v="AutoPost 884"/>
    <s v="USD"/>
    <s v="2023-01"/>
    <n v="-176.17"/>
    <m/>
    <n v="-176.17"/>
    <s v="N/A"/>
    <s v=" "/>
  </r>
  <r>
    <s v="GL000885"/>
    <x v="324"/>
    <n v="5010"/>
    <x v="3"/>
    <n v="482.67"/>
    <n v="0"/>
    <x v="2"/>
    <s v="CC100"/>
    <s v="AutoPost 885"/>
    <s v="USD"/>
    <s v="2023-02"/>
    <n v="-482.67"/>
    <m/>
    <n v="-482.67"/>
    <s v="N/A"/>
    <s v=" "/>
  </r>
  <r>
    <s v="GL000886"/>
    <x v="96"/>
    <n v="6000"/>
    <x v="2"/>
    <n v="1072.33"/>
    <n v="0"/>
    <x v="5"/>
    <s v="CC100"/>
    <s v="AutoPost 886"/>
    <s v="GBP"/>
    <s v="2024-10"/>
    <n v="-1072.33"/>
    <m/>
    <n v="-1072.33"/>
    <s v="N/A"/>
    <s v=" "/>
  </r>
  <r>
    <s v="GL000887"/>
    <x v="133"/>
    <n v="4000"/>
    <x v="0"/>
    <n v="0"/>
    <n v="1700.49"/>
    <x v="4"/>
    <s v="CC100"/>
    <s v="AutoPost 887"/>
    <s v="EUR"/>
    <s v="2024-06"/>
    <n v="1700.49"/>
    <m/>
    <n v="1700.49"/>
    <s v="N/A"/>
    <s v=" "/>
  </r>
  <r>
    <s v="GL000888"/>
    <x v="316"/>
    <n v="5010"/>
    <x v="3"/>
    <n v="1915.1"/>
    <n v="0"/>
    <x v="2"/>
    <s v="CC100"/>
    <s v="AutoPost 888"/>
    <s v="EUR"/>
    <s v="2024-10"/>
    <n v="-1915.1"/>
    <m/>
    <n v="-1915.1"/>
    <s v="N/A"/>
    <s v=" "/>
  </r>
  <r>
    <s v="GL000889"/>
    <x v="499"/>
    <n v="5000"/>
    <x v="1"/>
    <n v="1632.24"/>
    <n v="0"/>
    <x v="5"/>
    <s v="CC400"/>
    <s v="AutoPost 889"/>
    <s v="CAD"/>
    <s v="2025-06"/>
    <n v="-1632.24"/>
    <m/>
    <n v="-1632.24"/>
    <s v="N/A"/>
    <s v=" "/>
  </r>
  <r>
    <s v="GL000890"/>
    <x v="314"/>
    <n v="4010"/>
    <x v="4"/>
    <n v="0"/>
    <n v="2334.77"/>
    <x v="1"/>
    <s v="CC100"/>
    <s v="AutoPost 890"/>
    <s v="GBP"/>
    <s v="2025-03"/>
    <n v="2334.77"/>
    <m/>
    <n v="2334.77"/>
    <s v="N/A"/>
    <s v=" "/>
  </r>
  <r>
    <s v="GL000891"/>
    <x v="132"/>
    <n v="4000"/>
    <x v="0"/>
    <n v="0"/>
    <n v="2655.46"/>
    <x v="0"/>
    <s v="CC500"/>
    <s v="AutoPost 891"/>
    <s v="CAD"/>
    <s v="2023-05"/>
    <n v="2655.46"/>
    <m/>
    <n v="2655.46"/>
    <s v="N/A"/>
    <s v=" "/>
  </r>
  <r>
    <s v="GL000892"/>
    <x v="567"/>
    <n v="4000"/>
    <x v="0"/>
    <n v="0"/>
    <n v="4082.31"/>
    <x v="2"/>
    <s v="CC200"/>
    <s v="AutoPost 892"/>
    <s v="USD"/>
    <s v="2023-12"/>
    <n v="4082.31"/>
    <m/>
    <n v="4082.31"/>
    <s v="N/A"/>
    <s v=" "/>
  </r>
  <r>
    <s v="GL000893"/>
    <x v="199"/>
    <n v="5010"/>
    <x v="3"/>
    <n v="1204.8499999999999"/>
    <n v="0"/>
    <x v="2"/>
    <s v="CC300"/>
    <s v="AutoPost 893"/>
    <s v="CAD"/>
    <s v="2023-12"/>
    <n v="-1204.8499999999999"/>
    <m/>
    <n v="-1204.8499999999999"/>
    <s v="N/A"/>
    <s v=" "/>
  </r>
  <r>
    <s v="GL000894"/>
    <x v="40"/>
    <n v="4000"/>
    <x v="0"/>
    <n v="0"/>
    <n v="4496.12"/>
    <x v="1"/>
    <s v="CC300"/>
    <s v="AutoPost 894"/>
    <s v="EUR"/>
    <s v="2024-12"/>
    <n v="4496.12"/>
    <m/>
    <n v="4496.12"/>
    <s v="N/A"/>
    <s v=" "/>
  </r>
  <r>
    <s v="GL000895"/>
    <x v="258"/>
    <n v="4010"/>
    <x v="4"/>
    <n v="0"/>
    <n v="2776.15"/>
    <x v="2"/>
    <s v="CC100"/>
    <s v="AutoPost 895"/>
    <s v="EUR"/>
    <s v="2025-01"/>
    <n v="2776.15"/>
    <m/>
    <n v="2776.15"/>
    <s v="N/A"/>
    <s v=" "/>
  </r>
  <r>
    <s v="GL000896"/>
    <x v="130"/>
    <n v="4010"/>
    <x v="4"/>
    <n v="0"/>
    <n v="3598.62"/>
    <x v="4"/>
    <s v="CC400"/>
    <s v="AutoPost 896"/>
    <s v="EUR"/>
    <s v="2023-04"/>
    <n v="3598.62"/>
    <m/>
    <n v="3598.62"/>
    <s v="N/A"/>
    <s v=" "/>
  </r>
  <r>
    <s v="GL000897"/>
    <x v="150"/>
    <n v="5010"/>
    <x v="3"/>
    <n v="1433.77"/>
    <n v="0"/>
    <x v="0"/>
    <s v="CC500"/>
    <s v="AutoPost 897"/>
    <s v="EUR"/>
    <s v="2024-07"/>
    <n v="-1433.77"/>
    <m/>
    <n v="-1433.77"/>
    <s v="N/A"/>
    <s v=" "/>
  </r>
  <r>
    <s v="GL000898"/>
    <x v="400"/>
    <n v="5010"/>
    <x v="3"/>
    <n v="244.58"/>
    <n v="0"/>
    <x v="0"/>
    <s v="CC400"/>
    <s v="AutoPost 898"/>
    <s v="AUD"/>
    <s v="2024-05"/>
    <n v="-244.58"/>
    <m/>
    <n v="-244.58"/>
    <s v="N/A"/>
    <s v=" "/>
  </r>
  <r>
    <s v="GL000899"/>
    <x v="311"/>
    <n v="6000"/>
    <x v="2"/>
    <n v="958.53"/>
    <n v="0"/>
    <x v="5"/>
    <s v="CC300"/>
    <s v="AutoPost 899"/>
    <s v="AUD"/>
    <s v="2023-01"/>
    <n v="-958.53"/>
    <m/>
    <n v="-958.53"/>
    <s v="N/A"/>
    <s v=" "/>
  </r>
  <r>
    <s v="GL000900"/>
    <x v="223"/>
    <n v="6000"/>
    <x v="2"/>
    <n v="1312.28"/>
    <n v="0"/>
    <x v="2"/>
    <s v="CC500"/>
    <s v="AutoPost 900"/>
    <s v="GBP"/>
    <s v="2023-07"/>
    <n v="-1312.28"/>
    <m/>
    <n v="-1312.28"/>
    <s v="N/A"/>
    <s v=" "/>
  </r>
  <r>
    <s v="GL000901"/>
    <x v="178"/>
    <n v="4000"/>
    <x v="0"/>
    <n v="0"/>
    <n v="4549.33"/>
    <x v="5"/>
    <s v="CC500"/>
    <s v="AutoPost 901"/>
    <s v="GBP"/>
    <s v="2023-03"/>
    <n v="4549.33"/>
    <m/>
    <n v="4549.33"/>
    <s v="N/A"/>
    <s v=" "/>
  </r>
  <r>
    <s v="GL000902"/>
    <x v="568"/>
    <n v="6000"/>
    <x v="2"/>
    <n v="1965.36"/>
    <n v="0"/>
    <x v="2"/>
    <s v="CC200"/>
    <s v="AutoPost 902"/>
    <s v="CAD"/>
    <s v="2024-12"/>
    <n v="-1965.36"/>
    <m/>
    <n v="-1965.36"/>
    <s v="N/A"/>
    <s v=" "/>
  </r>
  <r>
    <s v="GL000903"/>
    <x v="186"/>
    <n v="5010"/>
    <x v="3"/>
    <n v="769.49"/>
    <n v="0"/>
    <x v="2"/>
    <s v="CC100"/>
    <s v="AutoPost 903"/>
    <s v="GBP"/>
    <s v="2023-08"/>
    <n v="-769.49"/>
    <m/>
    <n v="-769.49"/>
    <s v="N/A"/>
    <s v=" "/>
  </r>
  <r>
    <s v="GL000904"/>
    <x v="569"/>
    <n v="5000"/>
    <x v="1"/>
    <n v="743.08"/>
    <n v="0"/>
    <x v="4"/>
    <s v="CC400"/>
    <s v="AutoPost 904"/>
    <s v="GBP"/>
    <s v="2024-11"/>
    <n v="-743.08"/>
    <m/>
    <n v="-743.08"/>
    <s v="N/A"/>
    <s v=" "/>
  </r>
  <r>
    <s v="GL000905"/>
    <x v="244"/>
    <n v="6000"/>
    <x v="2"/>
    <n v="586.1"/>
    <n v="0"/>
    <x v="5"/>
    <s v="CC100"/>
    <s v="AutoPost 905"/>
    <s v="CAD"/>
    <s v="2023-08"/>
    <n v="-586.1"/>
    <m/>
    <n v="-586.1"/>
    <s v="N/A"/>
    <s v=" "/>
  </r>
  <r>
    <s v="GL000906"/>
    <x v="570"/>
    <n v="6000"/>
    <x v="2"/>
    <n v="1912.35"/>
    <n v="0"/>
    <x v="0"/>
    <s v="CC500"/>
    <s v="AutoPost 906"/>
    <s v="USD"/>
    <s v="2025-06"/>
    <n v="-1912.35"/>
    <m/>
    <n v="-1912.35"/>
    <s v="N/A"/>
    <s v=" "/>
  </r>
  <r>
    <s v="GL000907"/>
    <x v="571"/>
    <n v="6000"/>
    <x v="2"/>
    <n v="819.96"/>
    <n v="0"/>
    <x v="3"/>
    <s v="CC300"/>
    <s v="AutoPost 907"/>
    <s v="USD"/>
    <s v="2023-05"/>
    <n v="-819.96"/>
    <m/>
    <n v="-819.96"/>
    <s v="N/A"/>
    <s v=" "/>
  </r>
  <r>
    <s v="GL000908"/>
    <x v="314"/>
    <n v="5000"/>
    <x v="1"/>
    <n v="1880.1"/>
    <n v="0"/>
    <x v="2"/>
    <s v="CC300"/>
    <s v="AutoPost 908"/>
    <s v="AUD"/>
    <s v="2025-03"/>
    <n v="-1880.1"/>
    <m/>
    <n v="-1880.1"/>
    <s v="N/A"/>
    <s v=" "/>
  </r>
  <r>
    <s v="GL000909"/>
    <x v="509"/>
    <n v="6000"/>
    <x v="2"/>
    <n v="1255.8499999999999"/>
    <n v="0"/>
    <x v="2"/>
    <s v="CC100"/>
    <s v="AutoPost 909"/>
    <s v="EUR"/>
    <s v="2025-04"/>
    <n v="-1255.8499999999999"/>
    <m/>
    <n v="-1255.8499999999999"/>
    <s v="N/A"/>
    <s v=" "/>
  </r>
  <r>
    <s v="GL000910"/>
    <x v="181"/>
    <n v="4010"/>
    <x v="4"/>
    <n v="0"/>
    <n v="3738.97"/>
    <x v="5"/>
    <s v="CC200"/>
    <s v="AutoPost 910"/>
    <s v="CAD"/>
    <s v="2023-01"/>
    <n v="3738.97"/>
    <m/>
    <n v="3738.97"/>
    <s v="N/A"/>
    <s v=" "/>
  </r>
  <r>
    <s v="GL000911"/>
    <x v="326"/>
    <n v="5000"/>
    <x v="1"/>
    <n v="50.19"/>
    <n v="0"/>
    <x v="4"/>
    <s v="CC300"/>
    <s v="AutoPost 911"/>
    <s v="EUR"/>
    <s v="2025-05"/>
    <n v="-50.19"/>
    <m/>
    <n v="-50.19"/>
    <s v="N/A"/>
    <s v=" "/>
  </r>
  <r>
    <s v="GL000912"/>
    <x v="179"/>
    <n v="5010"/>
    <x v="3"/>
    <n v="608.52"/>
    <n v="0"/>
    <x v="0"/>
    <s v="CC300"/>
    <s v="AutoPost 912"/>
    <s v="EUR"/>
    <s v="2024-09"/>
    <n v="-608.52"/>
    <m/>
    <n v="-608.52"/>
    <s v="N/A"/>
    <s v=" "/>
  </r>
  <r>
    <s v="GL000913"/>
    <x v="572"/>
    <n v="5010"/>
    <x v="3"/>
    <n v="287.52"/>
    <n v="0"/>
    <x v="4"/>
    <s v="CC100"/>
    <s v="AutoPost 913"/>
    <s v="USD"/>
    <s v="2024-09"/>
    <n v="-287.52"/>
    <m/>
    <n v="-287.52"/>
    <s v="N/A"/>
    <s v=" "/>
  </r>
  <r>
    <s v="GL000914"/>
    <x v="567"/>
    <n v="6000"/>
    <x v="2"/>
    <n v="1749.98"/>
    <n v="0"/>
    <x v="4"/>
    <s v="CC400"/>
    <s v="AutoPost 914"/>
    <s v="CAD"/>
    <s v="2023-12"/>
    <n v="-1749.98"/>
    <m/>
    <n v="-1749.98"/>
    <s v="N/A"/>
    <s v=" "/>
  </r>
  <r>
    <s v="GL000915"/>
    <x v="573"/>
    <n v="5000"/>
    <x v="1"/>
    <n v="221.12"/>
    <n v="0"/>
    <x v="3"/>
    <s v="CC300"/>
    <s v="AutoPost 915"/>
    <s v="AUD"/>
    <s v="2024-12"/>
    <n v="-221.12"/>
    <m/>
    <n v="-221.12"/>
    <s v="N/A"/>
    <s v=" "/>
  </r>
  <r>
    <s v="GL000916"/>
    <x v="421"/>
    <n v="5000"/>
    <x v="1"/>
    <n v="1012.53"/>
    <n v="0"/>
    <x v="1"/>
    <s v="CC400"/>
    <s v="AutoPost 916"/>
    <s v="CAD"/>
    <s v="2024-10"/>
    <n v="-1012.53"/>
    <m/>
    <n v="-1012.53"/>
    <s v="N/A"/>
    <s v=" "/>
  </r>
  <r>
    <s v="GL000917"/>
    <x v="541"/>
    <n v="4010"/>
    <x v="4"/>
    <n v="0"/>
    <n v="542.16999999999996"/>
    <x v="5"/>
    <s v="CC300"/>
    <s v="AutoPost 917"/>
    <s v="GBP"/>
    <s v="2023-07"/>
    <n v="542.16999999999996"/>
    <m/>
    <n v="542.16999999999996"/>
    <s v="N/A"/>
    <s v=" "/>
  </r>
  <r>
    <s v="GL000918"/>
    <x v="185"/>
    <n v="5010"/>
    <x v="3"/>
    <n v="580.21"/>
    <n v="0"/>
    <x v="0"/>
    <s v="CC100"/>
    <s v="AutoPost 918"/>
    <s v="EUR"/>
    <s v="2025-03"/>
    <n v="-580.21"/>
    <m/>
    <n v="-580.21"/>
    <s v="N/A"/>
    <s v=" "/>
  </r>
  <r>
    <s v="GL000919"/>
    <x v="313"/>
    <n v="5010"/>
    <x v="3"/>
    <n v="739.56"/>
    <n v="0"/>
    <x v="4"/>
    <s v="CC400"/>
    <s v="AutoPost 919"/>
    <s v="AUD"/>
    <s v="2023-01"/>
    <n v="-739.56"/>
    <m/>
    <n v="-739.56"/>
    <s v="N/A"/>
    <s v=" "/>
  </r>
  <r>
    <s v="GL000920"/>
    <x v="574"/>
    <n v="5000"/>
    <x v="1"/>
    <n v="1657.23"/>
    <n v="0"/>
    <x v="0"/>
    <s v="CC200"/>
    <s v="AutoPost 920"/>
    <s v="AUD"/>
    <s v="2024-11"/>
    <n v="-1657.23"/>
    <m/>
    <n v="-1657.23"/>
    <s v="N/A"/>
    <s v=" "/>
  </r>
  <r>
    <s v="GL000921"/>
    <x v="575"/>
    <n v="6000"/>
    <x v="2"/>
    <n v="1181.06"/>
    <n v="0"/>
    <x v="0"/>
    <s v="CC400"/>
    <s v="AutoPost 921"/>
    <s v="CAD"/>
    <s v="2024-05"/>
    <n v="-1181.06"/>
    <m/>
    <n v="-1181.06"/>
    <s v="N/A"/>
    <s v=" "/>
  </r>
  <r>
    <s v="GL000922"/>
    <x v="241"/>
    <n v="5010"/>
    <x v="3"/>
    <n v="944.72"/>
    <n v="0"/>
    <x v="2"/>
    <s v="CC100"/>
    <s v="AutoPost 922"/>
    <s v="EUR"/>
    <s v="2024-02"/>
    <n v="-944.72"/>
    <m/>
    <n v="-944.72"/>
    <s v="N/A"/>
    <s v=" "/>
  </r>
  <r>
    <s v="GL000923"/>
    <x v="113"/>
    <n v="4000"/>
    <x v="0"/>
    <n v="0"/>
    <n v="3496.47"/>
    <x v="3"/>
    <s v="CC200"/>
    <s v="AutoPost 923"/>
    <s v="USD"/>
    <s v="2024-02"/>
    <n v="3496.47"/>
    <m/>
    <n v="3496.47"/>
    <s v="N/A"/>
    <s v=" "/>
  </r>
  <r>
    <s v="GL000924"/>
    <x v="576"/>
    <n v="4000"/>
    <x v="0"/>
    <n v="0"/>
    <n v="389.32"/>
    <x v="2"/>
    <s v="CC500"/>
    <s v="AutoPost 924"/>
    <s v="USD"/>
    <s v="2024-03"/>
    <n v="389.32"/>
    <m/>
    <n v="389.32"/>
    <s v="N/A"/>
    <s v=" "/>
  </r>
  <r>
    <s v="GL000925"/>
    <x v="271"/>
    <n v="4010"/>
    <x v="4"/>
    <n v="0"/>
    <n v="2071.73"/>
    <x v="4"/>
    <s v="CC500"/>
    <s v="AutoPost 925"/>
    <s v="GBP"/>
    <s v="2024-02"/>
    <n v="2071.73"/>
    <m/>
    <n v="2071.73"/>
    <s v="N/A"/>
    <s v=" "/>
  </r>
  <r>
    <s v="GL000926"/>
    <x v="121"/>
    <n v="5000"/>
    <x v="1"/>
    <n v="1719.48"/>
    <n v="0"/>
    <x v="1"/>
    <s v="CC200"/>
    <s v="AutoPost 926"/>
    <s v="CAD"/>
    <s v="2024-08"/>
    <n v="-1719.48"/>
    <m/>
    <n v="-1719.48"/>
    <s v="N/A"/>
    <s v=" "/>
  </r>
  <r>
    <s v="GL000927"/>
    <x v="577"/>
    <n v="6000"/>
    <x v="2"/>
    <n v="260.58"/>
    <n v="0"/>
    <x v="3"/>
    <s v="CC400"/>
    <s v="AutoPost 927"/>
    <s v="GBP"/>
    <s v="2025-02"/>
    <n v="-260.58"/>
    <m/>
    <n v="-260.58"/>
    <s v="N/A"/>
    <s v=" "/>
  </r>
  <r>
    <s v="GL000928"/>
    <x v="46"/>
    <n v="5010"/>
    <x v="3"/>
    <n v="79.59"/>
    <n v="0"/>
    <x v="0"/>
    <s v="CC300"/>
    <s v="AutoPost 928"/>
    <s v="USD"/>
    <s v="2023-01"/>
    <n v="-79.59"/>
    <m/>
    <n v="-79.59"/>
    <s v="N/A"/>
    <s v=" "/>
  </r>
  <r>
    <s v="GL000929"/>
    <x v="505"/>
    <n v="4010"/>
    <x v="4"/>
    <n v="0"/>
    <n v="2860.93"/>
    <x v="2"/>
    <s v="CC100"/>
    <s v="AutoPost 929"/>
    <s v="CAD"/>
    <s v="2024-06"/>
    <n v="2860.93"/>
    <m/>
    <n v="2860.93"/>
    <s v="N/A"/>
    <s v=" "/>
  </r>
  <r>
    <s v="GL000930"/>
    <x v="305"/>
    <n v="4010"/>
    <x v="4"/>
    <n v="0"/>
    <n v="4074.77"/>
    <x v="3"/>
    <s v="CC300"/>
    <s v="AutoPost 930"/>
    <s v="EUR"/>
    <s v="2024-08"/>
    <n v="4074.77"/>
    <m/>
    <n v="4074.77"/>
    <s v="N/A"/>
    <s v=" "/>
  </r>
  <r>
    <s v="GL000931"/>
    <x v="578"/>
    <n v="4010"/>
    <x v="4"/>
    <n v="0"/>
    <n v="4702.84"/>
    <x v="4"/>
    <s v="CC200"/>
    <s v="AutoPost 931"/>
    <s v="GBP"/>
    <s v="2025-01"/>
    <n v="4702.84"/>
    <m/>
    <n v="4702.84"/>
    <s v="N/A"/>
    <s v=" "/>
  </r>
  <r>
    <s v="GL000932"/>
    <x v="341"/>
    <n v="5010"/>
    <x v="3"/>
    <n v="920.32"/>
    <n v="0"/>
    <x v="2"/>
    <s v="CC500"/>
    <s v="AutoPost 932"/>
    <s v="EUR"/>
    <s v="2023-11"/>
    <n v="-920.32"/>
    <m/>
    <n v="-920.32"/>
    <s v="N/A"/>
    <s v=" "/>
  </r>
  <r>
    <s v="GL000933"/>
    <x v="328"/>
    <n v="4010"/>
    <x v="4"/>
    <n v="0"/>
    <n v="1564.55"/>
    <x v="2"/>
    <s v="CC100"/>
    <s v="AutoPost 933"/>
    <s v="CAD"/>
    <s v="2023-08"/>
    <n v="1564.55"/>
    <m/>
    <n v="1564.55"/>
    <s v="N/A"/>
    <s v=" "/>
  </r>
  <r>
    <s v="GL000934"/>
    <x v="35"/>
    <n v="4010"/>
    <x v="4"/>
    <n v="0"/>
    <n v="2984.56"/>
    <x v="5"/>
    <s v="CC400"/>
    <s v="AutoPost 934"/>
    <s v="AUD"/>
    <s v="2024-05"/>
    <n v="2984.56"/>
    <m/>
    <n v="2984.56"/>
    <s v="N/A"/>
    <s v=" "/>
  </r>
  <r>
    <s v="GL000935"/>
    <x v="579"/>
    <n v="4010"/>
    <x v="4"/>
    <n v="0"/>
    <n v="4352.6000000000004"/>
    <x v="1"/>
    <s v="CC100"/>
    <s v="AutoPost 935"/>
    <s v="CAD"/>
    <s v="2024-04"/>
    <n v="4352.6000000000004"/>
    <m/>
    <n v="4352.6000000000004"/>
    <s v="N/A"/>
    <s v=" "/>
  </r>
  <r>
    <s v="GL000936"/>
    <x v="573"/>
    <n v="4010"/>
    <x v="4"/>
    <n v="0"/>
    <n v="1861.57"/>
    <x v="5"/>
    <s v="CC500"/>
    <s v="AutoPost 936"/>
    <s v="USD"/>
    <s v="2024-12"/>
    <n v="1861.57"/>
    <m/>
    <n v="1861.57"/>
    <s v="N/A"/>
    <s v=" "/>
  </r>
  <r>
    <s v="GL000937"/>
    <x v="23"/>
    <n v="4010"/>
    <x v="4"/>
    <n v="0"/>
    <n v="1431.79"/>
    <x v="1"/>
    <s v="CC300"/>
    <s v="AutoPost 937"/>
    <s v="CAD"/>
    <s v="2023-03"/>
    <n v="1431.79"/>
    <m/>
    <n v="1431.79"/>
    <s v="N/A"/>
    <s v=" "/>
  </r>
  <r>
    <s v="GL000938"/>
    <x v="73"/>
    <n v="4010"/>
    <x v="4"/>
    <n v="0"/>
    <n v="3515.1"/>
    <x v="1"/>
    <s v="CC500"/>
    <s v="AutoPost 938"/>
    <s v="AUD"/>
    <s v="2025-04"/>
    <n v="3515.1"/>
    <m/>
    <n v="3515.1"/>
    <s v="N/A"/>
    <s v=" "/>
  </r>
  <r>
    <s v="GL000939"/>
    <x v="141"/>
    <n v="5000"/>
    <x v="1"/>
    <n v="547.15"/>
    <n v="0"/>
    <x v="0"/>
    <s v="CC500"/>
    <s v="AutoPost 939"/>
    <s v="EUR"/>
    <s v="2023-07"/>
    <n v="-547.15"/>
    <m/>
    <n v="-547.15"/>
    <s v="N/A"/>
    <s v=" "/>
  </r>
  <r>
    <s v="GL000940"/>
    <x v="580"/>
    <n v="4000"/>
    <x v="0"/>
    <n v="0"/>
    <n v="2941.46"/>
    <x v="1"/>
    <s v="CC100"/>
    <s v="AutoPost 940"/>
    <s v="AUD"/>
    <s v="2023-11"/>
    <n v="2941.46"/>
    <m/>
    <n v="2941.46"/>
    <s v="N/A"/>
    <s v=" "/>
  </r>
  <r>
    <s v="GL000941"/>
    <x v="53"/>
    <n v="6000"/>
    <x v="2"/>
    <n v="1900.12"/>
    <n v="0"/>
    <x v="5"/>
    <s v="CC300"/>
    <s v="AutoPost 941"/>
    <s v="USD"/>
    <s v="2024-04"/>
    <n v="-1900.12"/>
    <m/>
    <n v="-1900.12"/>
    <s v="N/A"/>
    <s v=" "/>
  </r>
  <r>
    <s v="GL000942"/>
    <x v="444"/>
    <n v="4010"/>
    <x v="4"/>
    <n v="0"/>
    <n v="1951.17"/>
    <x v="0"/>
    <s v="CC400"/>
    <s v="AutoPost 942"/>
    <s v="AUD"/>
    <s v="2023-03"/>
    <n v="1951.17"/>
    <m/>
    <n v="1951.17"/>
    <s v="N/A"/>
    <s v=" "/>
  </r>
  <r>
    <s v="GL000943"/>
    <x v="310"/>
    <n v="5000"/>
    <x v="1"/>
    <n v="1649.25"/>
    <n v="0"/>
    <x v="4"/>
    <s v="CC200"/>
    <s v="AutoPost 943"/>
    <s v="CAD"/>
    <s v="2025-04"/>
    <n v="-1649.25"/>
    <m/>
    <n v="-1649.25"/>
    <s v="N/A"/>
    <s v=" "/>
  </r>
  <r>
    <s v="GL000944"/>
    <x v="581"/>
    <n v="6000"/>
    <x v="2"/>
    <n v="770.2"/>
    <n v="0"/>
    <x v="2"/>
    <s v="CC200"/>
    <s v="AutoPost 944"/>
    <s v="AUD"/>
    <s v="2024-12"/>
    <n v="-770.2"/>
    <m/>
    <n v="-770.2"/>
    <s v="N/A"/>
    <s v=" "/>
  </r>
  <r>
    <s v="GL000945"/>
    <x v="575"/>
    <n v="6000"/>
    <x v="2"/>
    <n v="202.11"/>
    <n v="0"/>
    <x v="1"/>
    <s v="CC300"/>
    <s v="AutoPost 945"/>
    <s v="AUD"/>
    <s v="2024-05"/>
    <n v="-202.11"/>
    <m/>
    <n v="-202.11"/>
    <s v="N/A"/>
    <s v=" "/>
  </r>
  <r>
    <s v="GL000946"/>
    <x v="70"/>
    <n v="6000"/>
    <x v="2"/>
    <n v="1844.72"/>
    <n v="0"/>
    <x v="3"/>
    <s v="CC500"/>
    <s v="AutoPost 946"/>
    <s v="CAD"/>
    <s v="2024-02"/>
    <n v="-1844.72"/>
    <m/>
    <n v="-1844.72"/>
    <s v="N/A"/>
    <s v=" "/>
  </r>
  <r>
    <s v="GL000947"/>
    <x v="582"/>
    <n v="4010"/>
    <x v="4"/>
    <n v="0"/>
    <n v="1995.59"/>
    <x v="4"/>
    <s v="CC300"/>
    <s v="AutoPost 947"/>
    <s v="EUR"/>
    <s v="2023-01"/>
    <n v="1995.59"/>
    <m/>
    <n v="1995.59"/>
    <s v="N/A"/>
    <s v=" "/>
  </r>
  <r>
    <s v="GL000948"/>
    <x v="583"/>
    <n v="5000"/>
    <x v="1"/>
    <n v="1875.24"/>
    <n v="0"/>
    <x v="1"/>
    <s v="CC500"/>
    <s v="AutoPost 948"/>
    <s v="USD"/>
    <s v="2023-09"/>
    <n v="-1875.24"/>
    <m/>
    <n v="-1875.24"/>
    <s v="N/A"/>
    <s v=" "/>
  </r>
  <r>
    <s v="GL000949"/>
    <x v="252"/>
    <n v="5010"/>
    <x v="3"/>
    <n v="80.59"/>
    <n v="0"/>
    <x v="0"/>
    <s v="CC400"/>
    <s v="AutoPost 949"/>
    <s v="GBP"/>
    <s v="2025-01"/>
    <n v="-80.59"/>
    <m/>
    <n v="-80.59"/>
    <s v="N/A"/>
    <s v=" "/>
  </r>
  <r>
    <s v="GL000950"/>
    <x v="584"/>
    <n v="5010"/>
    <x v="3"/>
    <n v="445.11"/>
    <n v="0"/>
    <x v="2"/>
    <s v="CC300"/>
    <s v="AutoPost 950"/>
    <s v="AUD"/>
    <s v="2023-07"/>
    <n v="-445.11"/>
    <m/>
    <n v="-445.11"/>
    <s v="N/A"/>
    <s v=" "/>
  </r>
  <r>
    <s v="GL000951"/>
    <x v="88"/>
    <n v="4010"/>
    <x v="4"/>
    <n v="0"/>
    <n v="2882.01"/>
    <x v="3"/>
    <s v="CC500"/>
    <s v="AutoPost 951"/>
    <s v="USD"/>
    <s v="2024-05"/>
    <n v="2882.01"/>
    <m/>
    <n v="2882.01"/>
    <s v="N/A"/>
    <s v=" "/>
  </r>
  <r>
    <s v="GL000952"/>
    <x v="585"/>
    <n v="5000"/>
    <x v="1"/>
    <n v="788.01"/>
    <n v="0"/>
    <x v="1"/>
    <s v="CC200"/>
    <s v="AutoPost 952"/>
    <s v="GBP"/>
    <s v="2023-04"/>
    <n v="-788.01"/>
    <m/>
    <n v="-788.01"/>
    <s v="N/A"/>
    <s v=" "/>
  </r>
  <r>
    <s v="GL000953"/>
    <x v="586"/>
    <n v="4010"/>
    <x v="4"/>
    <n v="0"/>
    <n v="1052.22"/>
    <x v="2"/>
    <s v="CC200"/>
    <s v="AutoPost 953"/>
    <s v="CAD"/>
    <s v="2023-06"/>
    <n v="1052.22"/>
    <m/>
    <n v="1052.22"/>
    <s v="N/A"/>
    <s v=" "/>
  </r>
  <r>
    <s v="GL000954"/>
    <x v="549"/>
    <n v="4010"/>
    <x v="4"/>
    <n v="0"/>
    <n v="583.57000000000005"/>
    <x v="0"/>
    <s v="CC300"/>
    <s v="AutoPost 954"/>
    <s v="USD"/>
    <s v="2023-04"/>
    <n v="583.57000000000005"/>
    <m/>
    <n v="583.57000000000005"/>
    <s v="N/A"/>
    <s v=" "/>
  </r>
  <r>
    <s v="GL000955"/>
    <x v="587"/>
    <n v="5000"/>
    <x v="1"/>
    <n v="1472.38"/>
    <n v="0"/>
    <x v="1"/>
    <s v="CC300"/>
    <s v="AutoPost 955"/>
    <s v="USD"/>
    <s v="2025-02"/>
    <n v="-1472.38"/>
    <m/>
    <n v="-1472.38"/>
    <s v="N/A"/>
    <s v=" "/>
  </r>
  <r>
    <s v="GL000956"/>
    <x v="41"/>
    <n v="5000"/>
    <x v="1"/>
    <n v="1444.24"/>
    <n v="0"/>
    <x v="4"/>
    <s v="CC300"/>
    <s v="AutoPost 956"/>
    <s v="GBP"/>
    <s v="2023-09"/>
    <n v="-1444.24"/>
    <m/>
    <n v="-1444.24"/>
    <s v="N/A"/>
    <s v=" "/>
  </r>
  <r>
    <s v="GL000957"/>
    <x v="588"/>
    <n v="6000"/>
    <x v="2"/>
    <n v="746.97"/>
    <n v="0"/>
    <x v="5"/>
    <s v="CC100"/>
    <s v="AutoPost 957"/>
    <s v="USD"/>
    <s v="2025-06"/>
    <n v="-746.97"/>
    <m/>
    <n v="-746.97"/>
    <s v="N/A"/>
    <s v=" "/>
  </r>
  <r>
    <s v="GL000958"/>
    <x v="589"/>
    <n v="5010"/>
    <x v="3"/>
    <n v="1912.71"/>
    <n v="0"/>
    <x v="5"/>
    <s v="CC200"/>
    <s v="AutoPost 958"/>
    <s v="AUD"/>
    <s v="2024-07"/>
    <n v="-1912.71"/>
    <m/>
    <n v="-1912.71"/>
    <s v="N/A"/>
    <s v=" "/>
  </r>
  <r>
    <s v="GL000959"/>
    <x v="590"/>
    <n v="6000"/>
    <x v="2"/>
    <n v="1714.13"/>
    <n v="0"/>
    <x v="0"/>
    <s v="CC500"/>
    <s v="AutoPost 959"/>
    <s v="CAD"/>
    <s v="2023-07"/>
    <n v="-1714.13"/>
    <m/>
    <n v="-1714.13"/>
    <s v="N/A"/>
    <s v=" "/>
  </r>
  <r>
    <s v="GL000960"/>
    <x v="72"/>
    <n v="5000"/>
    <x v="1"/>
    <n v="996.13"/>
    <n v="0"/>
    <x v="2"/>
    <s v="CC200"/>
    <s v="AutoPost 960"/>
    <s v="EUR"/>
    <s v="2024-09"/>
    <n v="-996.13"/>
    <m/>
    <n v="-996.13"/>
    <s v="N/A"/>
    <s v=" "/>
  </r>
  <r>
    <s v="GL000961"/>
    <x v="456"/>
    <n v="5000"/>
    <x v="1"/>
    <n v="1735.24"/>
    <n v="0"/>
    <x v="0"/>
    <s v="CC200"/>
    <s v="AutoPost 961"/>
    <s v="CAD"/>
    <s v="2024-08"/>
    <n v="-1735.24"/>
    <m/>
    <n v="-1735.24"/>
    <s v="N/A"/>
    <s v=" "/>
  </r>
  <r>
    <s v="GL000962"/>
    <x v="93"/>
    <n v="6000"/>
    <x v="2"/>
    <n v="1782.36"/>
    <n v="0"/>
    <x v="1"/>
    <s v="CC200"/>
    <s v="AutoPost 962"/>
    <s v="CAD"/>
    <s v="2023-01"/>
    <n v="-1782.36"/>
    <m/>
    <n v="-1782.36"/>
    <s v="N/A"/>
    <s v=" "/>
  </r>
  <r>
    <s v="GL000963"/>
    <x v="350"/>
    <n v="5010"/>
    <x v="3"/>
    <n v="288.13"/>
    <n v="0"/>
    <x v="0"/>
    <s v="CC300"/>
    <s v="AutoPost 963"/>
    <s v="GBP"/>
    <s v="2024-02"/>
    <n v="-288.13"/>
    <m/>
    <n v="-288.13"/>
    <s v="N/A"/>
    <s v=" "/>
  </r>
  <r>
    <s v="GL000964"/>
    <x v="546"/>
    <n v="6000"/>
    <x v="2"/>
    <n v="760.63"/>
    <n v="0"/>
    <x v="4"/>
    <s v="CC100"/>
    <s v="AutoPost 964"/>
    <s v="EUR"/>
    <s v="2024-05"/>
    <n v="-760.63"/>
    <m/>
    <n v="-760.63"/>
    <s v="N/A"/>
    <s v=" "/>
  </r>
  <r>
    <s v="GL000965"/>
    <x v="591"/>
    <n v="4010"/>
    <x v="4"/>
    <n v="0"/>
    <n v="4555.41"/>
    <x v="5"/>
    <s v="CC200"/>
    <s v="AutoPost 965"/>
    <s v="GBP"/>
    <s v="2023-06"/>
    <n v="4555.41"/>
    <m/>
    <n v="4555.41"/>
    <s v="N/A"/>
    <s v=" "/>
  </r>
  <r>
    <s v="GL000966"/>
    <x v="592"/>
    <n v="4000"/>
    <x v="0"/>
    <n v="0"/>
    <n v="1864.27"/>
    <x v="1"/>
    <s v="CC500"/>
    <s v="AutoPost 966"/>
    <s v="USD"/>
    <s v="2023-05"/>
    <n v="1864.27"/>
    <m/>
    <n v="1864.27"/>
    <s v="N/A"/>
    <s v=" "/>
  </r>
  <r>
    <s v="GL000967"/>
    <x v="71"/>
    <n v="4010"/>
    <x v="4"/>
    <n v="0"/>
    <n v="705.16"/>
    <x v="2"/>
    <s v="CC200"/>
    <s v="AutoPost 967"/>
    <s v="USD"/>
    <s v="2025-02"/>
    <n v="705.16"/>
    <m/>
    <n v="705.16"/>
    <s v="N/A"/>
    <s v=" "/>
  </r>
  <r>
    <s v="GL000968"/>
    <x v="232"/>
    <n v="4000"/>
    <x v="0"/>
    <n v="0"/>
    <n v="2558.2800000000002"/>
    <x v="1"/>
    <s v="CC500"/>
    <s v="AutoPost 968"/>
    <s v="CAD"/>
    <s v="2023-07"/>
    <n v="2558.2800000000002"/>
    <m/>
    <n v="2558.2800000000002"/>
    <s v="N/A"/>
    <s v=" "/>
  </r>
  <r>
    <s v="GL000969"/>
    <x v="582"/>
    <n v="4010"/>
    <x v="4"/>
    <n v="0"/>
    <n v="583.33000000000004"/>
    <x v="3"/>
    <s v="CC300"/>
    <s v="AutoPost 969"/>
    <s v="AUD"/>
    <s v="2023-01"/>
    <n v="583.33000000000004"/>
    <m/>
    <n v="583.33000000000004"/>
    <s v="N/A"/>
    <s v=" "/>
  </r>
  <r>
    <s v="GL000970"/>
    <x v="593"/>
    <n v="4010"/>
    <x v="4"/>
    <n v="0"/>
    <n v="2126.6999999999998"/>
    <x v="1"/>
    <s v="CC400"/>
    <s v="AutoPost 970"/>
    <s v="USD"/>
    <s v="2024-12"/>
    <n v="2126.6999999999998"/>
    <m/>
    <n v="2126.6999999999998"/>
    <s v="N/A"/>
    <s v=" "/>
  </r>
  <r>
    <s v="GL000971"/>
    <x v="594"/>
    <n v="6000"/>
    <x v="2"/>
    <n v="409.25"/>
    <n v="0"/>
    <x v="5"/>
    <s v="CC100"/>
    <s v="AutoPost 971"/>
    <s v="CAD"/>
    <s v="2025-01"/>
    <n v="-409.25"/>
    <m/>
    <n v="-409.25"/>
    <s v="N/A"/>
    <s v=" "/>
  </r>
  <r>
    <s v="GL000972"/>
    <x v="506"/>
    <n v="4010"/>
    <x v="4"/>
    <n v="0"/>
    <n v="546.70000000000005"/>
    <x v="0"/>
    <s v="CC100"/>
    <s v="AutoPost 972"/>
    <s v="EUR"/>
    <s v="2024-04"/>
    <n v="546.70000000000005"/>
    <m/>
    <n v="546.70000000000005"/>
    <s v="N/A"/>
    <s v=" "/>
  </r>
  <r>
    <s v="GL000973"/>
    <x v="16"/>
    <n v="5010"/>
    <x v="3"/>
    <n v="1708.86"/>
    <n v="0"/>
    <x v="1"/>
    <s v="CC200"/>
    <s v="AutoPost 973"/>
    <s v="CAD"/>
    <s v="2025-03"/>
    <n v="-1708.86"/>
    <m/>
    <n v="-1708.86"/>
    <s v="N/A"/>
    <s v=" "/>
  </r>
  <r>
    <s v="GL000974"/>
    <x v="595"/>
    <n v="5000"/>
    <x v="1"/>
    <n v="1155.1300000000001"/>
    <n v="0"/>
    <x v="5"/>
    <s v="CC400"/>
    <s v="AutoPost 974"/>
    <s v="GBP"/>
    <s v="2023-07"/>
    <n v="-1155.1300000000001"/>
    <m/>
    <n v="-1155.1300000000001"/>
    <s v="N/A"/>
    <s v=" "/>
  </r>
  <r>
    <s v="GL000975"/>
    <x v="596"/>
    <n v="5010"/>
    <x v="3"/>
    <n v="906.36"/>
    <n v="0"/>
    <x v="2"/>
    <s v="CC300"/>
    <s v="AutoPost 975"/>
    <s v="AUD"/>
    <s v="2024-10"/>
    <n v="-906.36"/>
    <m/>
    <n v="-906.36"/>
    <s v="N/A"/>
    <s v=" "/>
  </r>
  <r>
    <s v="GL000976"/>
    <x v="312"/>
    <n v="4000"/>
    <x v="0"/>
    <n v="0"/>
    <n v="1026.19"/>
    <x v="3"/>
    <s v="CC300"/>
    <s v="AutoPost 976"/>
    <s v="AUD"/>
    <s v="2024-02"/>
    <n v="1026.19"/>
    <m/>
    <n v="1026.19"/>
    <s v="N/A"/>
    <s v=" "/>
  </r>
  <r>
    <s v="GL000977"/>
    <x v="502"/>
    <n v="5010"/>
    <x v="3"/>
    <n v="1571.91"/>
    <n v="0"/>
    <x v="2"/>
    <s v="CC100"/>
    <s v="AutoPost 977"/>
    <s v="CAD"/>
    <s v="2024-09"/>
    <n v="-1571.91"/>
    <m/>
    <n v="-1571.91"/>
    <s v="N/A"/>
    <s v=" "/>
  </r>
  <r>
    <s v="GL000978"/>
    <x v="77"/>
    <n v="4000"/>
    <x v="0"/>
    <n v="0"/>
    <n v="504.44"/>
    <x v="5"/>
    <s v="CC300"/>
    <s v="AutoPost 978"/>
    <s v="USD"/>
    <s v="2025-05"/>
    <n v="504.44"/>
    <m/>
    <n v="504.44"/>
    <s v="N/A"/>
    <s v=" "/>
  </r>
  <r>
    <s v="GL000979"/>
    <x v="336"/>
    <n v="4000"/>
    <x v="0"/>
    <n v="0"/>
    <n v="2486.2199999999998"/>
    <x v="2"/>
    <s v="CC100"/>
    <s v="AutoPost 979"/>
    <s v="GBP"/>
    <s v="2025-01"/>
    <n v="2486.2199999999998"/>
    <m/>
    <n v="2486.2199999999998"/>
    <s v="N/A"/>
    <s v=" "/>
  </r>
  <r>
    <s v="GL000980"/>
    <x v="147"/>
    <n v="5010"/>
    <x v="3"/>
    <n v="397.17"/>
    <n v="0"/>
    <x v="4"/>
    <s v="CC200"/>
    <s v="AutoPost 980"/>
    <s v="EUR"/>
    <s v="2025-02"/>
    <n v="-397.17"/>
    <m/>
    <n v="-397.17"/>
    <s v="N/A"/>
    <s v=" "/>
  </r>
  <r>
    <s v="GL000981"/>
    <x v="210"/>
    <n v="5010"/>
    <x v="3"/>
    <n v="1558.38"/>
    <n v="0"/>
    <x v="4"/>
    <s v="CC200"/>
    <s v="AutoPost 981"/>
    <s v="GBP"/>
    <s v="2024-08"/>
    <n v="-1558.38"/>
    <m/>
    <n v="-1558.38"/>
    <s v="N/A"/>
    <s v=" "/>
  </r>
  <r>
    <s v="GL000982"/>
    <x v="564"/>
    <n v="4000"/>
    <x v="0"/>
    <n v="0"/>
    <n v="1902.31"/>
    <x v="3"/>
    <s v="CC400"/>
    <s v="AutoPost 982"/>
    <s v="USD"/>
    <s v="2023-12"/>
    <n v="1902.31"/>
    <m/>
    <n v="1902.31"/>
    <s v="N/A"/>
    <s v=" "/>
  </r>
  <r>
    <s v="GL000983"/>
    <x v="574"/>
    <n v="6000"/>
    <x v="2"/>
    <n v="330.31"/>
    <n v="0"/>
    <x v="3"/>
    <s v="CC400"/>
    <s v="AutoPost 983"/>
    <s v="EUR"/>
    <s v="2024-11"/>
    <n v="-330.31"/>
    <m/>
    <n v="-330.31"/>
    <s v="N/A"/>
    <s v=" "/>
  </r>
  <r>
    <s v="GL000984"/>
    <x v="597"/>
    <n v="4010"/>
    <x v="4"/>
    <n v="0"/>
    <n v="369.23"/>
    <x v="5"/>
    <s v="CC300"/>
    <s v="AutoPost 984"/>
    <s v="AUD"/>
    <s v="2024-07"/>
    <n v="369.23"/>
    <m/>
    <n v="369.23"/>
    <s v="N/A"/>
    <s v=" "/>
  </r>
  <r>
    <s v="GL000985"/>
    <x v="598"/>
    <n v="4010"/>
    <x v="4"/>
    <n v="0"/>
    <n v="2516.86"/>
    <x v="1"/>
    <s v="CC200"/>
    <s v="AutoPost 985"/>
    <s v="EUR"/>
    <s v="2023-07"/>
    <n v="2516.86"/>
    <m/>
    <n v="2516.86"/>
    <s v="N/A"/>
    <s v=" "/>
  </r>
  <r>
    <s v="GL000986"/>
    <x v="554"/>
    <n v="4010"/>
    <x v="4"/>
    <n v="0"/>
    <n v="2267.1999999999998"/>
    <x v="4"/>
    <s v="CC300"/>
    <s v="AutoPost 986"/>
    <s v="AUD"/>
    <s v="2025-04"/>
    <n v="2267.1999999999998"/>
    <m/>
    <n v="2267.1999999999998"/>
    <s v="N/A"/>
    <s v=" "/>
  </r>
  <r>
    <s v="GL000987"/>
    <x v="96"/>
    <n v="5000"/>
    <x v="1"/>
    <n v="270.42"/>
    <n v="0"/>
    <x v="2"/>
    <s v="CC500"/>
    <s v="AutoPost 987"/>
    <s v="CAD"/>
    <s v="2024-10"/>
    <n v="-270.42"/>
    <m/>
    <n v="-270.42"/>
    <s v="N/A"/>
    <s v=" "/>
  </r>
  <r>
    <s v="GL000988"/>
    <x v="426"/>
    <n v="4000"/>
    <x v="0"/>
    <n v="0"/>
    <n v="1807.47"/>
    <x v="4"/>
    <s v="CC200"/>
    <s v="AutoPost 988"/>
    <s v="USD"/>
    <s v="2024-10"/>
    <n v="1807.47"/>
    <m/>
    <n v="1807.47"/>
    <s v="N/A"/>
    <s v=" "/>
  </r>
  <r>
    <s v="GL000989"/>
    <x v="193"/>
    <n v="5000"/>
    <x v="1"/>
    <n v="1404.46"/>
    <n v="0"/>
    <x v="2"/>
    <s v="CC300"/>
    <s v="AutoPost 989"/>
    <s v="CAD"/>
    <s v="2025-03"/>
    <n v="-1404.46"/>
    <m/>
    <n v="-1404.46"/>
    <s v="N/A"/>
    <s v=" "/>
  </r>
  <r>
    <s v="GL000990"/>
    <x v="94"/>
    <n v="6000"/>
    <x v="2"/>
    <n v="1628.38"/>
    <n v="0"/>
    <x v="5"/>
    <s v="CC500"/>
    <s v="AutoPost 990"/>
    <s v="CAD"/>
    <s v="2025-01"/>
    <n v="-1628.38"/>
    <m/>
    <n v="-1628.38"/>
    <s v="N/A"/>
    <s v=" "/>
  </r>
  <r>
    <s v="GL000991"/>
    <x v="380"/>
    <n v="5010"/>
    <x v="3"/>
    <n v="1593.21"/>
    <n v="0"/>
    <x v="1"/>
    <s v="CC200"/>
    <s v="AutoPost 991"/>
    <s v="EUR"/>
    <s v="2023-07"/>
    <n v="-1593.21"/>
    <m/>
    <n v="-1593.21"/>
    <s v="N/A"/>
    <s v=" "/>
  </r>
  <r>
    <s v="GL000992"/>
    <x v="84"/>
    <n v="4000"/>
    <x v="0"/>
    <n v="0"/>
    <n v="3100.79"/>
    <x v="4"/>
    <s v="CC200"/>
    <s v="AutoPost 992"/>
    <s v="CAD"/>
    <s v="2023-12"/>
    <n v="3100.79"/>
    <m/>
    <n v="3100.79"/>
    <s v="N/A"/>
    <s v=" "/>
  </r>
  <r>
    <s v="GL000993"/>
    <x v="599"/>
    <n v="5000"/>
    <x v="1"/>
    <n v="759.38"/>
    <n v="0"/>
    <x v="0"/>
    <s v="CC100"/>
    <s v="AutoPost 993"/>
    <s v="AUD"/>
    <s v="2023-07"/>
    <n v="-759.38"/>
    <m/>
    <n v="-759.38"/>
    <s v="N/A"/>
    <s v=" "/>
  </r>
  <r>
    <s v="GL000994"/>
    <x v="600"/>
    <n v="6000"/>
    <x v="2"/>
    <n v="818.52"/>
    <n v="0"/>
    <x v="0"/>
    <s v="CC500"/>
    <s v="AutoPost 994"/>
    <s v="GBP"/>
    <s v="2024-12"/>
    <n v="-818.52"/>
    <m/>
    <n v="-818.52"/>
    <s v="N/A"/>
    <s v=" "/>
  </r>
  <r>
    <s v="GL000995"/>
    <x v="601"/>
    <n v="6000"/>
    <x v="2"/>
    <n v="1003.28"/>
    <n v="0"/>
    <x v="0"/>
    <s v="CC200"/>
    <s v="AutoPost 995"/>
    <s v="AUD"/>
    <s v="2023-02"/>
    <n v="-1003.28"/>
    <m/>
    <n v="-1003.28"/>
    <s v="N/A"/>
    <s v=" "/>
  </r>
  <r>
    <s v="GL000996"/>
    <x v="29"/>
    <n v="4010"/>
    <x v="4"/>
    <n v="0"/>
    <n v="3683.5"/>
    <x v="4"/>
    <s v="CC100"/>
    <s v="AutoPost 996"/>
    <s v="USD"/>
    <s v="2024-03"/>
    <n v="3683.5"/>
    <m/>
    <n v="3683.5"/>
    <s v="N/A"/>
    <s v=" "/>
  </r>
  <r>
    <s v="GL000997"/>
    <x v="216"/>
    <n v="5010"/>
    <x v="3"/>
    <n v="1336.12"/>
    <n v="0"/>
    <x v="0"/>
    <s v="CC100"/>
    <s v="AutoPost 997"/>
    <s v="CAD"/>
    <s v="2025-03"/>
    <n v="-1336.12"/>
    <m/>
    <n v="-1336.12"/>
    <s v="N/A"/>
    <s v=" "/>
  </r>
  <r>
    <s v="GL000998"/>
    <x v="150"/>
    <n v="4000"/>
    <x v="0"/>
    <n v="0"/>
    <n v="142.47999999999999"/>
    <x v="4"/>
    <s v="CC100"/>
    <s v="AutoPost 998"/>
    <s v="GBP"/>
    <s v="2024-07"/>
    <n v="142.47999999999999"/>
    <m/>
    <n v="142.47999999999999"/>
    <s v="N/A"/>
    <s v=" "/>
  </r>
  <r>
    <s v="GL000999"/>
    <x v="404"/>
    <n v="6000"/>
    <x v="2"/>
    <n v="225.03"/>
    <n v="0"/>
    <x v="0"/>
    <s v="CC100"/>
    <s v="AutoPost 999"/>
    <s v="CAD"/>
    <s v="2025-05"/>
    <n v="-225.03"/>
    <m/>
    <n v="-225.03"/>
    <s v="N/A"/>
    <s v=" "/>
  </r>
  <r>
    <s v="GL001000"/>
    <x v="602"/>
    <n v="5000"/>
    <x v="1"/>
    <n v="1959.72"/>
    <n v="0"/>
    <x v="0"/>
    <s v="CC200"/>
    <s v="AutoPost 1000"/>
    <s v="AUD"/>
    <s v="2025-02"/>
    <n v="-1959.72"/>
    <m/>
    <n v="-1959.72"/>
    <s v="N/A"/>
    <s v=" "/>
  </r>
  <r>
    <s v="GL001001"/>
    <x v="327"/>
    <n v="6000"/>
    <x v="2"/>
    <n v="459.97"/>
    <n v="0"/>
    <x v="0"/>
    <s v="CC100"/>
    <s v="AutoPost 1001"/>
    <s v="USD"/>
    <s v="2024-08"/>
    <n v="-459.97"/>
    <m/>
    <n v="-459.97"/>
    <s v="N/A"/>
    <s v=" "/>
  </r>
  <r>
    <s v="GL001002"/>
    <x v="603"/>
    <n v="4000"/>
    <x v="0"/>
    <n v="0"/>
    <n v="1518.16"/>
    <x v="2"/>
    <s v="CC500"/>
    <s v="AutoPost 1002"/>
    <s v="USD"/>
    <s v="2024-05"/>
    <n v="1518.16"/>
    <m/>
    <n v="1518.16"/>
    <s v="N/A"/>
    <s v=" "/>
  </r>
  <r>
    <s v="GL001003"/>
    <x v="604"/>
    <n v="6000"/>
    <x v="2"/>
    <n v="1278.1199999999999"/>
    <n v="0"/>
    <x v="5"/>
    <s v="CC500"/>
    <s v="AutoPost 1003"/>
    <s v="EUR"/>
    <s v="2024-06"/>
    <n v="-1278.1199999999999"/>
    <m/>
    <n v="-1278.1199999999999"/>
    <s v="N/A"/>
    <s v=" "/>
  </r>
  <r>
    <s v="GL001004"/>
    <x v="605"/>
    <n v="5000"/>
    <x v="1"/>
    <n v="1956.42"/>
    <n v="0"/>
    <x v="0"/>
    <s v="CC100"/>
    <s v="AutoPost 1004"/>
    <s v="EUR"/>
    <s v="2024-04"/>
    <n v="-1956.42"/>
    <m/>
    <n v="-1956.42"/>
    <s v="N/A"/>
    <s v=" "/>
  </r>
  <r>
    <s v="GL001005"/>
    <x v="505"/>
    <n v="5010"/>
    <x v="3"/>
    <n v="1816.11"/>
    <n v="0"/>
    <x v="2"/>
    <s v="CC400"/>
    <s v="AutoPost 1005"/>
    <s v="GBP"/>
    <s v="2024-06"/>
    <n v="-1816.11"/>
    <m/>
    <n v="-1816.11"/>
    <s v="N/A"/>
    <s v=" "/>
  </r>
  <r>
    <s v="GL001006"/>
    <x v="500"/>
    <n v="5000"/>
    <x v="1"/>
    <n v="1309.5"/>
    <n v="0"/>
    <x v="4"/>
    <s v="CC300"/>
    <s v="AutoPost 1006"/>
    <s v="EUR"/>
    <s v="2024-11"/>
    <n v="-1309.5"/>
    <m/>
    <n v="-1309.5"/>
    <s v="N/A"/>
    <s v=" "/>
  </r>
  <r>
    <s v="GL001007"/>
    <x v="606"/>
    <n v="5000"/>
    <x v="1"/>
    <n v="316.43"/>
    <n v="0"/>
    <x v="2"/>
    <s v="CC100"/>
    <s v="AutoPost 1007"/>
    <s v="EUR"/>
    <s v="2023-06"/>
    <n v="-316.43"/>
    <m/>
    <n v="-316.43"/>
    <s v="N/A"/>
    <s v=" "/>
  </r>
  <r>
    <s v="GL001008"/>
    <x v="552"/>
    <n v="4000"/>
    <x v="0"/>
    <n v="0"/>
    <n v="4239.59"/>
    <x v="0"/>
    <s v="CC100"/>
    <s v="AutoPost 1008"/>
    <s v="EUR"/>
    <s v="2024-04"/>
    <n v="4239.59"/>
    <m/>
    <n v="4239.59"/>
    <s v="N/A"/>
    <s v=" "/>
  </r>
  <r>
    <s v="GL001009"/>
    <x v="200"/>
    <n v="5000"/>
    <x v="1"/>
    <n v="497.55"/>
    <n v="0"/>
    <x v="0"/>
    <s v="CC300"/>
    <s v="AutoPost 1009"/>
    <s v="GBP"/>
    <s v="2024-11"/>
    <n v="-497.55"/>
    <m/>
    <n v="-497.55"/>
    <s v="N/A"/>
    <s v=" "/>
  </r>
  <r>
    <s v="GL001010"/>
    <x v="159"/>
    <n v="6000"/>
    <x v="2"/>
    <n v="1978.21"/>
    <n v="0"/>
    <x v="1"/>
    <s v="CC500"/>
    <s v="AutoPost 1010"/>
    <s v="USD"/>
    <s v="2025-03"/>
    <n v="-1978.21"/>
    <m/>
    <n v="-1978.21"/>
    <s v="N/A"/>
    <s v=" "/>
  </r>
  <r>
    <s v="GL001011"/>
    <x v="338"/>
    <n v="5000"/>
    <x v="1"/>
    <n v="1691.11"/>
    <n v="0"/>
    <x v="2"/>
    <s v="CC300"/>
    <s v="AutoPost 1011"/>
    <s v="GBP"/>
    <s v="2023-05"/>
    <n v="-1691.11"/>
    <m/>
    <n v="-1691.11"/>
    <s v="N/A"/>
    <s v=" "/>
  </r>
  <r>
    <s v="GL001012"/>
    <x v="7"/>
    <n v="4000"/>
    <x v="0"/>
    <n v="0"/>
    <n v="3238.48"/>
    <x v="0"/>
    <s v="CC300"/>
    <s v="AutoPost 1012"/>
    <s v="GBP"/>
    <s v="2023-12"/>
    <n v="3238.48"/>
    <m/>
    <n v="3238.48"/>
    <s v="N/A"/>
    <s v=" "/>
  </r>
  <r>
    <s v="GL001013"/>
    <x v="144"/>
    <n v="4010"/>
    <x v="4"/>
    <n v="0"/>
    <n v="2318.9699999999998"/>
    <x v="5"/>
    <s v="CC500"/>
    <s v="AutoPost 1013"/>
    <s v="AUD"/>
    <s v="2023-01"/>
    <n v="2318.9699999999998"/>
    <m/>
    <n v="2318.9699999999998"/>
    <s v="N/A"/>
    <s v=" "/>
  </r>
  <r>
    <s v="GL001014"/>
    <x v="607"/>
    <n v="5000"/>
    <x v="1"/>
    <n v="683.66"/>
    <n v="0"/>
    <x v="1"/>
    <s v="CC200"/>
    <s v="AutoPost 1014"/>
    <s v="AUD"/>
    <s v="2023-11"/>
    <n v="-683.66"/>
    <m/>
    <n v="-683.66"/>
    <s v="N/A"/>
    <s v=" "/>
  </r>
  <r>
    <s v="GL001015"/>
    <x v="608"/>
    <n v="6000"/>
    <x v="2"/>
    <n v="1309.76"/>
    <n v="0"/>
    <x v="1"/>
    <s v="CC500"/>
    <s v="AutoPost 1015"/>
    <s v="AUD"/>
    <s v="2023-06"/>
    <n v="-1309.76"/>
    <m/>
    <n v="-1309.76"/>
    <s v="N/A"/>
    <s v=" "/>
  </r>
  <r>
    <s v="GL001016"/>
    <x v="540"/>
    <n v="6000"/>
    <x v="2"/>
    <n v="988.94"/>
    <n v="0"/>
    <x v="5"/>
    <s v="CC200"/>
    <s v="AutoPost 1016"/>
    <s v="USD"/>
    <s v="2023-04"/>
    <n v="-988.94"/>
    <m/>
    <n v="-988.94"/>
    <s v="N/A"/>
    <s v=" "/>
  </r>
  <r>
    <s v="GL001017"/>
    <x v="581"/>
    <n v="4000"/>
    <x v="0"/>
    <n v="0"/>
    <n v="3981.75"/>
    <x v="4"/>
    <s v="CC400"/>
    <s v="AutoPost 1017"/>
    <s v="AUD"/>
    <s v="2024-12"/>
    <n v="3981.75"/>
    <m/>
    <n v="3981.75"/>
    <s v="N/A"/>
    <s v=" "/>
  </r>
  <r>
    <s v="GL001018"/>
    <x v="109"/>
    <n v="4010"/>
    <x v="4"/>
    <n v="0"/>
    <n v="4727.49"/>
    <x v="4"/>
    <s v="CC300"/>
    <s v="AutoPost 1018"/>
    <s v="USD"/>
    <s v="2025-01"/>
    <n v="4727.49"/>
    <m/>
    <n v="4727.49"/>
    <s v="N/A"/>
    <s v=" "/>
  </r>
  <r>
    <s v="GL001019"/>
    <x v="482"/>
    <n v="4000"/>
    <x v="0"/>
    <n v="0"/>
    <n v="4557.5600000000004"/>
    <x v="3"/>
    <s v="CC200"/>
    <s v="AutoPost 1019"/>
    <s v="CAD"/>
    <s v="2023-10"/>
    <n v="4557.5600000000004"/>
    <m/>
    <n v="4557.5600000000004"/>
    <s v="N/A"/>
    <s v=" "/>
  </r>
  <r>
    <s v="GL001020"/>
    <x v="502"/>
    <n v="5000"/>
    <x v="1"/>
    <n v="402.15"/>
    <n v="0"/>
    <x v="5"/>
    <s v="CC500"/>
    <s v="AutoPost 1020"/>
    <s v="EUR"/>
    <s v="2024-09"/>
    <n v="-402.15"/>
    <m/>
    <n v="-402.15"/>
    <s v="N/A"/>
    <s v=" "/>
  </r>
  <r>
    <s v="GL001021"/>
    <x v="138"/>
    <n v="4000"/>
    <x v="0"/>
    <n v="0"/>
    <n v="1210.2"/>
    <x v="1"/>
    <s v="CC500"/>
    <s v="AutoPost 1021"/>
    <s v="USD"/>
    <s v="2025-06"/>
    <n v="1210.2"/>
    <m/>
    <n v="1210.2"/>
    <s v="N/A"/>
    <s v=" "/>
  </r>
  <r>
    <s v="GL001022"/>
    <x v="267"/>
    <n v="4000"/>
    <x v="0"/>
    <n v="0"/>
    <n v="256.32"/>
    <x v="0"/>
    <s v="CC500"/>
    <s v="AutoPost 1022"/>
    <s v="CAD"/>
    <s v="2023-01"/>
    <n v="256.32"/>
    <m/>
    <n v="256.32"/>
    <s v="N/A"/>
    <s v=" "/>
  </r>
  <r>
    <s v="GL001023"/>
    <x v="446"/>
    <n v="5000"/>
    <x v="1"/>
    <n v="1493.77"/>
    <n v="0"/>
    <x v="1"/>
    <s v="CC200"/>
    <s v="AutoPost 1023"/>
    <s v="CAD"/>
    <s v="2024-10"/>
    <n v="-1493.77"/>
    <m/>
    <n v="-1493.77"/>
    <s v="N/A"/>
    <s v=" "/>
  </r>
  <r>
    <s v="GL001024"/>
    <x v="241"/>
    <n v="6000"/>
    <x v="2"/>
    <n v="1946.64"/>
    <n v="0"/>
    <x v="4"/>
    <s v="CC400"/>
    <s v="AutoPost 1024"/>
    <s v="CAD"/>
    <s v="2024-02"/>
    <n v="-1946.64"/>
    <m/>
    <n v="-1946.64"/>
    <s v="N/A"/>
    <s v=" "/>
  </r>
  <r>
    <s v="GL001025"/>
    <x v="155"/>
    <n v="4010"/>
    <x v="4"/>
    <n v="0"/>
    <n v="3890.34"/>
    <x v="5"/>
    <s v="CC300"/>
    <s v="AutoPost 1025"/>
    <s v="AUD"/>
    <s v="2023-01"/>
    <n v="3890.34"/>
    <m/>
    <n v="3890.34"/>
    <s v="N/A"/>
    <s v=" "/>
  </r>
  <r>
    <s v="GL001026"/>
    <x v="609"/>
    <n v="5010"/>
    <x v="3"/>
    <n v="1085.95"/>
    <n v="0"/>
    <x v="0"/>
    <s v="CC200"/>
    <s v="AutoPost 1026"/>
    <s v="AUD"/>
    <s v="2024-04"/>
    <n v="-1085.95"/>
    <m/>
    <n v="-1085.95"/>
    <s v="N/A"/>
    <s v=" "/>
  </r>
  <r>
    <s v="GL001027"/>
    <x v="610"/>
    <n v="6000"/>
    <x v="2"/>
    <n v="1425.4"/>
    <n v="0"/>
    <x v="1"/>
    <s v="CC300"/>
    <s v="AutoPost 1027"/>
    <s v="AUD"/>
    <s v="2025-03"/>
    <n v="-1425.4"/>
    <m/>
    <n v="-1425.4"/>
    <s v="N/A"/>
    <s v=" "/>
  </r>
  <r>
    <s v="GL001028"/>
    <x v="114"/>
    <n v="5010"/>
    <x v="3"/>
    <n v="910.93"/>
    <n v="0"/>
    <x v="3"/>
    <s v="CC300"/>
    <s v="AutoPost 1028"/>
    <s v="GBP"/>
    <s v="2024-08"/>
    <n v="-910.93"/>
    <m/>
    <n v="-910.93"/>
    <s v="N/A"/>
    <s v=" "/>
  </r>
  <r>
    <s v="GL001029"/>
    <x v="316"/>
    <n v="6000"/>
    <x v="2"/>
    <n v="973.12"/>
    <n v="0"/>
    <x v="2"/>
    <s v="CC100"/>
    <s v="AutoPost 1029"/>
    <s v="GBP"/>
    <s v="2024-10"/>
    <n v="-973.12"/>
    <m/>
    <n v="-973.12"/>
    <s v="N/A"/>
    <s v=" "/>
  </r>
  <r>
    <s v="GL001030"/>
    <x v="607"/>
    <n v="4010"/>
    <x v="4"/>
    <n v="0"/>
    <n v="3221.92"/>
    <x v="0"/>
    <s v="CC400"/>
    <s v="AutoPost 1030"/>
    <s v="USD"/>
    <s v="2023-11"/>
    <n v="3221.92"/>
    <m/>
    <n v="3221.92"/>
    <s v="N/A"/>
    <s v=" "/>
  </r>
  <r>
    <s v="GL001031"/>
    <x v="611"/>
    <n v="4010"/>
    <x v="4"/>
    <n v="0"/>
    <n v="4508.8599999999997"/>
    <x v="2"/>
    <s v="CC300"/>
    <s v="AutoPost 1031"/>
    <s v="CAD"/>
    <s v="2024-07"/>
    <n v="4508.8599999999997"/>
    <m/>
    <n v="4508.8599999999997"/>
    <s v="N/A"/>
    <s v=" "/>
  </r>
  <r>
    <s v="GL001032"/>
    <x v="175"/>
    <n v="4010"/>
    <x v="4"/>
    <n v="0"/>
    <n v="882.66"/>
    <x v="3"/>
    <s v="CC400"/>
    <s v="AutoPost 1032"/>
    <s v="USD"/>
    <s v="2023-02"/>
    <n v="882.66"/>
    <m/>
    <n v="882.66"/>
    <s v="N/A"/>
    <s v=" "/>
  </r>
  <r>
    <s v="GL001033"/>
    <x v="45"/>
    <n v="6000"/>
    <x v="2"/>
    <n v="432.35"/>
    <n v="0"/>
    <x v="2"/>
    <s v="CC300"/>
    <s v="AutoPost 1033"/>
    <s v="CAD"/>
    <s v="2024-03"/>
    <n v="-432.35"/>
    <m/>
    <n v="-432.35"/>
    <s v="N/A"/>
    <s v=" "/>
  </r>
  <r>
    <s v="GL001034"/>
    <x v="294"/>
    <n v="4000"/>
    <x v="0"/>
    <n v="0"/>
    <n v="1578.7"/>
    <x v="3"/>
    <s v="CC100"/>
    <s v="AutoPost 1034"/>
    <s v="USD"/>
    <s v="2023-05"/>
    <n v="1578.7"/>
    <m/>
    <n v="1578.7"/>
    <s v="N/A"/>
    <s v=" "/>
  </r>
  <r>
    <s v="GL001035"/>
    <x v="612"/>
    <n v="6000"/>
    <x v="2"/>
    <n v="880.83"/>
    <n v="0"/>
    <x v="3"/>
    <s v="CC500"/>
    <s v="AutoPost 1035"/>
    <s v="GBP"/>
    <s v="2023-07"/>
    <n v="-880.83"/>
    <m/>
    <n v="-880.83"/>
    <s v="N/A"/>
    <s v=" "/>
  </r>
  <r>
    <s v="GL001036"/>
    <x v="613"/>
    <n v="4000"/>
    <x v="0"/>
    <n v="0"/>
    <n v="1378.62"/>
    <x v="2"/>
    <s v="CC500"/>
    <s v="AutoPost 1036"/>
    <s v="AUD"/>
    <s v="2024-04"/>
    <n v="1378.62"/>
    <m/>
    <n v="1378.62"/>
    <s v="N/A"/>
    <s v=" "/>
  </r>
  <r>
    <s v="GL001037"/>
    <x v="614"/>
    <n v="4000"/>
    <x v="0"/>
    <n v="0"/>
    <n v="1884.23"/>
    <x v="5"/>
    <s v="CC500"/>
    <s v="AutoPost 1037"/>
    <s v="USD"/>
    <s v="2024-03"/>
    <n v="1884.23"/>
    <m/>
    <n v="1884.23"/>
    <s v="N/A"/>
    <s v=" "/>
  </r>
  <r>
    <s v="GL001038"/>
    <x v="195"/>
    <n v="5000"/>
    <x v="1"/>
    <n v="398.06"/>
    <n v="0"/>
    <x v="4"/>
    <s v="CC200"/>
    <s v="AutoPost 1038"/>
    <s v="GBP"/>
    <s v="2024-05"/>
    <n v="-398.06"/>
    <m/>
    <n v="-398.06"/>
    <s v="N/A"/>
    <s v=" "/>
  </r>
  <r>
    <s v="GL001039"/>
    <x v="615"/>
    <n v="6000"/>
    <x v="2"/>
    <n v="1030.76"/>
    <n v="0"/>
    <x v="2"/>
    <s v="CC500"/>
    <s v="AutoPost 1039"/>
    <s v="EUR"/>
    <s v="2023-06"/>
    <n v="-1030.76"/>
    <m/>
    <n v="-1030.76"/>
    <s v="N/A"/>
    <s v=" "/>
  </r>
  <r>
    <s v="GL001040"/>
    <x v="583"/>
    <n v="5010"/>
    <x v="3"/>
    <n v="1713"/>
    <n v="0"/>
    <x v="4"/>
    <s v="CC200"/>
    <s v="AutoPost 1040"/>
    <s v="AUD"/>
    <s v="2023-09"/>
    <n v="-1713"/>
    <m/>
    <n v="-1713"/>
    <s v="N/A"/>
    <s v=" "/>
  </r>
  <r>
    <s v="GL001041"/>
    <x v="415"/>
    <n v="4000"/>
    <x v="0"/>
    <n v="0"/>
    <n v="3214.89"/>
    <x v="2"/>
    <s v="CC500"/>
    <s v="AutoPost 1041"/>
    <s v="AUD"/>
    <s v="2024-10"/>
    <n v="3214.89"/>
    <m/>
    <n v="3214.89"/>
    <s v="N/A"/>
    <s v=" "/>
  </r>
  <r>
    <s v="GL001042"/>
    <x v="616"/>
    <n v="4000"/>
    <x v="0"/>
    <n v="0"/>
    <n v="284.06"/>
    <x v="5"/>
    <s v="CC500"/>
    <s v="AutoPost 1042"/>
    <s v="AUD"/>
    <s v="2024-03"/>
    <n v="284.06"/>
    <m/>
    <n v="284.06"/>
    <s v="N/A"/>
    <s v=" "/>
  </r>
  <r>
    <s v="GL001043"/>
    <x v="617"/>
    <n v="4010"/>
    <x v="4"/>
    <n v="0"/>
    <n v="3835.49"/>
    <x v="0"/>
    <s v="CC300"/>
    <s v="AutoPost 1043"/>
    <s v="GBP"/>
    <s v="2023-11"/>
    <n v="3835.49"/>
    <m/>
    <n v="3835.49"/>
    <s v="N/A"/>
    <s v=" "/>
  </r>
  <r>
    <s v="GL001044"/>
    <x v="4"/>
    <n v="5000"/>
    <x v="1"/>
    <n v="357.85"/>
    <n v="0"/>
    <x v="1"/>
    <s v="CC400"/>
    <s v="AutoPost 1044"/>
    <s v="GBP"/>
    <s v="2023-08"/>
    <n v="-357.85"/>
    <m/>
    <n v="-357.85"/>
    <s v="N/A"/>
    <s v=" "/>
  </r>
  <r>
    <s v="GL001045"/>
    <x v="246"/>
    <n v="4010"/>
    <x v="4"/>
    <n v="0"/>
    <n v="1435.58"/>
    <x v="3"/>
    <s v="CC200"/>
    <s v="AutoPost 1045"/>
    <s v="GBP"/>
    <s v="2023-05"/>
    <n v="1435.58"/>
    <m/>
    <n v="1435.58"/>
    <s v="N/A"/>
    <s v=" "/>
  </r>
  <r>
    <s v="GL001046"/>
    <x v="21"/>
    <n v="5000"/>
    <x v="1"/>
    <n v="163.47999999999999"/>
    <n v="0"/>
    <x v="5"/>
    <s v="CC200"/>
    <s v="AutoPost 1046"/>
    <s v="AUD"/>
    <s v="2023-07"/>
    <n v="-163.47999999999999"/>
    <m/>
    <n v="-163.47999999999999"/>
    <s v="N/A"/>
    <s v=" "/>
  </r>
  <r>
    <s v="GL001047"/>
    <x v="95"/>
    <n v="5010"/>
    <x v="3"/>
    <n v="1586.3"/>
    <n v="0"/>
    <x v="5"/>
    <s v="CC400"/>
    <s v="AutoPost 1047"/>
    <s v="CAD"/>
    <s v="2024-07"/>
    <n v="-1586.3"/>
    <m/>
    <n v="-1586.3"/>
    <s v="N/A"/>
    <s v=" "/>
  </r>
  <r>
    <s v="GL001048"/>
    <x v="442"/>
    <n v="4010"/>
    <x v="4"/>
    <n v="0"/>
    <n v="1071.1300000000001"/>
    <x v="1"/>
    <s v="CC200"/>
    <s v="AutoPost 1048"/>
    <s v="USD"/>
    <s v="2023-05"/>
    <n v="1071.1300000000001"/>
    <m/>
    <n v="1071.1300000000001"/>
    <s v="N/A"/>
    <s v=" "/>
  </r>
  <r>
    <s v="GL001049"/>
    <x v="618"/>
    <n v="5010"/>
    <x v="3"/>
    <n v="1888.6"/>
    <n v="0"/>
    <x v="4"/>
    <s v="CC200"/>
    <s v="AutoPost 1049"/>
    <s v="EUR"/>
    <s v="2024-08"/>
    <n v="-1888.6"/>
    <m/>
    <n v="-1888.6"/>
    <s v="N/A"/>
    <s v=" "/>
  </r>
  <r>
    <s v="GL001050"/>
    <x v="619"/>
    <n v="6000"/>
    <x v="2"/>
    <n v="1396.76"/>
    <n v="0"/>
    <x v="1"/>
    <s v="CC200"/>
    <s v="AutoPost 1050"/>
    <s v="USD"/>
    <s v="2023-11"/>
    <n v="-1396.76"/>
    <m/>
    <n v="-1396.76"/>
    <s v="N/A"/>
    <s v=" "/>
  </r>
  <r>
    <s v="GL001051"/>
    <x v="620"/>
    <n v="4000"/>
    <x v="0"/>
    <n v="0"/>
    <n v="458.3"/>
    <x v="4"/>
    <s v="CC100"/>
    <s v="AutoPost 1051"/>
    <s v="EUR"/>
    <s v="2023-02"/>
    <n v="458.3"/>
    <m/>
    <n v="458.3"/>
    <s v="N/A"/>
    <s v=" "/>
  </r>
  <r>
    <s v="GL001052"/>
    <x v="621"/>
    <n v="6000"/>
    <x v="2"/>
    <n v="1873.98"/>
    <n v="0"/>
    <x v="2"/>
    <s v="CC500"/>
    <s v="AutoPost 1052"/>
    <s v="CAD"/>
    <s v="2025-06"/>
    <n v="-1873.98"/>
    <m/>
    <n v="-1873.98"/>
    <s v="N/A"/>
    <s v=" "/>
  </r>
  <r>
    <s v="GL001053"/>
    <x v="622"/>
    <n v="4010"/>
    <x v="4"/>
    <n v="0"/>
    <n v="550.03"/>
    <x v="2"/>
    <s v="CC100"/>
    <s v="AutoPost 1053"/>
    <s v="AUD"/>
    <s v="2024-06"/>
    <n v="550.03"/>
    <m/>
    <n v="550.03"/>
    <s v="N/A"/>
    <s v=" "/>
  </r>
  <r>
    <s v="GL001054"/>
    <x v="623"/>
    <n v="5010"/>
    <x v="3"/>
    <n v="1300.8599999999999"/>
    <n v="0"/>
    <x v="5"/>
    <s v="CC300"/>
    <s v="AutoPost 1054"/>
    <s v="EUR"/>
    <s v="2023-08"/>
    <n v="-1300.8599999999999"/>
    <m/>
    <n v="-1300.8599999999999"/>
    <s v="N/A"/>
    <s v=" "/>
  </r>
  <r>
    <s v="GL001055"/>
    <x v="243"/>
    <n v="6000"/>
    <x v="2"/>
    <n v="509.12"/>
    <n v="0"/>
    <x v="5"/>
    <s v="CC300"/>
    <s v="AutoPost 1055"/>
    <s v="CAD"/>
    <s v="2023-11"/>
    <n v="-509.12"/>
    <m/>
    <n v="-509.12"/>
    <s v="N/A"/>
    <s v=" "/>
  </r>
  <r>
    <s v="GL001056"/>
    <x v="429"/>
    <n v="6000"/>
    <x v="2"/>
    <n v="1328.19"/>
    <n v="0"/>
    <x v="4"/>
    <s v="CC500"/>
    <s v="AutoPost 1056"/>
    <s v="CAD"/>
    <s v="2025-05"/>
    <n v="-1328.19"/>
    <m/>
    <n v="-1328.19"/>
    <s v="N/A"/>
    <s v=" "/>
  </r>
  <r>
    <s v="GL001057"/>
    <x v="381"/>
    <n v="4000"/>
    <x v="0"/>
    <n v="0"/>
    <n v="2455.5100000000002"/>
    <x v="0"/>
    <s v="CC500"/>
    <s v="AutoPost 1057"/>
    <s v="AUD"/>
    <s v="2024-09"/>
    <n v="2455.5100000000002"/>
    <m/>
    <n v="2455.5100000000002"/>
    <s v="N/A"/>
    <s v=" "/>
  </r>
  <r>
    <s v="GL001058"/>
    <x v="624"/>
    <n v="4000"/>
    <x v="0"/>
    <n v="0"/>
    <n v="723.85"/>
    <x v="5"/>
    <s v="CC500"/>
    <s v="AutoPost 1058"/>
    <s v="USD"/>
    <s v="2025-05"/>
    <n v="723.85"/>
    <m/>
    <n v="723.85"/>
    <s v="N/A"/>
    <s v=" "/>
  </r>
  <r>
    <s v="GL001059"/>
    <x v="399"/>
    <n v="4010"/>
    <x v="4"/>
    <n v="0"/>
    <n v="544.42999999999995"/>
    <x v="1"/>
    <s v="CC500"/>
    <s v="AutoPost 1059"/>
    <s v="CAD"/>
    <s v="2023-12"/>
    <n v="544.42999999999995"/>
    <m/>
    <n v="544.42999999999995"/>
    <s v="N/A"/>
    <s v=" "/>
  </r>
  <r>
    <s v="GL001060"/>
    <x v="625"/>
    <n v="5000"/>
    <x v="1"/>
    <n v="1812.2"/>
    <n v="0"/>
    <x v="1"/>
    <s v="CC100"/>
    <s v="AutoPost 1060"/>
    <s v="GBP"/>
    <s v="2023-09"/>
    <n v="-1812.2"/>
    <m/>
    <n v="-1812.2"/>
    <s v="N/A"/>
    <s v=" "/>
  </r>
  <r>
    <s v="GL001061"/>
    <x v="341"/>
    <n v="5010"/>
    <x v="3"/>
    <n v="1323.46"/>
    <n v="0"/>
    <x v="2"/>
    <s v="CC100"/>
    <s v="AutoPost 1061"/>
    <s v="GBP"/>
    <s v="2023-11"/>
    <n v="-1323.46"/>
    <m/>
    <n v="-1323.46"/>
    <s v="N/A"/>
    <s v=" "/>
  </r>
  <r>
    <s v="GL001062"/>
    <x v="626"/>
    <n v="5000"/>
    <x v="1"/>
    <n v="254.62"/>
    <n v="0"/>
    <x v="0"/>
    <s v="CC300"/>
    <s v="AutoPost 1062"/>
    <s v="USD"/>
    <s v="2024-01"/>
    <n v="-254.62"/>
    <m/>
    <n v="-254.62"/>
    <s v="N/A"/>
    <s v=" "/>
  </r>
  <r>
    <s v="GL001063"/>
    <x v="264"/>
    <n v="5010"/>
    <x v="3"/>
    <n v="1198.8900000000001"/>
    <n v="0"/>
    <x v="5"/>
    <s v="CC300"/>
    <s v="AutoPost 1063"/>
    <s v="GBP"/>
    <s v="2024-10"/>
    <n v="-1198.8900000000001"/>
    <m/>
    <n v="-1198.8900000000001"/>
    <s v="N/A"/>
    <s v=" "/>
  </r>
  <r>
    <s v="GL001064"/>
    <x v="627"/>
    <n v="5010"/>
    <x v="3"/>
    <n v="556.48"/>
    <n v="0"/>
    <x v="3"/>
    <s v="CC100"/>
    <s v="AutoPost 1064"/>
    <s v="GBP"/>
    <s v="2024-06"/>
    <n v="-556.48"/>
    <m/>
    <n v="-556.48"/>
    <s v="N/A"/>
    <s v=" "/>
  </r>
  <r>
    <s v="GL001065"/>
    <x v="438"/>
    <n v="4010"/>
    <x v="4"/>
    <n v="0"/>
    <n v="3204.3"/>
    <x v="5"/>
    <s v="CC100"/>
    <s v="AutoPost 1065"/>
    <s v="CAD"/>
    <s v="2023-06"/>
    <n v="3204.3"/>
    <m/>
    <n v="3204.3"/>
    <s v="N/A"/>
    <s v=" "/>
  </r>
  <r>
    <s v="GL001066"/>
    <x v="489"/>
    <n v="6000"/>
    <x v="2"/>
    <n v="322.5"/>
    <n v="0"/>
    <x v="1"/>
    <s v="CC100"/>
    <s v="AutoPost 1066"/>
    <s v="EUR"/>
    <s v="2025-06"/>
    <n v="-322.5"/>
    <m/>
    <n v="-322.5"/>
    <s v="N/A"/>
    <s v=" "/>
  </r>
  <r>
    <s v="GL001067"/>
    <x v="549"/>
    <n v="6000"/>
    <x v="2"/>
    <n v="916.19"/>
    <n v="0"/>
    <x v="5"/>
    <s v="CC200"/>
    <s v="AutoPost 1067"/>
    <s v="GBP"/>
    <s v="2023-04"/>
    <n v="-916.19"/>
    <m/>
    <n v="-916.19"/>
    <s v="N/A"/>
    <s v=" "/>
  </r>
  <r>
    <s v="GL001068"/>
    <x v="498"/>
    <n v="5010"/>
    <x v="3"/>
    <n v="202.58"/>
    <n v="0"/>
    <x v="5"/>
    <s v="CC200"/>
    <s v="AutoPost 1068"/>
    <s v="AUD"/>
    <s v="2025-04"/>
    <n v="-202.58"/>
    <m/>
    <n v="-202.58"/>
    <s v="N/A"/>
    <s v=" "/>
  </r>
  <r>
    <s v="GL001069"/>
    <x v="628"/>
    <n v="4000"/>
    <x v="0"/>
    <n v="0"/>
    <n v="4558.3900000000003"/>
    <x v="4"/>
    <s v="CC400"/>
    <s v="AutoPost 1069"/>
    <s v="EUR"/>
    <s v="2024-12"/>
    <n v="4558.3900000000003"/>
    <m/>
    <n v="4558.3900000000003"/>
    <s v="N/A"/>
    <s v=" "/>
  </r>
  <r>
    <s v="GL001070"/>
    <x v="15"/>
    <n v="6000"/>
    <x v="2"/>
    <n v="962.74"/>
    <n v="0"/>
    <x v="1"/>
    <s v="CC100"/>
    <s v="AutoPost 1070"/>
    <s v="USD"/>
    <s v="2023-04"/>
    <n v="-962.74"/>
    <m/>
    <n v="-962.74"/>
    <s v="N/A"/>
    <s v=" "/>
  </r>
  <r>
    <s v="GL001071"/>
    <x v="245"/>
    <n v="6000"/>
    <x v="2"/>
    <n v="996.08"/>
    <n v="0"/>
    <x v="1"/>
    <s v="CC100"/>
    <s v="AutoPost 1071"/>
    <s v="EUR"/>
    <s v="2024-04"/>
    <n v="-996.08"/>
    <m/>
    <n v="-996.08"/>
    <s v="N/A"/>
    <s v=" "/>
  </r>
  <r>
    <s v="GL001072"/>
    <x v="629"/>
    <n v="6000"/>
    <x v="2"/>
    <n v="1399.67"/>
    <n v="0"/>
    <x v="4"/>
    <s v="CC100"/>
    <s v="AutoPost 1072"/>
    <s v="CAD"/>
    <s v="2025-01"/>
    <n v="-1399.67"/>
    <m/>
    <n v="-1399.67"/>
    <s v="N/A"/>
    <s v=" "/>
  </r>
  <r>
    <s v="GL001073"/>
    <x v="630"/>
    <n v="4010"/>
    <x v="4"/>
    <n v="0"/>
    <n v="1644.76"/>
    <x v="1"/>
    <s v="CC500"/>
    <s v="AutoPost 1073"/>
    <s v="CAD"/>
    <s v="2023-10"/>
    <n v="1644.76"/>
    <m/>
    <n v="1644.76"/>
    <s v="N/A"/>
    <s v=" "/>
  </r>
  <r>
    <s v="GL001074"/>
    <x v="631"/>
    <n v="5000"/>
    <x v="1"/>
    <n v="1049.23"/>
    <n v="0"/>
    <x v="0"/>
    <s v="CC500"/>
    <s v="AutoPost 1074"/>
    <s v="AUD"/>
    <s v="2024-03"/>
    <n v="-1049.23"/>
    <m/>
    <n v="-1049.23"/>
    <s v="N/A"/>
    <s v=" "/>
  </r>
  <r>
    <s v="GL001075"/>
    <x v="632"/>
    <n v="5000"/>
    <x v="1"/>
    <n v="1655.29"/>
    <n v="0"/>
    <x v="1"/>
    <s v="CC500"/>
    <s v="AutoPost 1075"/>
    <s v="USD"/>
    <s v="2023-05"/>
    <n v="-1655.29"/>
    <m/>
    <n v="-1655.29"/>
    <s v="N/A"/>
    <s v=" "/>
  </r>
  <r>
    <s v="GL001076"/>
    <x v="488"/>
    <n v="5010"/>
    <x v="3"/>
    <n v="1402.31"/>
    <n v="0"/>
    <x v="5"/>
    <s v="CC100"/>
    <s v="AutoPost 1076"/>
    <s v="EUR"/>
    <s v="2024-12"/>
    <n v="-1402.31"/>
    <m/>
    <n v="-1402.31"/>
    <s v="N/A"/>
    <s v=" "/>
  </r>
  <r>
    <s v="GL001077"/>
    <x v="541"/>
    <n v="5010"/>
    <x v="3"/>
    <n v="833.9"/>
    <n v="0"/>
    <x v="0"/>
    <s v="CC400"/>
    <s v="AutoPost 1077"/>
    <s v="EUR"/>
    <s v="2023-07"/>
    <n v="-833.9"/>
    <m/>
    <n v="-833.9"/>
    <s v="N/A"/>
    <s v=" "/>
  </r>
  <r>
    <s v="GL001078"/>
    <x v="633"/>
    <n v="4000"/>
    <x v="0"/>
    <n v="0"/>
    <n v="3759.18"/>
    <x v="3"/>
    <s v="CC500"/>
    <s v="AutoPost 1078"/>
    <s v="CAD"/>
    <s v="2023-04"/>
    <n v="3759.18"/>
    <m/>
    <n v="3759.18"/>
    <s v="N/A"/>
    <s v=" "/>
  </r>
  <r>
    <s v="GL001079"/>
    <x v="453"/>
    <n v="6000"/>
    <x v="2"/>
    <n v="67.150000000000006"/>
    <n v="0"/>
    <x v="3"/>
    <s v="CC300"/>
    <s v="AutoPost 1079"/>
    <s v="USD"/>
    <s v="2024-06"/>
    <n v="-67.150000000000006"/>
    <m/>
    <n v="-67.150000000000006"/>
    <s v="N/A"/>
    <s v=" "/>
  </r>
  <r>
    <s v="GL001080"/>
    <x v="620"/>
    <n v="5000"/>
    <x v="1"/>
    <n v="1138.3599999999999"/>
    <n v="0"/>
    <x v="5"/>
    <s v="CC400"/>
    <s v="AutoPost 1080"/>
    <s v="CAD"/>
    <s v="2023-02"/>
    <n v="-1138.3599999999999"/>
    <m/>
    <n v="-1138.3599999999999"/>
    <s v="N/A"/>
    <s v=" "/>
  </r>
  <r>
    <s v="GL001081"/>
    <x v="634"/>
    <n v="6000"/>
    <x v="2"/>
    <n v="1356.38"/>
    <n v="0"/>
    <x v="4"/>
    <s v="CC200"/>
    <s v="AutoPost 1081"/>
    <s v="CAD"/>
    <s v="2023-05"/>
    <n v="-1356.38"/>
    <m/>
    <n v="-1356.38"/>
    <s v="N/A"/>
    <s v=" "/>
  </r>
  <r>
    <s v="GL001082"/>
    <x v="610"/>
    <n v="5010"/>
    <x v="3"/>
    <n v="1770.21"/>
    <n v="0"/>
    <x v="0"/>
    <s v="CC200"/>
    <s v="AutoPost 1082"/>
    <s v="GBP"/>
    <s v="2025-03"/>
    <n v="-1770.21"/>
    <m/>
    <n v="-1770.21"/>
    <s v="N/A"/>
    <s v=" "/>
  </r>
  <r>
    <s v="GL001083"/>
    <x v="475"/>
    <n v="5000"/>
    <x v="1"/>
    <n v="1240.48"/>
    <n v="0"/>
    <x v="3"/>
    <s v="CC300"/>
    <s v="AutoPost 1083"/>
    <s v="EUR"/>
    <s v="2025-02"/>
    <n v="-1240.48"/>
    <m/>
    <n v="-1240.48"/>
    <s v="N/A"/>
    <s v=" "/>
  </r>
  <r>
    <s v="GL001084"/>
    <x v="493"/>
    <n v="5010"/>
    <x v="3"/>
    <n v="1870.74"/>
    <n v="0"/>
    <x v="1"/>
    <s v="CC200"/>
    <s v="AutoPost 1084"/>
    <s v="AUD"/>
    <s v="2025-04"/>
    <n v="-1870.74"/>
    <m/>
    <n v="-1870.74"/>
    <s v="N/A"/>
    <s v=" "/>
  </r>
  <r>
    <s v="GL001085"/>
    <x v="417"/>
    <n v="5010"/>
    <x v="3"/>
    <n v="1295.49"/>
    <n v="0"/>
    <x v="0"/>
    <s v="CC200"/>
    <s v="AutoPost 1085"/>
    <s v="GBP"/>
    <s v="2024-12"/>
    <n v="-1295.49"/>
    <m/>
    <n v="-1295.49"/>
    <s v="N/A"/>
    <s v=" "/>
  </r>
  <r>
    <s v="GL001086"/>
    <x v="489"/>
    <n v="5010"/>
    <x v="3"/>
    <n v="403.44"/>
    <n v="0"/>
    <x v="3"/>
    <s v="CC100"/>
    <s v="AutoPost 1086"/>
    <s v="EUR"/>
    <s v="2025-06"/>
    <n v="-403.44"/>
    <m/>
    <n v="-403.44"/>
    <s v="N/A"/>
    <s v=" "/>
  </r>
  <r>
    <s v="GL001087"/>
    <x v="89"/>
    <n v="4010"/>
    <x v="4"/>
    <n v="0"/>
    <n v="298.58"/>
    <x v="2"/>
    <s v="CC300"/>
    <s v="AutoPost 1087"/>
    <s v="AUD"/>
    <s v="2023-10"/>
    <n v="298.58"/>
    <m/>
    <n v="298.58"/>
    <s v="N/A"/>
    <s v=" "/>
  </r>
  <r>
    <s v="GL001088"/>
    <x v="635"/>
    <n v="4010"/>
    <x v="4"/>
    <n v="0"/>
    <n v="2967.77"/>
    <x v="5"/>
    <s v="CC500"/>
    <s v="AutoPost 1088"/>
    <s v="GBP"/>
    <s v="2024-01"/>
    <n v="2967.77"/>
    <m/>
    <n v="2967.77"/>
    <s v="N/A"/>
    <s v=" "/>
  </r>
  <r>
    <s v="GL001089"/>
    <x v="601"/>
    <n v="4010"/>
    <x v="4"/>
    <n v="0"/>
    <n v="322.85000000000002"/>
    <x v="5"/>
    <s v="CC400"/>
    <s v="AutoPost 1089"/>
    <s v="USD"/>
    <s v="2023-02"/>
    <n v="322.85000000000002"/>
    <m/>
    <n v="322.85000000000002"/>
    <s v="N/A"/>
    <s v=" "/>
  </r>
  <r>
    <s v="GL001090"/>
    <x v="24"/>
    <n v="5010"/>
    <x v="3"/>
    <n v="1178.57"/>
    <n v="0"/>
    <x v="2"/>
    <s v="CC100"/>
    <s v="AutoPost 1090"/>
    <s v="CAD"/>
    <s v="2023-04"/>
    <n v="-1178.57"/>
    <m/>
    <n v="-1178.57"/>
    <s v="N/A"/>
    <s v=" "/>
  </r>
  <r>
    <s v="GL001091"/>
    <x v="636"/>
    <n v="5010"/>
    <x v="3"/>
    <n v="572.52"/>
    <n v="0"/>
    <x v="5"/>
    <s v="CC200"/>
    <s v="AutoPost 1091"/>
    <s v="USD"/>
    <s v="2024-06"/>
    <n v="-572.52"/>
    <m/>
    <n v="-572.52"/>
    <s v="N/A"/>
    <s v=" "/>
  </r>
  <r>
    <s v="GL001092"/>
    <x v="637"/>
    <n v="4000"/>
    <x v="0"/>
    <n v="0"/>
    <n v="1038.25"/>
    <x v="3"/>
    <s v="CC400"/>
    <s v="AutoPost 1092"/>
    <s v="GBP"/>
    <s v="2023-10"/>
    <n v="1038.25"/>
    <m/>
    <n v="1038.25"/>
    <s v="N/A"/>
    <s v=" "/>
  </r>
  <r>
    <s v="GL001093"/>
    <x v="414"/>
    <n v="5010"/>
    <x v="3"/>
    <n v="54.75"/>
    <n v="0"/>
    <x v="1"/>
    <s v="CC300"/>
    <s v="AutoPost 1093"/>
    <s v="GBP"/>
    <s v="2023-02"/>
    <n v="-54.75"/>
    <m/>
    <n v="-54.75"/>
    <s v="N/A"/>
    <s v=" "/>
  </r>
  <r>
    <s v="GL001094"/>
    <x v="638"/>
    <n v="5010"/>
    <x v="3"/>
    <n v="229.78"/>
    <n v="0"/>
    <x v="3"/>
    <s v="CC300"/>
    <s v="AutoPost 1094"/>
    <s v="USD"/>
    <s v="2024-04"/>
    <n v="-229.78"/>
    <m/>
    <n v="-229.78"/>
    <s v="N/A"/>
    <s v=" "/>
  </r>
  <r>
    <s v="GL001095"/>
    <x v="639"/>
    <n v="5010"/>
    <x v="3"/>
    <n v="1195.8599999999999"/>
    <n v="0"/>
    <x v="5"/>
    <s v="CC300"/>
    <s v="AutoPost 1095"/>
    <s v="CAD"/>
    <s v="2024-07"/>
    <n v="-1195.8599999999999"/>
    <m/>
    <n v="-1195.8599999999999"/>
    <s v="N/A"/>
    <s v=" "/>
  </r>
  <r>
    <s v="GL001096"/>
    <x v="228"/>
    <n v="4000"/>
    <x v="0"/>
    <n v="0"/>
    <n v="183.89"/>
    <x v="3"/>
    <s v="CC200"/>
    <s v="AutoPost 1096"/>
    <s v="AUD"/>
    <s v="2025-04"/>
    <n v="183.89"/>
    <m/>
    <n v="183.89"/>
    <s v="N/A"/>
    <s v=" "/>
  </r>
  <r>
    <s v="GL001097"/>
    <x v="640"/>
    <n v="5010"/>
    <x v="3"/>
    <n v="786.38"/>
    <n v="0"/>
    <x v="4"/>
    <s v="CC200"/>
    <s v="AutoPost 1097"/>
    <s v="CAD"/>
    <s v="2025-02"/>
    <n v="-786.38"/>
    <m/>
    <n v="-786.38"/>
    <s v="N/A"/>
    <s v=" "/>
  </r>
  <r>
    <s v="GL001098"/>
    <x v="452"/>
    <n v="5010"/>
    <x v="3"/>
    <n v="352.55"/>
    <n v="0"/>
    <x v="2"/>
    <s v="CC200"/>
    <s v="AutoPost 1098"/>
    <s v="EUR"/>
    <s v="2025-06"/>
    <n v="-352.55"/>
    <m/>
    <n v="-352.55"/>
    <s v="N/A"/>
    <s v=" "/>
  </r>
  <r>
    <s v="GL001099"/>
    <x v="641"/>
    <n v="6000"/>
    <x v="2"/>
    <n v="1814.7"/>
    <n v="0"/>
    <x v="2"/>
    <s v="CC100"/>
    <s v="AutoPost 1099"/>
    <s v="USD"/>
    <s v="2023-06"/>
    <n v="-1814.7"/>
    <m/>
    <n v="-1814.7"/>
    <s v="N/A"/>
    <s v=" "/>
  </r>
  <r>
    <s v="GL001100"/>
    <x v="154"/>
    <n v="4000"/>
    <x v="0"/>
    <n v="0"/>
    <n v="4099.41"/>
    <x v="3"/>
    <s v="CC500"/>
    <s v="AutoPost 1100"/>
    <s v="USD"/>
    <s v="2023-09"/>
    <n v="4099.41"/>
    <m/>
    <n v="4099.41"/>
    <s v="N/A"/>
    <s v=" "/>
  </r>
  <r>
    <s v="GL001101"/>
    <x v="642"/>
    <n v="4000"/>
    <x v="0"/>
    <n v="0"/>
    <n v="1953.74"/>
    <x v="5"/>
    <s v="CC300"/>
    <s v="AutoPost 1101"/>
    <s v="GBP"/>
    <s v="2025-05"/>
    <n v="1953.74"/>
    <m/>
    <n v="1953.74"/>
    <s v="N/A"/>
    <s v=" "/>
  </r>
  <r>
    <s v="GL001102"/>
    <x v="101"/>
    <n v="5000"/>
    <x v="1"/>
    <n v="242.28"/>
    <n v="0"/>
    <x v="4"/>
    <s v="CC400"/>
    <s v="AutoPost 1102"/>
    <s v="USD"/>
    <s v="2024-01"/>
    <n v="-242.28"/>
    <m/>
    <n v="-242.28"/>
    <s v="N/A"/>
    <s v=" "/>
  </r>
  <r>
    <s v="GL001103"/>
    <x v="643"/>
    <n v="4010"/>
    <x v="4"/>
    <n v="0"/>
    <n v="3335.43"/>
    <x v="5"/>
    <s v="CC200"/>
    <s v="AutoPost 1103"/>
    <s v="USD"/>
    <s v="2024-05"/>
    <n v="3335.43"/>
    <m/>
    <n v="3335.43"/>
    <s v="N/A"/>
    <s v=" "/>
  </r>
  <r>
    <s v="GL001104"/>
    <x v="342"/>
    <n v="5010"/>
    <x v="3"/>
    <n v="831.33"/>
    <n v="0"/>
    <x v="5"/>
    <s v="CC200"/>
    <s v="AutoPost 1104"/>
    <s v="CAD"/>
    <s v="2023-08"/>
    <n v="-831.33"/>
    <m/>
    <n v="-831.33"/>
    <s v="N/A"/>
    <s v=" "/>
  </r>
  <r>
    <s v="GL001105"/>
    <x v="13"/>
    <n v="4000"/>
    <x v="0"/>
    <n v="0"/>
    <n v="406.59"/>
    <x v="0"/>
    <s v="CC100"/>
    <s v="AutoPost 1105"/>
    <s v="EUR"/>
    <s v="2024-02"/>
    <n v="406.59"/>
    <m/>
    <n v="406.59"/>
    <s v="N/A"/>
    <s v=" "/>
  </r>
  <r>
    <s v="GL001106"/>
    <x v="39"/>
    <n v="6000"/>
    <x v="2"/>
    <n v="1813.03"/>
    <n v="0"/>
    <x v="4"/>
    <s v="CC100"/>
    <s v="AutoPost 1106"/>
    <s v="EUR"/>
    <s v="2024-02"/>
    <n v="-1813.03"/>
    <m/>
    <n v="-1813.03"/>
    <s v="N/A"/>
    <s v=" "/>
  </r>
  <r>
    <s v="GL001107"/>
    <x v="240"/>
    <n v="4000"/>
    <x v="0"/>
    <n v="0"/>
    <n v="2019.11"/>
    <x v="1"/>
    <s v="CC300"/>
    <s v="AutoPost 1107"/>
    <s v="AUD"/>
    <s v="2024-02"/>
    <n v="2019.11"/>
    <m/>
    <n v="2019.11"/>
    <s v="N/A"/>
    <s v=" "/>
  </r>
  <r>
    <s v="GL001108"/>
    <x v="47"/>
    <n v="6000"/>
    <x v="2"/>
    <n v="1278.3800000000001"/>
    <n v="0"/>
    <x v="1"/>
    <s v="CC200"/>
    <s v="AutoPost 1108"/>
    <s v="EUR"/>
    <s v="2024-03"/>
    <n v="-1278.3800000000001"/>
    <m/>
    <n v="-1278.3800000000001"/>
    <s v="N/A"/>
    <s v=" "/>
  </r>
  <r>
    <s v="GL001109"/>
    <x v="278"/>
    <n v="4000"/>
    <x v="0"/>
    <n v="0"/>
    <n v="2058.58"/>
    <x v="4"/>
    <s v="CC300"/>
    <s v="AutoPost 1109"/>
    <s v="CAD"/>
    <s v="2023-04"/>
    <n v="2058.58"/>
    <m/>
    <n v="2058.58"/>
    <s v="N/A"/>
    <s v=" "/>
  </r>
  <r>
    <s v="GL001110"/>
    <x v="44"/>
    <n v="6000"/>
    <x v="2"/>
    <n v="1453.63"/>
    <n v="0"/>
    <x v="0"/>
    <s v="CC400"/>
    <s v="AutoPost 1110"/>
    <s v="AUD"/>
    <s v="2024-08"/>
    <n v="-1453.63"/>
    <m/>
    <n v="-1453.63"/>
    <s v="N/A"/>
    <s v=" "/>
  </r>
  <r>
    <s v="GL001111"/>
    <x v="298"/>
    <n v="4000"/>
    <x v="0"/>
    <n v="0"/>
    <n v="2233.0500000000002"/>
    <x v="4"/>
    <s v="CC300"/>
    <s v="AutoPost 1111"/>
    <s v="AUD"/>
    <s v="2023-09"/>
    <n v="2233.0500000000002"/>
    <m/>
    <n v="2233.0500000000002"/>
    <s v="N/A"/>
    <s v=" "/>
  </r>
  <r>
    <s v="GL001112"/>
    <x v="239"/>
    <n v="5010"/>
    <x v="3"/>
    <n v="836.69"/>
    <n v="0"/>
    <x v="0"/>
    <s v="CC300"/>
    <s v="AutoPost 1112"/>
    <s v="AUD"/>
    <s v="2023-09"/>
    <n v="-836.69"/>
    <m/>
    <n v="-836.69"/>
    <s v="N/A"/>
    <s v=" "/>
  </r>
  <r>
    <s v="GL001113"/>
    <x v="644"/>
    <n v="4000"/>
    <x v="0"/>
    <n v="0"/>
    <n v="2173.0100000000002"/>
    <x v="3"/>
    <s v="CC200"/>
    <s v="AutoPost 1113"/>
    <s v="GBP"/>
    <s v="2023-01"/>
    <n v="2173.0100000000002"/>
    <m/>
    <n v="2173.0100000000002"/>
    <s v="N/A"/>
    <s v=" "/>
  </r>
  <r>
    <s v="GL001114"/>
    <x v="192"/>
    <n v="4000"/>
    <x v="0"/>
    <n v="0"/>
    <n v="3592.24"/>
    <x v="4"/>
    <s v="CC400"/>
    <s v="AutoPost 1114"/>
    <s v="AUD"/>
    <s v="2024-02"/>
    <n v="3592.24"/>
    <m/>
    <n v="3592.24"/>
    <s v="N/A"/>
    <s v=" "/>
  </r>
  <r>
    <s v="GL001115"/>
    <x v="72"/>
    <n v="5010"/>
    <x v="3"/>
    <n v="412.97"/>
    <n v="0"/>
    <x v="5"/>
    <s v="CC400"/>
    <s v="AutoPost 1115"/>
    <s v="AUD"/>
    <s v="2024-09"/>
    <n v="-412.97"/>
    <m/>
    <n v="-412.97"/>
    <s v="N/A"/>
    <s v=" "/>
  </r>
  <r>
    <s v="GL001116"/>
    <x v="45"/>
    <n v="6000"/>
    <x v="2"/>
    <n v="732.61"/>
    <n v="0"/>
    <x v="4"/>
    <s v="CC300"/>
    <s v="AutoPost 1116"/>
    <s v="AUD"/>
    <s v="2024-03"/>
    <n v="-732.61"/>
    <m/>
    <n v="-732.61"/>
    <s v="N/A"/>
    <s v=" "/>
  </r>
  <r>
    <s v="GL001117"/>
    <x v="645"/>
    <n v="4010"/>
    <x v="4"/>
    <n v="0"/>
    <n v="2538.6999999999998"/>
    <x v="0"/>
    <s v="CC100"/>
    <s v="AutoPost 1117"/>
    <s v="GBP"/>
    <s v="2023-10"/>
    <n v="2538.6999999999998"/>
    <m/>
    <n v="2538.6999999999998"/>
    <s v="N/A"/>
    <s v=" "/>
  </r>
  <r>
    <s v="GL001118"/>
    <x v="646"/>
    <n v="5010"/>
    <x v="3"/>
    <n v="436.55"/>
    <n v="0"/>
    <x v="0"/>
    <s v="CC300"/>
    <s v="AutoPost 1118"/>
    <s v="GBP"/>
    <s v="2024-09"/>
    <n v="-436.55"/>
    <m/>
    <n v="-436.55"/>
    <s v="N/A"/>
    <s v=" "/>
  </r>
  <r>
    <s v="GL001119"/>
    <x v="85"/>
    <n v="5010"/>
    <x v="3"/>
    <n v="1687.08"/>
    <n v="0"/>
    <x v="5"/>
    <s v="CC200"/>
    <s v="AutoPost 1119"/>
    <s v="CAD"/>
    <s v="2023-07"/>
    <n v="-1687.08"/>
    <m/>
    <n v="-1687.08"/>
    <s v="N/A"/>
    <s v=" "/>
  </r>
  <r>
    <s v="GL001120"/>
    <x v="542"/>
    <n v="5000"/>
    <x v="1"/>
    <n v="1337.28"/>
    <n v="0"/>
    <x v="1"/>
    <s v="CC400"/>
    <s v="AutoPost 1120"/>
    <s v="GBP"/>
    <s v="2024-02"/>
    <n v="-1337.28"/>
    <m/>
    <n v="-1337.28"/>
    <s v="N/A"/>
    <s v=" "/>
  </r>
  <r>
    <s v="GL001121"/>
    <x v="212"/>
    <n v="4010"/>
    <x v="4"/>
    <n v="0"/>
    <n v="2049.4499999999998"/>
    <x v="4"/>
    <s v="CC300"/>
    <s v="AutoPost 1121"/>
    <s v="CAD"/>
    <s v="2025-02"/>
    <n v="2049.4499999999998"/>
    <m/>
    <n v="2049.4499999999998"/>
    <s v="N/A"/>
    <s v=" "/>
  </r>
  <r>
    <s v="GL001122"/>
    <x v="647"/>
    <n v="4010"/>
    <x v="4"/>
    <n v="0"/>
    <n v="760.5"/>
    <x v="3"/>
    <s v="CC400"/>
    <s v="AutoPost 1122"/>
    <s v="CAD"/>
    <s v="2023-07"/>
    <n v="760.5"/>
    <m/>
    <n v="760.5"/>
    <s v="N/A"/>
    <s v=" "/>
  </r>
  <r>
    <s v="GL001123"/>
    <x v="123"/>
    <n v="6000"/>
    <x v="2"/>
    <n v="239.34"/>
    <n v="0"/>
    <x v="1"/>
    <s v="CC100"/>
    <s v="AutoPost 1123"/>
    <s v="GBP"/>
    <s v="2024-10"/>
    <n v="-239.34"/>
    <m/>
    <n v="-239.34"/>
    <s v="N/A"/>
    <s v=" "/>
  </r>
  <r>
    <s v="GL001124"/>
    <x v="16"/>
    <n v="6000"/>
    <x v="2"/>
    <n v="882.43"/>
    <n v="0"/>
    <x v="0"/>
    <s v="CC500"/>
    <s v="AutoPost 1124"/>
    <s v="EUR"/>
    <s v="2025-03"/>
    <n v="-882.43"/>
    <m/>
    <n v="-882.43"/>
    <s v="N/A"/>
    <s v=" "/>
  </r>
  <r>
    <s v="GL001125"/>
    <x v="224"/>
    <n v="4010"/>
    <x v="4"/>
    <n v="0"/>
    <n v="4016.46"/>
    <x v="4"/>
    <s v="CC300"/>
    <s v="AutoPost 1125"/>
    <s v="EUR"/>
    <s v="2024-06"/>
    <n v="4016.46"/>
    <m/>
    <n v="4016.46"/>
    <s v="N/A"/>
    <s v=" "/>
  </r>
  <r>
    <s v="GL001126"/>
    <x v="198"/>
    <n v="6000"/>
    <x v="2"/>
    <n v="1217.1199999999999"/>
    <n v="0"/>
    <x v="4"/>
    <s v="CC500"/>
    <s v="AutoPost 1126"/>
    <s v="AUD"/>
    <s v="2023-04"/>
    <n v="-1217.1199999999999"/>
    <m/>
    <n v="-1217.1199999999999"/>
    <s v="N/A"/>
    <s v=" "/>
  </r>
  <r>
    <s v="GL001127"/>
    <x v="286"/>
    <n v="4000"/>
    <x v="0"/>
    <n v="0"/>
    <n v="396.28"/>
    <x v="0"/>
    <s v="CC200"/>
    <s v="AutoPost 1127"/>
    <s v="AUD"/>
    <s v="2024-10"/>
    <n v="396.28"/>
    <m/>
    <n v="396.28"/>
    <s v="N/A"/>
    <s v=" "/>
  </r>
  <r>
    <s v="GL001128"/>
    <x v="215"/>
    <n v="5010"/>
    <x v="3"/>
    <n v="682.65"/>
    <n v="0"/>
    <x v="0"/>
    <s v="CC400"/>
    <s v="AutoPost 1128"/>
    <s v="GBP"/>
    <s v="2023-05"/>
    <n v="-682.65"/>
    <m/>
    <n v="-682.65"/>
    <s v="N/A"/>
    <s v=" "/>
  </r>
  <r>
    <s v="GL001129"/>
    <x v="648"/>
    <n v="5000"/>
    <x v="1"/>
    <n v="959.31"/>
    <n v="0"/>
    <x v="0"/>
    <s v="CC300"/>
    <s v="AutoPost 1129"/>
    <s v="GBP"/>
    <s v="2023-04"/>
    <n v="-959.31"/>
    <m/>
    <n v="-959.31"/>
    <s v="N/A"/>
    <s v=" "/>
  </r>
  <r>
    <s v="GL001130"/>
    <x v="614"/>
    <n v="6000"/>
    <x v="2"/>
    <n v="431.95"/>
    <n v="0"/>
    <x v="3"/>
    <s v="CC400"/>
    <s v="AutoPost 1130"/>
    <s v="USD"/>
    <s v="2024-03"/>
    <n v="-431.95"/>
    <m/>
    <n v="-431.95"/>
    <s v="N/A"/>
    <s v=" "/>
  </r>
  <r>
    <s v="GL001131"/>
    <x v="51"/>
    <n v="5000"/>
    <x v="1"/>
    <n v="274.33"/>
    <n v="0"/>
    <x v="4"/>
    <s v="CC400"/>
    <s v="AutoPost 1131"/>
    <s v="CAD"/>
    <s v="2025-06"/>
    <n v="-274.33"/>
    <m/>
    <n v="-274.33"/>
    <s v="N/A"/>
    <s v=" "/>
  </r>
  <r>
    <s v="GL001132"/>
    <x v="649"/>
    <n v="4000"/>
    <x v="0"/>
    <n v="0"/>
    <n v="4439.8900000000003"/>
    <x v="0"/>
    <s v="CC400"/>
    <s v="AutoPost 1132"/>
    <s v="EUR"/>
    <s v="2024-09"/>
    <n v="4439.8900000000003"/>
    <m/>
    <n v="4439.8900000000003"/>
    <s v="N/A"/>
    <s v=" "/>
  </r>
  <r>
    <s v="GL001133"/>
    <x v="150"/>
    <n v="4010"/>
    <x v="4"/>
    <n v="0"/>
    <n v="1093.95"/>
    <x v="4"/>
    <s v="CC100"/>
    <s v="AutoPost 1133"/>
    <s v="USD"/>
    <s v="2024-07"/>
    <n v="1093.95"/>
    <m/>
    <n v="1093.95"/>
    <s v="N/A"/>
    <s v=" "/>
  </r>
  <r>
    <s v="GL001134"/>
    <x v="650"/>
    <n v="5000"/>
    <x v="1"/>
    <n v="900.67"/>
    <n v="0"/>
    <x v="3"/>
    <s v="CC200"/>
    <s v="AutoPost 1134"/>
    <s v="AUD"/>
    <s v="2024-11"/>
    <n v="-900.67"/>
    <m/>
    <n v="-900.67"/>
    <s v="N/A"/>
    <s v=" "/>
  </r>
  <r>
    <s v="GL001135"/>
    <x v="341"/>
    <n v="4000"/>
    <x v="0"/>
    <n v="0"/>
    <n v="2284.31"/>
    <x v="2"/>
    <s v="CC500"/>
    <s v="AutoPost 1135"/>
    <s v="AUD"/>
    <s v="2023-11"/>
    <n v="2284.31"/>
    <m/>
    <n v="2284.31"/>
    <s v="N/A"/>
    <s v=" "/>
  </r>
  <r>
    <s v="GL001136"/>
    <x v="199"/>
    <n v="5000"/>
    <x v="1"/>
    <n v="1994.11"/>
    <n v="0"/>
    <x v="5"/>
    <s v="CC400"/>
    <s v="AutoPost 1136"/>
    <s v="AUD"/>
    <s v="2023-12"/>
    <n v="-1994.11"/>
    <m/>
    <n v="-1994.11"/>
    <s v="N/A"/>
    <s v=" "/>
  </r>
  <r>
    <s v="GL001137"/>
    <x v="651"/>
    <n v="5000"/>
    <x v="1"/>
    <n v="286.3"/>
    <n v="0"/>
    <x v="3"/>
    <s v="CC200"/>
    <s v="AutoPost 1137"/>
    <s v="CAD"/>
    <s v="2023-06"/>
    <n v="-286.3"/>
    <m/>
    <n v="-286.3"/>
    <s v="N/A"/>
    <s v=" "/>
  </r>
  <r>
    <s v="GL001138"/>
    <x v="18"/>
    <n v="6000"/>
    <x v="2"/>
    <n v="1069.23"/>
    <n v="0"/>
    <x v="5"/>
    <s v="CC400"/>
    <s v="AutoPost 1138"/>
    <s v="CAD"/>
    <s v="2023-01"/>
    <n v="-1069.23"/>
    <m/>
    <n v="-1069.23"/>
    <s v="N/A"/>
    <s v=" "/>
  </r>
  <r>
    <s v="GL001139"/>
    <x v="392"/>
    <n v="6000"/>
    <x v="2"/>
    <n v="901.69"/>
    <n v="0"/>
    <x v="1"/>
    <s v="CC500"/>
    <s v="AutoPost 1139"/>
    <s v="AUD"/>
    <s v="2024-09"/>
    <n v="-901.69"/>
    <m/>
    <n v="-901.69"/>
    <s v="N/A"/>
    <s v=" "/>
  </r>
  <r>
    <s v="GL001140"/>
    <x v="196"/>
    <n v="6000"/>
    <x v="2"/>
    <n v="1692.4"/>
    <n v="0"/>
    <x v="2"/>
    <s v="CC200"/>
    <s v="AutoPost 1140"/>
    <s v="CAD"/>
    <s v="2023-11"/>
    <n v="-1692.4"/>
    <m/>
    <n v="-1692.4"/>
    <s v="N/A"/>
    <s v=" "/>
  </r>
  <r>
    <s v="GL001141"/>
    <x v="265"/>
    <n v="4010"/>
    <x v="4"/>
    <n v="0"/>
    <n v="4894.3999999999996"/>
    <x v="0"/>
    <s v="CC500"/>
    <s v="AutoPost 1141"/>
    <s v="USD"/>
    <s v="2024-07"/>
    <n v="4894.3999999999996"/>
    <m/>
    <n v="4894.3999999999996"/>
    <s v="N/A"/>
    <s v=" "/>
  </r>
  <r>
    <s v="GL001142"/>
    <x v="652"/>
    <n v="5000"/>
    <x v="1"/>
    <n v="535.66999999999996"/>
    <n v="0"/>
    <x v="0"/>
    <s v="CC500"/>
    <s v="AutoPost 1142"/>
    <s v="CAD"/>
    <s v="2023-12"/>
    <n v="-535.66999999999996"/>
    <m/>
    <n v="-535.66999999999996"/>
    <s v="N/A"/>
    <s v=" "/>
  </r>
  <r>
    <s v="GL001143"/>
    <x v="653"/>
    <n v="6000"/>
    <x v="2"/>
    <n v="1153.45"/>
    <n v="0"/>
    <x v="5"/>
    <s v="CC400"/>
    <s v="AutoPost 1143"/>
    <s v="GBP"/>
    <s v="2024-08"/>
    <n v="-1153.45"/>
    <m/>
    <n v="-1153.45"/>
    <s v="N/A"/>
    <s v=" "/>
  </r>
  <r>
    <s v="GL001144"/>
    <x v="378"/>
    <n v="4010"/>
    <x v="4"/>
    <n v="0"/>
    <n v="2523.88"/>
    <x v="1"/>
    <s v="CC300"/>
    <s v="AutoPost 1144"/>
    <s v="AUD"/>
    <s v="2023-08"/>
    <n v="2523.88"/>
    <m/>
    <n v="2523.88"/>
    <s v="N/A"/>
    <s v=" "/>
  </r>
  <r>
    <s v="GL001145"/>
    <x v="654"/>
    <n v="6000"/>
    <x v="2"/>
    <n v="621.37"/>
    <n v="0"/>
    <x v="3"/>
    <s v="CC300"/>
    <s v="AutoPost 1145"/>
    <s v="EUR"/>
    <s v="2023-10"/>
    <n v="-621.37"/>
    <m/>
    <n v="-621.37"/>
    <s v="N/A"/>
    <s v=" "/>
  </r>
  <r>
    <s v="GL001146"/>
    <x v="111"/>
    <n v="5010"/>
    <x v="3"/>
    <n v="991.7"/>
    <n v="0"/>
    <x v="1"/>
    <s v="CC500"/>
    <s v="AutoPost 1146"/>
    <s v="EUR"/>
    <s v="2025-01"/>
    <n v="-991.7"/>
    <m/>
    <n v="-991.7"/>
    <s v="N/A"/>
    <s v=" "/>
  </r>
  <r>
    <s v="GL001147"/>
    <x v="517"/>
    <n v="6000"/>
    <x v="2"/>
    <n v="1727.08"/>
    <n v="0"/>
    <x v="2"/>
    <s v="CC300"/>
    <s v="AutoPost 1147"/>
    <s v="AUD"/>
    <s v="2025-05"/>
    <n v="-1727.08"/>
    <m/>
    <n v="-1727.08"/>
    <s v="N/A"/>
    <s v=" "/>
  </r>
  <r>
    <s v="GL001148"/>
    <x v="617"/>
    <n v="6000"/>
    <x v="2"/>
    <n v="1518.91"/>
    <n v="0"/>
    <x v="0"/>
    <s v="CC100"/>
    <s v="AutoPost 1148"/>
    <s v="AUD"/>
    <s v="2023-11"/>
    <n v="-1518.91"/>
    <m/>
    <n v="-1518.91"/>
    <s v="N/A"/>
    <s v=" "/>
  </r>
  <r>
    <s v="GL001149"/>
    <x v="240"/>
    <n v="4000"/>
    <x v="0"/>
    <n v="0"/>
    <n v="1266.3499999999999"/>
    <x v="5"/>
    <s v="CC300"/>
    <s v="AutoPost 1149"/>
    <s v="CAD"/>
    <s v="2024-02"/>
    <n v="1266.3499999999999"/>
    <m/>
    <n v="1266.3499999999999"/>
    <s v="N/A"/>
    <s v=" "/>
  </r>
  <r>
    <s v="GL001150"/>
    <x v="357"/>
    <n v="4000"/>
    <x v="0"/>
    <n v="0"/>
    <n v="3886.29"/>
    <x v="2"/>
    <s v="CC300"/>
    <s v="AutoPost 1150"/>
    <s v="GBP"/>
    <s v="2024-12"/>
    <n v="3886.29"/>
    <m/>
    <n v="3886.29"/>
    <s v="N/A"/>
    <s v=" "/>
  </r>
  <r>
    <s v="GL001151"/>
    <x v="117"/>
    <n v="6000"/>
    <x v="2"/>
    <n v="584.9"/>
    <n v="0"/>
    <x v="2"/>
    <s v="CC400"/>
    <s v="AutoPost 1151"/>
    <s v="EUR"/>
    <s v="2023-02"/>
    <n v="-584.9"/>
    <m/>
    <n v="-584.9"/>
    <s v="N/A"/>
    <s v=" "/>
  </r>
  <r>
    <s v="GL001152"/>
    <x v="241"/>
    <n v="5000"/>
    <x v="1"/>
    <n v="1212.48"/>
    <n v="0"/>
    <x v="4"/>
    <s v="CC300"/>
    <s v="AutoPost 1152"/>
    <s v="EUR"/>
    <s v="2024-02"/>
    <n v="-1212.48"/>
    <m/>
    <n v="-1212.48"/>
    <s v="N/A"/>
    <s v=" "/>
  </r>
  <r>
    <s v="GL001153"/>
    <x v="655"/>
    <n v="6000"/>
    <x v="2"/>
    <n v="1084.73"/>
    <n v="0"/>
    <x v="0"/>
    <s v="CC100"/>
    <s v="AutoPost 1153"/>
    <s v="CAD"/>
    <s v="2024-04"/>
    <n v="-1084.73"/>
    <m/>
    <n v="-1084.73"/>
    <s v="N/A"/>
    <s v=" "/>
  </r>
  <r>
    <s v="GL001154"/>
    <x v="656"/>
    <n v="6000"/>
    <x v="2"/>
    <n v="1218.47"/>
    <n v="0"/>
    <x v="1"/>
    <s v="CC200"/>
    <s v="AutoPost 1154"/>
    <s v="GBP"/>
    <s v="2023-12"/>
    <n v="-1218.47"/>
    <m/>
    <n v="-1218.47"/>
    <s v="N/A"/>
    <s v=" "/>
  </r>
  <r>
    <s v="GL001155"/>
    <x v="45"/>
    <n v="6000"/>
    <x v="2"/>
    <n v="134.03"/>
    <n v="0"/>
    <x v="4"/>
    <s v="CC500"/>
    <s v="AutoPost 1155"/>
    <s v="CAD"/>
    <s v="2024-03"/>
    <n v="-134.03"/>
    <m/>
    <n v="-134.03"/>
    <s v="N/A"/>
    <s v=" "/>
  </r>
  <r>
    <s v="GL001156"/>
    <x v="657"/>
    <n v="5010"/>
    <x v="3"/>
    <n v="1961.58"/>
    <n v="0"/>
    <x v="4"/>
    <s v="CC300"/>
    <s v="AutoPost 1156"/>
    <s v="USD"/>
    <s v="2023-05"/>
    <n v="-1961.58"/>
    <m/>
    <n v="-1961.58"/>
    <s v="N/A"/>
    <s v=" "/>
  </r>
  <r>
    <s v="GL001157"/>
    <x v="18"/>
    <n v="6000"/>
    <x v="2"/>
    <n v="320.36"/>
    <n v="0"/>
    <x v="5"/>
    <s v="CC200"/>
    <s v="AutoPost 1157"/>
    <s v="USD"/>
    <s v="2023-01"/>
    <n v="-320.36"/>
    <m/>
    <n v="-320.36"/>
    <s v="N/A"/>
    <s v=" "/>
  </r>
  <r>
    <s v="GL001158"/>
    <x v="365"/>
    <n v="5010"/>
    <x v="3"/>
    <n v="727.24"/>
    <n v="0"/>
    <x v="3"/>
    <s v="CC100"/>
    <s v="AutoPost 1158"/>
    <s v="EUR"/>
    <s v="2024-09"/>
    <n v="-727.24"/>
    <m/>
    <n v="-727.24"/>
    <s v="N/A"/>
    <s v=" "/>
  </r>
  <r>
    <s v="GL001159"/>
    <x v="300"/>
    <n v="5000"/>
    <x v="1"/>
    <n v="334.7"/>
    <n v="0"/>
    <x v="5"/>
    <s v="CC400"/>
    <s v="AutoPost 1159"/>
    <s v="EUR"/>
    <s v="2023-04"/>
    <n v="-334.7"/>
    <m/>
    <n v="-334.7"/>
    <s v="N/A"/>
    <s v=" "/>
  </r>
  <r>
    <s v="GL001160"/>
    <x v="658"/>
    <n v="6000"/>
    <x v="2"/>
    <n v="620.16999999999996"/>
    <n v="0"/>
    <x v="0"/>
    <s v="CC200"/>
    <s v="AutoPost 1160"/>
    <s v="AUD"/>
    <s v="2023-04"/>
    <n v="-620.16999999999996"/>
    <m/>
    <n v="-620.16999999999996"/>
    <s v="N/A"/>
    <s v=" "/>
  </r>
  <r>
    <s v="GL001161"/>
    <x v="222"/>
    <n v="4010"/>
    <x v="4"/>
    <n v="0"/>
    <n v="2933.41"/>
    <x v="0"/>
    <s v="CC500"/>
    <s v="AutoPost 1161"/>
    <s v="GBP"/>
    <s v="2024-07"/>
    <n v="2933.41"/>
    <m/>
    <n v="2933.41"/>
    <s v="N/A"/>
    <s v=" "/>
  </r>
  <r>
    <s v="GL001162"/>
    <x v="615"/>
    <n v="4010"/>
    <x v="4"/>
    <n v="0"/>
    <n v="2103.91"/>
    <x v="0"/>
    <s v="CC400"/>
    <s v="AutoPost 1162"/>
    <s v="CAD"/>
    <s v="2023-06"/>
    <n v="2103.91"/>
    <m/>
    <n v="2103.91"/>
    <s v="N/A"/>
    <s v=" "/>
  </r>
  <r>
    <s v="GL001163"/>
    <x v="206"/>
    <n v="6000"/>
    <x v="2"/>
    <n v="626.96"/>
    <n v="0"/>
    <x v="5"/>
    <s v="CC100"/>
    <s v="AutoPost 1163"/>
    <s v="GBP"/>
    <s v="2023-07"/>
    <n v="-626.96"/>
    <m/>
    <n v="-626.96"/>
    <s v="N/A"/>
    <s v=" "/>
  </r>
  <r>
    <s v="GL001164"/>
    <x v="659"/>
    <n v="4000"/>
    <x v="0"/>
    <n v="0"/>
    <n v="3001.97"/>
    <x v="2"/>
    <s v="CC200"/>
    <s v="AutoPost 1164"/>
    <s v="USD"/>
    <s v="2024-07"/>
    <n v="3001.97"/>
    <m/>
    <n v="3001.97"/>
    <s v="N/A"/>
    <s v=" "/>
  </r>
  <r>
    <s v="GL001165"/>
    <x v="135"/>
    <n v="5000"/>
    <x v="1"/>
    <n v="1130.18"/>
    <n v="0"/>
    <x v="5"/>
    <s v="CC200"/>
    <s v="AutoPost 1165"/>
    <s v="GBP"/>
    <s v="2025-01"/>
    <n v="-1130.18"/>
    <m/>
    <n v="-1130.18"/>
    <s v="N/A"/>
    <s v=" "/>
  </r>
  <r>
    <s v="GL001166"/>
    <x v="371"/>
    <n v="5010"/>
    <x v="3"/>
    <n v="1772.72"/>
    <n v="0"/>
    <x v="3"/>
    <s v="CC500"/>
    <s v="AutoPost 1166"/>
    <s v="CAD"/>
    <s v="2023-12"/>
    <n v="-1772.72"/>
    <m/>
    <n v="-1772.72"/>
    <s v="N/A"/>
    <s v=" "/>
  </r>
  <r>
    <s v="GL001167"/>
    <x v="241"/>
    <n v="5010"/>
    <x v="3"/>
    <n v="152.83000000000001"/>
    <n v="0"/>
    <x v="0"/>
    <s v="CC200"/>
    <s v="AutoPost 1167"/>
    <s v="CAD"/>
    <s v="2024-02"/>
    <n v="-152.83000000000001"/>
    <m/>
    <n v="-152.83000000000001"/>
    <s v="N/A"/>
    <s v=" "/>
  </r>
  <r>
    <s v="GL001168"/>
    <x v="644"/>
    <n v="5000"/>
    <x v="1"/>
    <n v="954.94"/>
    <n v="0"/>
    <x v="1"/>
    <s v="CC200"/>
    <s v="AutoPost 1168"/>
    <s v="EUR"/>
    <s v="2023-01"/>
    <n v="-954.94"/>
    <m/>
    <n v="-954.94"/>
    <s v="N/A"/>
    <s v=" "/>
  </r>
  <r>
    <s v="GL001169"/>
    <x v="67"/>
    <n v="4010"/>
    <x v="4"/>
    <n v="0"/>
    <n v="4418.1899999999996"/>
    <x v="2"/>
    <s v="CC400"/>
    <s v="AutoPost 1169"/>
    <s v="CAD"/>
    <s v="2025-06"/>
    <n v="4418.1899999999996"/>
    <m/>
    <n v="4418.1899999999996"/>
    <s v="N/A"/>
    <s v=" "/>
  </r>
  <r>
    <s v="GL001170"/>
    <x v="317"/>
    <n v="5010"/>
    <x v="3"/>
    <n v="1814.27"/>
    <n v="0"/>
    <x v="0"/>
    <s v="CC100"/>
    <s v="AutoPost 1170"/>
    <s v="USD"/>
    <s v="2024-03"/>
    <n v="-1814.27"/>
    <m/>
    <n v="-1814.27"/>
    <s v="N/A"/>
    <s v=" "/>
  </r>
  <r>
    <s v="GL001171"/>
    <x v="53"/>
    <n v="4000"/>
    <x v="0"/>
    <n v="0"/>
    <n v="815.4"/>
    <x v="5"/>
    <s v="CC100"/>
    <s v="AutoPost 1171"/>
    <s v="EUR"/>
    <s v="2024-04"/>
    <n v="815.4"/>
    <m/>
    <n v="815.4"/>
    <s v="N/A"/>
    <s v=" "/>
  </r>
  <r>
    <s v="GL001172"/>
    <x v="343"/>
    <n v="5000"/>
    <x v="1"/>
    <n v="290.05"/>
    <n v="0"/>
    <x v="3"/>
    <s v="CC400"/>
    <s v="AutoPost 1172"/>
    <s v="CAD"/>
    <s v="2024-08"/>
    <n v="-290.05"/>
    <m/>
    <n v="-290.05"/>
    <s v="N/A"/>
    <s v=" "/>
  </r>
  <r>
    <s v="GL001173"/>
    <x v="69"/>
    <n v="6000"/>
    <x v="2"/>
    <n v="1726.68"/>
    <n v="0"/>
    <x v="4"/>
    <s v="CC300"/>
    <s v="AutoPost 1173"/>
    <s v="AUD"/>
    <s v="2025-05"/>
    <n v="-1726.68"/>
    <m/>
    <n v="-1726.68"/>
    <s v="N/A"/>
    <s v=" "/>
  </r>
  <r>
    <s v="GL001174"/>
    <x v="440"/>
    <n v="4010"/>
    <x v="4"/>
    <n v="0"/>
    <n v="2724.33"/>
    <x v="4"/>
    <s v="CC500"/>
    <s v="AutoPost 1174"/>
    <s v="GBP"/>
    <s v="2025-04"/>
    <n v="2724.33"/>
    <m/>
    <n v="2724.33"/>
    <s v="N/A"/>
    <s v=" "/>
  </r>
  <r>
    <s v="GL001175"/>
    <x v="15"/>
    <n v="4010"/>
    <x v="4"/>
    <n v="0"/>
    <n v="517.76"/>
    <x v="3"/>
    <s v="CC100"/>
    <s v="AutoPost 1175"/>
    <s v="CAD"/>
    <s v="2023-04"/>
    <n v="517.76"/>
    <m/>
    <n v="517.76"/>
    <s v="N/A"/>
    <s v=" "/>
  </r>
  <r>
    <s v="GL001176"/>
    <x v="660"/>
    <n v="5010"/>
    <x v="3"/>
    <n v="1718.84"/>
    <n v="0"/>
    <x v="2"/>
    <s v="CC200"/>
    <s v="AutoPost 1176"/>
    <s v="AUD"/>
    <s v="2023-08"/>
    <n v="-1718.84"/>
    <m/>
    <n v="-1718.84"/>
    <s v="N/A"/>
    <s v=" "/>
  </r>
  <r>
    <s v="GL001177"/>
    <x v="151"/>
    <n v="4000"/>
    <x v="0"/>
    <n v="0"/>
    <n v="3902.53"/>
    <x v="2"/>
    <s v="CC500"/>
    <s v="AutoPost 1177"/>
    <s v="USD"/>
    <s v="2024-06"/>
    <n v="3902.53"/>
    <m/>
    <n v="3902.53"/>
    <s v="N/A"/>
    <s v=" "/>
  </r>
  <r>
    <s v="GL001178"/>
    <x v="619"/>
    <n v="5000"/>
    <x v="1"/>
    <n v="820.59"/>
    <n v="0"/>
    <x v="5"/>
    <s v="CC100"/>
    <s v="AutoPost 1178"/>
    <s v="EUR"/>
    <s v="2023-11"/>
    <n v="-820.59"/>
    <m/>
    <n v="-820.59"/>
    <s v="N/A"/>
    <s v=" "/>
  </r>
  <r>
    <s v="GL001179"/>
    <x v="365"/>
    <n v="6000"/>
    <x v="2"/>
    <n v="933.21"/>
    <n v="0"/>
    <x v="2"/>
    <s v="CC100"/>
    <s v="AutoPost 1179"/>
    <s v="AUD"/>
    <s v="2024-09"/>
    <n v="-933.21"/>
    <m/>
    <n v="-933.21"/>
    <s v="N/A"/>
    <s v=" "/>
  </r>
  <r>
    <s v="GL001180"/>
    <x v="105"/>
    <n v="4010"/>
    <x v="4"/>
    <n v="0"/>
    <n v="581.76"/>
    <x v="2"/>
    <s v="CC400"/>
    <s v="AutoPost 1180"/>
    <s v="CAD"/>
    <s v="2024-03"/>
    <n v="581.76"/>
    <m/>
    <n v="581.76"/>
    <s v="N/A"/>
    <s v=" "/>
  </r>
  <r>
    <s v="GL001181"/>
    <x v="300"/>
    <n v="4000"/>
    <x v="0"/>
    <n v="0"/>
    <n v="2858.3"/>
    <x v="1"/>
    <s v="CC100"/>
    <s v="AutoPost 1181"/>
    <s v="GBP"/>
    <s v="2023-04"/>
    <n v="2858.3"/>
    <m/>
    <n v="2858.3"/>
    <s v="N/A"/>
    <s v=" "/>
  </r>
  <r>
    <s v="GL001182"/>
    <x v="476"/>
    <n v="4010"/>
    <x v="4"/>
    <n v="0"/>
    <n v="1469.73"/>
    <x v="3"/>
    <s v="CC500"/>
    <s v="AutoPost 1182"/>
    <s v="AUD"/>
    <s v="2024-01"/>
    <n v="1469.73"/>
    <m/>
    <n v="1469.73"/>
    <s v="N/A"/>
    <s v=" "/>
  </r>
  <r>
    <s v="GL001183"/>
    <x v="661"/>
    <n v="4000"/>
    <x v="0"/>
    <n v="0"/>
    <n v="4440.72"/>
    <x v="0"/>
    <s v="CC200"/>
    <s v="AutoPost 1183"/>
    <s v="GBP"/>
    <s v="2024-06"/>
    <n v="4440.72"/>
    <m/>
    <n v="4440.72"/>
    <s v="N/A"/>
    <s v=" "/>
  </r>
  <r>
    <s v="GL001184"/>
    <x v="382"/>
    <n v="5010"/>
    <x v="3"/>
    <n v="1972.41"/>
    <n v="0"/>
    <x v="4"/>
    <s v="CC400"/>
    <s v="AutoPost 1184"/>
    <s v="EUR"/>
    <s v="2025-03"/>
    <n v="-1972.41"/>
    <m/>
    <n v="-1972.41"/>
    <s v="N/A"/>
    <s v=" "/>
  </r>
  <r>
    <s v="GL001185"/>
    <x v="282"/>
    <n v="4010"/>
    <x v="4"/>
    <n v="0"/>
    <n v="841.52"/>
    <x v="1"/>
    <s v="CC100"/>
    <s v="AutoPost 1185"/>
    <s v="EUR"/>
    <s v="2024-02"/>
    <n v="841.52"/>
    <m/>
    <n v="841.52"/>
    <s v="N/A"/>
    <s v=" "/>
  </r>
  <r>
    <s v="GL001186"/>
    <x v="651"/>
    <n v="6000"/>
    <x v="2"/>
    <n v="316.14999999999998"/>
    <n v="0"/>
    <x v="3"/>
    <s v="CC100"/>
    <s v="AutoPost 1186"/>
    <s v="CAD"/>
    <s v="2023-06"/>
    <n v="-316.14999999999998"/>
    <m/>
    <n v="-316.14999999999998"/>
    <s v="N/A"/>
    <s v=" "/>
  </r>
  <r>
    <s v="GL001187"/>
    <x v="662"/>
    <n v="5010"/>
    <x v="3"/>
    <n v="475.92"/>
    <n v="0"/>
    <x v="5"/>
    <s v="CC100"/>
    <s v="AutoPost 1187"/>
    <s v="AUD"/>
    <s v="2024-01"/>
    <n v="-475.92"/>
    <m/>
    <n v="-475.92"/>
    <s v="N/A"/>
    <s v=" "/>
  </r>
  <r>
    <s v="GL001188"/>
    <x v="204"/>
    <n v="6000"/>
    <x v="2"/>
    <n v="1283.6099999999999"/>
    <n v="0"/>
    <x v="1"/>
    <s v="CC400"/>
    <s v="AutoPost 1188"/>
    <s v="GBP"/>
    <s v="2024-01"/>
    <n v="-1283.6099999999999"/>
    <m/>
    <n v="-1283.6099999999999"/>
    <s v="N/A"/>
    <s v=" "/>
  </r>
  <r>
    <s v="GL001189"/>
    <x v="663"/>
    <n v="4000"/>
    <x v="0"/>
    <n v="0"/>
    <n v="242.31"/>
    <x v="1"/>
    <s v="CC100"/>
    <s v="AutoPost 1189"/>
    <s v="CAD"/>
    <s v="2024-01"/>
    <n v="242.31"/>
    <m/>
    <n v="242.31"/>
    <s v="N/A"/>
    <s v=" "/>
  </r>
  <r>
    <s v="GL001190"/>
    <x v="614"/>
    <n v="5000"/>
    <x v="1"/>
    <n v="309.44"/>
    <n v="0"/>
    <x v="1"/>
    <s v="CC200"/>
    <s v="AutoPost 1190"/>
    <s v="EUR"/>
    <s v="2024-03"/>
    <n v="-309.44"/>
    <m/>
    <n v="-309.44"/>
    <s v="N/A"/>
    <s v=" "/>
  </r>
  <r>
    <s v="GL001191"/>
    <x v="578"/>
    <n v="6000"/>
    <x v="2"/>
    <n v="1158.3800000000001"/>
    <n v="0"/>
    <x v="0"/>
    <s v="CC500"/>
    <s v="AutoPost 1191"/>
    <s v="GBP"/>
    <s v="2025-01"/>
    <n v="-1158.3800000000001"/>
    <m/>
    <n v="-1158.3800000000001"/>
    <s v="N/A"/>
    <s v=" "/>
  </r>
  <r>
    <s v="GL001192"/>
    <x v="664"/>
    <n v="4010"/>
    <x v="4"/>
    <n v="0"/>
    <n v="1546.54"/>
    <x v="0"/>
    <s v="CC200"/>
    <s v="AutoPost 1192"/>
    <s v="USD"/>
    <s v="2023-03"/>
    <n v="1546.54"/>
    <m/>
    <n v="1546.54"/>
    <s v="N/A"/>
    <s v=" "/>
  </r>
  <r>
    <s v="GL001193"/>
    <x v="213"/>
    <n v="4010"/>
    <x v="4"/>
    <n v="0"/>
    <n v="4731.97"/>
    <x v="0"/>
    <s v="CC300"/>
    <s v="AutoPost 1193"/>
    <s v="USD"/>
    <s v="2023-03"/>
    <n v="4731.97"/>
    <m/>
    <n v="4731.97"/>
    <s v="N/A"/>
    <s v=" "/>
  </r>
  <r>
    <s v="GL001194"/>
    <x v="134"/>
    <n v="6000"/>
    <x v="2"/>
    <n v="825.81"/>
    <n v="0"/>
    <x v="2"/>
    <s v="CC100"/>
    <s v="AutoPost 1194"/>
    <s v="USD"/>
    <s v="2024-03"/>
    <n v="-825.81"/>
    <m/>
    <n v="-825.81"/>
    <s v="N/A"/>
    <s v=" "/>
  </r>
  <r>
    <s v="GL001195"/>
    <x v="665"/>
    <n v="5010"/>
    <x v="3"/>
    <n v="811.62"/>
    <n v="0"/>
    <x v="1"/>
    <s v="CC300"/>
    <s v="AutoPost 1195"/>
    <s v="CAD"/>
    <s v="2024-06"/>
    <n v="-811.62"/>
    <m/>
    <n v="-811.62"/>
    <s v="N/A"/>
    <s v=" "/>
  </r>
  <r>
    <s v="GL001196"/>
    <x v="400"/>
    <n v="6000"/>
    <x v="2"/>
    <n v="1792.82"/>
    <n v="0"/>
    <x v="1"/>
    <s v="CC500"/>
    <s v="AutoPost 1196"/>
    <s v="USD"/>
    <s v="2024-05"/>
    <n v="-1792.82"/>
    <m/>
    <n v="-1792.82"/>
    <s v="N/A"/>
    <s v=" "/>
  </r>
  <r>
    <s v="GL001197"/>
    <x v="666"/>
    <n v="4010"/>
    <x v="4"/>
    <n v="0"/>
    <n v="2374.8200000000002"/>
    <x v="1"/>
    <s v="CC300"/>
    <s v="AutoPost 1197"/>
    <s v="USD"/>
    <s v="2024-09"/>
    <n v="2374.8200000000002"/>
    <m/>
    <n v="2374.8200000000002"/>
    <s v="N/A"/>
    <s v=" "/>
  </r>
  <r>
    <s v="GL001198"/>
    <x v="575"/>
    <n v="4000"/>
    <x v="0"/>
    <n v="0"/>
    <n v="383.06"/>
    <x v="3"/>
    <s v="CC100"/>
    <s v="AutoPost 1198"/>
    <s v="GBP"/>
    <s v="2024-05"/>
    <n v="383.06"/>
    <m/>
    <n v="383.06"/>
    <s v="N/A"/>
    <s v=" "/>
  </r>
  <r>
    <s v="GL001199"/>
    <x v="353"/>
    <n v="4010"/>
    <x v="4"/>
    <n v="0"/>
    <n v="3219.96"/>
    <x v="4"/>
    <s v="CC100"/>
    <s v="AutoPost 1199"/>
    <s v="EUR"/>
    <s v="2024-07"/>
    <n v="3219.96"/>
    <m/>
    <n v="3219.96"/>
    <s v="N/A"/>
    <s v=" "/>
  </r>
  <r>
    <s v="GL001200"/>
    <x v="667"/>
    <n v="4000"/>
    <x v="0"/>
    <n v="0"/>
    <n v="1105.3800000000001"/>
    <x v="0"/>
    <s v="CC300"/>
    <s v="AutoPost 1200"/>
    <s v="AUD"/>
    <s v="2023-03"/>
    <n v="1105.3800000000001"/>
    <m/>
    <n v="1105.3800000000001"/>
    <s v="N/A"/>
    <s v=" "/>
  </r>
  <r>
    <s v="GL001201"/>
    <x v="597"/>
    <n v="5010"/>
    <x v="3"/>
    <n v="600.28"/>
    <n v="0"/>
    <x v="2"/>
    <s v="CC100"/>
    <s v="AutoPost 1201"/>
    <s v="CAD"/>
    <s v="2024-07"/>
    <n v="-600.28"/>
    <m/>
    <n v="-600.28"/>
    <s v="N/A"/>
    <s v=" "/>
  </r>
  <r>
    <s v="GL001202"/>
    <x v="559"/>
    <n v="4010"/>
    <x v="4"/>
    <n v="0"/>
    <n v="1634.89"/>
    <x v="4"/>
    <s v="CC100"/>
    <s v="AutoPost 1202"/>
    <s v="AUD"/>
    <s v="2024-09"/>
    <n v="1634.89"/>
    <m/>
    <n v="1634.89"/>
    <s v="N/A"/>
    <s v=" "/>
  </r>
  <r>
    <s v="GL001203"/>
    <x v="61"/>
    <n v="4010"/>
    <x v="4"/>
    <n v="0"/>
    <n v="2484.3000000000002"/>
    <x v="1"/>
    <s v="CC500"/>
    <s v="AutoPost 1203"/>
    <s v="CAD"/>
    <s v="2024-08"/>
    <n v="2484.3000000000002"/>
    <m/>
    <n v="2484.3000000000002"/>
    <s v="N/A"/>
    <s v=" "/>
  </r>
  <r>
    <s v="GL001204"/>
    <x v="479"/>
    <n v="4000"/>
    <x v="0"/>
    <n v="0"/>
    <n v="2824.53"/>
    <x v="4"/>
    <s v="CC500"/>
    <s v="AutoPost 1204"/>
    <s v="GBP"/>
    <s v="2025-03"/>
    <n v="2824.53"/>
    <m/>
    <n v="2824.53"/>
    <s v="N/A"/>
    <s v=" "/>
  </r>
  <r>
    <s v="GL001205"/>
    <x v="668"/>
    <n v="6000"/>
    <x v="2"/>
    <n v="269.73"/>
    <n v="0"/>
    <x v="1"/>
    <s v="CC300"/>
    <s v="AutoPost 1205"/>
    <s v="AUD"/>
    <s v="2024-12"/>
    <n v="-269.73"/>
    <m/>
    <n v="-269.73"/>
    <s v="N/A"/>
    <s v=" "/>
  </r>
  <r>
    <s v="GL001206"/>
    <x v="605"/>
    <n v="5010"/>
    <x v="3"/>
    <n v="500.85"/>
    <n v="0"/>
    <x v="3"/>
    <s v="CC400"/>
    <s v="AutoPost 1206"/>
    <s v="USD"/>
    <s v="2024-04"/>
    <n v="-500.85"/>
    <m/>
    <n v="-500.85"/>
    <s v="N/A"/>
    <s v=" "/>
  </r>
  <r>
    <s v="GL001207"/>
    <x v="237"/>
    <n v="4010"/>
    <x v="4"/>
    <n v="0"/>
    <n v="2600.9699999999998"/>
    <x v="2"/>
    <s v="CC300"/>
    <s v="AutoPost 1207"/>
    <s v="GBP"/>
    <s v="2023-10"/>
    <n v="2600.9699999999998"/>
    <m/>
    <n v="2600.9699999999998"/>
    <s v="N/A"/>
    <s v=" "/>
  </r>
  <r>
    <s v="GL001208"/>
    <x v="132"/>
    <n v="5000"/>
    <x v="1"/>
    <n v="1457.86"/>
    <n v="0"/>
    <x v="0"/>
    <s v="CC500"/>
    <s v="AutoPost 1208"/>
    <s v="GBP"/>
    <s v="2023-05"/>
    <n v="-1457.86"/>
    <m/>
    <n v="-1457.86"/>
    <s v="N/A"/>
    <s v=" "/>
  </r>
  <r>
    <s v="GL001209"/>
    <x v="494"/>
    <n v="4000"/>
    <x v="0"/>
    <n v="0"/>
    <n v="1378.84"/>
    <x v="4"/>
    <s v="CC400"/>
    <s v="AutoPost 1209"/>
    <s v="AUD"/>
    <s v="2024-07"/>
    <n v="1378.84"/>
    <m/>
    <n v="1378.84"/>
    <s v="N/A"/>
    <s v=" "/>
  </r>
  <r>
    <s v="GL001210"/>
    <x v="669"/>
    <n v="5010"/>
    <x v="3"/>
    <n v="1891.86"/>
    <n v="0"/>
    <x v="4"/>
    <s v="CC400"/>
    <s v="AutoPost 1210"/>
    <s v="AUD"/>
    <s v="2024-09"/>
    <n v="-1891.86"/>
    <m/>
    <n v="-1891.86"/>
    <s v="N/A"/>
    <s v=" "/>
  </r>
  <r>
    <s v="GL001211"/>
    <x v="464"/>
    <n v="4000"/>
    <x v="0"/>
    <n v="0"/>
    <n v="1330.12"/>
    <x v="3"/>
    <s v="CC400"/>
    <s v="AutoPost 1211"/>
    <s v="AUD"/>
    <s v="2023-08"/>
    <n v="1330.12"/>
    <m/>
    <n v="1330.12"/>
    <s v="N/A"/>
    <s v=" "/>
  </r>
  <r>
    <s v="GL001212"/>
    <x v="420"/>
    <n v="4010"/>
    <x v="4"/>
    <n v="0"/>
    <n v="695.86"/>
    <x v="2"/>
    <s v="CC100"/>
    <s v="AutoPost 1212"/>
    <s v="AUD"/>
    <s v="2024-08"/>
    <n v="695.86"/>
    <m/>
    <n v="695.86"/>
    <s v="N/A"/>
    <s v=" "/>
  </r>
  <r>
    <s v="GL001213"/>
    <x v="670"/>
    <n v="5010"/>
    <x v="3"/>
    <n v="1628.31"/>
    <n v="0"/>
    <x v="5"/>
    <s v="CC200"/>
    <s v="AutoPost 1213"/>
    <s v="GBP"/>
    <s v="2025-02"/>
    <n v="-1628.31"/>
    <m/>
    <n v="-1628.31"/>
    <s v="N/A"/>
    <s v=" "/>
  </r>
  <r>
    <s v="GL001214"/>
    <x v="671"/>
    <n v="4000"/>
    <x v="0"/>
    <n v="0"/>
    <n v="4939.1400000000003"/>
    <x v="3"/>
    <s v="CC500"/>
    <s v="AutoPost 1214"/>
    <s v="GBP"/>
    <s v="2023-05"/>
    <n v="4939.1400000000003"/>
    <m/>
    <n v="4939.1400000000003"/>
    <s v="N/A"/>
    <s v=" "/>
  </r>
  <r>
    <s v="GL001215"/>
    <x v="634"/>
    <n v="5010"/>
    <x v="3"/>
    <n v="1884.45"/>
    <n v="0"/>
    <x v="0"/>
    <s v="CC400"/>
    <s v="AutoPost 1215"/>
    <s v="AUD"/>
    <s v="2023-05"/>
    <n v="-1884.45"/>
    <m/>
    <n v="-1884.45"/>
    <s v="N/A"/>
    <s v=" "/>
  </r>
  <r>
    <s v="GL001216"/>
    <x v="672"/>
    <n v="4010"/>
    <x v="4"/>
    <n v="0"/>
    <n v="2294.84"/>
    <x v="2"/>
    <s v="CC100"/>
    <s v="AutoPost 1216"/>
    <s v="USD"/>
    <s v="2024-08"/>
    <n v="2294.84"/>
    <m/>
    <n v="2294.84"/>
    <s v="N/A"/>
    <s v=" "/>
  </r>
  <r>
    <s v="GL001217"/>
    <x v="188"/>
    <n v="6000"/>
    <x v="2"/>
    <n v="701.24"/>
    <n v="0"/>
    <x v="0"/>
    <s v="CC400"/>
    <s v="AutoPost 1217"/>
    <s v="USD"/>
    <s v="2025-02"/>
    <n v="-701.24"/>
    <m/>
    <n v="-701.24"/>
    <s v="N/A"/>
    <s v=" "/>
  </r>
  <r>
    <s v="GL001218"/>
    <x v="673"/>
    <n v="4000"/>
    <x v="0"/>
    <n v="0"/>
    <n v="1406.7"/>
    <x v="0"/>
    <s v="CC200"/>
    <s v="AutoPost 1218"/>
    <s v="EUR"/>
    <s v="2024-01"/>
    <n v="1406.7"/>
    <m/>
    <n v="1406.7"/>
    <s v="N/A"/>
    <s v=" "/>
  </r>
  <r>
    <s v="GL001219"/>
    <x v="665"/>
    <n v="6000"/>
    <x v="2"/>
    <n v="187.59"/>
    <n v="0"/>
    <x v="2"/>
    <s v="CC100"/>
    <s v="AutoPost 1219"/>
    <s v="EUR"/>
    <s v="2024-06"/>
    <n v="-187.59"/>
    <m/>
    <n v="-187.59"/>
    <s v="N/A"/>
    <s v=" "/>
  </r>
  <r>
    <s v="GL001220"/>
    <x v="242"/>
    <n v="4000"/>
    <x v="0"/>
    <n v="0"/>
    <n v="1358.12"/>
    <x v="4"/>
    <s v="CC300"/>
    <s v="AutoPost 1220"/>
    <s v="USD"/>
    <s v="2023-06"/>
    <n v="1358.12"/>
    <m/>
    <n v="1358.12"/>
    <s v="N/A"/>
    <s v=" "/>
  </r>
  <r>
    <s v="GL001221"/>
    <x v="326"/>
    <n v="5000"/>
    <x v="1"/>
    <n v="695.83"/>
    <n v="0"/>
    <x v="5"/>
    <s v="CC400"/>
    <s v="AutoPost 1221"/>
    <s v="CAD"/>
    <s v="2025-05"/>
    <n v="-695.83"/>
    <m/>
    <n v="-695.83"/>
    <s v="N/A"/>
    <s v=" "/>
  </r>
  <r>
    <s v="GL001222"/>
    <x v="460"/>
    <n v="5010"/>
    <x v="3"/>
    <n v="200.78"/>
    <n v="0"/>
    <x v="5"/>
    <s v="CC400"/>
    <s v="AutoPost 1222"/>
    <s v="CAD"/>
    <s v="2024-08"/>
    <n v="-200.78"/>
    <m/>
    <n v="-200.78"/>
    <s v="N/A"/>
    <s v=" "/>
  </r>
  <r>
    <s v="GL001223"/>
    <x v="443"/>
    <n v="4000"/>
    <x v="0"/>
    <n v="0"/>
    <n v="2848.57"/>
    <x v="3"/>
    <s v="CC300"/>
    <s v="AutoPost 1223"/>
    <s v="AUD"/>
    <s v="2023-09"/>
    <n v="2848.57"/>
    <m/>
    <n v="2848.57"/>
    <s v="N/A"/>
    <s v=" "/>
  </r>
  <r>
    <s v="GL001224"/>
    <x v="168"/>
    <n v="5000"/>
    <x v="1"/>
    <n v="185.51"/>
    <n v="0"/>
    <x v="0"/>
    <s v="CC400"/>
    <s v="AutoPost 1224"/>
    <s v="GBP"/>
    <s v="2023-05"/>
    <n v="-185.51"/>
    <m/>
    <n v="-185.51"/>
    <s v="N/A"/>
    <s v=" "/>
  </r>
  <r>
    <s v="GL001225"/>
    <x v="30"/>
    <n v="6000"/>
    <x v="2"/>
    <n v="935.9"/>
    <n v="0"/>
    <x v="2"/>
    <s v="CC500"/>
    <s v="AutoPost 1225"/>
    <s v="CAD"/>
    <s v="2024-01"/>
    <n v="-935.9"/>
    <m/>
    <n v="-935.9"/>
    <s v="N/A"/>
    <s v=" "/>
  </r>
  <r>
    <s v="GL001226"/>
    <x v="545"/>
    <n v="5000"/>
    <x v="1"/>
    <n v="1358.9"/>
    <n v="0"/>
    <x v="3"/>
    <s v="CC300"/>
    <s v="AutoPost 1226"/>
    <s v="USD"/>
    <s v="2024-07"/>
    <n v="-1358.9"/>
    <m/>
    <n v="-1358.9"/>
    <s v="N/A"/>
    <s v=" "/>
  </r>
  <r>
    <s v="GL001227"/>
    <x v="71"/>
    <n v="5000"/>
    <x v="1"/>
    <n v="1242.6500000000001"/>
    <n v="0"/>
    <x v="4"/>
    <s v="CC200"/>
    <s v="AutoPost 1227"/>
    <s v="USD"/>
    <s v="2025-02"/>
    <n v="-1242.6500000000001"/>
    <m/>
    <n v="-1242.6500000000001"/>
    <s v="N/A"/>
    <s v=" "/>
  </r>
  <r>
    <s v="GL001228"/>
    <x v="158"/>
    <n v="4010"/>
    <x v="4"/>
    <n v="0"/>
    <n v="1524.63"/>
    <x v="5"/>
    <s v="CC200"/>
    <s v="AutoPost 1228"/>
    <s v="CAD"/>
    <s v="2024-07"/>
    <n v="1524.63"/>
    <m/>
    <n v="1524.63"/>
    <s v="N/A"/>
    <s v=" "/>
  </r>
  <r>
    <s v="GL001229"/>
    <x v="28"/>
    <n v="4010"/>
    <x v="4"/>
    <n v="0"/>
    <n v="1391.91"/>
    <x v="2"/>
    <s v="CC200"/>
    <s v="AutoPost 1229"/>
    <s v="USD"/>
    <s v="2025-03"/>
    <n v="1391.91"/>
    <m/>
    <n v="1391.91"/>
    <s v="N/A"/>
    <s v=" "/>
  </r>
  <r>
    <s v="GL001230"/>
    <x v="270"/>
    <n v="4000"/>
    <x v="0"/>
    <n v="0"/>
    <n v="3506.68"/>
    <x v="5"/>
    <s v="CC200"/>
    <s v="AutoPost 1230"/>
    <s v="CAD"/>
    <s v="2024-10"/>
    <n v="3506.68"/>
    <m/>
    <n v="3506.68"/>
    <s v="N/A"/>
    <s v=" "/>
  </r>
  <r>
    <s v="GL001231"/>
    <x v="280"/>
    <n v="5000"/>
    <x v="1"/>
    <n v="1331.89"/>
    <n v="0"/>
    <x v="4"/>
    <s v="CC400"/>
    <s v="AutoPost 1231"/>
    <s v="GBP"/>
    <s v="2024-08"/>
    <n v="-1331.89"/>
    <m/>
    <n v="-1331.89"/>
    <s v="N/A"/>
    <s v=" "/>
  </r>
  <r>
    <s v="GL001232"/>
    <x v="674"/>
    <n v="5000"/>
    <x v="1"/>
    <n v="674.31"/>
    <n v="0"/>
    <x v="1"/>
    <s v="CC500"/>
    <s v="AutoPost 1232"/>
    <s v="GBP"/>
    <s v="2023-06"/>
    <n v="-674.31"/>
    <m/>
    <n v="-674.31"/>
    <s v="N/A"/>
    <s v=" "/>
  </r>
  <r>
    <s v="GL001233"/>
    <x v="675"/>
    <n v="4000"/>
    <x v="0"/>
    <n v="0"/>
    <n v="2570.4299999999998"/>
    <x v="2"/>
    <s v="CC100"/>
    <s v="AutoPost 1233"/>
    <s v="EUR"/>
    <s v="2024-04"/>
    <n v="2570.4299999999998"/>
    <m/>
    <n v="2570.4299999999998"/>
    <s v="N/A"/>
    <s v=" "/>
  </r>
  <r>
    <s v="GL001234"/>
    <x v="479"/>
    <n v="4010"/>
    <x v="4"/>
    <n v="0"/>
    <n v="1312.61"/>
    <x v="5"/>
    <s v="CC200"/>
    <s v="AutoPost 1234"/>
    <s v="CAD"/>
    <s v="2025-03"/>
    <n v="1312.61"/>
    <m/>
    <n v="1312.61"/>
    <s v="N/A"/>
    <s v=" "/>
  </r>
  <r>
    <s v="GL001235"/>
    <x v="279"/>
    <n v="5000"/>
    <x v="1"/>
    <n v="1101.82"/>
    <n v="0"/>
    <x v="1"/>
    <s v="CC300"/>
    <s v="AutoPost 1235"/>
    <s v="GBP"/>
    <s v="2024-01"/>
    <n v="-1101.82"/>
    <m/>
    <n v="-1101.82"/>
    <s v="N/A"/>
    <s v=" "/>
  </r>
  <r>
    <s v="GL001236"/>
    <x v="676"/>
    <n v="4000"/>
    <x v="0"/>
    <n v="0"/>
    <n v="143.81"/>
    <x v="5"/>
    <s v="CC400"/>
    <s v="AutoPost 1236"/>
    <s v="CAD"/>
    <s v="2024-06"/>
    <n v="143.81"/>
    <m/>
    <n v="143.81"/>
    <s v="N/A"/>
    <s v=" "/>
  </r>
  <r>
    <s v="GL001237"/>
    <x v="26"/>
    <n v="4000"/>
    <x v="0"/>
    <n v="0"/>
    <n v="838.04"/>
    <x v="1"/>
    <s v="CC500"/>
    <s v="AutoPost 1237"/>
    <s v="AUD"/>
    <s v="2024-11"/>
    <n v="838.04"/>
    <m/>
    <n v="838.04"/>
    <s v="N/A"/>
    <s v=" "/>
  </r>
  <r>
    <s v="GL001238"/>
    <x v="230"/>
    <n v="6000"/>
    <x v="2"/>
    <n v="1626.01"/>
    <n v="0"/>
    <x v="2"/>
    <s v="CC100"/>
    <s v="AutoPost 1238"/>
    <s v="CAD"/>
    <s v="2024-03"/>
    <n v="-1626.01"/>
    <m/>
    <n v="-1626.01"/>
    <s v="N/A"/>
    <s v=" "/>
  </r>
  <r>
    <s v="GL001239"/>
    <x v="677"/>
    <n v="5000"/>
    <x v="1"/>
    <n v="1394.34"/>
    <n v="0"/>
    <x v="2"/>
    <s v="CC200"/>
    <s v="AutoPost 1239"/>
    <s v="EUR"/>
    <s v="2023-09"/>
    <n v="-1394.34"/>
    <m/>
    <n v="-1394.34"/>
    <s v="N/A"/>
    <s v=" "/>
  </r>
  <r>
    <s v="GL001240"/>
    <x v="91"/>
    <n v="4010"/>
    <x v="4"/>
    <n v="0"/>
    <n v="1022.63"/>
    <x v="0"/>
    <s v="CC100"/>
    <s v="AutoPost 1240"/>
    <s v="CAD"/>
    <s v="2025-05"/>
    <n v="1022.63"/>
    <m/>
    <n v="1022.63"/>
    <s v="N/A"/>
    <s v=" "/>
  </r>
  <r>
    <s v="GL001241"/>
    <x v="251"/>
    <n v="5010"/>
    <x v="3"/>
    <n v="1757.53"/>
    <n v="0"/>
    <x v="5"/>
    <s v="CC100"/>
    <s v="AutoPost 1241"/>
    <s v="GBP"/>
    <s v="2023-04"/>
    <n v="-1757.53"/>
    <m/>
    <n v="-1757.53"/>
    <s v="N/A"/>
    <s v=" "/>
  </r>
  <r>
    <s v="GL001242"/>
    <x v="404"/>
    <n v="4000"/>
    <x v="0"/>
    <n v="0"/>
    <n v="1866.82"/>
    <x v="2"/>
    <s v="CC500"/>
    <s v="AutoPost 1242"/>
    <s v="AUD"/>
    <s v="2025-05"/>
    <n v="1866.82"/>
    <m/>
    <n v="1866.82"/>
    <s v="N/A"/>
    <s v=" "/>
  </r>
  <r>
    <s v="GL001243"/>
    <x v="36"/>
    <n v="6000"/>
    <x v="2"/>
    <n v="1791.42"/>
    <n v="0"/>
    <x v="3"/>
    <s v="CC100"/>
    <s v="AutoPost 1243"/>
    <s v="EUR"/>
    <s v="2025-04"/>
    <n v="-1791.42"/>
    <m/>
    <n v="-1791.42"/>
    <s v="N/A"/>
    <s v=" "/>
  </r>
  <r>
    <s v="GL001244"/>
    <x v="494"/>
    <n v="6000"/>
    <x v="2"/>
    <n v="1809.92"/>
    <n v="0"/>
    <x v="1"/>
    <s v="CC100"/>
    <s v="AutoPost 1244"/>
    <s v="EUR"/>
    <s v="2024-07"/>
    <n v="-1809.92"/>
    <m/>
    <n v="-1809.92"/>
    <s v="N/A"/>
    <s v=" "/>
  </r>
  <r>
    <s v="GL001245"/>
    <x v="25"/>
    <n v="4010"/>
    <x v="4"/>
    <n v="0"/>
    <n v="212.06"/>
    <x v="0"/>
    <s v="CC500"/>
    <s v="AutoPost 1245"/>
    <s v="AUD"/>
    <s v="2025-05"/>
    <n v="212.06"/>
    <m/>
    <n v="212.06"/>
    <s v="N/A"/>
    <s v=" "/>
  </r>
  <r>
    <s v="GL001246"/>
    <x v="678"/>
    <n v="6000"/>
    <x v="2"/>
    <n v="227.05"/>
    <n v="0"/>
    <x v="1"/>
    <s v="CC200"/>
    <s v="AutoPost 1246"/>
    <s v="AUD"/>
    <s v="2023-12"/>
    <n v="-227.05"/>
    <m/>
    <n v="-227.05"/>
    <s v="N/A"/>
    <s v=" "/>
  </r>
  <r>
    <s v="GL001247"/>
    <x v="88"/>
    <n v="4000"/>
    <x v="0"/>
    <n v="0"/>
    <n v="3603.35"/>
    <x v="0"/>
    <s v="CC400"/>
    <s v="AutoPost 1247"/>
    <s v="GBP"/>
    <s v="2024-05"/>
    <n v="3603.35"/>
    <m/>
    <n v="3603.35"/>
    <s v="N/A"/>
    <s v=" "/>
  </r>
  <r>
    <s v="GL001248"/>
    <x v="679"/>
    <n v="5000"/>
    <x v="1"/>
    <n v="185.67"/>
    <n v="0"/>
    <x v="4"/>
    <s v="CC300"/>
    <s v="AutoPost 1248"/>
    <s v="EUR"/>
    <s v="2024-04"/>
    <n v="-185.67"/>
    <m/>
    <n v="-185.67"/>
    <s v="N/A"/>
    <s v=" "/>
  </r>
  <r>
    <s v="GL001249"/>
    <x v="680"/>
    <n v="4010"/>
    <x v="4"/>
    <n v="0"/>
    <n v="4699.12"/>
    <x v="3"/>
    <s v="CC200"/>
    <s v="AutoPost 1249"/>
    <s v="EUR"/>
    <s v="2024-06"/>
    <n v="4699.12"/>
    <m/>
    <n v="4699.12"/>
    <s v="N/A"/>
    <s v=" "/>
  </r>
  <r>
    <s v="GL001250"/>
    <x v="8"/>
    <n v="5010"/>
    <x v="3"/>
    <n v="1352.97"/>
    <n v="0"/>
    <x v="3"/>
    <s v="CC500"/>
    <s v="AutoPost 1250"/>
    <s v="CAD"/>
    <s v="2024-04"/>
    <n v="-1352.97"/>
    <m/>
    <n v="-1352.97"/>
    <s v="N/A"/>
    <s v=" "/>
  </r>
  <r>
    <s v="GL001251"/>
    <x v="54"/>
    <n v="5000"/>
    <x v="1"/>
    <n v="936.7"/>
    <n v="0"/>
    <x v="4"/>
    <s v="CC100"/>
    <s v="AutoPost 1251"/>
    <s v="CAD"/>
    <s v="2024-11"/>
    <n v="-936.7"/>
    <m/>
    <n v="-936.7"/>
    <s v="N/A"/>
    <s v=" "/>
  </r>
  <r>
    <s v="GL001252"/>
    <x v="681"/>
    <n v="4000"/>
    <x v="0"/>
    <n v="0"/>
    <n v="3050.31"/>
    <x v="4"/>
    <s v="CC400"/>
    <s v="AutoPost 1252"/>
    <s v="AUD"/>
    <s v="2024-07"/>
    <n v="3050.31"/>
    <m/>
    <n v="3050.31"/>
    <s v="N/A"/>
    <s v=" "/>
  </r>
  <r>
    <s v="GL001253"/>
    <x v="682"/>
    <n v="6000"/>
    <x v="2"/>
    <n v="574.09"/>
    <n v="0"/>
    <x v="3"/>
    <s v="CC200"/>
    <s v="AutoPost 1253"/>
    <s v="EUR"/>
    <s v="2024-04"/>
    <n v="-574.09"/>
    <m/>
    <n v="-574.09"/>
    <s v="N/A"/>
    <s v=" "/>
  </r>
  <r>
    <s v="GL001254"/>
    <x v="37"/>
    <n v="4000"/>
    <x v="0"/>
    <n v="0"/>
    <n v="3214.18"/>
    <x v="4"/>
    <s v="CC100"/>
    <s v="AutoPost 1254"/>
    <s v="GBP"/>
    <s v="2023-06"/>
    <n v="3214.18"/>
    <m/>
    <n v="3214.18"/>
    <s v="N/A"/>
    <s v=" "/>
  </r>
  <r>
    <s v="GL001255"/>
    <x v="571"/>
    <n v="5010"/>
    <x v="3"/>
    <n v="1415.06"/>
    <n v="0"/>
    <x v="5"/>
    <s v="CC500"/>
    <s v="AutoPost 1255"/>
    <s v="AUD"/>
    <s v="2023-05"/>
    <n v="-1415.06"/>
    <m/>
    <n v="-1415.06"/>
    <s v="N/A"/>
    <s v=" "/>
  </r>
  <r>
    <s v="GL001256"/>
    <x v="459"/>
    <n v="4000"/>
    <x v="0"/>
    <n v="0"/>
    <n v="3142.85"/>
    <x v="3"/>
    <s v="CC100"/>
    <s v="AutoPost 1256"/>
    <s v="EUR"/>
    <s v="2023-11"/>
    <n v="3142.85"/>
    <m/>
    <n v="3142.85"/>
    <s v="N/A"/>
    <s v=" "/>
  </r>
  <r>
    <s v="GL001257"/>
    <x v="294"/>
    <n v="6000"/>
    <x v="2"/>
    <n v="981.35"/>
    <n v="0"/>
    <x v="3"/>
    <s v="CC200"/>
    <s v="AutoPost 1257"/>
    <s v="CAD"/>
    <s v="2023-05"/>
    <n v="-981.35"/>
    <m/>
    <n v="-981.35"/>
    <s v="N/A"/>
    <s v=" "/>
  </r>
  <r>
    <s v="GL001258"/>
    <x v="69"/>
    <n v="4000"/>
    <x v="0"/>
    <n v="0"/>
    <n v="2967.52"/>
    <x v="0"/>
    <s v="CC200"/>
    <s v="AutoPost 1258"/>
    <s v="AUD"/>
    <s v="2025-05"/>
    <n v="2967.52"/>
    <m/>
    <n v="2967.52"/>
    <s v="N/A"/>
    <s v=" "/>
  </r>
  <r>
    <s v="GL001259"/>
    <x v="346"/>
    <n v="4000"/>
    <x v="0"/>
    <n v="0"/>
    <n v="3250.84"/>
    <x v="5"/>
    <s v="CC500"/>
    <s v="AutoPost 1259"/>
    <s v="GBP"/>
    <s v="2025-03"/>
    <n v="3250.84"/>
    <m/>
    <n v="3250.84"/>
    <s v="N/A"/>
    <s v=" "/>
  </r>
  <r>
    <s v="GL001260"/>
    <x v="240"/>
    <n v="4000"/>
    <x v="0"/>
    <n v="0"/>
    <n v="2026.45"/>
    <x v="0"/>
    <s v="CC400"/>
    <s v="AutoPost 1260"/>
    <s v="EUR"/>
    <s v="2024-02"/>
    <n v="2026.45"/>
    <m/>
    <n v="2026.45"/>
    <s v="N/A"/>
    <s v=" "/>
  </r>
  <r>
    <s v="GL001261"/>
    <x v="644"/>
    <n v="5010"/>
    <x v="3"/>
    <n v="1199.5999999999999"/>
    <n v="0"/>
    <x v="2"/>
    <s v="CC400"/>
    <s v="AutoPost 1261"/>
    <s v="EUR"/>
    <s v="2023-01"/>
    <n v="-1199.5999999999999"/>
    <m/>
    <n v="-1199.5999999999999"/>
    <s v="N/A"/>
    <s v=" "/>
  </r>
  <r>
    <s v="GL001262"/>
    <x v="18"/>
    <n v="5000"/>
    <x v="1"/>
    <n v="816.81"/>
    <n v="0"/>
    <x v="1"/>
    <s v="CC300"/>
    <s v="AutoPost 1262"/>
    <s v="EUR"/>
    <s v="2023-01"/>
    <n v="-816.81"/>
    <m/>
    <n v="-816.81"/>
    <s v="N/A"/>
    <s v=" "/>
  </r>
  <r>
    <s v="GL001263"/>
    <x v="568"/>
    <n v="4000"/>
    <x v="0"/>
    <n v="0"/>
    <n v="4074.11"/>
    <x v="1"/>
    <s v="CC400"/>
    <s v="AutoPost 1263"/>
    <s v="CAD"/>
    <s v="2024-12"/>
    <n v="4074.11"/>
    <m/>
    <n v="4074.11"/>
    <s v="N/A"/>
    <s v=" "/>
  </r>
  <r>
    <s v="GL001264"/>
    <x v="318"/>
    <n v="4000"/>
    <x v="0"/>
    <n v="0"/>
    <n v="720.36"/>
    <x v="5"/>
    <s v="CC400"/>
    <s v="AutoPost 1264"/>
    <s v="CAD"/>
    <s v="2025-05"/>
    <n v="720.36"/>
    <m/>
    <n v="720.36"/>
    <s v="N/A"/>
    <s v=" "/>
  </r>
  <r>
    <s v="GL001265"/>
    <x v="640"/>
    <n v="5010"/>
    <x v="3"/>
    <n v="1279.52"/>
    <n v="0"/>
    <x v="2"/>
    <s v="CC400"/>
    <s v="AutoPost 1265"/>
    <s v="CAD"/>
    <s v="2025-02"/>
    <n v="-1279.52"/>
    <m/>
    <n v="-1279.52"/>
    <s v="N/A"/>
    <s v=" "/>
  </r>
  <r>
    <s v="GL001266"/>
    <x v="437"/>
    <n v="5000"/>
    <x v="1"/>
    <n v="1249.06"/>
    <n v="0"/>
    <x v="1"/>
    <s v="CC200"/>
    <s v="AutoPost 1266"/>
    <s v="CAD"/>
    <s v="2024-07"/>
    <n v="-1249.06"/>
    <m/>
    <n v="-1249.06"/>
    <s v="N/A"/>
    <s v=" "/>
  </r>
  <r>
    <s v="GL001267"/>
    <x v="216"/>
    <n v="4010"/>
    <x v="4"/>
    <n v="0"/>
    <n v="4456.47"/>
    <x v="0"/>
    <s v="CC400"/>
    <s v="AutoPost 1267"/>
    <s v="EUR"/>
    <s v="2025-03"/>
    <n v="4456.47"/>
    <m/>
    <n v="4456.47"/>
    <s v="N/A"/>
    <s v=" "/>
  </r>
  <r>
    <s v="GL001268"/>
    <x v="621"/>
    <n v="4000"/>
    <x v="0"/>
    <n v="0"/>
    <n v="3830.15"/>
    <x v="0"/>
    <s v="CC300"/>
    <s v="AutoPost 1268"/>
    <s v="GBP"/>
    <s v="2025-06"/>
    <n v="3830.15"/>
    <m/>
    <n v="3830.15"/>
    <s v="N/A"/>
    <s v=" "/>
  </r>
  <r>
    <s v="GL001269"/>
    <x v="128"/>
    <n v="4010"/>
    <x v="4"/>
    <n v="0"/>
    <n v="4835.12"/>
    <x v="5"/>
    <s v="CC400"/>
    <s v="AutoPost 1269"/>
    <s v="AUD"/>
    <s v="2023-08"/>
    <n v="4835.12"/>
    <m/>
    <n v="4835.12"/>
    <s v="N/A"/>
    <s v=" "/>
  </r>
  <r>
    <s v="GL001270"/>
    <x v="280"/>
    <n v="5000"/>
    <x v="1"/>
    <n v="1165.1300000000001"/>
    <n v="0"/>
    <x v="2"/>
    <s v="CC300"/>
    <s v="AutoPost 1270"/>
    <s v="AUD"/>
    <s v="2024-08"/>
    <n v="-1165.1300000000001"/>
    <m/>
    <n v="-1165.1300000000001"/>
    <s v="N/A"/>
    <s v=" "/>
  </r>
  <r>
    <s v="GL001271"/>
    <x v="392"/>
    <n v="4000"/>
    <x v="0"/>
    <n v="0"/>
    <n v="112.08"/>
    <x v="1"/>
    <s v="CC100"/>
    <s v="AutoPost 1271"/>
    <s v="USD"/>
    <s v="2024-09"/>
    <n v="112.08"/>
    <m/>
    <n v="112.08"/>
    <s v="N/A"/>
    <s v=" "/>
  </r>
  <r>
    <s v="GL001272"/>
    <x v="595"/>
    <n v="4010"/>
    <x v="4"/>
    <n v="0"/>
    <n v="3589.18"/>
    <x v="4"/>
    <s v="CC300"/>
    <s v="AutoPost 1272"/>
    <s v="AUD"/>
    <s v="2023-07"/>
    <n v="3589.18"/>
    <m/>
    <n v="3589.18"/>
    <s v="N/A"/>
    <s v=" "/>
  </r>
  <r>
    <s v="GL001273"/>
    <x v="683"/>
    <n v="4000"/>
    <x v="0"/>
    <n v="0"/>
    <n v="1841.13"/>
    <x v="4"/>
    <s v="CC400"/>
    <s v="AutoPost 1273"/>
    <s v="CAD"/>
    <s v="2025-05"/>
    <n v="1841.13"/>
    <m/>
    <n v="1841.13"/>
    <s v="N/A"/>
    <s v=" "/>
  </r>
  <r>
    <s v="GL001274"/>
    <x v="165"/>
    <n v="5000"/>
    <x v="1"/>
    <n v="1321.13"/>
    <n v="0"/>
    <x v="4"/>
    <s v="CC300"/>
    <s v="AutoPost 1274"/>
    <s v="GBP"/>
    <s v="2025-04"/>
    <n v="-1321.13"/>
    <m/>
    <n v="-1321.13"/>
    <s v="N/A"/>
    <s v=" "/>
  </r>
  <r>
    <s v="GL001275"/>
    <x v="203"/>
    <n v="5010"/>
    <x v="3"/>
    <n v="501.83"/>
    <n v="0"/>
    <x v="5"/>
    <s v="CC100"/>
    <s v="AutoPost 1275"/>
    <s v="CAD"/>
    <s v="2025-02"/>
    <n v="-501.83"/>
    <m/>
    <n v="-501.83"/>
    <s v="N/A"/>
    <s v=" "/>
  </r>
  <r>
    <s v="GL001276"/>
    <x v="251"/>
    <n v="5010"/>
    <x v="3"/>
    <n v="233.68"/>
    <n v="0"/>
    <x v="5"/>
    <s v="CC400"/>
    <s v="AutoPost 1276"/>
    <s v="EUR"/>
    <s v="2023-04"/>
    <n v="-233.68"/>
    <m/>
    <n v="-233.68"/>
    <s v="N/A"/>
    <s v=" "/>
  </r>
  <r>
    <s v="GL001277"/>
    <x v="480"/>
    <n v="4010"/>
    <x v="4"/>
    <n v="0"/>
    <n v="4225.68"/>
    <x v="4"/>
    <s v="CC100"/>
    <s v="AutoPost 1277"/>
    <s v="AUD"/>
    <s v="2024-05"/>
    <n v="4225.68"/>
    <m/>
    <n v="4225.68"/>
    <s v="N/A"/>
    <s v=" "/>
  </r>
  <r>
    <s v="GL001278"/>
    <x v="568"/>
    <n v="5010"/>
    <x v="3"/>
    <n v="315.85000000000002"/>
    <n v="0"/>
    <x v="3"/>
    <s v="CC200"/>
    <s v="AutoPost 1278"/>
    <s v="USD"/>
    <s v="2024-12"/>
    <n v="-315.85000000000002"/>
    <m/>
    <n v="-315.85000000000002"/>
    <s v="N/A"/>
    <s v=" "/>
  </r>
  <r>
    <s v="GL001279"/>
    <x v="59"/>
    <n v="6000"/>
    <x v="2"/>
    <n v="1999.52"/>
    <n v="0"/>
    <x v="5"/>
    <s v="CC200"/>
    <s v="AutoPost 1279"/>
    <s v="EUR"/>
    <s v="2024-06"/>
    <n v="-1999.52"/>
    <m/>
    <n v="-1999.52"/>
    <s v="N/A"/>
    <s v=" "/>
  </r>
  <r>
    <s v="GL001280"/>
    <x v="684"/>
    <n v="6000"/>
    <x v="2"/>
    <n v="770.08"/>
    <n v="0"/>
    <x v="5"/>
    <s v="CC100"/>
    <s v="AutoPost 1280"/>
    <s v="CAD"/>
    <s v="2023-02"/>
    <n v="-770.08"/>
    <m/>
    <n v="-770.08"/>
    <s v="N/A"/>
    <s v=" "/>
  </r>
  <r>
    <s v="GL001281"/>
    <x v="685"/>
    <n v="4010"/>
    <x v="4"/>
    <n v="0"/>
    <n v="4953.53"/>
    <x v="5"/>
    <s v="CC500"/>
    <s v="AutoPost 1281"/>
    <s v="GBP"/>
    <s v="2023-12"/>
    <n v="4953.53"/>
    <m/>
    <n v="4953.53"/>
    <s v="N/A"/>
    <s v=" "/>
  </r>
  <r>
    <s v="GL001282"/>
    <x v="686"/>
    <n v="4010"/>
    <x v="4"/>
    <n v="0"/>
    <n v="1360.16"/>
    <x v="5"/>
    <s v="CC500"/>
    <s v="AutoPost 1282"/>
    <s v="CAD"/>
    <s v="2023-04"/>
    <n v="1360.16"/>
    <m/>
    <n v="1360.16"/>
    <s v="N/A"/>
    <s v=" "/>
  </r>
  <r>
    <s v="GL001283"/>
    <x v="399"/>
    <n v="5000"/>
    <x v="1"/>
    <n v="475.84"/>
    <n v="0"/>
    <x v="1"/>
    <s v="CC300"/>
    <s v="AutoPost 1283"/>
    <s v="USD"/>
    <s v="2023-12"/>
    <n v="-475.84"/>
    <m/>
    <n v="-475.84"/>
    <s v="N/A"/>
    <s v=" "/>
  </r>
  <r>
    <s v="GL001284"/>
    <x v="655"/>
    <n v="5000"/>
    <x v="1"/>
    <n v="1211.1500000000001"/>
    <n v="0"/>
    <x v="5"/>
    <s v="CC200"/>
    <s v="AutoPost 1284"/>
    <s v="CAD"/>
    <s v="2024-04"/>
    <n v="-1211.1500000000001"/>
    <m/>
    <n v="-1211.1500000000001"/>
    <s v="N/A"/>
    <s v=" "/>
  </r>
  <r>
    <s v="GL001285"/>
    <x v="658"/>
    <n v="4010"/>
    <x v="4"/>
    <n v="0"/>
    <n v="2327.23"/>
    <x v="0"/>
    <s v="CC400"/>
    <s v="AutoPost 1285"/>
    <s v="EUR"/>
    <s v="2023-04"/>
    <n v="2327.23"/>
    <m/>
    <n v="2327.23"/>
    <s v="N/A"/>
    <s v=" "/>
  </r>
  <r>
    <s v="GL001286"/>
    <x v="621"/>
    <n v="6000"/>
    <x v="2"/>
    <n v="237.68"/>
    <n v="0"/>
    <x v="5"/>
    <s v="CC500"/>
    <s v="AutoPost 1286"/>
    <s v="GBP"/>
    <s v="2025-06"/>
    <n v="-237.68"/>
    <m/>
    <n v="-237.68"/>
    <s v="N/A"/>
    <s v=" "/>
  </r>
  <r>
    <s v="GL001287"/>
    <x v="687"/>
    <n v="6000"/>
    <x v="2"/>
    <n v="1902.83"/>
    <n v="0"/>
    <x v="5"/>
    <s v="CC100"/>
    <s v="AutoPost 1287"/>
    <s v="CAD"/>
    <s v="2024-03"/>
    <n v="-1902.83"/>
    <m/>
    <n v="-1902.83"/>
    <s v="N/A"/>
    <s v=" "/>
  </r>
  <r>
    <s v="GL001288"/>
    <x v="468"/>
    <n v="4000"/>
    <x v="0"/>
    <n v="0"/>
    <n v="2447.1"/>
    <x v="1"/>
    <s v="CC400"/>
    <s v="AutoPost 1288"/>
    <s v="AUD"/>
    <s v="2025-03"/>
    <n v="2447.1"/>
    <m/>
    <n v="2447.1"/>
    <s v="N/A"/>
    <s v=" "/>
  </r>
  <r>
    <s v="GL001289"/>
    <x v="87"/>
    <n v="6000"/>
    <x v="2"/>
    <n v="520.39"/>
    <n v="0"/>
    <x v="5"/>
    <s v="CC200"/>
    <s v="AutoPost 1289"/>
    <s v="USD"/>
    <s v="2024-11"/>
    <n v="-520.39"/>
    <m/>
    <n v="-520.39"/>
    <s v="N/A"/>
    <s v=" "/>
  </r>
  <r>
    <s v="GL001290"/>
    <x v="47"/>
    <n v="5010"/>
    <x v="3"/>
    <n v="1329.55"/>
    <n v="0"/>
    <x v="4"/>
    <s v="CC100"/>
    <s v="AutoPost 1290"/>
    <s v="CAD"/>
    <s v="2024-03"/>
    <n v="-1329.55"/>
    <m/>
    <n v="-1329.55"/>
    <s v="N/A"/>
    <s v=" "/>
  </r>
  <r>
    <s v="GL001291"/>
    <x v="688"/>
    <n v="6000"/>
    <x v="2"/>
    <n v="1991.48"/>
    <n v="0"/>
    <x v="2"/>
    <s v="CC400"/>
    <s v="AutoPost 1291"/>
    <s v="GBP"/>
    <s v="2024-03"/>
    <n v="-1991.48"/>
    <m/>
    <n v="-1991.48"/>
    <s v="N/A"/>
    <s v=" "/>
  </r>
  <r>
    <s v="GL001292"/>
    <x v="568"/>
    <n v="5000"/>
    <x v="1"/>
    <n v="637.88"/>
    <n v="0"/>
    <x v="0"/>
    <s v="CC300"/>
    <s v="AutoPost 1292"/>
    <s v="USD"/>
    <s v="2024-12"/>
    <n v="-637.88"/>
    <m/>
    <n v="-637.88"/>
    <s v="N/A"/>
    <s v=" "/>
  </r>
  <r>
    <s v="GL001293"/>
    <x v="656"/>
    <n v="4000"/>
    <x v="0"/>
    <n v="0"/>
    <n v="175.56"/>
    <x v="0"/>
    <s v="CC200"/>
    <s v="AutoPost 1293"/>
    <s v="CAD"/>
    <s v="2023-12"/>
    <n v="175.56"/>
    <m/>
    <n v="175.56"/>
    <s v="N/A"/>
    <s v=" "/>
  </r>
  <r>
    <s v="GL001294"/>
    <x v="364"/>
    <n v="6000"/>
    <x v="2"/>
    <n v="282.05"/>
    <n v="0"/>
    <x v="0"/>
    <s v="CC500"/>
    <s v="AutoPost 1294"/>
    <s v="AUD"/>
    <s v="2024-05"/>
    <n v="-282.05"/>
    <m/>
    <n v="-282.05"/>
    <s v="N/A"/>
    <s v=" "/>
  </r>
  <r>
    <s v="GL001295"/>
    <x v="429"/>
    <n v="6000"/>
    <x v="2"/>
    <n v="1993.37"/>
    <n v="0"/>
    <x v="3"/>
    <s v="CC300"/>
    <s v="AutoPost 1295"/>
    <s v="GBP"/>
    <s v="2025-05"/>
    <n v="-1993.37"/>
    <m/>
    <n v="-1993.37"/>
    <s v="N/A"/>
    <s v=" "/>
  </r>
  <r>
    <s v="GL001296"/>
    <x v="689"/>
    <n v="6000"/>
    <x v="2"/>
    <n v="294.74"/>
    <n v="0"/>
    <x v="0"/>
    <s v="CC200"/>
    <s v="AutoPost 1296"/>
    <s v="AUD"/>
    <s v="2024-03"/>
    <n v="-294.74"/>
    <m/>
    <n v="-294.74"/>
    <s v="N/A"/>
    <s v=" "/>
  </r>
  <r>
    <s v="GL001297"/>
    <x v="153"/>
    <n v="4000"/>
    <x v="0"/>
    <n v="0"/>
    <n v="763.55"/>
    <x v="1"/>
    <s v="CC500"/>
    <s v="AutoPost 1297"/>
    <s v="EUR"/>
    <s v="2024-05"/>
    <n v="763.55"/>
    <m/>
    <n v="763.55"/>
    <s v="N/A"/>
    <s v=" "/>
  </r>
  <r>
    <s v="GL001298"/>
    <x v="438"/>
    <n v="4010"/>
    <x v="4"/>
    <n v="0"/>
    <n v="2502.91"/>
    <x v="4"/>
    <s v="CC200"/>
    <s v="AutoPost 1298"/>
    <s v="GBP"/>
    <s v="2023-06"/>
    <n v="2502.91"/>
    <m/>
    <n v="2502.91"/>
    <s v="N/A"/>
    <s v=" "/>
  </r>
  <r>
    <s v="GL001299"/>
    <x v="690"/>
    <n v="5010"/>
    <x v="3"/>
    <n v="468.89"/>
    <n v="0"/>
    <x v="4"/>
    <s v="CC300"/>
    <s v="AutoPost 1299"/>
    <s v="AUD"/>
    <s v="2024-09"/>
    <n v="-468.89"/>
    <m/>
    <n v="-468.89"/>
    <s v="N/A"/>
    <s v=" "/>
  </r>
  <r>
    <s v="GL001300"/>
    <x v="98"/>
    <n v="6000"/>
    <x v="2"/>
    <n v="810.8"/>
    <n v="0"/>
    <x v="3"/>
    <s v="CC100"/>
    <s v="AutoPost 1300"/>
    <s v="GBP"/>
    <s v="2023-08"/>
    <n v="-810.8"/>
    <m/>
    <n v="-810.8"/>
    <s v="N/A"/>
    <s v=" "/>
  </r>
  <r>
    <s v="GL001301"/>
    <x v="224"/>
    <n v="5000"/>
    <x v="1"/>
    <n v="1345.83"/>
    <n v="0"/>
    <x v="2"/>
    <s v="CC300"/>
    <s v="AutoPost 1301"/>
    <s v="GBP"/>
    <s v="2024-06"/>
    <n v="-1345.83"/>
    <m/>
    <n v="-1345.83"/>
    <s v="N/A"/>
    <s v=" "/>
  </r>
  <r>
    <s v="GL001302"/>
    <x v="255"/>
    <n v="4000"/>
    <x v="0"/>
    <n v="0"/>
    <n v="4443.21"/>
    <x v="0"/>
    <s v="CC500"/>
    <s v="AutoPost 1302"/>
    <s v="AUD"/>
    <s v="2025-04"/>
    <n v="4443.21"/>
    <m/>
    <n v="4443.21"/>
    <s v="N/A"/>
    <s v=" "/>
  </r>
  <r>
    <s v="GL001303"/>
    <x v="691"/>
    <n v="5010"/>
    <x v="3"/>
    <n v="780.61"/>
    <n v="0"/>
    <x v="0"/>
    <s v="CC400"/>
    <s v="AutoPost 1303"/>
    <s v="AUD"/>
    <s v="2023-04"/>
    <n v="-780.61"/>
    <m/>
    <n v="-780.61"/>
    <s v="N/A"/>
    <s v=" "/>
  </r>
  <r>
    <s v="GL001304"/>
    <x v="692"/>
    <n v="4010"/>
    <x v="4"/>
    <n v="0"/>
    <n v="2988.59"/>
    <x v="2"/>
    <s v="CC300"/>
    <s v="AutoPost 1304"/>
    <s v="GBP"/>
    <s v="2024-01"/>
    <n v="2988.59"/>
    <m/>
    <n v="2988.59"/>
    <s v="N/A"/>
    <s v=" "/>
  </r>
  <r>
    <s v="GL001305"/>
    <x v="693"/>
    <n v="5010"/>
    <x v="3"/>
    <n v="1463.55"/>
    <n v="0"/>
    <x v="3"/>
    <s v="CC500"/>
    <s v="AutoPost 1305"/>
    <s v="CAD"/>
    <s v="2024-10"/>
    <n v="-1463.55"/>
    <m/>
    <n v="-1463.55"/>
    <s v="N/A"/>
    <s v=" "/>
  </r>
  <r>
    <s v="GL001306"/>
    <x v="694"/>
    <n v="4010"/>
    <x v="4"/>
    <n v="0"/>
    <n v="790.68"/>
    <x v="1"/>
    <s v="CC500"/>
    <s v="AutoPost 1306"/>
    <s v="GBP"/>
    <s v="2024-04"/>
    <n v="790.68"/>
    <m/>
    <n v="790.68"/>
    <s v="N/A"/>
    <s v=" "/>
  </r>
  <r>
    <s v="GL001307"/>
    <x v="695"/>
    <n v="4000"/>
    <x v="0"/>
    <n v="0"/>
    <n v="3083.05"/>
    <x v="0"/>
    <s v="CC300"/>
    <s v="AutoPost 1307"/>
    <s v="EUR"/>
    <s v="2023-06"/>
    <n v="3083.05"/>
    <m/>
    <n v="3083.05"/>
    <s v="N/A"/>
    <s v=" "/>
  </r>
  <r>
    <s v="GL001308"/>
    <x v="277"/>
    <n v="5010"/>
    <x v="3"/>
    <n v="473.43"/>
    <n v="0"/>
    <x v="0"/>
    <s v="CC200"/>
    <s v="AutoPost 1308"/>
    <s v="AUD"/>
    <s v="2024-02"/>
    <n v="-473.43"/>
    <m/>
    <n v="-473.43"/>
    <s v="N/A"/>
    <s v=" "/>
  </r>
  <r>
    <s v="GL001309"/>
    <x v="696"/>
    <n v="4010"/>
    <x v="4"/>
    <n v="0"/>
    <n v="4614.12"/>
    <x v="3"/>
    <s v="CC300"/>
    <s v="AutoPost 1309"/>
    <s v="EUR"/>
    <s v="2024-08"/>
    <n v="4614.12"/>
    <m/>
    <n v="4614.12"/>
    <s v="N/A"/>
    <s v=" "/>
  </r>
  <r>
    <s v="GL001310"/>
    <x v="93"/>
    <n v="5010"/>
    <x v="3"/>
    <n v="1506.71"/>
    <n v="0"/>
    <x v="2"/>
    <s v="CC300"/>
    <s v="AutoPost 1310"/>
    <s v="CAD"/>
    <s v="2023-01"/>
    <n v="-1506.71"/>
    <m/>
    <n v="-1506.71"/>
    <s v="N/A"/>
    <s v=" "/>
  </r>
  <r>
    <s v="GL001311"/>
    <x v="155"/>
    <n v="6000"/>
    <x v="2"/>
    <n v="874.3"/>
    <n v="0"/>
    <x v="0"/>
    <s v="CC300"/>
    <s v="AutoPost 1311"/>
    <s v="GBP"/>
    <s v="2023-01"/>
    <n v="-874.3"/>
    <m/>
    <n v="-874.3"/>
    <s v="N/A"/>
    <s v=" "/>
  </r>
  <r>
    <s v="GL001312"/>
    <x v="697"/>
    <n v="5010"/>
    <x v="3"/>
    <n v="770.81"/>
    <n v="0"/>
    <x v="2"/>
    <s v="CC100"/>
    <s v="AutoPost 1312"/>
    <s v="USD"/>
    <s v="2023-01"/>
    <n v="-770.81"/>
    <m/>
    <n v="-770.81"/>
    <s v="N/A"/>
    <s v=" "/>
  </r>
  <r>
    <s v="GL001313"/>
    <x v="205"/>
    <n v="5000"/>
    <x v="1"/>
    <n v="916.64"/>
    <n v="0"/>
    <x v="2"/>
    <s v="CC500"/>
    <s v="AutoPost 1313"/>
    <s v="AUD"/>
    <s v="2023-08"/>
    <n v="-916.64"/>
    <m/>
    <n v="-916.64"/>
    <s v="N/A"/>
    <s v=" "/>
  </r>
  <r>
    <s v="GL001314"/>
    <x v="698"/>
    <n v="5000"/>
    <x v="1"/>
    <n v="1378.77"/>
    <n v="0"/>
    <x v="4"/>
    <s v="CC500"/>
    <s v="AutoPost 1314"/>
    <s v="AUD"/>
    <s v="2025-06"/>
    <n v="-1378.77"/>
    <m/>
    <n v="-1378.77"/>
    <s v="N/A"/>
    <s v=" "/>
  </r>
  <r>
    <s v="GL001315"/>
    <x v="649"/>
    <n v="5010"/>
    <x v="3"/>
    <n v="1403.4"/>
    <n v="0"/>
    <x v="3"/>
    <s v="CC300"/>
    <s v="AutoPost 1315"/>
    <s v="AUD"/>
    <s v="2024-09"/>
    <n v="-1403.4"/>
    <m/>
    <n v="-1403.4"/>
    <s v="N/A"/>
    <s v=" "/>
  </r>
  <r>
    <s v="GL001316"/>
    <x v="598"/>
    <n v="5000"/>
    <x v="1"/>
    <n v="710.78"/>
    <n v="0"/>
    <x v="4"/>
    <s v="CC500"/>
    <s v="AutoPost 1316"/>
    <s v="CAD"/>
    <s v="2023-07"/>
    <n v="-710.78"/>
    <m/>
    <n v="-710.78"/>
    <s v="N/A"/>
    <s v=" "/>
  </r>
  <r>
    <s v="GL001317"/>
    <x v="544"/>
    <n v="4010"/>
    <x v="4"/>
    <n v="0"/>
    <n v="2077.61"/>
    <x v="0"/>
    <s v="CC300"/>
    <s v="AutoPost 1317"/>
    <s v="USD"/>
    <s v="2025-06"/>
    <n v="2077.61"/>
    <m/>
    <n v="2077.61"/>
    <s v="N/A"/>
    <s v=" "/>
  </r>
  <r>
    <s v="GL001318"/>
    <x v="699"/>
    <n v="4000"/>
    <x v="0"/>
    <n v="0"/>
    <n v="2075.2600000000002"/>
    <x v="1"/>
    <s v="CC500"/>
    <s v="AutoPost 1318"/>
    <s v="USD"/>
    <s v="2023-06"/>
    <n v="2075.2600000000002"/>
    <m/>
    <n v="2075.2600000000002"/>
    <s v="N/A"/>
    <s v=" "/>
  </r>
  <r>
    <s v="GL001319"/>
    <x v="700"/>
    <n v="5000"/>
    <x v="1"/>
    <n v="955.82"/>
    <n v="0"/>
    <x v="2"/>
    <s v="CC400"/>
    <s v="AutoPost 1319"/>
    <s v="GBP"/>
    <s v="2024-01"/>
    <n v="-955.82"/>
    <m/>
    <n v="-955.82"/>
    <s v="N/A"/>
    <s v=" "/>
  </r>
  <r>
    <s v="GL001320"/>
    <x v="212"/>
    <n v="5000"/>
    <x v="1"/>
    <n v="1924.14"/>
    <n v="0"/>
    <x v="3"/>
    <s v="CC100"/>
    <s v="AutoPost 1320"/>
    <s v="CAD"/>
    <s v="2025-02"/>
    <n v="-1924.14"/>
    <m/>
    <n v="-1924.14"/>
    <s v="N/A"/>
    <s v=" "/>
  </r>
  <r>
    <s v="GL001321"/>
    <x v="701"/>
    <n v="4010"/>
    <x v="4"/>
    <n v="0"/>
    <n v="4238.9799999999996"/>
    <x v="5"/>
    <s v="CC500"/>
    <s v="AutoPost 1321"/>
    <s v="EUR"/>
    <s v="2024-03"/>
    <n v="4238.9799999999996"/>
    <m/>
    <n v="4238.9799999999996"/>
    <s v="N/A"/>
    <s v=" "/>
  </r>
  <r>
    <s v="GL001322"/>
    <x v="194"/>
    <n v="5010"/>
    <x v="3"/>
    <n v="1471.95"/>
    <n v="0"/>
    <x v="1"/>
    <s v="CC400"/>
    <s v="AutoPost 1322"/>
    <s v="GBP"/>
    <s v="2024-12"/>
    <n v="-1471.95"/>
    <m/>
    <n v="-1471.95"/>
    <s v="N/A"/>
    <s v=" "/>
  </r>
  <r>
    <s v="GL001323"/>
    <x v="67"/>
    <n v="4010"/>
    <x v="4"/>
    <n v="0"/>
    <n v="1269.44"/>
    <x v="0"/>
    <s v="CC200"/>
    <s v="AutoPost 1323"/>
    <s v="AUD"/>
    <s v="2025-06"/>
    <n v="1269.44"/>
    <m/>
    <n v="1269.44"/>
    <s v="N/A"/>
    <s v=" "/>
  </r>
  <r>
    <s v="GL001324"/>
    <x v="702"/>
    <n v="5000"/>
    <x v="1"/>
    <n v="97.3"/>
    <n v="0"/>
    <x v="5"/>
    <s v="CC500"/>
    <s v="AutoPost 1324"/>
    <s v="AUD"/>
    <s v="2023-09"/>
    <n v="-97.3"/>
    <m/>
    <n v="-97.3"/>
    <s v="N/A"/>
    <s v=" "/>
  </r>
  <r>
    <s v="GL001325"/>
    <x v="703"/>
    <n v="6000"/>
    <x v="2"/>
    <n v="557.66"/>
    <n v="0"/>
    <x v="5"/>
    <s v="CC500"/>
    <s v="AutoPost 1325"/>
    <s v="USD"/>
    <s v="2023-03"/>
    <n v="-557.66"/>
    <m/>
    <n v="-557.66"/>
    <s v="N/A"/>
    <s v=" "/>
  </r>
  <r>
    <s v="GL001326"/>
    <x v="704"/>
    <n v="5010"/>
    <x v="3"/>
    <n v="1380.55"/>
    <n v="0"/>
    <x v="1"/>
    <s v="CC400"/>
    <s v="AutoPost 1326"/>
    <s v="AUD"/>
    <s v="2024-03"/>
    <n v="-1380.55"/>
    <m/>
    <n v="-1380.55"/>
    <s v="N/A"/>
    <s v=" "/>
  </r>
  <r>
    <s v="GL001327"/>
    <x v="495"/>
    <n v="5000"/>
    <x v="1"/>
    <n v="606.16"/>
    <n v="0"/>
    <x v="1"/>
    <s v="CC200"/>
    <s v="AutoPost 1327"/>
    <s v="AUD"/>
    <s v="2025-02"/>
    <n v="-606.16"/>
    <m/>
    <n v="-606.16"/>
    <s v="N/A"/>
    <s v=" "/>
  </r>
  <r>
    <s v="GL001328"/>
    <x v="480"/>
    <n v="6000"/>
    <x v="2"/>
    <n v="1885.28"/>
    <n v="0"/>
    <x v="3"/>
    <s v="CC300"/>
    <s v="AutoPost 1328"/>
    <s v="CAD"/>
    <s v="2024-05"/>
    <n v="-1885.28"/>
    <m/>
    <n v="-1885.28"/>
    <s v="N/A"/>
    <s v=" "/>
  </r>
  <r>
    <s v="GL001329"/>
    <x v="705"/>
    <n v="5010"/>
    <x v="3"/>
    <n v="1731.77"/>
    <n v="0"/>
    <x v="3"/>
    <s v="CC400"/>
    <s v="AutoPost 1329"/>
    <s v="CAD"/>
    <s v="2024-11"/>
    <n v="-1731.77"/>
    <m/>
    <n v="-1731.77"/>
    <s v="N/A"/>
    <s v=" "/>
  </r>
  <r>
    <s v="GL001330"/>
    <x v="168"/>
    <n v="5000"/>
    <x v="1"/>
    <n v="394.02"/>
    <n v="0"/>
    <x v="1"/>
    <s v="CC500"/>
    <s v="AutoPost 1330"/>
    <s v="GBP"/>
    <s v="2023-05"/>
    <n v="-394.02"/>
    <m/>
    <n v="-394.02"/>
    <s v="N/A"/>
    <s v=" "/>
  </r>
  <r>
    <s v="GL001331"/>
    <x v="30"/>
    <n v="4000"/>
    <x v="0"/>
    <n v="0"/>
    <n v="687.07"/>
    <x v="1"/>
    <s v="CC300"/>
    <s v="AutoPost 1331"/>
    <s v="CAD"/>
    <s v="2024-01"/>
    <n v="687.07"/>
    <m/>
    <n v="687.07"/>
    <s v="N/A"/>
    <s v=" "/>
  </r>
  <r>
    <s v="GL001332"/>
    <x v="422"/>
    <n v="4010"/>
    <x v="4"/>
    <n v="0"/>
    <n v="4603.0200000000004"/>
    <x v="3"/>
    <s v="CC300"/>
    <s v="AutoPost 1332"/>
    <s v="GBP"/>
    <s v="2023-12"/>
    <n v="4603.0200000000004"/>
    <m/>
    <n v="4603.0200000000004"/>
    <s v="N/A"/>
    <s v=" "/>
  </r>
  <r>
    <s v="GL001333"/>
    <x v="129"/>
    <n v="6000"/>
    <x v="2"/>
    <n v="675.05"/>
    <n v="0"/>
    <x v="3"/>
    <s v="CC400"/>
    <s v="AutoPost 1333"/>
    <s v="USD"/>
    <s v="2024-06"/>
    <n v="-675.05"/>
    <m/>
    <n v="-675.05"/>
    <s v="N/A"/>
    <s v=" "/>
  </r>
  <r>
    <s v="GL001334"/>
    <x v="706"/>
    <n v="5000"/>
    <x v="1"/>
    <n v="1487.83"/>
    <n v="0"/>
    <x v="2"/>
    <s v="CC200"/>
    <s v="AutoPost 1334"/>
    <s v="AUD"/>
    <s v="2023-10"/>
    <n v="-1487.83"/>
    <m/>
    <n v="-1487.83"/>
    <s v="N/A"/>
    <s v=" "/>
  </r>
  <r>
    <s v="GL001335"/>
    <x v="707"/>
    <n v="6000"/>
    <x v="2"/>
    <n v="792.43"/>
    <n v="0"/>
    <x v="4"/>
    <s v="CC300"/>
    <s v="AutoPost 1335"/>
    <s v="GBP"/>
    <s v="2023-05"/>
    <n v="-792.43"/>
    <m/>
    <n v="-792.43"/>
    <s v="N/A"/>
    <s v=" "/>
  </r>
  <r>
    <s v="GL001336"/>
    <x v="708"/>
    <n v="4000"/>
    <x v="0"/>
    <n v="0"/>
    <n v="1819.9"/>
    <x v="1"/>
    <s v="CC200"/>
    <s v="AutoPost 1336"/>
    <s v="GBP"/>
    <s v="2025-06"/>
    <n v="1819.9"/>
    <m/>
    <n v="1819.9"/>
    <s v="N/A"/>
    <s v=" "/>
  </r>
  <r>
    <s v="GL001337"/>
    <x v="450"/>
    <n v="5000"/>
    <x v="1"/>
    <n v="1966.73"/>
    <n v="0"/>
    <x v="2"/>
    <s v="CC300"/>
    <s v="AutoPost 1337"/>
    <s v="GBP"/>
    <s v="2025-02"/>
    <n v="-1966.73"/>
    <m/>
    <n v="-1966.73"/>
    <s v="N/A"/>
    <s v=" "/>
  </r>
  <r>
    <s v="GL001338"/>
    <x v="333"/>
    <n v="4010"/>
    <x v="4"/>
    <n v="0"/>
    <n v="1355.21"/>
    <x v="5"/>
    <s v="CC100"/>
    <s v="AutoPost 1338"/>
    <s v="CAD"/>
    <s v="2023-01"/>
    <n v="1355.21"/>
    <m/>
    <n v="1355.21"/>
    <s v="N/A"/>
    <s v=" "/>
  </r>
  <r>
    <s v="GL001339"/>
    <x v="593"/>
    <n v="4010"/>
    <x v="4"/>
    <n v="0"/>
    <n v="4992.45"/>
    <x v="1"/>
    <s v="CC500"/>
    <s v="AutoPost 1339"/>
    <s v="CAD"/>
    <s v="2024-12"/>
    <n v="4992.45"/>
    <m/>
    <n v="4992.45"/>
    <s v="N/A"/>
    <s v=" "/>
  </r>
  <r>
    <s v="GL001340"/>
    <x v="50"/>
    <n v="5000"/>
    <x v="1"/>
    <n v="1949.81"/>
    <n v="0"/>
    <x v="1"/>
    <s v="CC200"/>
    <s v="AutoPost 1340"/>
    <s v="EUR"/>
    <s v="2024-10"/>
    <n v="-1949.81"/>
    <m/>
    <n v="-1949.81"/>
    <s v="N/A"/>
    <s v=" "/>
  </r>
  <r>
    <s v="GL001341"/>
    <x v="87"/>
    <n v="5010"/>
    <x v="3"/>
    <n v="733.3"/>
    <n v="0"/>
    <x v="1"/>
    <s v="CC300"/>
    <s v="AutoPost 1341"/>
    <s v="EUR"/>
    <s v="2024-11"/>
    <n v="-733.3"/>
    <m/>
    <n v="-733.3"/>
    <s v="N/A"/>
    <s v=" "/>
  </r>
  <r>
    <s v="GL001342"/>
    <x v="148"/>
    <n v="5000"/>
    <x v="1"/>
    <n v="1405.39"/>
    <n v="0"/>
    <x v="0"/>
    <s v="CC500"/>
    <s v="AutoPost 1342"/>
    <s v="USD"/>
    <s v="2024-12"/>
    <n v="-1405.39"/>
    <m/>
    <n v="-1405.39"/>
    <s v="N/A"/>
    <s v=" "/>
  </r>
  <r>
    <s v="GL001343"/>
    <x v="677"/>
    <n v="4000"/>
    <x v="0"/>
    <n v="0"/>
    <n v="599.19000000000005"/>
    <x v="0"/>
    <s v="CC100"/>
    <s v="AutoPost 1343"/>
    <s v="EUR"/>
    <s v="2023-09"/>
    <n v="599.19000000000005"/>
    <m/>
    <n v="599.19000000000005"/>
    <s v="N/A"/>
    <s v=" "/>
  </r>
  <r>
    <s v="GL001344"/>
    <x v="217"/>
    <n v="4010"/>
    <x v="4"/>
    <n v="0"/>
    <n v="872.03"/>
    <x v="5"/>
    <s v="CC400"/>
    <s v="AutoPost 1344"/>
    <s v="GBP"/>
    <s v="2024-07"/>
    <n v="872.03"/>
    <m/>
    <n v="872.03"/>
    <s v="N/A"/>
    <s v=" "/>
  </r>
  <r>
    <s v="GL001345"/>
    <x v="472"/>
    <n v="4000"/>
    <x v="0"/>
    <n v="0"/>
    <n v="3873.21"/>
    <x v="2"/>
    <s v="CC400"/>
    <s v="AutoPost 1345"/>
    <s v="AUD"/>
    <s v="2023-05"/>
    <n v="3873.21"/>
    <m/>
    <n v="3873.21"/>
    <s v="N/A"/>
    <s v=" "/>
  </r>
  <r>
    <s v="GL001346"/>
    <x v="253"/>
    <n v="5010"/>
    <x v="3"/>
    <n v="122.84"/>
    <n v="0"/>
    <x v="2"/>
    <s v="CC100"/>
    <s v="AutoPost 1346"/>
    <s v="USD"/>
    <s v="2025-06"/>
    <n v="-122.84"/>
    <m/>
    <n v="-122.84"/>
    <s v="N/A"/>
    <s v=" "/>
  </r>
  <r>
    <s v="GL001347"/>
    <x v="709"/>
    <n v="4010"/>
    <x v="4"/>
    <n v="0"/>
    <n v="1039.28"/>
    <x v="5"/>
    <s v="CC100"/>
    <s v="AutoPost 1347"/>
    <s v="EUR"/>
    <s v="2025-02"/>
    <n v="1039.28"/>
    <m/>
    <n v="1039.28"/>
    <s v="N/A"/>
    <s v=" "/>
  </r>
  <r>
    <s v="GL001348"/>
    <x v="710"/>
    <n v="4010"/>
    <x v="4"/>
    <n v="0"/>
    <n v="1214.51"/>
    <x v="3"/>
    <s v="CC100"/>
    <s v="AutoPost 1348"/>
    <s v="GBP"/>
    <s v="2025-04"/>
    <n v="1214.51"/>
    <m/>
    <n v="1214.51"/>
    <s v="N/A"/>
    <s v=" "/>
  </r>
  <r>
    <s v="GL001349"/>
    <x v="711"/>
    <n v="5010"/>
    <x v="3"/>
    <n v="1318.81"/>
    <n v="0"/>
    <x v="3"/>
    <s v="CC400"/>
    <s v="AutoPost 1349"/>
    <s v="AUD"/>
    <s v="2025-01"/>
    <n v="-1318.81"/>
    <m/>
    <n v="-1318.81"/>
    <s v="N/A"/>
    <s v=" "/>
  </r>
  <r>
    <s v="GL001350"/>
    <x v="584"/>
    <n v="4010"/>
    <x v="4"/>
    <n v="0"/>
    <n v="3395.3"/>
    <x v="1"/>
    <s v="CC300"/>
    <s v="AutoPost 1350"/>
    <s v="GBP"/>
    <s v="2023-07"/>
    <n v="3395.3"/>
    <m/>
    <n v="3395.3"/>
    <s v="N/A"/>
    <s v=" "/>
  </r>
  <r>
    <s v="GL001351"/>
    <x v="712"/>
    <n v="6000"/>
    <x v="2"/>
    <n v="1554.18"/>
    <n v="0"/>
    <x v="5"/>
    <s v="CC300"/>
    <s v="AutoPost 1351"/>
    <s v="AUD"/>
    <s v="2024-09"/>
    <n v="-1554.18"/>
    <m/>
    <n v="-1554.18"/>
    <s v="N/A"/>
    <s v=" "/>
  </r>
  <r>
    <s v="GL001352"/>
    <x v="713"/>
    <n v="4000"/>
    <x v="0"/>
    <n v="0"/>
    <n v="4613.7"/>
    <x v="0"/>
    <s v="CC300"/>
    <s v="AutoPost 1352"/>
    <s v="USD"/>
    <s v="2024-11"/>
    <n v="4613.7"/>
    <m/>
    <n v="4613.7"/>
    <s v="N/A"/>
    <s v=" "/>
  </r>
  <r>
    <s v="GL001353"/>
    <x v="173"/>
    <n v="5010"/>
    <x v="3"/>
    <n v="803.03"/>
    <n v="0"/>
    <x v="4"/>
    <s v="CC200"/>
    <s v="AutoPost 1353"/>
    <s v="CAD"/>
    <s v="2025-06"/>
    <n v="-803.03"/>
    <m/>
    <n v="-803.03"/>
    <s v="N/A"/>
    <s v=" "/>
  </r>
  <r>
    <s v="GL001354"/>
    <x v="432"/>
    <n v="5010"/>
    <x v="3"/>
    <n v="1564.19"/>
    <n v="0"/>
    <x v="0"/>
    <s v="CC200"/>
    <s v="AutoPost 1354"/>
    <s v="CAD"/>
    <s v="2025-05"/>
    <n v="-1564.19"/>
    <m/>
    <n v="-1564.19"/>
    <s v="N/A"/>
    <s v=" "/>
  </r>
  <r>
    <s v="GL001355"/>
    <x v="377"/>
    <n v="6000"/>
    <x v="2"/>
    <n v="1942.89"/>
    <n v="0"/>
    <x v="0"/>
    <s v="CC100"/>
    <s v="AutoPost 1355"/>
    <s v="USD"/>
    <s v="2025-01"/>
    <n v="-1942.89"/>
    <m/>
    <n v="-1942.89"/>
    <s v="N/A"/>
    <s v=" "/>
  </r>
  <r>
    <s v="GL001356"/>
    <x v="510"/>
    <n v="4000"/>
    <x v="0"/>
    <n v="0"/>
    <n v="4122.6000000000004"/>
    <x v="2"/>
    <s v="CC200"/>
    <s v="AutoPost 1356"/>
    <s v="GBP"/>
    <s v="2024-10"/>
    <n v="4122.6000000000004"/>
    <m/>
    <n v="4122.6000000000004"/>
    <s v="N/A"/>
    <s v=" "/>
  </r>
  <r>
    <s v="GL001357"/>
    <x v="94"/>
    <n v="4010"/>
    <x v="4"/>
    <n v="0"/>
    <n v="3139.71"/>
    <x v="2"/>
    <s v="CC100"/>
    <s v="AutoPost 1357"/>
    <s v="EUR"/>
    <s v="2025-01"/>
    <n v="3139.71"/>
    <m/>
    <n v="3139.71"/>
    <s v="N/A"/>
    <s v=" "/>
  </r>
  <r>
    <s v="GL001358"/>
    <x v="325"/>
    <n v="5010"/>
    <x v="3"/>
    <n v="168.07"/>
    <n v="0"/>
    <x v="1"/>
    <s v="CC500"/>
    <s v="AutoPost 1358"/>
    <s v="CAD"/>
    <s v="2023-05"/>
    <n v="-168.07"/>
    <m/>
    <n v="-168.07"/>
    <s v="N/A"/>
    <s v=" "/>
  </r>
  <r>
    <s v="GL001359"/>
    <x v="714"/>
    <n v="4000"/>
    <x v="0"/>
    <n v="0"/>
    <n v="2067.23"/>
    <x v="2"/>
    <s v="CC200"/>
    <s v="AutoPost 1359"/>
    <s v="GBP"/>
    <s v="2023-02"/>
    <n v="2067.23"/>
    <m/>
    <n v="2067.23"/>
    <s v="N/A"/>
    <s v=" "/>
  </r>
  <r>
    <s v="GL001360"/>
    <x v="715"/>
    <n v="5010"/>
    <x v="3"/>
    <n v="364.93"/>
    <n v="0"/>
    <x v="5"/>
    <s v="CC200"/>
    <s v="AutoPost 1360"/>
    <s v="USD"/>
    <s v="2025-06"/>
    <n v="-364.93"/>
    <m/>
    <n v="-364.93"/>
    <s v="N/A"/>
    <s v=" "/>
  </r>
  <r>
    <s v="GL001361"/>
    <x v="248"/>
    <n v="5000"/>
    <x v="1"/>
    <n v="488.16"/>
    <n v="0"/>
    <x v="3"/>
    <s v="CC500"/>
    <s v="AutoPost 1361"/>
    <s v="GBP"/>
    <s v="2025-02"/>
    <n v="-488.16"/>
    <m/>
    <n v="-488.16"/>
    <s v="N/A"/>
    <s v=" "/>
  </r>
  <r>
    <s v="GL001362"/>
    <x v="620"/>
    <n v="5000"/>
    <x v="1"/>
    <n v="506.43"/>
    <n v="0"/>
    <x v="5"/>
    <s v="CC100"/>
    <s v="AutoPost 1362"/>
    <s v="USD"/>
    <s v="2023-02"/>
    <n v="-506.43"/>
    <m/>
    <n v="-506.43"/>
    <s v="N/A"/>
    <s v=" "/>
  </r>
  <r>
    <s v="GL001363"/>
    <x v="545"/>
    <n v="5000"/>
    <x v="1"/>
    <n v="517.6"/>
    <n v="0"/>
    <x v="1"/>
    <s v="CC400"/>
    <s v="AutoPost 1363"/>
    <s v="EUR"/>
    <s v="2024-07"/>
    <n v="-517.6"/>
    <m/>
    <n v="-517.6"/>
    <s v="N/A"/>
    <s v=" "/>
  </r>
  <r>
    <s v="GL001364"/>
    <x v="56"/>
    <n v="6000"/>
    <x v="2"/>
    <n v="846.47"/>
    <n v="0"/>
    <x v="2"/>
    <s v="CC200"/>
    <s v="AutoPost 1364"/>
    <s v="AUD"/>
    <s v="2023-12"/>
    <n v="-846.47"/>
    <m/>
    <n v="-846.47"/>
    <s v="N/A"/>
    <s v=" "/>
  </r>
  <r>
    <s v="GL001365"/>
    <x v="23"/>
    <n v="4010"/>
    <x v="4"/>
    <n v="0"/>
    <n v="998.83"/>
    <x v="5"/>
    <s v="CC100"/>
    <s v="AutoPost 1365"/>
    <s v="USD"/>
    <s v="2023-03"/>
    <n v="998.83"/>
    <m/>
    <n v="998.83"/>
    <s v="N/A"/>
    <s v=" "/>
  </r>
  <r>
    <s v="GL001366"/>
    <x v="259"/>
    <n v="5010"/>
    <x v="3"/>
    <n v="714.9"/>
    <n v="0"/>
    <x v="0"/>
    <s v="CC500"/>
    <s v="AutoPost 1366"/>
    <s v="GBP"/>
    <s v="2023-12"/>
    <n v="-714.9"/>
    <m/>
    <n v="-714.9"/>
    <s v="N/A"/>
    <s v=" "/>
  </r>
  <r>
    <s v="GL001367"/>
    <x v="371"/>
    <n v="4010"/>
    <x v="4"/>
    <n v="0"/>
    <n v="1049.58"/>
    <x v="2"/>
    <s v="CC500"/>
    <s v="AutoPost 1367"/>
    <s v="AUD"/>
    <s v="2023-12"/>
    <n v="1049.58"/>
    <m/>
    <n v="1049.58"/>
    <s v="N/A"/>
    <s v=" "/>
  </r>
  <r>
    <s v="GL001368"/>
    <x v="155"/>
    <n v="5010"/>
    <x v="3"/>
    <n v="1962.1"/>
    <n v="0"/>
    <x v="0"/>
    <s v="CC100"/>
    <s v="AutoPost 1368"/>
    <s v="USD"/>
    <s v="2023-01"/>
    <n v="-1962.1"/>
    <m/>
    <n v="-1962.1"/>
    <s v="N/A"/>
    <s v=" "/>
  </r>
  <r>
    <s v="GL001369"/>
    <x v="582"/>
    <n v="5000"/>
    <x v="1"/>
    <n v="773.23"/>
    <n v="0"/>
    <x v="5"/>
    <s v="CC300"/>
    <s v="AutoPost 1369"/>
    <s v="CAD"/>
    <s v="2023-01"/>
    <n v="-773.23"/>
    <m/>
    <n v="-773.23"/>
    <s v="N/A"/>
    <s v=" "/>
  </r>
  <r>
    <s v="GL001370"/>
    <x v="238"/>
    <n v="5010"/>
    <x v="3"/>
    <n v="485.53"/>
    <n v="0"/>
    <x v="3"/>
    <s v="CC500"/>
    <s v="AutoPost 1370"/>
    <s v="GBP"/>
    <s v="2025-05"/>
    <n v="-485.53"/>
    <m/>
    <n v="-485.53"/>
    <s v="N/A"/>
    <s v=" "/>
  </r>
  <r>
    <s v="GL001371"/>
    <x v="631"/>
    <n v="4010"/>
    <x v="4"/>
    <n v="0"/>
    <n v="586.21"/>
    <x v="3"/>
    <s v="CC400"/>
    <s v="AutoPost 1371"/>
    <s v="EUR"/>
    <s v="2024-03"/>
    <n v="586.21"/>
    <m/>
    <n v="586.21"/>
    <s v="N/A"/>
    <s v=" "/>
  </r>
  <r>
    <s v="GL001372"/>
    <x v="716"/>
    <n v="4000"/>
    <x v="0"/>
    <n v="0"/>
    <n v="1624.21"/>
    <x v="3"/>
    <s v="CC200"/>
    <s v="AutoPost 1372"/>
    <s v="GBP"/>
    <s v="2025-03"/>
    <n v="1624.21"/>
    <m/>
    <n v="1624.21"/>
    <s v="N/A"/>
    <s v=" "/>
  </r>
  <r>
    <s v="GL001373"/>
    <x v="717"/>
    <n v="5010"/>
    <x v="3"/>
    <n v="680.82"/>
    <n v="0"/>
    <x v="5"/>
    <s v="CC100"/>
    <s v="AutoPost 1373"/>
    <s v="USD"/>
    <s v="2023-06"/>
    <n v="-680.82"/>
    <m/>
    <n v="-680.82"/>
    <s v="N/A"/>
    <s v=" "/>
  </r>
  <r>
    <s v="GL001374"/>
    <x v="427"/>
    <n v="6000"/>
    <x v="2"/>
    <n v="167.34"/>
    <n v="0"/>
    <x v="3"/>
    <s v="CC400"/>
    <s v="AutoPost 1374"/>
    <s v="USD"/>
    <s v="2023-12"/>
    <n v="-167.34"/>
    <m/>
    <n v="-167.34"/>
    <s v="N/A"/>
    <s v=" "/>
  </r>
  <r>
    <s v="GL001375"/>
    <x v="158"/>
    <n v="4000"/>
    <x v="0"/>
    <n v="0"/>
    <n v="1929.16"/>
    <x v="3"/>
    <s v="CC200"/>
    <s v="AutoPost 1375"/>
    <s v="EUR"/>
    <s v="2024-07"/>
    <n v="1929.16"/>
    <m/>
    <n v="1929.16"/>
    <s v="N/A"/>
    <s v=" "/>
  </r>
  <r>
    <s v="GL001376"/>
    <x v="384"/>
    <n v="5010"/>
    <x v="3"/>
    <n v="400.54"/>
    <n v="0"/>
    <x v="3"/>
    <s v="CC400"/>
    <s v="AutoPost 1376"/>
    <s v="EUR"/>
    <s v="2023-11"/>
    <n v="-400.54"/>
    <m/>
    <n v="-400.54"/>
    <s v="N/A"/>
    <s v=" "/>
  </r>
  <r>
    <s v="GL001377"/>
    <x v="207"/>
    <n v="4010"/>
    <x v="4"/>
    <n v="0"/>
    <n v="1657.49"/>
    <x v="5"/>
    <s v="CC400"/>
    <s v="AutoPost 1377"/>
    <s v="GBP"/>
    <s v="2024-04"/>
    <n v="1657.49"/>
    <m/>
    <n v="1657.49"/>
    <s v="N/A"/>
    <s v=" "/>
  </r>
  <r>
    <s v="GL001378"/>
    <x v="463"/>
    <n v="4000"/>
    <x v="0"/>
    <n v="0"/>
    <n v="1718.15"/>
    <x v="0"/>
    <s v="CC200"/>
    <s v="AutoPost 1378"/>
    <s v="GBP"/>
    <s v="2024-04"/>
    <n v="1718.15"/>
    <m/>
    <n v="1718.15"/>
    <s v="N/A"/>
    <s v=" "/>
  </r>
  <r>
    <s v="GL001379"/>
    <x v="219"/>
    <n v="4010"/>
    <x v="4"/>
    <n v="0"/>
    <n v="3216.06"/>
    <x v="4"/>
    <s v="CC100"/>
    <s v="AutoPost 1379"/>
    <s v="CAD"/>
    <s v="2025-06"/>
    <n v="3216.06"/>
    <m/>
    <n v="3216.06"/>
    <s v="N/A"/>
    <s v=" "/>
  </r>
  <r>
    <s v="GL001380"/>
    <x v="718"/>
    <n v="4010"/>
    <x v="4"/>
    <n v="0"/>
    <n v="3406.43"/>
    <x v="2"/>
    <s v="CC100"/>
    <s v="AutoPost 1380"/>
    <s v="AUD"/>
    <s v="2023-05"/>
    <n v="3406.43"/>
    <m/>
    <n v="3406.43"/>
    <s v="N/A"/>
    <s v=" "/>
  </r>
  <r>
    <s v="GL001381"/>
    <x v="716"/>
    <n v="6000"/>
    <x v="2"/>
    <n v="1047.53"/>
    <n v="0"/>
    <x v="4"/>
    <s v="CC200"/>
    <s v="AutoPost 1381"/>
    <s v="USD"/>
    <s v="2025-03"/>
    <n v="-1047.53"/>
    <m/>
    <n v="-1047.53"/>
    <s v="N/A"/>
    <s v=" "/>
  </r>
  <r>
    <s v="GL001382"/>
    <x v="289"/>
    <n v="5010"/>
    <x v="3"/>
    <n v="129.62"/>
    <n v="0"/>
    <x v="4"/>
    <s v="CC500"/>
    <s v="AutoPost 1382"/>
    <s v="EUR"/>
    <s v="2024-11"/>
    <n v="-129.62"/>
    <m/>
    <n v="-129.62"/>
    <s v="N/A"/>
    <s v=" "/>
  </r>
  <r>
    <s v="GL001383"/>
    <x v="719"/>
    <n v="4010"/>
    <x v="4"/>
    <n v="0"/>
    <n v="2334.75"/>
    <x v="2"/>
    <s v="CC200"/>
    <s v="AutoPost 1383"/>
    <s v="AUD"/>
    <s v="2023-08"/>
    <n v="2334.75"/>
    <m/>
    <n v="2334.75"/>
    <s v="N/A"/>
    <s v=" "/>
  </r>
  <r>
    <s v="GL001384"/>
    <x v="242"/>
    <n v="6000"/>
    <x v="2"/>
    <n v="1023.61"/>
    <n v="0"/>
    <x v="0"/>
    <s v="CC300"/>
    <s v="AutoPost 1384"/>
    <s v="GBP"/>
    <s v="2023-06"/>
    <n v="-1023.61"/>
    <m/>
    <n v="-1023.61"/>
    <s v="N/A"/>
    <s v=" "/>
  </r>
  <r>
    <s v="GL001385"/>
    <x v="293"/>
    <n v="5010"/>
    <x v="3"/>
    <n v="182.89"/>
    <n v="0"/>
    <x v="3"/>
    <s v="CC300"/>
    <s v="AutoPost 1385"/>
    <s v="GBP"/>
    <s v="2024-01"/>
    <n v="-182.89"/>
    <m/>
    <n v="-182.89"/>
    <s v="N/A"/>
    <s v=" "/>
  </r>
  <r>
    <s v="GL001386"/>
    <x v="494"/>
    <n v="6000"/>
    <x v="2"/>
    <n v="229.97"/>
    <n v="0"/>
    <x v="0"/>
    <s v="CC300"/>
    <s v="AutoPost 1386"/>
    <s v="GBP"/>
    <s v="2024-07"/>
    <n v="-229.97"/>
    <m/>
    <n v="-229.97"/>
    <s v="N/A"/>
    <s v=" "/>
  </r>
  <r>
    <s v="GL001387"/>
    <x v="184"/>
    <n v="6000"/>
    <x v="2"/>
    <n v="1443.86"/>
    <n v="0"/>
    <x v="3"/>
    <s v="CC100"/>
    <s v="AutoPost 1387"/>
    <s v="USD"/>
    <s v="2024-09"/>
    <n v="-1443.86"/>
    <m/>
    <n v="-1443.86"/>
    <s v="N/A"/>
    <s v=" "/>
  </r>
  <r>
    <s v="GL001388"/>
    <x v="720"/>
    <n v="4010"/>
    <x v="4"/>
    <n v="0"/>
    <n v="1270.57"/>
    <x v="2"/>
    <s v="CC300"/>
    <s v="AutoPost 1388"/>
    <s v="AUD"/>
    <s v="2024-04"/>
    <n v="1270.57"/>
    <m/>
    <n v="1270.57"/>
    <s v="N/A"/>
    <s v=" "/>
  </r>
  <r>
    <s v="GL001389"/>
    <x v="378"/>
    <n v="4010"/>
    <x v="4"/>
    <n v="0"/>
    <n v="1310.5899999999999"/>
    <x v="5"/>
    <s v="CC100"/>
    <s v="AutoPost 1389"/>
    <s v="CAD"/>
    <s v="2023-08"/>
    <n v="1310.5899999999999"/>
    <m/>
    <n v="1310.5899999999999"/>
    <s v="N/A"/>
    <s v=" "/>
  </r>
  <r>
    <s v="GL001390"/>
    <x v="13"/>
    <n v="4010"/>
    <x v="4"/>
    <n v="0"/>
    <n v="3868.62"/>
    <x v="5"/>
    <s v="CC100"/>
    <s v="AutoPost 1390"/>
    <s v="AUD"/>
    <s v="2024-02"/>
    <n v="3868.62"/>
    <m/>
    <n v="3868.62"/>
    <s v="N/A"/>
    <s v=" "/>
  </r>
  <r>
    <s v="GL001391"/>
    <x v="641"/>
    <n v="4000"/>
    <x v="0"/>
    <n v="0"/>
    <n v="138.43"/>
    <x v="1"/>
    <s v="CC500"/>
    <s v="AutoPost 1391"/>
    <s v="GBP"/>
    <s v="2023-06"/>
    <n v="138.43"/>
    <m/>
    <n v="138.43"/>
    <s v="N/A"/>
    <s v=" "/>
  </r>
  <r>
    <s v="GL001392"/>
    <x v="721"/>
    <n v="5000"/>
    <x v="1"/>
    <n v="1749.68"/>
    <n v="0"/>
    <x v="1"/>
    <s v="CC200"/>
    <s v="AutoPost 1392"/>
    <s v="EUR"/>
    <s v="2023-10"/>
    <n v="-1749.68"/>
    <m/>
    <n v="-1749.68"/>
    <s v="N/A"/>
    <s v=" "/>
  </r>
  <r>
    <s v="GL001393"/>
    <x v="553"/>
    <n v="4010"/>
    <x v="4"/>
    <n v="0"/>
    <n v="4955.21"/>
    <x v="2"/>
    <s v="CC200"/>
    <s v="AutoPost 1393"/>
    <s v="EUR"/>
    <s v="2025-05"/>
    <n v="4955.21"/>
    <m/>
    <n v="4955.21"/>
    <s v="N/A"/>
    <s v=" "/>
  </r>
  <r>
    <s v="GL001394"/>
    <x v="469"/>
    <n v="5010"/>
    <x v="3"/>
    <n v="1030.07"/>
    <n v="0"/>
    <x v="1"/>
    <s v="CC300"/>
    <s v="AutoPost 1394"/>
    <s v="CAD"/>
    <s v="2023-10"/>
    <n v="-1030.07"/>
    <m/>
    <n v="-1030.07"/>
    <s v="N/A"/>
    <s v=" "/>
  </r>
  <r>
    <s v="GL001395"/>
    <x v="46"/>
    <n v="6000"/>
    <x v="2"/>
    <n v="1552.9"/>
    <n v="0"/>
    <x v="1"/>
    <s v="CC300"/>
    <s v="AutoPost 1395"/>
    <s v="GBP"/>
    <s v="2023-01"/>
    <n v="-1552.9"/>
    <m/>
    <n v="-1552.9"/>
    <s v="N/A"/>
    <s v=" "/>
  </r>
  <r>
    <s v="GL001396"/>
    <x v="722"/>
    <n v="5000"/>
    <x v="1"/>
    <n v="1837.1"/>
    <n v="0"/>
    <x v="1"/>
    <s v="CC500"/>
    <s v="AutoPost 1396"/>
    <s v="USD"/>
    <s v="2023-03"/>
    <n v="-1837.1"/>
    <m/>
    <n v="-1837.1"/>
    <s v="N/A"/>
    <s v=" "/>
  </r>
  <r>
    <s v="GL001397"/>
    <x v="533"/>
    <n v="4000"/>
    <x v="0"/>
    <n v="0"/>
    <n v="3838.99"/>
    <x v="1"/>
    <s v="CC300"/>
    <s v="AutoPost 1397"/>
    <s v="AUD"/>
    <s v="2023-10"/>
    <n v="3838.99"/>
    <m/>
    <n v="3838.99"/>
    <s v="N/A"/>
    <s v=" "/>
  </r>
  <r>
    <s v="GL001398"/>
    <x v="134"/>
    <n v="6000"/>
    <x v="2"/>
    <n v="1204.07"/>
    <n v="0"/>
    <x v="1"/>
    <s v="CC200"/>
    <s v="AutoPost 1398"/>
    <s v="EUR"/>
    <s v="2024-03"/>
    <n v="-1204.07"/>
    <m/>
    <n v="-1204.07"/>
    <s v="N/A"/>
    <s v=" "/>
  </r>
  <r>
    <s v="GL001399"/>
    <x v="112"/>
    <n v="5010"/>
    <x v="3"/>
    <n v="1122.26"/>
    <n v="0"/>
    <x v="2"/>
    <s v="CC500"/>
    <s v="AutoPost 1399"/>
    <s v="AUD"/>
    <s v="2023-07"/>
    <n v="-1122.26"/>
    <m/>
    <n v="-1122.26"/>
    <s v="N/A"/>
    <s v=" "/>
  </r>
  <r>
    <s v="GL001400"/>
    <x v="723"/>
    <n v="5010"/>
    <x v="3"/>
    <n v="633.59"/>
    <n v="0"/>
    <x v="3"/>
    <s v="CC300"/>
    <s v="AutoPost 1400"/>
    <s v="CAD"/>
    <s v="2023-11"/>
    <n v="-633.59"/>
    <m/>
    <n v="-633.59"/>
    <s v="N/A"/>
    <s v=" "/>
  </r>
  <r>
    <s v="GL001401"/>
    <x v="93"/>
    <n v="4010"/>
    <x v="4"/>
    <n v="0"/>
    <n v="4074.33"/>
    <x v="2"/>
    <s v="CC100"/>
    <s v="AutoPost 1401"/>
    <s v="USD"/>
    <s v="2023-01"/>
    <n v="4074.33"/>
    <m/>
    <n v="4074.33"/>
    <s v="N/A"/>
    <s v=" "/>
  </r>
  <r>
    <s v="GL001402"/>
    <x v="502"/>
    <n v="6000"/>
    <x v="2"/>
    <n v="340.22"/>
    <n v="0"/>
    <x v="5"/>
    <s v="CC400"/>
    <s v="AutoPost 1402"/>
    <s v="GBP"/>
    <s v="2024-09"/>
    <n v="-340.22"/>
    <m/>
    <n v="-340.22"/>
    <s v="N/A"/>
    <s v=" "/>
  </r>
  <r>
    <s v="GL001403"/>
    <x v="272"/>
    <n v="6000"/>
    <x v="2"/>
    <n v="1891.61"/>
    <n v="0"/>
    <x v="0"/>
    <s v="CC500"/>
    <s v="AutoPost 1403"/>
    <s v="EUR"/>
    <s v="2025-05"/>
    <n v="-1891.61"/>
    <m/>
    <n v="-1891.61"/>
    <s v="N/A"/>
    <s v=" "/>
  </r>
  <r>
    <s v="GL001404"/>
    <x v="248"/>
    <n v="5000"/>
    <x v="1"/>
    <n v="1998.5"/>
    <n v="0"/>
    <x v="3"/>
    <s v="CC200"/>
    <s v="AutoPost 1404"/>
    <s v="EUR"/>
    <s v="2025-02"/>
    <n v="-1998.5"/>
    <m/>
    <n v="-1998.5"/>
    <s v="N/A"/>
    <s v=" "/>
  </r>
  <r>
    <s v="GL001405"/>
    <x v="163"/>
    <n v="4000"/>
    <x v="0"/>
    <n v="0"/>
    <n v="2567.37"/>
    <x v="3"/>
    <s v="CC400"/>
    <s v="AutoPost 1405"/>
    <s v="EUR"/>
    <s v="2025-06"/>
    <n v="2567.37"/>
    <m/>
    <n v="2567.37"/>
    <s v="N/A"/>
    <s v=" "/>
  </r>
  <r>
    <s v="GL001406"/>
    <x v="683"/>
    <n v="5000"/>
    <x v="1"/>
    <n v="1097.98"/>
    <n v="0"/>
    <x v="5"/>
    <s v="CC100"/>
    <s v="AutoPost 1406"/>
    <s v="EUR"/>
    <s v="2025-05"/>
    <n v="-1097.98"/>
    <m/>
    <n v="-1097.98"/>
    <s v="N/A"/>
    <s v=" "/>
  </r>
  <r>
    <s v="GL001407"/>
    <x v="447"/>
    <n v="6000"/>
    <x v="2"/>
    <n v="443.66"/>
    <n v="0"/>
    <x v="3"/>
    <s v="CC400"/>
    <s v="AutoPost 1407"/>
    <s v="GBP"/>
    <s v="2025-03"/>
    <n v="-443.66"/>
    <m/>
    <n v="-443.66"/>
    <s v="N/A"/>
    <s v=" "/>
  </r>
  <r>
    <s v="GL001408"/>
    <x v="658"/>
    <n v="5000"/>
    <x v="1"/>
    <n v="225.89"/>
    <n v="0"/>
    <x v="1"/>
    <s v="CC400"/>
    <s v="AutoPost 1408"/>
    <s v="AUD"/>
    <s v="2023-04"/>
    <n v="-225.89"/>
    <m/>
    <n v="-225.89"/>
    <s v="N/A"/>
    <s v=" "/>
  </r>
  <r>
    <s v="GL001409"/>
    <x v="3"/>
    <n v="5000"/>
    <x v="1"/>
    <n v="90.95"/>
    <n v="0"/>
    <x v="3"/>
    <s v="CC200"/>
    <s v="AutoPost 1409"/>
    <s v="USD"/>
    <s v="2023-09"/>
    <n v="-90.95"/>
    <m/>
    <n v="-90.95"/>
    <s v="N/A"/>
    <s v=" "/>
  </r>
  <r>
    <s v="GL001410"/>
    <x v="642"/>
    <n v="4010"/>
    <x v="4"/>
    <n v="0"/>
    <n v="4806.1400000000003"/>
    <x v="3"/>
    <s v="CC100"/>
    <s v="AutoPost 1410"/>
    <s v="EUR"/>
    <s v="2025-05"/>
    <n v="4806.1400000000003"/>
    <m/>
    <n v="4806.1400000000003"/>
    <s v="N/A"/>
    <s v=" "/>
  </r>
  <r>
    <s v="GL001411"/>
    <x v="123"/>
    <n v="4010"/>
    <x v="4"/>
    <n v="0"/>
    <n v="2397.21"/>
    <x v="5"/>
    <s v="CC200"/>
    <s v="AutoPost 1411"/>
    <s v="GBP"/>
    <s v="2024-10"/>
    <n v="2397.21"/>
    <m/>
    <n v="2397.21"/>
    <s v="N/A"/>
    <s v=" "/>
  </r>
  <r>
    <s v="GL001412"/>
    <x v="448"/>
    <n v="4010"/>
    <x v="4"/>
    <n v="0"/>
    <n v="1164.68"/>
    <x v="0"/>
    <s v="CC200"/>
    <s v="AutoPost 1412"/>
    <s v="USD"/>
    <s v="2023-04"/>
    <n v="1164.68"/>
    <m/>
    <n v="1164.68"/>
    <s v="N/A"/>
    <s v=" "/>
  </r>
  <r>
    <s v="GL001413"/>
    <x v="337"/>
    <n v="4000"/>
    <x v="0"/>
    <n v="0"/>
    <n v="4994.2"/>
    <x v="3"/>
    <s v="CC200"/>
    <s v="AutoPost 1413"/>
    <s v="CAD"/>
    <s v="2024-05"/>
    <n v="4994.2"/>
    <m/>
    <n v="4994.2"/>
    <s v="N/A"/>
    <s v=" "/>
  </r>
  <r>
    <s v="GL001414"/>
    <x v="526"/>
    <n v="4010"/>
    <x v="4"/>
    <n v="0"/>
    <n v="127.25"/>
    <x v="4"/>
    <s v="CC300"/>
    <s v="AutoPost 1414"/>
    <s v="CAD"/>
    <s v="2024-01"/>
    <n v="127.25"/>
    <m/>
    <n v="127.25"/>
    <s v="N/A"/>
    <s v=" "/>
  </r>
  <r>
    <s v="GL001415"/>
    <x v="588"/>
    <n v="5010"/>
    <x v="3"/>
    <n v="1383.8"/>
    <n v="0"/>
    <x v="5"/>
    <s v="CC200"/>
    <s v="AutoPost 1415"/>
    <s v="CAD"/>
    <s v="2025-06"/>
    <n v="-1383.8"/>
    <m/>
    <n v="-1383.8"/>
    <s v="N/A"/>
    <s v=" "/>
  </r>
  <r>
    <s v="GL001416"/>
    <x v="121"/>
    <n v="4010"/>
    <x v="4"/>
    <n v="0"/>
    <n v="4604.16"/>
    <x v="4"/>
    <s v="CC200"/>
    <s v="AutoPost 1416"/>
    <s v="GBP"/>
    <s v="2024-08"/>
    <n v="4604.16"/>
    <m/>
    <n v="4604.16"/>
    <s v="N/A"/>
    <s v=" "/>
  </r>
  <r>
    <s v="GL001417"/>
    <x v="174"/>
    <n v="4000"/>
    <x v="0"/>
    <n v="0"/>
    <n v="4835.3"/>
    <x v="2"/>
    <s v="CC100"/>
    <s v="AutoPost 1417"/>
    <s v="GBP"/>
    <s v="2024-08"/>
    <n v="4835.3"/>
    <m/>
    <n v="4835.3"/>
    <s v="N/A"/>
    <s v=" "/>
  </r>
  <r>
    <s v="GL001418"/>
    <x v="724"/>
    <n v="4010"/>
    <x v="4"/>
    <n v="0"/>
    <n v="1057.72"/>
    <x v="4"/>
    <s v="CC500"/>
    <s v="AutoPost 1418"/>
    <s v="CAD"/>
    <s v="2025-04"/>
    <n v="1057.72"/>
    <m/>
    <n v="1057.72"/>
    <s v="N/A"/>
    <s v=" "/>
  </r>
  <r>
    <s v="GL001419"/>
    <x v="625"/>
    <n v="5010"/>
    <x v="3"/>
    <n v="1394.77"/>
    <n v="0"/>
    <x v="0"/>
    <s v="CC100"/>
    <s v="AutoPost 1419"/>
    <s v="CAD"/>
    <s v="2023-09"/>
    <n v="-1394.77"/>
    <m/>
    <n v="-1394.77"/>
    <s v="N/A"/>
    <s v=" "/>
  </r>
  <r>
    <s v="GL001420"/>
    <x v="619"/>
    <n v="5000"/>
    <x v="1"/>
    <n v="803.08"/>
    <n v="0"/>
    <x v="4"/>
    <s v="CC400"/>
    <s v="AutoPost 1420"/>
    <s v="AUD"/>
    <s v="2023-11"/>
    <n v="-803.08"/>
    <m/>
    <n v="-803.08"/>
    <s v="N/A"/>
    <s v=" "/>
  </r>
  <r>
    <s v="GL001421"/>
    <x v="725"/>
    <n v="6000"/>
    <x v="2"/>
    <n v="500.5"/>
    <n v="0"/>
    <x v="0"/>
    <s v="CC500"/>
    <s v="AutoPost 1421"/>
    <s v="CAD"/>
    <s v="2023-08"/>
    <n v="-500.5"/>
    <m/>
    <n v="-500.5"/>
    <s v="N/A"/>
    <s v=" "/>
  </r>
  <r>
    <s v="GL001422"/>
    <x v="117"/>
    <n v="5010"/>
    <x v="3"/>
    <n v="413.05"/>
    <n v="0"/>
    <x v="5"/>
    <s v="CC400"/>
    <s v="AutoPost 1422"/>
    <s v="GBP"/>
    <s v="2023-02"/>
    <n v="-413.05"/>
    <m/>
    <n v="-413.05"/>
    <s v="N/A"/>
    <s v=" "/>
  </r>
  <r>
    <s v="GL001423"/>
    <x v="726"/>
    <n v="5000"/>
    <x v="1"/>
    <n v="1483.66"/>
    <n v="0"/>
    <x v="3"/>
    <s v="CC300"/>
    <s v="AutoPost 1423"/>
    <s v="EUR"/>
    <s v="2023-10"/>
    <n v="-1483.66"/>
    <m/>
    <n v="-1483.66"/>
    <s v="N/A"/>
    <s v=" "/>
  </r>
  <r>
    <s v="GL001424"/>
    <x v="511"/>
    <n v="5010"/>
    <x v="3"/>
    <n v="1752.32"/>
    <n v="0"/>
    <x v="0"/>
    <s v="CC400"/>
    <s v="AutoPost 1424"/>
    <s v="CAD"/>
    <s v="2023-04"/>
    <n v="-1752.32"/>
    <m/>
    <n v="-1752.32"/>
    <s v="N/A"/>
    <s v=" "/>
  </r>
  <r>
    <s v="GL001425"/>
    <x v="607"/>
    <n v="4000"/>
    <x v="0"/>
    <n v="0"/>
    <n v="1556.95"/>
    <x v="3"/>
    <s v="CC100"/>
    <s v="AutoPost 1425"/>
    <s v="CAD"/>
    <s v="2023-11"/>
    <n v="1556.95"/>
    <m/>
    <n v="1556.95"/>
    <s v="N/A"/>
    <s v=" "/>
  </r>
  <r>
    <s v="GL001426"/>
    <x v="727"/>
    <n v="5010"/>
    <x v="3"/>
    <n v="1162.76"/>
    <n v="0"/>
    <x v="5"/>
    <s v="CC200"/>
    <s v="AutoPost 1426"/>
    <s v="CAD"/>
    <s v="2024-11"/>
    <n v="-1162.76"/>
    <m/>
    <n v="-1162.76"/>
    <s v="N/A"/>
    <s v=" "/>
  </r>
  <r>
    <s v="GL001427"/>
    <x v="728"/>
    <n v="4000"/>
    <x v="0"/>
    <n v="0"/>
    <n v="3293.95"/>
    <x v="4"/>
    <s v="CC200"/>
    <s v="AutoPost 1427"/>
    <s v="CAD"/>
    <s v="2024-01"/>
    <n v="3293.95"/>
    <m/>
    <n v="3293.95"/>
    <s v="N/A"/>
    <s v=" "/>
  </r>
  <r>
    <s v="GL001428"/>
    <x v="277"/>
    <n v="5010"/>
    <x v="3"/>
    <n v="949.79"/>
    <n v="0"/>
    <x v="0"/>
    <s v="CC100"/>
    <s v="AutoPost 1428"/>
    <s v="GBP"/>
    <s v="2024-02"/>
    <n v="-949.79"/>
    <m/>
    <n v="-949.79"/>
    <s v="N/A"/>
    <s v=" "/>
  </r>
  <r>
    <s v="GL001429"/>
    <x v="616"/>
    <n v="4010"/>
    <x v="4"/>
    <n v="0"/>
    <n v="536.59"/>
    <x v="0"/>
    <s v="CC100"/>
    <s v="AutoPost 1429"/>
    <s v="USD"/>
    <s v="2024-03"/>
    <n v="536.59"/>
    <m/>
    <n v="536.59"/>
    <s v="N/A"/>
    <s v=" "/>
  </r>
  <r>
    <s v="GL001430"/>
    <x v="729"/>
    <n v="4000"/>
    <x v="0"/>
    <n v="0"/>
    <n v="352.44"/>
    <x v="4"/>
    <s v="CC400"/>
    <s v="AutoPost 1430"/>
    <s v="CAD"/>
    <s v="2023-06"/>
    <n v="352.44"/>
    <m/>
    <n v="352.44"/>
    <s v="N/A"/>
    <s v=" "/>
  </r>
  <r>
    <s v="GL001431"/>
    <x v="730"/>
    <n v="5000"/>
    <x v="1"/>
    <n v="479.39"/>
    <n v="0"/>
    <x v="0"/>
    <s v="CC500"/>
    <s v="AutoPost 1431"/>
    <s v="EUR"/>
    <s v="2024-07"/>
    <n v="-479.39"/>
    <m/>
    <n v="-479.39"/>
    <s v="N/A"/>
    <s v=" "/>
  </r>
  <r>
    <s v="GL001432"/>
    <x v="236"/>
    <n v="6000"/>
    <x v="2"/>
    <n v="875.44"/>
    <n v="0"/>
    <x v="1"/>
    <s v="CC500"/>
    <s v="AutoPost 1432"/>
    <s v="USD"/>
    <s v="2025-01"/>
    <n v="-875.44"/>
    <m/>
    <n v="-875.44"/>
    <s v="N/A"/>
    <s v=" "/>
  </r>
  <r>
    <s v="GL001433"/>
    <x v="731"/>
    <n v="5000"/>
    <x v="1"/>
    <n v="726.79"/>
    <n v="0"/>
    <x v="5"/>
    <s v="CC300"/>
    <s v="AutoPost 1433"/>
    <s v="GBP"/>
    <s v="2025-01"/>
    <n v="-726.79"/>
    <m/>
    <n v="-726.79"/>
    <s v="N/A"/>
    <s v=" "/>
  </r>
  <r>
    <s v="GL001434"/>
    <x v="347"/>
    <n v="4010"/>
    <x v="4"/>
    <n v="0"/>
    <n v="3492.12"/>
    <x v="1"/>
    <s v="CC500"/>
    <s v="AutoPost 1434"/>
    <s v="USD"/>
    <s v="2023-07"/>
    <n v="3492.12"/>
    <m/>
    <n v="3492.12"/>
    <s v="N/A"/>
    <s v=" "/>
  </r>
  <r>
    <s v="GL001435"/>
    <x v="256"/>
    <n v="5010"/>
    <x v="3"/>
    <n v="868.34"/>
    <n v="0"/>
    <x v="1"/>
    <s v="CC400"/>
    <s v="AutoPost 1435"/>
    <s v="USD"/>
    <s v="2024-05"/>
    <n v="-868.34"/>
    <m/>
    <n v="-868.34"/>
    <s v="N/A"/>
    <s v=" "/>
  </r>
  <r>
    <s v="GL001436"/>
    <x v="732"/>
    <n v="4000"/>
    <x v="0"/>
    <n v="0"/>
    <n v="1610.63"/>
    <x v="4"/>
    <s v="CC500"/>
    <s v="AutoPost 1436"/>
    <s v="CAD"/>
    <s v="2023-03"/>
    <n v="1610.63"/>
    <m/>
    <n v="1610.63"/>
    <s v="N/A"/>
    <s v=" "/>
  </r>
  <r>
    <s v="GL001437"/>
    <x v="717"/>
    <n v="6000"/>
    <x v="2"/>
    <n v="1429.61"/>
    <n v="0"/>
    <x v="1"/>
    <s v="CC300"/>
    <s v="AutoPost 1437"/>
    <s v="EUR"/>
    <s v="2023-06"/>
    <n v="-1429.61"/>
    <m/>
    <n v="-1429.61"/>
    <s v="N/A"/>
    <s v=" "/>
  </r>
  <r>
    <s v="GL001438"/>
    <x v="196"/>
    <n v="5000"/>
    <x v="1"/>
    <n v="918.99"/>
    <n v="0"/>
    <x v="4"/>
    <s v="CC200"/>
    <s v="AutoPost 1438"/>
    <s v="EUR"/>
    <s v="2023-11"/>
    <n v="-918.99"/>
    <m/>
    <n v="-918.99"/>
    <s v="N/A"/>
    <s v=" "/>
  </r>
  <r>
    <s v="GL001439"/>
    <x v="273"/>
    <n v="5010"/>
    <x v="3"/>
    <n v="189.23"/>
    <n v="0"/>
    <x v="1"/>
    <s v="CC100"/>
    <s v="AutoPost 1439"/>
    <s v="EUR"/>
    <s v="2025-06"/>
    <n v="-189.23"/>
    <m/>
    <n v="-189.23"/>
    <s v="N/A"/>
    <s v=" "/>
  </r>
  <r>
    <s v="GL001440"/>
    <x v="733"/>
    <n v="4010"/>
    <x v="4"/>
    <n v="0"/>
    <n v="4553.74"/>
    <x v="2"/>
    <s v="CC500"/>
    <s v="AutoPost 1440"/>
    <s v="USD"/>
    <s v="2025-06"/>
    <n v="4553.74"/>
    <m/>
    <n v="4553.74"/>
    <s v="N/A"/>
    <s v=" "/>
  </r>
  <r>
    <s v="GL001441"/>
    <x v="83"/>
    <n v="4010"/>
    <x v="4"/>
    <n v="0"/>
    <n v="224.69"/>
    <x v="5"/>
    <s v="CC200"/>
    <s v="AutoPost 1441"/>
    <s v="AUD"/>
    <s v="2024-11"/>
    <n v="224.69"/>
    <m/>
    <n v="224.69"/>
    <s v="N/A"/>
    <s v=" "/>
  </r>
  <r>
    <s v="GL001442"/>
    <x v="47"/>
    <n v="5000"/>
    <x v="1"/>
    <n v="1447.98"/>
    <n v="0"/>
    <x v="4"/>
    <s v="CC200"/>
    <s v="AutoPost 1442"/>
    <s v="GBP"/>
    <s v="2024-03"/>
    <n v="-1447.98"/>
    <m/>
    <n v="-1447.98"/>
    <s v="N/A"/>
    <s v=" "/>
  </r>
  <r>
    <s v="GL001443"/>
    <x v="363"/>
    <n v="6000"/>
    <x v="2"/>
    <n v="1846.98"/>
    <n v="0"/>
    <x v="1"/>
    <s v="CC400"/>
    <s v="AutoPost 1443"/>
    <s v="USD"/>
    <s v="2023-02"/>
    <n v="-1846.98"/>
    <m/>
    <n v="-1846.98"/>
    <s v="N/A"/>
    <s v=" "/>
  </r>
  <r>
    <s v="GL001444"/>
    <x v="629"/>
    <n v="5010"/>
    <x v="3"/>
    <n v="1709.33"/>
    <n v="0"/>
    <x v="2"/>
    <s v="CC300"/>
    <s v="AutoPost 1444"/>
    <s v="CAD"/>
    <s v="2025-01"/>
    <n v="-1709.33"/>
    <m/>
    <n v="-1709.33"/>
    <s v="N/A"/>
    <s v=" "/>
  </r>
  <r>
    <s v="GL001445"/>
    <x v="702"/>
    <n v="4010"/>
    <x v="4"/>
    <n v="0"/>
    <n v="4210.6499999999996"/>
    <x v="1"/>
    <s v="CC500"/>
    <s v="AutoPost 1445"/>
    <s v="EUR"/>
    <s v="2023-09"/>
    <n v="4210.6499999999996"/>
    <m/>
    <n v="4210.6499999999996"/>
    <s v="N/A"/>
    <s v=" "/>
  </r>
  <r>
    <s v="GL001446"/>
    <x v="734"/>
    <n v="5010"/>
    <x v="3"/>
    <n v="1733.89"/>
    <n v="0"/>
    <x v="3"/>
    <s v="CC500"/>
    <s v="AutoPost 1446"/>
    <s v="EUR"/>
    <s v="2024-08"/>
    <n v="-1733.89"/>
    <m/>
    <n v="-1733.89"/>
    <s v="N/A"/>
    <s v=" "/>
  </r>
  <r>
    <s v="GL001447"/>
    <x v="279"/>
    <n v="4000"/>
    <x v="0"/>
    <n v="0"/>
    <n v="4741"/>
    <x v="2"/>
    <s v="CC300"/>
    <s v="AutoPost 1447"/>
    <s v="USD"/>
    <s v="2024-01"/>
    <n v="4741"/>
    <m/>
    <n v="4741"/>
    <s v="N/A"/>
    <s v=" "/>
  </r>
  <r>
    <s v="GL001448"/>
    <x v="677"/>
    <n v="6000"/>
    <x v="2"/>
    <n v="1800.94"/>
    <n v="0"/>
    <x v="5"/>
    <s v="CC500"/>
    <s v="AutoPost 1448"/>
    <s v="EUR"/>
    <s v="2023-09"/>
    <n v="-1800.94"/>
    <m/>
    <n v="-1800.94"/>
    <s v="N/A"/>
    <s v=" "/>
  </r>
  <r>
    <s v="GL001449"/>
    <x v="735"/>
    <n v="6000"/>
    <x v="2"/>
    <n v="1648.82"/>
    <n v="0"/>
    <x v="2"/>
    <s v="CC100"/>
    <s v="AutoPost 1449"/>
    <s v="AUD"/>
    <s v="2024-05"/>
    <n v="-1648.82"/>
    <m/>
    <n v="-1648.82"/>
    <s v="N/A"/>
    <s v=" "/>
  </r>
  <r>
    <s v="GL001450"/>
    <x v="69"/>
    <n v="4010"/>
    <x v="4"/>
    <n v="0"/>
    <n v="174.57"/>
    <x v="5"/>
    <s v="CC500"/>
    <s v="AutoPost 1450"/>
    <s v="USD"/>
    <s v="2025-05"/>
    <n v="174.57"/>
    <m/>
    <n v="174.57"/>
    <s v="N/A"/>
    <s v=" "/>
  </r>
  <r>
    <s v="GL001451"/>
    <x v="397"/>
    <n v="6000"/>
    <x v="2"/>
    <n v="302.02999999999997"/>
    <n v="0"/>
    <x v="1"/>
    <s v="CC200"/>
    <s v="AutoPost 1451"/>
    <s v="EUR"/>
    <s v="2024-03"/>
    <n v="-302.02999999999997"/>
    <m/>
    <n v="-302.02999999999997"/>
    <s v="N/A"/>
    <s v=" "/>
  </r>
  <r>
    <s v="GL001452"/>
    <x v="501"/>
    <n v="6000"/>
    <x v="2"/>
    <n v="226.75"/>
    <n v="0"/>
    <x v="1"/>
    <s v="CC300"/>
    <s v="AutoPost 1452"/>
    <s v="CAD"/>
    <s v="2024-06"/>
    <n v="-226.75"/>
    <m/>
    <n v="-226.75"/>
    <s v="N/A"/>
    <s v=" "/>
  </r>
  <r>
    <s v="GL001453"/>
    <x v="4"/>
    <n v="4010"/>
    <x v="4"/>
    <n v="0"/>
    <n v="3167.06"/>
    <x v="0"/>
    <s v="CC400"/>
    <s v="AutoPost 1453"/>
    <s v="AUD"/>
    <s v="2023-08"/>
    <n v="3167.06"/>
    <m/>
    <n v="3167.06"/>
    <s v="N/A"/>
    <s v=" "/>
  </r>
  <r>
    <s v="GL001454"/>
    <x v="516"/>
    <n v="5000"/>
    <x v="1"/>
    <n v="1135.3699999999999"/>
    <n v="0"/>
    <x v="3"/>
    <s v="CC100"/>
    <s v="AutoPost 1454"/>
    <s v="AUD"/>
    <s v="2023-01"/>
    <n v="-1135.3699999999999"/>
    <m/>
    <n v="-1135.3699999999999"/>
    <s v="N/A"/>
    <s v=" "/>
  </r>
  <r>
    <s v="GL001455"/>
    <x v="736"/>
    <n v="6000"/>
    <x v="2"/>
    <n v="418.07"/>
    <n v="0"/>
    <x v="5"/>
    <s v="CC100"/>
    <s v="AutoPost 1455"/>
    <s v="CAD"/>
    <s v="2024-12"/>
    <n v="-418.07"/>
    <m/>
    <n v="-418.07"/>
    <s v="N/A"/>
    <s v=" "/>
  </r>
  <r>
    <s v="GL001456"/>
    <x v="169"/>
    <n v="4000"/>
    <x v="0"/>
    <n v="0"/>
    <n v="3400.48"/>
    <x v="0"/>
    <s v="CC100"/>
    <s v="AutoPost 1456"/>
    <s v="AUD"/>
    <s v="2024-12"/>
    <n v="3400.48"/>
    <m/>
    <n v="3400.48"/>
    <s v="N/A"/>
    <s v=" "/>
  </r>
  <r>
    <s v="GL001457"/>
    <x v="413"/>
    <n v="5000"/>
    <x v="1"/>
    <n v="67.56"/>
    <n v="0"/>
    <x v="5"/>
    <s v="CC500"/>
    <s v="AutoPost 1457"/>
    <s v="GBP"/>
    <s v="2024-02"/>
    <n v="-67.56"/>
    <m/>
    <n v="-67.56"/>
    <s v="N/A"/>
    <s v=" "/>
  </r>
  <r>
    <s v="GL001458"/>
    <x v="68"/>
    <n v="4000"/>
    <x v="0"/>
    <n v="0"/>
    <n v="2980.92"/>
    <x v="3"/>
    <s v="CC400"/>
    <s v="AutoPost 1458"/>
    <s v="AUD"/>
    <s v="2024-05"/>
    <n v="2980.92"/>
    <m/>
    <n v="2980.92"/>
    <s v="N/A"/>
    <s v=" "/>
  </r>
  <r>
    <s v="GL001459"/>
    <x v="665"/>
    <n v="5010"/>
    <x v="3"/>
    <n v="1093.1300000000001"/>
    <n v="0"/>
    <x v="2"/>
    <s v="CC200"/>
    <s v="AutoPost 1459"/>
    <s v="USD"/>
    <s v="2024-06"/>
    <n v="-1093.1300000000001"/>
    <m/>
    <n v="-1093.1300000000001"/>
    <s v="N/A"/>
    <s v=" "/>
  </r>
  <r>
    <s v="GL001460"/>
    <x v="100"/>
    <n v="4010"/>
    <x v="4"/>
    <n v="0"/>
    <n v="3048.03"/>
    <x v="4"/>
    <s v="CC100"/>
    <s v="AutoPost 1460"/>
    <s v="CAD"/>
    <s v="2025-06"/>
    <n v="3048.03"/>
    <m/>
    <n v="3048.03"/>
    <s v="N/A"/>
    <s v=" "/>
  </r>
  <r>
    <s v="GL001461"/>
    <x v="736"/>
    <n v="6000"/>
    <x v="2"/>
    <n v="1020.63"/>
    <n v="0"/>
    <x v="3"/>
    <s v="CC400"/>
    <s v="AutoPost 1461"/>
    <s v="AUD"/>
    <s v="2024-12"/>
    <n v="-1020.63"/>
    <m/>
    <n v="-1020.63"/>
    <s v="N/A"/>
    <s v=" "/>
  </r>
  <r>
    <s v="GL001462"/>
    <x v="737"/>
    <n v="5010"/>
    <x v="3"/>
    <n v="1162.8900000000001"/>
    <n v="0"/>
    <x v="0"/>
    <s v="CC500"/>
    <s v="AutoPost 1462"/>
    <s v="GBP"/>
    <s v="2023-05"/>
    <n v="-1162.8900000000001"/>
    <m/>
    <n v="-1162.8900000000001"/>
    <s v="N/A"/>
    <s v=" "/>
  </r>
  <r>
    <s v="GL001463"/>
    <x v="219"/>
    <n v="5000"/>
    <x v="1"/>
    <n v="783.53"/>
    <n v="0"/>
    <x v="5"/>
    <s v="CC300"/>
    <s v="AutoPost 1463"/>
    <s v="GBP"/>
    <s v="2025-06"/>
    <n v="-783.53"/>
    <m/>
    <n v="-783.53"/>
    <s v="N/A"/>
    <s v=" "/>
  </r>
  <r>
    <s v="GL001464"/>
    <x v="738"/>
    <n v="4000"/>
    <x v="0"/>
    <n v="0"/>
    <n v="3125.16"/>
    <x v="0"/>
    <s v="CC200"/>
    <s v="AutoPost 1464"/>
    <s v="EUR"/>
    <s v="2024-02"/>
    <n v="3125.16"/>
    <m/>
    <n v="3125.16"/>
    <s v="N/A"/>
    <s v=" "/>
  </r>
  <r>
    <s v="GL001465"/>
    <x v="618"/>
    <n v="5000"/>
    <x v="1"/>
    <n v="1578.71"/>
    <n v="0"/>
    <x v="4"/>
    <s v="CC300"/>
    <s v="AutoPost 1465"/>
    <s v="EUR"/>
    <s v="2024-08"/>
    <n v="-1578.71"/>
    <m/>
    <n v="-1578.71"/>
    <s v="N/A"/>
    <s v=" "/>
  </r>
  <r>
    <s v="GL001466"/>
    <x v="33"/>
    <n v="4000"/>
    <x v="0"/>
    <n v="0"/>
    <n v="4453.8"/>
    <x v="4"/>
    <s v="CC400"/>
    <s v="AutoPost 1466"/>
    <s v="USD"/>
    <s v="2023-11"/>
    <n v="4453.8"/>
    <m/>
    <n v="4453.8"/>
    <s v="N/A"/>
    <s v=" "/>
  </r>
  <r>
    <s v="GL001467"/>
    <x v="298"/>
    <n v="4000"/>
    <x v="0"/>
    <n v="0"/>
    <n v="4929.5200000000004"/>
    <x v="5"/>
    <s v="CC400"/>
    <s v="AutoPost 1467"/>
    <s v="GBP"/>
    <s v="2023-09"/>
    <n v="4929.5200000000004"/>
    <m/>
    <n v="4929.5200000000004"/>
    <s v="N/A"/>
    <s v=" "/>
  </r>
  <r>
    <s v="GL001468"/>
    <x v="288"/>
    <n v="5000"/>
    <x v="1"/>
    <n v="537.51"/>
    <n v="0"/>
    <x v="4"/>
    <s v="CC400"/>
    <s v="AutoPost 1468"/>
    <s v="GBP"/>
    <s v="2023-02"/>
    <n v="-537.51"/>
    <m/>
    <n v="-537.51"/>
    <s v="N/A"/>
    <s v=" "/>
  </r>
  <r>
    <s v="GL001469"/>
    <x v="496"/>
    <n v="5000"/>
    <x v="1"/>
    <n v="554.87"/>
    <n v="0"/>
    <x v="3"/>
    <s v="CC300"/>
    <s v="AutoPost 1469"/>
    <s v="GBP"/>
    <s v="2024-12"/>
    <n v="-554.87"/>
    <m/>
    <n v="-554.87"/>
    <s v="N/A"/>
    <s v=" "/>
  </r>
  <r>
    <s v="GL001470"/>
    <x v="609"/>
    <n v="4010"/>
    <x v="4"/>
    <n v="0"/>
    <n v="4941.29"/>
    <x v="3"/>
    <s v="CC200"/>
    <s v="AutoPost 1470"/>
    <s v="AUD"/>
    <s v="2024-04"/>
    <n v="4941.29"/>
    <m/>
    <n v="4941.29"/>
    <s v="N/A"/>
    <s v=" "/>
  </r>
  <r>
    <s v="GL001471"/>
    <x v="320"/>
    <n v="5000"/>
    <x v="1"/>
    <n v="1427.31"/>
    <n v="0"/>
    <x v="1"/>
    <s v="CC200"/>
    <s v="AutoPost 1471"/>
    <s v="EUR"/>
    <s v="2023-11"/>
    <n v="-1427.31"/>
    <m/>
    <n v="-1427.31"/>
    <s v="N/A"/>
    <s v=" "/>
  </r>
  <r>
    <s v="GL001472"/>
    <x v="218"/>
    <n v="4000"/>
    <x v="0"/>
    <n v="0"/>
    <n v="1063.56"/>
    <x v="4"/>
    <s v="CC100"/>
    <s v="AutoPost 1472"/>
    <s v="EUR"/>
    <s v="2023-11"/>
    <n v="1063.56"/>
    <m/>
    <n v="1063.56"/>
    <s v="N/A"/>
    <s v=" "/>
  </r>
  <r>
    <s v="GL001473"/>
    <x v="472"/>
    <n v="6000"/>
    <x v="2"/>
    <n v="665.12"/>
    <n v="0"/>
    <x v="3"/>
    <s v="CC200"/>
    <s v="AutoPost 1473"/>
    <s v="CAD"/>
    <s v="2023-05"/>
    <n v="-665.12"/>
    <m/>
    <n v="-665.12"/>
    <s v="N/A"/>
    <s v=" "/>
  </r>
  <r>
    <s v="GL001474"/>
    <x v="283"/>
    <n v="4000"/>
    <x v="0"/>
    <n v="0"/>
    <n v="185.76"/>
    <x v="3"/>
    <s v="CC300"/>
    <s v="AutoPost 1474"/>
    <s v="USD"/>
    <s v="2024-05"/>
    <n v="185.76"/>
    <m/>
    <n v="185.76"/>
    <s v="N/A"/>
    <s v=" "/>
  </r>
  <r>
    <s v="GL001475"/>
    <x v="352"/>
    <n v="4010"/>
    <x v="4"/>
    <n v="0"/>
    <n v="278.45999999999998"/>
    <x v="3"/>
    <s v="CC400"/>
    <s v="AutoPost 1475"/>
    <s v="AUD"/>
    <s v="2025-02"/>
    <n v="278.45999999999998"/>
    <m/>
    <n v="278.45999999999998"/>
    <s v="N/A"/>
    <s v=" "/>
  </r>
  <r>
    <s v="GL001476"/>
    <x v="348"/>
    <n v="4000"/>
    <x v="0"/>
    <n v="0"/>
    <n v="4294.84"/>
    <x v="3"/>
    <s v="CC500"/>
    <s v="AutoPost 1476"/>
    <s v="CAD"/>
    <s v="2024-02"/>
    <n v="4294.84"/>
    <m/>
    <n v="4294.84"/>
    <s v="N/A"/>
    <s v=" "/>
  </r>
  <r>
    <s v="GL001477"/>
    <x v="3"/>
    <n v="5010"/>
    <x v="3"/>
    <n v="1675.83"/>
    <n v="0"/>
    <x v="0"/>
    <s v="CC400"/>
    <s v="AutoPost 1477"/>
    <s v="USD"/>
    <s v="2023-09"/>
    <n v="-1675.83"/>
    <m/>
    <n v="-1675.83"/>
    <s v="N/A"/>
    <s v=" "/>
  </r>
  <r>
    <s v="GL001478"/>
    <x v="510"/>
    <n v="5010"/>
    <x v="3"/>
    <n v="658.13"/>
    <n v="0"/>
    <x v="2"/>
    <s v="CC500"/>
    <s v="AutoPost 1478"/>
    <s v="GBP"/>
    <s v="2024-10"/>
    <n v="-658.13"/>
    <m/>
    <n v="-658.13"/>
    <s v="N/A"/>
    <s v=" "/>
  </r>
  <r>
    <s v="GL001479"/>
    <x v="504"/>
    <n v="6000"/>
    <x v="2"/>
    <n v="1615.35"/>
    <n v="0"/>
    <x v="2"/>
    <s v="CC500"/>
    <s v="AutoPost 1479"/>
    <s v="CAD"/>
    <s v="2025-05"/>
    <n v="-1615.35"/>
    <m/>
    <n v="-1615.35"/>
    <s v="N/A"/>
    <s v=" "/>
  </r>
  <r>
    <s v="GL001480"/>
    <x v="583"/>
    <n v="4010"/>
    <x v="4"/>
    <n v="0"/>
    <n v="4040.21"/>
    <x v="3"/>
    <s v="CC200"/>
    <s v="AutoPost 1480"/>
    <s v="CAD"/>
    <s v="2023-09"/>
    <n v="4040.21"/>
    <m/>
    <n v="4040.21"/>
    <s v="N/A"/>
    <s v=" "/>
  </r>
  <r>
    <s v="GL001481"/>
    <x v="238"/>
    <n v="4000"/>
    <x v="0"/>
    <n v="0"/>
    <n v="1080.5"/>
    <x v="0"/>
    <s v="CC100"/>
    <s v="AutoPost 1481"/>
    <s v="EUR"/>
    <s v="2025-05"/>
    <n v="1080.5"/>
    <m/>
    <n v="1080.5"/>
    <s v="N/A"/>
    <s v=" "/>
  </r>
  <r>
    <s v="GL001482"/>
    <x v="509"/>
    <n v="6000"/>
    <x v="2"/>
    <n v="1674.78"/>
    <n v="0"/>
    <x v="4"/>
    <s v="CC400"/>
    <s v="AutoPost 1482"/>
    <s v="EUR"/>
    <s v="2025-04"/>
    <n v="-1674.78"/>
    <m/>
    <n v="-1674.78"/>
    <s v="N/A"/>
    <s v=" "/>
  </r>
  <r>
    <s v="GL001483"/>
    <x v="349"/>
    <n v="5010"/>
    <x v="3"/>
    <n v="959.69"/>
    <n v="0"/>
    <x v="5"/>
    <s v="CC300"/>
    <s v="AutoPost 1483"/>
    <s v="USD"/>
    <s v="2024-11"/>
    <n v="-959.69"/>
    <m/>
    <n v="-959.69"/>
    <s v="N/A"/>
    <s v=" "/>
  </r>
  <r>
    <s v="GL001484"/>
    <x v="129"/>
    <n v="5000"/>
    <x v="1"/>
    <n v="1883.44"/>
    <n v="0"/>
    <x v="4"/>
    <s v="CC100"/>
    <s v="AutoPost 1484"/>
    <s v="AUD"/>
    <s v="2024-06"/>
    <n v="-1883.44"/>
    <m/>
    <n v="-1883.44"/>
    <s v="N/A"/>
    <s v=" "/>
  </r>
  <r>
    <s v="GL001485"/>
    <x v="127"/>
    <n v="4000"/>
    <x v="0"/>
    <n v="0"/>
    <n v="1071.33"/>
    <x v="4"/>
    <s v="CC100"/>
    <s v="AutoPost 1485"/>
    <s v="USD"/>
    <s v="2023-12"/>
    <n v="1071.33"/>
    <m/>
    <n v="1071.33"/>
    <s v="N/A"/>
    <s v=" "/>
  </r>
  <r>
    <s v="GL001486"/>
    <x v="8"/>
    <n v="4010"/>
    <x v="4"/>
    <n v="0"/>
    <n v="3543.57"/>
    <x v="5"/>
    <s v="CC100"/>
    <s v="AutoPost 1486"/>
    <s v="USD"/>
    <s v="2024-04"/>
    <n v="3543.57"/>
    <m/>
    <n v="3543.57"/>
    <s v="N/A"/>
    <s v=" "/>
  </r>
  <r>
    <s v="GL001487"/>
    <x v="20"/>
    <n v="5000"/>
    <x v="1"/>
    <n v="489.81"/>
    <n v="0"/>
    <x v="1"/>
    <s v="CC100"/>
    <s v="AutoPost 1487"/>
    <s v="AUD"/>
    <s v="2024-03"/>
    <n v="-489.81"/>
    <m/>
    <n v="-489.81"/>
    <s v="N/A"/>
    <s v=" "/>
  </r>
  <r>
    <s v="GL001488"/>
    <x v="518"/>
    <n v="5010"/>
    <x v="3"/>
    <n v="505.72"/>
    <n v="0"/>
    <x v="4"/>
    <s v="CC200"/>
    <s v="AutoPost 1488"/>
    <s v="CAD"/>
    <s v="2024-11"/>
    <n v="-505.72"/>
    <m/>
    <n v="-505.72"/>
    <s v="N/A"/>
    <s v=" "/>
  </r>
  <r>
    <s v="GL001489"/>
    <x v="275"/>
    <n v="5010"/>
    <x v="3"/>
    <n v="178.76"/>
    <n v="0"/>
    <x v="5"/>
    <s v="CC100"/>
    <s v="AutoPost 1489"/>
    <s v="EUR"/>
    <s v="2023-12"/>
    <n v="-178.76"/>
    <m/>
    <n v="-178.76"/>
    <s v="N/A"/>
    <s v=" "/>
  </r>
  <r>
    <s v="GL001490"/>
    <x v="111"/>
    <n v="6000"/>
    <x v="2"/>
    <n v="495.06"/>
    <n v="0"/>
    <x v="4"/>
    <s v="CC500"/>
    <s v="AutoPost 1490"/>
    <s v="GBP"/>
    <s v="2025-01"/>
    <n v="-495.06"/>
    <m/>
    <n v="-495.06"/>
    <s v="N/A"/>
    <s v=" "/>
  </r>
  <r>
    <s v="GL001491"/>
    <x v="739"/>
    <n v="4010"/>
    <x v="4"/>
    <n v="0"/>
    <n v="309.72000000000003"/>
    <x v="0"/>
    <s v="CC100"/>
    <s v="AutoPost 1491"/>
    <s v="GBP"/>
    <s v="2025-03"/>
    <n v="309.72000000000003"/>
    <m/>
    <n v="309.72000000000003"/>
    <s v="N/A"/>
    <s v=" "/>
  </r>
  <r>
    <s v="GL001492"/>
    <x v="32"/>
    <n v="5010"/>
    <x v="3"/>
    <n v="1106.6600000000001"/>
    <n v="0"/>
    <x v="2"/>
    <s v="CC500"/>
    <s v="AutoPost 1492"/>
    <s v="AUD"/>
    <s v="2023-01"/>
    <n v="-1106.6600000000001"/>
    <m/>
    <n v="-1106.6600000000001"/>
    <s v="N/A"/>
    <s v=" "/>
  </r>
  <r>
    <s v="GL001493"/>
    <x v="561"/>
    <n v="4010"/>
    <x v="4"/>
    <n v="0"/>
    <n v="4204.9399999999996"/>
    <x v="5"/>
    <s v="CC400"/>
    <s v="AutoPost 1493"/>
    <s v="CAD"/>
    <s v="2025-04"/>
    <n v="4204.9399999999996"/>
    <m/>
    <n v="4204.9399999999996"/>
    <s v="N/A"/>
    <s v=" "/>
  </r>
  <r>
    <s v="GL001494"/>
    <x v="648"/>
    <n v="6000"/>
    <x v="2"/>
    <n v="850.43"/>
    <n v="0"/>
    <x v="0"/>
    <s v="CC400"/>
    <s v="AutoPost 1494"/>
    <s v="CAD"/>
    <s v="2023-04"/>
    <n v="-850.43"/>
    <m/>
    <n v="-850.43"/>
    <s v="N/A"/>
    <s v=" "/>
  </r>
  <r>
    <s v="GL001495"/>
    <x v="567"/>
    <n v="4000"/>
    <x v="0"/>
    <n v="0"/>
    <n v="4145.32"/>
    <x v="5"/>
    <s v="CC100"/>
    <s v="AutoPost 1495"/>
    <s v="GBP"/>
    <s v="2023-12"/>
    <n v="4145.32"/>
    <m/>
    <n v="4145.32"/>
    <s v="N/A"/>
    <s v=" "/>
  </r>
  <r>
    <s v="GL001496"/>
    <x v="282"/>
    <n v="5010"/>
    <x v="3"/>
    <n v="1312.14"/>
    <n v="0"/>
    <x v="3"/>
    <s v="CC400"/>
    <s v="AutoPost 1496"/>
    <s v="CAD"/>
    <s v="2024-02"/>
    <n v="-1312.14"/>
    <m/>
    <n v="-1312.14"/>
    <s v="N/A"/>
    <s v=" "/>
  </r>
  <r>
    <s v="GL001497"/>
    <x v="189"/>
    <n v="5010"/>
    <x v="3"/>
    <n v="1270.1400000000001"/>
    <n v="0"/>
    <x v="1"/>
    <s v="CC200"/>
    <s v="AutoPost 1497"/>
    <s v="GBP"/>
    <s v="2023-08"/>
    <n v="-1270.1400000000001"/>
    <m/>
    <n v="-1270.1400000000001"/>
    <s v="N/A"/>
    <s v=" "/>
  </r>
  <r>
    <s v="GL001498"/>
    <x v="226"/>
    <n v="5000"/>
    <x v="1"/>
    <n v="1891.12"/>
    <n v="0"/>
    <x v="1"/>
    <s v="CC200"/>
    <s v="AutoPost 1498"/>
    <s v="GBP"/>
    <s v="2023-01"/>
    <n v="-1891.12"/>
    <m/>
    <n v="-1891.12"/>
    <s v="N/A"/>
    <s v=" "/>
  </r>
  <r>
    <s v="GL001499"/>
    <x v="170"/>
    <n v="4000"/>
    <x v="0"/>
    <n v="0"/>
    <n v="4859.24"/>
    <x v="4"/>
    <s v="CC400"/>
    <s v="AutoPost 1499"/>
    <s v="GBP"/>
    <s v="2023-03"/>
    <n v="4859.24"/>
    <m/>
    <n v="4859.24"/>
    <s v="N/A"/>
    <s v=" "/>
  </r>
  <r>
    <s v="GL001500"/>
    <x v="81"/>
    <n v="4000"/>
    <x v="0"/>
    <n v="0"/>
    <n v="2711.83"/>
    <x v="4"/>
    <s v="CC200"/>
    <s v="AutoPost 1500"/>
    <s v="GBP"/>
    <s v="2023-10"/>
    <n v="2711.83"/>
    <m/>
    <n v="2711.83"/>
    <s v="N/A"/>
    <s v=" "/>
  </r>
  <r>
    <s v="GL001501"/>
    <x v="73"/>
    <n v="6000"/>
    <x v="2"/>
    <n v="648.23"/>
    <n v="0"/>
    <x v="1"/>
    <s v="CC300"/>
    <s v="AutoPost 1501"/>
    <s v="CAD"/>
    <s v="2025-04"/>
    <n v="-648.23"/>
    <m/>
    <n v="-648.23"/>
    <s v="N/A"/>
    <s v=" "/>
  </r>
  <r>
    <s v="GL001502"/>
    <x v="285"/>
    <n v="4010"/>
    <x v="4"/>
    <n v="0"/>
    <n v="3468.1"/>
    <x v="3"/>
    <s v="CC300"/>
    <s v="AutoPost 1502"/>
    <s v="EUR"/>
    <s v="2023-11"/>
    <n v="3468.1"/>
    <m/>
    <n v="3468.1"/>
    <s v="N/A"/>
    <s v=" "/>
  </r>
  <r>
    <s v="GL001503"/>
    <x v="160"/>
    <n v="4010"/>
    <x v="4"/>
    <n v="0"/>
    <n v="252.83"/>
    <x v="3"/>
    <s v="CC400"/>
    <s v="AutoPost 1503"/>
    <s v="CAD"/>
    <s v="2024-08"/>
    <n v="252.83"/>
    <m/>
    <n v="252.83"/>
    <s v="N/A"/>
    <s v=" "/>
  </r>
  <r>
    <s v="GL001504"/>
    <x v="12"/>
    <n v="5010"/>
    <x v="3"/>
    <n v="1268.1099999999999"/>
    <n v="0"/>
    <x v="1"/>
    <s v="CC100"/>
    <s v="AutoPost 1504"/>
    <s v="CAD"/>
    <s v="2024-05"/>
    <n v="-1268.1099999999999"/>
    <m/>
    <n v="-1268.1099999999999"/>
    <s v="N/A"/>
    <s v=" "/>
  </r>
  <r>
    <s v="GL001505"/>
    <x v="316"/>
    <n v="5000"/>
    <x v="1"/>
    <n v="574.22"/>
    <n v="0"/>
    <x v="3"/>
    <s v="CC300"/>
    <s v="AutoPost 1505"/>
    <s v="AUD"/>
    <s v="2024-10"/>
    <n v="-574.22"/>
    <m/>
    <n v="-574.22"/>
    <s v="N/A"/>
    <s v=" "/>
  </r>
  <r>
    <s v="GL001506"/>
    <x v="197"/>
    <n v="5010"/>
    <x v="3"/>
    <n v="406.62"/>
    <n v="0"/>
    <x v="1"/>
    <s v="CC100"/>
    <s v="AutoPost 1506"/>
    <s v="EUR"/>
    <s v="2024-03"/>
    <n v="-406.62"/>
    <m/>
    <n v="-406.62"/>
    <s v="N/A"/>
    <s v=" "/>
  </r>
  <r>
    <s v="GL001507"/>
    <x v="397"/>
    <n v="4010"/>
    <x v="4"/>
    <n v="0"/>
    <n v="4055.84"/>
    <x v="5"/>
    <s v="CC100"/>
    <s v="AutoPost 1507"/>
    <s v="GBP"/>
    <s v="2024-03"/>
    <n v="4055.84"/>
    <m/>
    <n v="4055.84"/>
    <s v="N/A"/>
    <s v=" "/>
  </r>
  <r>
    <s v="GL001508"/>
    <x v="675"/>
    <n v="4000"/>
    <x v="0"/>
    <n v="0"/>
    <n v="3804.94"/>
    <x v="0"/>
    <s v="CC100"/>
    <s v="AutoPost 1508"/>
    <s v="GBP"/>
    <s v="2024-04"/>
    <n v="3804.94"/>
    <m/>
    <n v="3804.94"/>
    <s v="N/A"/>
    <s v=" "/>
  </r>
  <r>
    <s v="GL001509"/>
    <x v="740"/>
    <n v="4000"/>
    <x v="0"/>
    <n v="0"/>
    <n v="2037.61"/>
    <x v="5"/>
    <s v="CC400"/>
    <s v="AutoPost 1509"/>
    <s v="AUD"/>
    <s v="2023-12"/>
    <n v="2037.61"/>
    <m/>
    <n v="2037.61"/>
    <s v="N/A"/>
    <s v=" "/>
  </r>
  <r>
    <s v="GL001510"/>
    <x v="19"/>
    <n v="5000"/>
    <x v="1"/>
    <n v="1702.53"/>
    <n v="0"/>
    <x v="2"/>
    <s v="CC100"/>
    <s v="AutoPost 1510"/>
    <s v="GBP"/>
    <s v="2024-09"/>
    <n v="-1702.53"/>
    <m/>
    <n v="-1702.53"/>
    <s v="N/A"/>
    <s v=" "/>
  </r>
  <r>
    <s v="GL001511"/>
    <x v="721"/>
    <n v="4000"/>
    <x v="0"/>
    <n v="0"/>
    <n v="829.97"/>
    <x v="4"/>
    <s v="CC300"/>
    <s v="AutoPost 1511"/>
    <s v="USD"/>
    <s v="2023-10"/>
    <n v="829.97"/>
    <m/>
    <n v="829.97"/>
    <s v="N/A"/>
    <s v=" "/>
  </r>
  <r>
    <s v="GL001512"/>
    <x v="302"/>
    <n v="4000"/>
    <x v="0"/>
    <n v="0"/>
    <n v="4946.1000000000004"/>
    <x v="1"/>
    <s v="CC500"/>
    <s v="AutoPost 1512"/>
    <s v="AUD"/>
    <s v="2025-02"/>
    <n v="4946.1000000000004"/>
    <m/>
    <n v="4946.1000000000004"/>
    <s v="N/A"/>
    <s v=" "/>
  </r>
  <r>
    <s v="GL001513"/>
    <x v="741"/>
    <n v="4000"/>
    <x v="0"/>
    <n v="0"/>
    <n v="2736.74"/>
    <x v="1"/>
    <s v="CC400"/>
    <s v="AutoPost 1513"/>
    <s v="AUD"/>
    <s v="2023-02"/>
    <n v="2736.74"/>
    <m/>
    <n v="2736.74"/>
    <s v="N/A"/>
    <s v=" "/>
  </r>
  <r>
    <s v="GL001514"/>
    <x v="343"/>
    <n v="6000"/>
    <x v="2"/>
    <n v="1372.85"/>
    <n v="0"/>
    <x v="2"/>
    <s v="CC500"/>
    <s v="AutoPost 1514"/>
    <s v="GBP"/>
    <s v="2024-08"/>
    <n v="-1372.85"/>
    <m/>
    <n v="-1372.85"/>
    <s v="N/A"/>
    <s v=" "/>
  </r>
  <r>
    <s v="GL001515"/>
    <x v="353"/>
    <n v="5010"/>
    <x v="3"/>
    <n v="1842.13"/>
    <n v="0"/>
    <x v="2"/>
    <s v="CC200"/>
    <s v="AutoPost 1515"/>
    <s v="AUD"/>
    <s v="2024-07"/>
    <n v="-1842.13"/>
    <m/>
    <n v="-1842.13"/>
    <s v="N/A"/>
    <s v=" "/>
  </r>
  <r>
    <s v="GL001516"/>
    <x v="742"/>
    <n v="4000"/>
    <x v="0"/>
    <n v="0"/>
    <n v="4447.99"/>
    <x v="0"/>
    <s v="CC300"/>
    <s v="AutoPost 1516"/>
    <s v="AUD"/>
    <s v="2025-01"/>
    <n v="4447.99"/>
    <m/>
    <n v="4447.99"/>
    <s v="N/A"/>
    <s v=" "/>
  </r>
  <r>
    <s v="GL001517"/>
    <x v="638"/>
    <n v="4010"/>
    <x v="4"/>
    <n v="0"/>
    <n v="758.28"/>
    <x v="5"/>
    <s v="CC300"/>
    <s v="AutoPost 1517"/>
    <s v="GBP"/>
    <s v="2024-04"/>
    <n v="758.28"/>
    <m/>
    <n v="758.28"/>
    <s v="N/A"/>
    <s v=" "/>
  </r>
  <r>
    <s v="GL001518"/>
    <x v="70"/>
    <n v="4000"/>
    <x v="0"/>
    <n v="0"/>
    <n v="934.01"/>
    <x v="1"/>
    <s v="CC500"/>
    <s v="AutoPost 1518"/>
    <s v="EUR"/>
    <s v="2024-02"/>
    <n v="934.01"/>
    <m/>
    <n v="934.01"/>
    <s v="N/A"/>
    <s v=" "/>
  </r>
  <r>
    <s v="GL001519"/>
    <x v="569"/>
    <n v="5010"/>
    <x v="3"/>
    <n v="1161.7"/>
    <n v="0"/>
    <x v="2"/>
    <s v="CC100"/>
    <s v="AutoPost 1519"/>
    <s v="CAD"/>
    <s v="2024-11"/>
    <n v="-1161.7"/>
    <m/>
    <n v="-1161.7"/>
    <s v="N/A"/>
    <s v=" "/>
  </r>
  <r>
    <s v="GL001520"/>
    <x v="737"/>
    <n v="5010"/>
    <x v="3"/>
    <n v="1276.22"/>
    <n v="0"/>
    <x v="0"/>
    <s v="CC500"/>
    <s v="AutoPost 1520"/>
    <s v="USD"/>
    <s v="2023-05"/>
    <n v="-1276.22"/>
    <m/>
    <n v="-1276.22"/>
    <s v="N/A"/>
    <s v=" "/>
  </r>
  <r>
    <s v="GL001521"/>
    <x v="743"/>
    <n v="5000"/>
    <x v="1"/>
    <n v="383.71"/>
    <n v="0"/>
    <x v="3"/>
    <s v="CC100"/>
    <s v="AutoPost 1521"/>
    <s v="USD"/>
    <s v="2024-01"/>
    <n v="-383.71"/>
    <m/>
    <n v="-383.71"/>
    <s v="N/A"/>
    <s v=" "/>
  </r>
  <r>
    <s v="GL001522"/>
    <x v="744"/>
    <n v="4000"/>
    <x v="0"/>
    <n v="0"/>
    <n v="3468.9"/>
    <x v="1"/>
    <s v="CC500"/>
    <s v="AutoPost 1522"/>
    <s v="EUR"/>
    <s v="2025-03"/>
    <n v="3468.9"/>
    <m/>
    <n v="3468.9"/>
    <s v="N/A"/>
    <s v=" "/>
  </r>
  <r>
    <s v="GL001523"/>
    <x v="122"/>
    <n v="5000"/>
    <x v="1"/>
    <n v="1158.8"/>
    <n v="0"/>
    <x v="5"/>
    <s v="CC300"/>
    <s v="AutoPost 1523"/>
    <s v="USD"/>
    <s v="2023-09"/>
    <n v="-1158.8"/>
    <m/>
    <n v="-1158.8"/>
    <s v="N/A"/>
    <s v=" "/>
  </r>
  <r>
    <s v="GL001524"/>
    <x v="93"/>
    <n v="4000"/>
    <x v="0"/>
    <n v="0"/>
    <n v="2396.8000000000002"/>
    <x v="2"/>
    <s v="CC200"/>
    <s v="AutoPost 1524"/>
    <s v="CAD"/>
    <s v="2023-01"/>
    <n v="2396.8000000000002"/>
    <m/>
    <n v="2396.8000000000002"/>
    <s v="N/A"/>
    <s v=" "/>
  </r>
  <r>
    <s v="GL001525"/>
    <x v="182"/>
    <n v="4010"/>
    <x v="4"/>
    <n v="0"/>
    <n v="2827.95"/>
    <x v="4"/>
    <s v="CC200"/>
    <s v="AutoPost 1525"/>
    <s v="USD"/>
    <s v="2024-09"/>
    <n v="2827.95"/>
    <m/>
    <n v="2827.95"/>
    <s v="N/A"/>
    <s v=" "/>
  </r>
  <r>
    <s v="GL001526"/>
    <x v="153"/>
    <n v="6000"/>
    <x v="2"/>
    <n v="1359.89"/>
    <n v="0"/>
    <x v="0"/>
    <s v="CC100"/>
    <s v="AutoPost 1526"/>
    <s v="GBP"/>
    <s v="2024-05"/>
    <n v="-1359.89"/>
    <m/>
    <n v="-1359.89"/>
    <s v="N/A"/>
    <s v=" "/>
  </r>
  <r>
    <s v="GL001527"/>
    <x v="530"/>
    <n v="4000"/>
    <x v="0"/>
    <n v="0"/>
    <n v="663.19"/>
    <x v="5"/>
    <s v="CC100"/>
    <s v="AutoPost 1527"/>
    <s v="USD"/>
    <s v="2025-03"/>
    <n v="663.19"/>
    <m/>
    <n v="663.19"/>
    <s v="N/A"/>
    <s v=" "/>
  </r>
  <r>
    <s v="GL001528"/>
    <x v="49"/>
    <n v="5010"/>
    <x v="3"/>
    <n v="1878.74"/>
    <n v="0"/>
    <x v="1"/>
    <s v="CC300"/>
    <s v="AutoPost 1528"/>
    <s v="GBP"/>
    <s v="2024-09"/>
    <n v="-1878.74"/>
    <m/>
    <n v="-1878.74"/>
    <s v="N/A"/>
    <s v=" "/>
  </r>
  <r>
    <s v="GL001529"/>
    <x v="210"/>
    <n v="5000"/>
    <x v="1"/>
    <n v="741.28"/>
    <n v="0"/>
    <x v="1"/>
    <s v="CC200"/>
    <s v="AutoPost 1529"/>
    <s v="GBP"/>
    <s v="2024-08"/>
    <n v="-741.28"/>
    <m/>
    <n v="-741.28"/>
    <s v="N/A"/>
    <s v=" "/>
  </r>
  <r>
    <s v="GL001530"/>
    <x v="368"/>
    <n v="4000"/>
    <x v="0"/>
    <n v="0"/>
    <n v="1824.31"/>
    <x v="1"/>
    <s v="CC200"/>
    <s v="AutoPost 1530"/>
    <s v="EUR"/>
    <s v="2025-05"/>
    <n v="1824.31"/>
    <m/>
    <n v="1824.31"/>
    <s v="N/A"/>
    <s v=" "/>
  </r>
  <r>
    <s v="GL001531"/>
    <x v="723"/>
    <n v="4010"/>
    <x v="4"/>
    <n v="0"/>
    <n v="4296.04"/>
    <x v="1"/>
    <s v="CC300"/>
    <s v="AutoPost 1531"/>
    <s v="AUD"/>
    <s v="2023-11"/>
    <n v="4296.04"/>
    <m/>
    <n v="4296.04"/>
    <s v="N/A"/>
    <s v=" "/>
  </r>
  <r>
    <s v="GL001532"/>
    <x v="463"/>
    <n v="5010"/>
    <x v="3"/>
    <n v="1969.36"/>
    <n v="0"/>
    <x v="2"/>
    <s v="CC500"/>
    <s v="AutoPost 1532"/>
    <s v="CAD"/>
    <s v="2024-04"/>
    <n v="-1969.36"/>
    <m/>
    <n v="-1969.36"/>
    <s v="N/A"/>
    <s v=" "/>
  </r>
  <r>
    <s v="GL001533"/>
    <x v="710"/>
    <n v="5010"/>
    <x v="3"/>
    <n v="980.89"/>
    <n v="0"/>
    <x v="5"/>
    <s v="CC500"/>
    <s v="AutoPost 1533"/>
    <s v="EUR"/>
    <s v="2025-04"/>
    <n v="-980.89"/>
    <m/>
    <n v="-980.89"/>
    <s v="N/A"/>
    <s v=" "/>
  </r>
  <r>
    <s v="GL001534"/>
    <x v="184"/>
    <n v="6000"/>
    <x v="2"/>
    <n v="618.26"/>
    <n v="0"/>
    <x v="2"/>
    <s v="CC100"/>
    <s v="AutoPost 1534"/>
    <s v="USD"/>
    <s v="2024-09"/>
    <n v="-618.26"/>
    <m/>
    <n v="-618.26"/>
    <s v="N/A"/>
    <s v=" "/>
  </r>
  <r>
    <s v="GL001535"/>
    <x v="622"/>
    <n v="5010"/>
    <x v="3"/>
    <n v="665.47"/>
    <n v="0"/>
    <x v="2"/>
    <s v="CC500"/>
    <s v="AutoPost 1535"/>
    <s v="EUR"/>
    <s v="2024-06"/>
    <n v="-665.47"/>
    <m/>
    <n v="-665.47"/>
    <s v="N/A"/>
    <s v=" "/>
  </r>
  <r>
    <s v="GL001536"/>
    <x v="59"/>
    <n v="5000"/>
    <x v="1"/>
    <n v="982.03"/>
    <n v="0"/>
    <x v="4"/>
    <s v="CC100"/>
    <s v="AutoPost 1536"/>
    <s v="GBP"/>
    <s v="2024-06"/>
    <n v="-982.03"/>
    <m/>
    <n v="-982.03"/>
    <s v="N/A"/>
    <s v=" "/>
  </r>
  <r>
    <s v="GL001537"/>
    <x v="745"/>
    <n v="5000"/>
    <x v="1"/>
    <n v="339.89"/>
    <n v="0"/>
    <x v="4"/>
    <s v="CC100"/>
    <s v="AutoPost 1537"/>
    <s v="AUD"/>
    <s v="2024-03"/>
    <n v="-339.89"/>
    <m/>
    <n v="-339.89"/>
    <s v="N/A"/>
    <s v=" "/>
  </r>
  <r>
    <s v="GL001538"/>
    <x v="19"/>
    <n v="5010"/>
    <x v="3"/>
    <n v="535.34"/>
    <n v="0"/>
    <x v="1"/>
    <s v="CC200"/>
    <s v="AutoPost 1538"/>
    <s v="AUD"/>
    <s v="2024-09"/>
    <n v="-535.34"/>
    <m/>
    <n v="-535.34"/>
    <s v="N/A"/>
    <s v=" "/>
  </r>
  <r>
    <s v="GL001539"/>
    <x v="318"/>
    <n v="5010"/>
    <x v="3"/>
    <n v="1582.13"/>
    <n v="0"/>
    <x v="2"/>
    <s v="CC200"/>
    <s v="AutoPost 1539"/>
    <s v="CAD"/>
    <s v="2025-05"/>
    <n v="-1582.13"/>
    <m/>
    <n v="-1582.13"/>
    <s v="N/A"/>
    <s v=" "/>
  </r>
  <r>
    <s v="GL001540"/>
    <x v="110"/>
    <n v="5000"/>
    <x v="1"/>
    <n v="350.21"/>
    <n v="0"/>
    <x v="4"/>
    <s v="CC400"/>
    <s v="AutoPost 1540"/>
    <s v="GBP"/>
    <s v="2024-11"/>
    <n v="-350.21"/>
    <m/>
    <n v="-350.21"/>
    <s v="N/A"/>
    <s v=" "/>
  </r>
  <r>
    <s v="GL001541"/>
    <x v="195"/>
    <n v="5000"/>
    <x v="1"/>
    <n v="889.68"/>
    <n v="0"/>
    <x v="3"/>
    <s v="CC300"/>
    <s v="AutoPost 1541"/>
    <s v="AUD"/>
    <s v="2024-05"/>
    <n v="-889.68"/>
    <m/>
    <n v="-889.68"/>
    <s v="N/A"/>
    <s v=" "/>
  </r>
  <r>
    <s v="GL001542"/>
    <x v="348"/>
    <n v="5000"/>
    <x v="1"/>
    <n v="1155.53"/>
    <n v="0"/>
    <x v="1"/>
    <s v="CC400"/>
    <s v="AutoPost 1542"/>
    <s v="AUD"/>
    <s v="2024-02"/>
    <n v="-1155.53"/>
    <m/>
    <n v="-1155.53"/>
    <s v="N/A"/>
    <s v=" "/>
  </r>
  <r>
    <s v="GL001543"/>
    <x v="305"/>
    <n v="4010"/>
    <x v="4"/>
    <n v="0"/>
    <n v="827.97"/>
    <x v="0"/>
    <s v="CC200"/>
    <s v="AutoPost 1543"/>
    <s v="USD"/>
    <s v="2024-08"/>
    <n v="827.97"/>
    <m/>
    <n v="827.97"/>
    <s v="N/A"/>
    <s v=" "/>
  </r>
  <r>
    <s v="GL001544"/>
    <x v="746"/>
    <n v="4010"/>
    <x v="4"/>
    <n v="0"/>
    <n v="2525.69"/>
    <x v="3"/>
    <s v="CC100"/>
    <s v="AutoPost 1544"/>
    <s v="EUR"/>
    <s v="2023-11"/>
    <n v="2525.69"/>
    <m/>
    <n v="2525.69"/>
    <s v="N/A"/>
    <s v=" "/>
  </r>
  <r>
    <s v="GL001545"/>
    <x v="217"/>
    <n v="5000"/>
    <x v="1"/>
    <n v="1395.73"/>
    <n v="0"/>
    <x v="4"/>
    <s v="CC500"/>
    <s v="AutoPost 1545"/>
    <s v="GBP"/>
    <s v="2024-07"/>
    <n v="-1395.73"/>
    <m/>
    <n v="-1395.73"/>
    <s v="N/A"/>
    <s v=" "/>
  </r>
  <r>
    <s v="GL001546"/>
    <x v="14"/>
    <n v="4010"/>
    <x v="4"/>
    <n v="0"/>
    <n v="1888.44"/>
    <x v="4"/>
    <s v="CC500"/>
    <s v="AutoPost 1546"/>
    <s v="GBP"/>
    <s v="2025-04"/>
    <n v="1888.44"/>
    <m/>
    <n v="1888.44"/>
    <s v="N/A"/>
    <s v=" "/>
  </r>
  <r>
    <s v="GL001547"/>
    <x v="515"/>
    <n v="4010"/>
    <x v="4"/>
    <n v="0"/>
    <n v="718.52"/>
    <x v="2"/>
    <s v="CC400"/>
    <s v="AutoPost 1547"/>
    <s v="CAD"/>
    <s v="2024-11"/>
    <n v="718.52"/>
    <m/>
    <n v="718.52"/>
    <s v="N/A"/>
    <s v=" "/>
  </r>
  <r>
    <s v="GL001548"/>
    <x v="270"/>
    <n v="6000"/>
    <x v="2"/>
    <n v="378.77"/>
    <n v="0"/>
    <x v="4"/>
    <s v="CC500"/>
    <s v="AutoPost 1548"/>
    <s v="GBP"/>
    <s v="2024-10"/>
    <n v="-378.77"/>
    <m/>
    <n v="-378.77"/>
    <s v="N/A"/>
    <s v=" "/>
  </r>
  <r>
    <s v="GL001549"/>
    <x v="455"/>
    <n v="6000"/>
    <x v="2"/>
    <n v="1317.88"/>
    <n v="0"/>
    <x v="5"/>
    <s v="CC300"/>
    <s v="AutoPost 1549"/>
    <s v="CAD"/>
    <s v="2023-06"/>
    <n v="-1317.88"/>
    <m/>
    <n v="-1317.88"/>
    <s v="N/A"/>
    <s v=" "/>
  </r>
  <r>
    <s v="GL001550"/>
    <x v="209"/>
    <n v="5000"/>
    <x v="1"/>
    <n v="636.6"/>
    <n v="0"/>
    <x v="4"/>
    <s v="CC400"/>
    <s v="AutoPost 1550"/>
    <s v="EUR"/>
    <s v="2023-01"/>
    <n v="-636.6"/>
    <m/>
    <n v="-636.6"/>
    <s v="N/A"/>
    <s v=" "/>
  </r>
  <r>
    <s v="GL001551"/>
    <x v="747"/>
    <n v="4000"/>
    <x v="0"/>
    <n v="0"/>
    <n v="4170.5"/>
    <x v="2"/>
    <s v="CC100"/>
    <s v="AutoPost 1551"/>
    <s v="EUR"/>
    <s v="2024-06"/>
    <n v="4170.5"/>
    <m/>
    <n v="4170.5"/>
    <s v="N/A"/>
    <s v=" "/>
  </r>
  <r>
    <s v="GL001552"/>
    <x v="196"/>
    <n v="4000"/>
    <x v="0"/>
    <n v="0"/>
    <n v="1923.84"/>
    <x v="5"/>
    <s v="CC100"/>
    <s v="AutoPost 1552"/>
    <s v="CAD"/>
    <s v="2023-11"/>
    <n v="1923.84"/>
    <m/>
    <n v="1923.84"/>
    <s v="N/A"/>
    <s v=" "/>
  </r>
  <r>
    <s v="GL001553"/>
    <x v="160"/>
    <n v="6000"/>
    <x v="2"/>
    <n v="736.29"/>
    <n v="0"/>
    <x v="0"/>
    <s v="CC400"/>
    <s v="AutoPost 1553"/>
    <s v="CAD"/>
    <s v="2024-08"/>
    <n v="-736.29"/>
    <m/>
    <n v="-736.29"/>
    <s v="N/A"/>
    <s v=" "/>
  </r>
  <r>
    <s v="GL001554"/>
    <x v="748"/>
    <n v="4010"/>
    <x v="4"/>
    <n v="0"/>
    <n v="4712.88"/>
    <x v="5"/>
    <s v="CC200"/>
    <s v="AutoPost 1554"/>
    <s v="AUD"/>
    <s v="2025-01"/>
    <n v="4712.88"/>
    <m/>
    <n v="4712.88"/>
    <s v="N/A"/>
    <s v=" "/>
  </r>
  <r>
    <s v="GL001555"/>
    <x v="465"/>
    <n v="4010"/>
    <x v="4"/>
    <n v="0"/>
    <n v="2946.82"/>
    <x v="4"/>
    <s v="CC400"/>
    <s v="AutoPost 1555"/>
    <s v="AUD"/>
    <s v="2024-05"/>
    <n v="2946.82"/>
    <m/>
    <n v="2946.82"/>
    <s v="N/A"/>
    <s v=" "/>
  </r>
  <r>
    <s v="GL001556"/>
    <x v="228"/>
    <n v="6000"/>
    <x v="2"/>
    <n v="1985.74"/>
    <n v="0"/>
    <x v="0"/>
    <s v="CC300"/>
    <s v="AutoPost 1556"/>
    <s v="AUD"/>
    <s v="2025-04"/>
    <n v="-1985.74"/>
    <m/>
    <n v="-1985.74"/>
    <s v="N/A"/>
    <s v=" "/>
  </r>
  <r>
    <s v="GL001557"/>
    <x v="350"/>
    <n v="5000"/>
    <x v="1"/>
    <n v="1835.61"/>
    <n v="0"/>
    <x v="0"/>
    <s v="CC200"/>
    <s v="AutoPost 1557"/>
    <s v="USD"/>
    <s v="2024-02"/>
    <n v="-1835.61"/>
    <m/>
    <n v="-1835.61"/>
    <s v="N/A"/>
    <s v=" "/>
  </r>
  <r>
    <s v="GL001558"/>
    <x v="376"/>
    <n v="5000"/>
    <x v="1"/>
    <n v="509.51"/>
    <n v="0"/>
    <x v="4"/>
    <s v="CC100"/>
    <s v="AutoPost 1558"/>
    <s v="CAD"/>
    <s v="2023-06"/>
    <n v="-509.51"/>
    <m/>
    <n v="-509.51"/>
    <s v="N/A"/>
    <s v=" "/>
  </r>
  <r>
    <s v="GL001559"/>
    <x v="78"/>
    <n v="4010"/>
    <x v="4"/>
    <n v="0"/>
    <n v="573.51"/>
    <x v="4"/>
    <s v="CC500"/>
    <s v="AutoPost 1559"/>
    <s v="USD"/>
    <s v="2023-12"/>
    <n v="573.51"/>
    <m/>
    <n v="573.51"/>
    <s v="N/A"/>
    <s v=" "/>
  </r>
  <r>
    <s v="GL001560"/>
    <x v="627"/>
    <n v="4000"/>
    <x v="0"/>
    <n v="0"/>
    <n v="3740.72"/>
    <x v="3"/>
    <s v="CC300"/>
    <s v="AutoPost 1560"/>
    <s v="USD"/>
    <s v="2024-06"/>
    <n v="3740.72"/>
    <m/>
    <n v="3740.72"/>
    <s v="N/A"/>
    <s v=" "/>
  </r>
  <r>
    <s v="GL001561"/>
    <x v="592"/>
    <n v="5000"/>
    <x v="1"/>
    <n v="1930.33"/>
    <n v="0"/>
    <x v="2"/>
    <s v="CC100"/>
    <s v="AutoPost 1561"/>
    <s v="CAD"/>
    <s v="2023-05"/>
    <n v="-1930.33"/>
    <m/>
    <n v="-1930.33"/>
    <s v="N/A"/>
    <s v=" "/>
  </r>
  <r>
    <s v="GL001562"/>
    <x v="116"/>
    <n v="5010"/>
    <x v="3"/>
    <n v="1936.61"/>
    <n v="0"/>
    <x v="4"/>
    <s v="CC300"/>
    <s v="AutoPost 1562"/>
    <s v="EUR"/>
    <s v="2023-12"/>
    <n v="-1936.61"/>
    <m/>
    <n v="-1936.61"/>
    <s v="N/A"/>
    <s v=" "/>
  </r>
  <r>
    <s v="GL001563"/>
    <x v="749"/>
    <n v="4000"/>
    <x v="0"/>
    <n v="0"/>
    <n v="3625.02"/>
    <x v="4"/>
    <s v="CC100"/>
    <s v="AutoPost 1563"/>
    <s v="CAD"/>
    <s v="2024-10"/>
    <n v="3625.02"/>
    <m/>
    <n v="3625.02"/>
    <s v="N/A"/>
    <s v=" "/>
  </r>
  <r>
    <s v="GL001564"/>
    <x v="241"/>
    <n v="4000"/>
    <x v="0"/>
    <n v="0"/>
    <n v="3348.1"/>
    <x v="3"/>
    <s v="CC500"/>
    <s v="AutoPost 1564"/>
    <s v="EUR"/>
    <s v="2024-02"/>
    <n v="3348.1"/>
    <m/>
    <n v="3348.1"/>
    <s v="N/A"/>
    <s v=" "/>
  </r>
  <r>
    <s v="GL001565"/>
    <x v="750"/>
    <n v="5010"/>
    <x v="3"/>
    <n v="760.59"/>
    <n v="0"/>
    <x v="1"/>
    <s v="CC400"/>
    <s v="AutoPost 1565"/>
    <s v="CAD"/>
    <s v="2023-01"/>
    <n v="-760.59"/>
    <m/>
    <n v="-760.59"/>
    <s v="N/A"/>
    <s v=" "/>
  </r>
  <r>
    <s v="GL001566"/>
    <x v="29"/>
    <n v="4010"/>
    <x v="4"/>
    <n v="0"/>
    <n v="3208.4"/>
    <x v="3"/>
    <s v="CC500"/>
    <s v="AutoPost 1566"/>
    <s v="EUR"/>
    <s v="2024-03"/>
    <n v="3208.4"/>
    <m/>
    <n v="3208.4"/>
    <s v="N/A"/>
    <s v=" "/>
  </r>
  <r>
    <s v="GL001567"/>
    <x v="751"/>
    <n v="6000"/>
    <x v="2"/>
    <n v="420.76"/>
    <n v="0"/>
    <x v="3"/>
    <s v="CC300"/>
    <s v="AutoPost 1567"/>
    <s v="GBP"/>
    <s v="2024-12"/>
    <n v="-420.76"/>
    <m/>
    <n v="-420.76"/>
    <s v="N/A"/>
    <s v=" "/>
  </r>
  <r>
    <s v="GL001568"/>
    <x v="658"/>
    <n v="5010"/>
    <x v="3"/>
    <n v="1497.64"/>
    <n v="0"/>
    <x v="1"/>
    <s v="CC400"/>
    <s v="AutoPost 1568"/>
    <s v="USD"/>
    <s v="2023-04"/>
    <n v="-1497.64"/>
    <m/>
    <n v="-1497.64"/>
    <s v="N/A"/>
    <s v=" "/>
  </r>
  <r>
    <s v="GL001569"/>
    <x v="705"/>
    <n v="4010"/>
    <x v="4"/>
    <n v="0"/>
    <n v="3033.61"/>
    <x v="1"/>
    <s v="CC100"/>
    <s v="AutoPost 1569"/>
    <s v="GBP"/>
    <s v="2024-11"/>
    <n v="3033.61"/>
    <m/>
    <n v="3033.61"/>
    <s v="N/A"/>
    <s v=" "/>
  </r>
  <r>
    <s v="GL001570"/>
    <x v="657"/>
    <n v="4000"/>
    <x v="0"/>
    <n v="0"/>
    <n v="1502.06"/>
    <x v="2"/>
    <s v="CC300"/>
    <s v="AutoPost 1570"/>
    <s v="AUD"/>
    <s v="2023-05"/>
    <n v="1502.06"/>
    <m/>
    <n v="1502.06"/>
    <s v="N/A"/>
    <s v=" "/>
  </r>
  <r>
    <s v="GL001571"/>
    <x v="589"/>
    <n v="5000"/>
    <x v="1"/>
    <n v="532.65"/>
    <n v="0"/>
    <x v="2"/>
    <s v="CC400"/>
    <s v="AutoPost 1571"/>
    <s v="GBP"/>
    <s v="2024-07"/>
    <n v="-532.65"/>
    <m/>
    <n v="-532.65"/>
    <s v="N/A"/>
    <s v=" "/>
  </r>
  <r>
    <s v="GL001572"/>
    <x v="147"/>
    <n v="4010"/>
    <x v="4"/>
    <n v="0"/>
    <n v="4109.07"/>
    <x v="0"/>
    <s v="CC100"/>
    <s v="AutoPost 1572"/>
    <s v="AUD"/>
    <s v="2025-02"/>
    <n v="4109.07"/>
    <m/>
    <n v="4109.07"/>
    <s v="N/A"/>
    <s v=" "/>
  </r>
  <r>
    <s v="GL001573"/>
    <x v="15"/>
    <n v="4000"/>
    <x v="0"/>
    <n v="0"/>
    <n v="3235.61"/>
    <x v="2"/>
    <s v="CC500"/>
    <s v="AutoPost 1573"/>
    <s v="AUD"/>
    <s v="2023-04"/>
    <n v="3235.61"/>
    <m/>
    <n v="3235.61"/>
    <s v="N/A"/>
    <s v=" "/>
  </r>
  <r>
    <s v="GL001574"/>
    <x v="165"/>
    <n v="5000"/>
    <x v="1"/>
    <n v="1836.46"/>
    <n v="0"/>
    <x v="3"/>
    <s v="CC500"/>
    <s v="AutoPost 1574"/>
    <s v="USD"/>
    <s v="2025-04"/>
    <n v="-1836.46"/>
    <m/>
    <n v="-1836.46"/>
    <s v="N/A"/>
    <s v=" "/>
  </r>
  <r>
    <s v="GL001575"/>
    <x v="551"/>
    <n v="6000"/>
    <x v="2"/>
    <n v="1120.92"/>
    <n v="0"/>
    <x v="4"/>
    <s v="CC300"/>
    <s v="AutoPost 1575"/>
    <s v="CAD"/>
    <s v="2023-04"/>
    <n v="-1120.92"/>
    <m/>
    <n v="-1120.92"/>
    <s v="N/A"/>
    <s v=" "/>
  </r>
  <r>
    <s v="GL001576"/>
    <x v="744"/>
    <n v="4010"/>
    <x v="4"/>
    <n v="0"/>
    <n v="4622.21"/>
    <x v="2"/>
    <s v="CC400"/>
    <s v="AutoPost 1576"/>
    <s v="USD"/>
    <s v="2025-03"/>
    <n v="4622.21"/>
    <m/>
    <n v="4622.21"/>
    <s v="N/A"/>
    <s v=" "/>
  </r>
  <r>
    <s v="GL001577"/>
    <x v="351"/>
    <n v="5010"/>
    <x v="3"/>
    <n v="1067.19"/>
    <n v="0"/>
    <x v="1"/>
    <s v="CC400"/>
    <s v="AutoPost 1577"/>
    <s v="USD"/>
    <s v="2023-12"/>
    <n v="-1067.19"/>
    <m/>
    <n v="-1067.19"/>
    <s v="N/A"/>
    <s v=" "/>
  </r>
  <r>
    <s v="GL001578"/>
    <x v="137"/>
    <n v="5010"/>
    <x v="3"/>
    <n v="1712.89"/>
    <n v="0"/>
    <x v="5"/>
    <s v="CC100"/>
    <s v="AutoPost 1578"/>
    <s v="CAD"/>
    <s v="2024-03"/>
    <n v="-1712.89"/>
    <m/>
    <n v="-1712.89"/>
    <s v="N/A"/>
    <s v=" "/>
  </r>
  <r>
    <s v="GL001579"/>
    <x v="230"/>
    <n v="5010"/>
    <x v="3"/>
    <n v="857.16"/>
    <n v="0"/>
    <x v="1"/>
    <s v="CC100"/>
    <s v="AutoPost 1579"/>
    <s v="AUD"/>
    <s v="2024-03"/>
    <n v="-857.16"/>
    <m/>
    <n v="-857.16"/>
    <s v="N/A"/>
    <s v=" "/>
  </r>
  <r>
    <s v="GL001580"/>
    <x v="51"/>
    <n v="4010"/>
    <x v="4"/>
    <n v="0"/>
    <n v="1913.45"/>
    <x v="5"/>
    <s v="CC300"/>
    <s v="AutoPost 1580"/>
    <s v="GBP"/>
    <s v="2025-06"/>
    <n v="1913.45"/>
    <m/>
    <n v="1913.45"/>
    <s v="N/A"/>
    <s v=" "/>
  </r>
  <r>
    <s v="GL001581"/>
    <x v="183"/>
    <n v="5000"/>
    <x v="1"/>
    <n v="1307.6099999999999"/>
    <n v="0"/>
    <x v="1"/>
    <s v="CC200"/>
    <s v="AutoPost 1581"/>
    <s v="GBP"/>
    <s v="2023-08"/>
    <n v="-1307.6099999999999"/>
    <m/>
    <n v="-1307.6099999999999"/>
    <s v="N/A"/>
    <s v=" "/>
  </r>
  <r>
    <s v="GL001582"/>
    <x v="465"/>
    <n v="4000"/>
    <x v="0"/>
    <n v="0"/>
    <n v="1128.51"/>
    <x v="5"/>
    <s v="CC100"/>
    <s v="AutoPost 1582"/>
    <s v="AUD"/>
    <s v="2024-05"/>
    <n v="1128.51"/>
    <m/>
    <n v="1128.51"/>
    <s v="N/A"/>
    <s v=" "/>
  </r>
  <r>
    <s v="GL001583"/>
    <x v="152"/>
    <n v="4000"/>
    <x v="0"/>
    <n v="0"/>
    <n v="1933.41"/>
    <x v="5"/>
    <s v="CC300"/>
    <s v="AutoPost 1583"/>
    <s v="CAD"/>
    <s v="2023-11"/>
    <n v="1933.41"/>
    <m/>
    <n v="1933.41"/>
    <s v="N/A"/>
    <s v=" "/>
  </r>
  <r>
    <s v="GL001584"/>
    <x v="752"/>
    <n v="5010"/>
    <x v="3"/>
    <n v="203.77"/>
    <n v="0"/>
    <x v="5"/>
    <s v="CC400"/>
    <s v="AutoPost 1584"/>
    <s v="CAD"/>
    <s v="2025-04"/>
    <n v="-203.77"/>
    <m/>
    <n v="-203.77"/>
    <s v="N/A"/>
    <s v=" "/>
  </r>
  <r>
    <s v="GL001585"/>
    <x v="59"/>
    <n v="4010"/>
    <x v="4"/>
    <n v="0"/>
    <n v="3874.96"/>
    <x v="4"/>
    <s v="CC300"/>
    <s v="AutoPost 1585"/>
    <s v="USD"/>
    <s v="2024-06"/>
    <n v="3874.96"/>
    <m/>
    <n v="3874.96"/>
    <s v="N/A"/>
    <s v=" "/>
  </r>
  <r>
    <s v="GL001586"/>
    <x v="753"/>
    <n v="5010"/>
    <x v="3"/>
    <n v="369.39"/>
    <n v="0"/>
    <x v="2"/>
    <s v="CC100"/>
    <s v="AutoPost 1586"/>
    <s v="USD"/>
    <s v="2023-05"/>
    <n v="-369.39"/>
    <m/>
    <n v="-369.39"/>
    <s v="N/A"/>
    <s v=" "/>
  </r>
  <r>
    <s v="GL001587"/>
    <x v="385"/>
    <n v="4000"/>
    <x v="0"/>
    <n v="0"/>
    <n v="4685.3599999999997"/>
    <x v="5"/>
    <s v="CC200"/>
    <s v="AutoPost 1587"/>
    <s v="CAD"/>
    <s v="2024-11"/>
    <n v="4685.3599999999997"/>
    <m/>
    <n v="4685.3599999999997"/>
    <s v="N/A"/>
    <s v=" "/>
  </r>
  <r>
    <s v="GL001588"/>
    <x v="631"/>
    <n v="6000"/>
    <x v="2"/>
    <n v="1614.34"/>
    <n v="0"/>
    <x v="0"/>
    <s v="CC400"/>
    <s v="AutoPost 1588"/>
    <s v="USD"/>
    <s v="2024-03"/>
    <n v="-1614.34"/>
    <m/>
    <n v="-1614.34"/>
    <s v="N/A"/>
    <s v=" "/>
  </r>
  <r>
    <s v="GL001589"/>
    <x v="221"/>
    <n v="6000"/>
    <x v="2"/>
    <n v="1072.1199999999999"/>
    <n v="0"/>
    <x v="3"/>
    <s v="CC100"/>
    <s v="AutoPost 1589"/>
    <s v="USD"/>
    <s v="2025-03"/>
    <n v="-1072.1199999999999"/>
    <m/>
    <n v="-1072.1199999999999"/>
    <s v="N/A"/>
    <s v=" "/>
  </r>
  <r>
    <s v="GL001590"/>
    <x v="592"/>
    <n v="5000"/>
    <x v="1"/>
    <n v="889.83"/>
    <n v="0"/>
    <x v="1"/>
    <s v="CC300"/>
    <s v="AutoPost 1590"/>
    <s v="EUR"/>
    <s v="2023-05"/>
    <n v="-889.83"/>
    <m/>
    <n v="-889.83"/>
    <s v="N/A"/>
    <s v=" "/>
  </r>
  <r>
    <s v="GL001591"/>
    <x v="754"/>
    <n v="4000"/>
    <x v="0"/>
    <n v="0"/>
    <n v="174.81"/>
    <x v="0"/>
    <s v="CC100"/>
    <s v="AutoPost 1591"/>
    <s v="CAD"/>
    <s v="2023-05"/>
    <n v="174.81"/>
    <m/>
    <n v="174.81"/>
    <s v="N/A"/>
    <s v=" "/>
  </r>
  <r>
    <s v="GL001592"/>
    <x v="723"/>
    <n v="4010"/>
    <x v="4"/>
    <n v="0"/>
    <n v="3155.54"/>
    <x v="4"/>
    <s v="CC300"/>
    <s v="AutoPost 1592"/>
    <s v="AUD"/>
    <s v="2023-11"/>
    <n v="3155.54"/>
    <m/>
    <n v="3155.54"/>
    <s v="N/A"/>
    <s v=" "/>
  </r>
  <r>
    <s v="GL001593"/>
    <x v="62"/>
    <n v="4010"/>
    <x v="4"/>
    <n v="0"/>
    <n v="1925.54"/>
    <x v="1"/>
    <s v="CC300"/>
    <s v="AutoPost 1593"/>
    <s v="AUD"/>
    <s v="2023-09"/>
    <n v="1925.54"/>
    <m/>
    <n v="1925.54"/>
    <s v="N/A"/>
    <s v=" "/>
  </r>
  <r>
    <s v="GL001594"/>
    <x v="451"/>
    <n v="6000"/>
    <x v="2"/>
    <n v="1203.3399999999999"/>
    <n v="0"/>
    <x v="3"/>
    <s v="CC400"/>
    <s v="AutoPost 1594"/>
    <s v="USD"/>
    <s v="2024-10"/>
    <n v="-1203.3399999999999"/>
    <m/>
    <n v="-1203.3399999999999"/>
    <s v="N/A"/>
    <s v=" "/>
  </r>
  <r>
    <s v="GL001595"/>
    <x v="650"/>
    <n v="6000"/>
    <x v="2"/>
    <n v="1776.59"/>
    <n v="0"/>
    <x v="3"/>
    <s v="CC400"/>
    <s v="AutoPost 1595"/>
    <s v="EUR"/>
    <s v="2024-11"/>
    <n v="-1776.59"/>
    <m/>
    <n v="-1776.59"/>
    <s v="N/A"/>
    <s v=" "/>
  </r>
  <r>
    <s v="GL001596"/>
    <x v="722"/>
    <n v="5000"/>
    <x v="1"/>
    <n v="1588.81"/>
    <n v="0"/>
    <x v="2"/>
    <s v="CC500"/>
    <s v="AutoPost 1596"/>
    <s v="USD"/>
    <s v="2023-03"/>
    <n v="-1588.81"/>
    <m/>
    <n v="-1588.81"/>
    <s v="N/A"/>
    <s v=" "/>
  </r>
  <r>
    <s v="GL001597"/>
    <x v="69"/>
    <n v="5000"/>
    <x v="1"/>
    <n v="1229.26"/>
    <n v="0"/>
    <x v="3"/>
    <s v="CC300"/>
    <s v="AutoPost 1597"/>
    <s v="EUR"/>
    <s v="2025-05"/>
    <n v="-1229.26"/>
    <m/>
    <n v="-1229.26"/>
    <s v="N/A"/>
    <s v=" "/>
  </r>
  <r>
    <s v="GL001598"/>
    <x v="126"/>
    <n v="4000"/>
    <x v="0"/>
    <n v="0"/>
    <n v="3867.59"/>
    <x v="2"/>
    <s v="CC200"/>
    <s v="AutoPost 1598"/>
    <s v="EUR"/>
    <s v="2025-06"/>
    <n v="3867.59"/>
    <m/>
    <n v="3867.59"/>
    <s v="N/A"/>
    <s v=" "/>
  </r>
  <r>
    <s v="GL001599"/>
    <x v="53"/>
    <n v="6000"/>
    <x v="2"/>
    <n v="615.80999999999995"/>
    <n v="0"/>
    <x v="1"/>
    <s v="CC100"/>
    <s v="AutoPost 1599"/>
    <s v="EUR"/>
    <s v="2024-04"/>
    <n v="-615.80999999999995"/>
    <m/>
    <n v="-615.80999999999995"/>
    <s v="N/A"/>
    <s v=" "/>
  </r>
  <r>
    <s v="GL001600"/>
    <x v="445"/>
    <n v="5010"/>
    <x v="3"/>
    <n v="1182.17"/>
    <n v="0"/>
    <x v="4"/>
    <s v="CC400"/>
    <s v="AutoPost 1600"/>
    <s v="USD"/>
    <s v="2023-10"/>
    <n v="-1182.17"/>
    <m/>
    <n v="-1182.17"/>
    <s v="N/A"/>
    <s v=" "/>
  </r>
  <r>
    <s v="GL001601"/>
    <x v="231"/>
    <n v="4000"/>
    <x v="0"/>
    <n v="0"/>
    <n v="4084.9"/>
    <x v="4"/>
    <s v="CC400"/>
    <s v="AutoPost 1601"/>
    <s v="AUD"/>
    <s v="2023-06"/>
    <n v="4084.9"/>
    <m/>
    <n v="4084.9"/>
    <s v="N/A"/>
    <s v=" "/>
  </r>
  <r>
    <s v="GL001602"/>
    <x v="116"/>
    <n v="4000"/>
    <x v="0"/>
    <n v="0"/>
    <n v="2694.28"/>
    <x v="2"/>
    <s v="CC300"/>
    <s v="AutoPost 1602"/>
    <s v="CAD"/>
    <s v="2023-12"/>
    <n v="2694.28"/>
    <m/>
    <n v="2694.28"/>
    <s v="N/A"/>
    <s v=" "/>
  </r>
  <r>
    <s v="GL001603"/>
    <x v="429"/>
    <n v="4000"/>
    <x v="0"/>
    <n v="0"/>
    <n v="3550.01"/>
    <x v="4"/>
    <s v="CC200"/>
    <s v="AutoPost 1603"/>
    <s v="GBP"/>
    <s v="2025-05"/>
    <n v="3550.01"/>
    <m/>
    <n v="3550.01"/>
    <s v="N/A"/>
    <s v=" "/>
  </r>
  <r>
    <s v="GL001604"/>
    <x v="217"/>
    <n v="4000"/>
    <x v="0"/>
    <n v="0"/>
    <n v="2395.19"/>
    <x v="5"/>
    <s v="CC100"/>
    <s v="AutoPost 1604"/>
    <s v="CAD"/>
    <s v="2024-07"/>
    <n v="2395.19"/>
    <m/>
    <n v="2395.19"/>
    <s v="N/A"/>
    <s v=" "/>
  </r>
  <r>
    <s v="GL001605"/>
    <x v="465"/>
    <n v="5000"/>
    <x v="1"/>
    <n v="1009.87"/>
    <n v="0"/>
    <x v="4"/>
    <s v="CC300"/>
    <s v="AutoPost 1605"/>
    <s v="USD"/>
    <s v="2024-05"/>
    <n v="-1009.87"/>
    <m/>
    <n v="-1009.87"/>
    <s v="N/A"/>
    <s v=" "/>
  </r>
  <r>
    <s v="GL001606"/>
    <x v="755"/>
    <n v="5010"/>
    <x v="3"/>
    <n v="1792.26"/>
    <n v="0"/>
    <x v="0"/>
    <s v="CC500"/>
    <s v="AutoPost 1606"/>
    <s v="GBP"/>
    <s v="2024-06"/>
    <n v="-1792.26"/>
    <m/>
    <n v="-1792.26"/>
    <s v="N/A"/>
    <s v=" "/>
  </r>
  <r>
    <s v="GL001607"/>
    <x v="176"/>
    <n v="5000"/>
    <x v="1"/>
    <n v="1834.84"/>
    <n v="0"/>
    <x v="2"/>
    <s v="CC500"/>
    <s v="AutoPost 1607"/>
    <s v="AUD"/>
    <s v="2024-01"/>
    <n v="-1834.84"/>
    <m/>
    <n v="-1834.84"/>
    <s v="N/A"/>
    <s v=" "/>
  </r>
  <r>
    <s v="GL001608"/>
    <x v="756"/>
    <n v="4010"/>
    <x v="4"/>
    <n v="0"/>
    <n v="4316.42"/>
    <x v="1"/>
    <s v="CC100"/>
    <s v="AutoPost 1608"/>
    <s v="AUD"/>
    <s v="2025-05"/>
    <n v="4316.42"/>
    <m/>
    <n v="4316.42"/>
    <s v="N/A"/>
    <s v=" "/>
  </r>
  <r>
    <s v="GL001609"/>
    <x v="602"/>
    <n v="5010"/>
    <x v="3"/>
    <n v="427.92"/>
    <n v="0"/>
    <x v="4"/>
    <s v="CC400"/>
    <s v="AutoPost 1609"/>
    <s v="USD"/>
    <s v="2025-02"/>
    <n v="-427.92"/>
    <m/>
    <n v="-427.92"/>
    <s v="N/A"/>
    <s v=" "/>
  </r>
  <r>
    <s v="GL001610"/>
    <x v="261"/>
    <n v="4010"/>
    <x v="4"/>
    <n v="0"/>
    <n v="881.32"/>
    <x v="5"/>
    <s v="CC100"/>
    <s v="AutoPost 1610"/>
    <s v="AUD"/>
    <s v="2024-09"/>
    <n v="881.32"/>
    <m/>
    <n v="881.32"/>
    <s v="N/A"/>
    <s v=" "/>
  </r>
  <r>
    <s v="GL001611"/>
    <x v="757"/>
    <n v="6000"/>
    <x v="2"/>
    <n v="896.81"/>
    <n v="0"/>
    <x v="5"/>
    <s v="CC400"/>
    <s v="AutoPost 1611"/>
    <s v="AUD"/>
    <s v="2023-04"/>
    <n v="-896.81"/>
    <m/>
    <n v="-896.81"/>
    <s v="N/A"/>
    <s v=" "/>
  </r>
  <r>
    <s v="GL001612"/>
    <x v="758"/>
    <n v="6000"/>
    <x v="2"/>
    <n v="1292.1400000000001"/>
    <n v="0"/>
    <x v="1"/>
    <s v="CC500"/>
    <s v="AutoPost 1612"/>
    <s v="USD"/>
    <s v="2024-11"/>
    <n v="-1292.1400000000001"/>
    <m/>
    <n v="-1292.1400000000001"/>
    <s v="N/A"/>
    <s v=" "/>
  </r>
  <r>
    <s v="GL001613"/>
    <x v="605"/>
    <n v="5000"/>
    <x v="1"/>
    <n v="1720"/>
    <n v="0"/>
    <x v="2"/>
    <s v="CC100"/>
    <s v="AutoPost 1613"/>
    <s v="CAD"/>
    <s v="2024-04"/>
    <n v="-1720"/>
    <m/>
    <n v="-1720"/>
    <s v="N/A"/>
    <s v=" "/>
  </r>
  <r>
    <s v="GL001614"/>
    <x v="526"/>
    <n v="6000"/>
    <x v="2"/>
    <n v="210.81"/>
    <n v="0"/>
    <x v="4"/>
    <s v="CC200"/>
    <s v="AutoPost 1614"/>
    <s v="EUR"/>
    <s v="2024-01"/>
    <n v="-210.81"/>
    <m/>
    <n v="-210.81"/>
    <s v="N/A"/>
    <s v=" "/>
  </r>
  <r>
    <s v="GL001615"/>
    <x v="409"/>
    <n v="4000"/>
    <x v="0"/>
    <n v="0"/>
    <n v="3145.99"/>
    <x v="2"/>
    <s v="CC400"/>
    <s v="AutoPost 1615"/>
    <s v="GBP"/>
    <s v="2023-05"/>
    <n v="3145.99"/>
    <m/>
    <n v="3145.99"/>
    <s v="N/A"/>
    <s v=" "/>
  </r>
  <r>
    <s v="GL001616"/>
    <x v="569"/>
    <n v="4000"/>
    <x v="0"/>
    <n v="0"/>
    <n v="4897.22"/>
    <x v="3"/>
    <s v="CC100"/>
    <s v="AutoPost 1616"/>
    <s v="EUR"/>
    <s v="2024-11"/>
    <n v="4897.22"/>
    <m/>
    <n v="4897.22"/>
    <s v="N/A"/>
    <s v=" "/>
  </r>
  <r>
    <s v="GL001617"/>
    <x v="213"/>
    <n v="5010"/>
    <x v="3"/>
    <n v="1035.58"/>
    <n v="0"/>
    <x v="5"/>
    <s v="CC400"/>
    <s v="AutoPost 1617"/>
    <s v="AUD"/>
    <s v="2023-03"/>
    <n v="-1035.58"/>
    <m/>
    <n v="-1035.58"/>
    <s v="N/A"/>
    <s v=" "/>
  </r>
  <r>
    <s v="GL001618"/>
    <x v="650"/>
    <n v="5010"/>
    <x v="3"/>
    <n v="883.62"/>
    <n v="0"/>
    <x v="2"/>
    <s v="CC200"/>
    <s v="AutoPost 1618"/>
    <s v="AUD"/>
    <s v="2024-11"/>
    <n v="-883.62"/>
    <m/>
    <n v="-883.62"/>
    <s v="N/A"/>
    <s v=" "/>
  </r>
  <r>
    <s v="GL001619"/>
    <x v="270"/>
    <n v="4010"/>
    <x v="4"/>
    <n v="0"/>
    <n v="1908.36"/>
    <x v="5"/>
    <s v="CC500"/>
    <s v="AutoPost 1619"/>
    <s v="GBP"/>
    <s v="2024-10"/>
    <n v="1908.36"/>
    <m/>
    <n v="1908.36"/>
    <s v="N/A"/>
    <s v=" "/>
  </r>
  <r>
    <s v="GL001620"/>
    <x v="132"/>
    <n v="4010"/>
    <x v="4"/>
    <n v="0"/>
    <n v="145.24"/>
    <x v="5"/>
    <s v="CC400"/>
    <s v="AutoPost 1620"/>
    <s v="GBP"/>
    <s v="2023-05"/>
    <n v="145.24"/>
    <m/>
    <n v="145.24"/>
    <s v="N/A"/>
    <s v=" "/>
  </r>
  <r>
    <s v="GL001621"/>
    <x v="690"/>
    <n v="4010"/>
    <x v="4"/>
    <n v="0"/>
    <n v="527.38"/>
    <x v="0"/>
    <s v="CC400"/>
    <s v="AutoPost 1621"/>
    <s v="CAD"/>
    <s v="2024-09"/>
    <n v="527.38"/>
    <m/>
    <n v="527.38"/>
    <s v="N/A"/>
    <s v=" "/>
  </r>
  <r>
    <s v="GL001622"/>
    <x v="759"/>
    <n v="4000"/>
    <x v="0"/>
    <n v="0"/>
    <n v="3715.39"/>
    <x v="4"/>
    <s v="CC500"/>
    <s v="AutoPost 1622"/>
    <s v="EUR"/>
    <s v="2023-08"/>
    <n v="3715.39"/>
    <m/>
    <n v="3715.39"/>
    <s v="N/A"/>
    <s v=" "/>
  </r>
  <r>
    <s v="GL001623"/>
    <x v="760"/>
    <n v="5000"/>
    <x v="1"/>
    <n v="870.5"/>
    <n v="0"/>
    <x v="4"/>
    <s v="CC200"/>
    <s v="AutoPost 1623"/>
    <s v="AUD"/>
    <s v="2023-02"/>
    <n v="-870.5"/>
    <m/>
    <n v="-870.5"/>
    <s v="N/A"/>
    <s v=" "/>
  </r>
  <r>
    <s v="GL001624"/>
    <x v="522"/>
    <n v="5010"/>
    <x v="3"/>
    <n v="1992.58"/>
    <n v="0"/>
    <x v="2"/>
    <s v="CC500"/>
    <s v="AutoPost 1624"/>
    <s v="GBP"/>
    <s v="2024-04"/>
    <n v="-1992.58"/>
    <m/>
    <n v="-1992.58"/>
    <s v="N/A"/>
    <s v=" "/>
  </r>
  <r>
    <s v="GL001625"/>
    <x v="76"/>
    <n v="5010"/>
    <x v="3"/>
    <n v="1466.95"/>
    <n v="0"/>
    <x v="5"/>
    <s v="CC300"/>
    <s v="AutoPost 1625"/>
    <s v="USD"/>
    <s v="2023-03"/>
    <n v="-1466.95"/>
    <m/>
    <n v="-1466.95"/>
    <s v="N/A"/>
    <s v=" "/>
  </r>
  <r>
    <s v="GL001626"/>
    <x v="761"/>
    <n v="5000"/>
    <x v="1"/>
    <n v="480.18"/>
    <n v="0"/>
    <x v="1"/>
    <s v="CC400"/>
    <s v="AutoPost 1626"/>
    <s v="EUR"/>
    <s v="2023-03"/>
    <n v="-480.18"/>
    <m/>
    <n v="-480.18"/>
    <s v="N/A"/>
    <s v=" "/>
  </r>
  <r>
    <s v="GL001627"/>
    <x v="762"/>
    <n v="4010"/>
    <x v="4"/>
    <n v="0"/>
    <n v="4296.88"/>
    <x v="4"/>
    <s v="CC500"/>
    <s v="AutoPost 1627"/>
    <s v="AUD"/>
    <s v="2023-03"/>
    <n v="4296.88"/>
    <m/>
    <n v="4296.88"/>
    <s v="N/A"/>
    <s v=" "/>
  </r>
  <r>
    <s v="GL001628"/>
    <x v="492"/>
    <n v="5000"/>
    <x v="1"/>
    <n v="123.85"/>
    <n v="0"/>
    <x v="3"/>
    <s v="CC500"/>
    <s v="AutoPost 1628"/>
    <s v="AUD"/>
    <s v="2024-10"/>
    <n v="-123.85"/>
    <m/>
    <n v="-123.85"/>
    <s v="N/A"/>
    <s v=" "/>
  </r>
  <r>
    <s v="GL001629"/>
    <x v="408"/>
    <n v="6000"/>
    <x v="2"/>
    <n v="1528.6"/>
    <n v="0"/>
    <x v="0"/>
    <s v="CC100"/>
    <s v="AutoPost 1629"/>
    <s v="USD"/>
    <s v="2023-05"/>
    <n v="-1528.6"/>
    <m/>
    <n v="-1528.6"/>
    <s v="N/A"/>
    <s v=" "/>
  </r>
  <r>
    <s v="GL001630"/>
    <x v="616"/>
    <n v="5010"/>
    <x v="3"/>
    <n v="1408.83"/>
    <n v="0"/>
    <x v="0"/>
    <s v="CC100"/>
    <s v="AutoPost 1630"/>
    <s v="USD"/>
    <s v="2024-03"/>
    <n v="-1408.83"/>
    <m/>
    <n v="-1408.83"/>
    <s v="N/A"/>
    <s v=" "/>
  </r>
  <r>
    <s v="GL001631"/>
    <x v="262"/>
    <n v="6000"/>
    <x v="2"/>
    <n v="472.82"/>
    <n v="0"/>
    <x v="2"/>
    <s v="CC400"/>
    <s v="AutoPost 1631"/>
    <s v="GBP"/>
    <s v="2024-01"/>
    <n v="-472.82"/>
    <m/>
    <n v="-472.82"/>
    <s v="N/A"/>
    <s v=" "/>
  </r>
  <r>
    <s v="GL001632"/>
    <x v="78"/>
    <n v="6000"/>
    <x v="2"/>
    <n v="826.92"/>
    <n v="0"/>
    <x v="0"/>
    <s v="CC400"/>
    <s v="AutoPost 1632"/>
    <s v="GBP"/>
    <s v="2023-12"/>
    <n v="-826.92"/>
    <m/>
    <n v="-826.92"/>
    <s v="N/A"/>
    <s v=" "/>
  </r>
  <r>
    <s v="GL001633"/>
    <x v="763"/>
    <n v="6000"/>
    <x v="2"/>
    <n v="882.2"/>
    <n v="0"/>
    <x v="3"/>
    <s v="CC100"/>
    <s v="AutoPost 1633"/>
    <s v="AUD"/>
    <s v="2023-01"/>
    <n v="-882.2"/>
    <m/>
    <n v="-882.2"/>
    <s v="N/A"/>
    <s v=" "/>
  </r>
  <r>
    <s v="GL001634"/>
    <x v="123"/>
    <n v="6000"/>
    <x v="2"/>
    <n v="1244.05"/>
    <n v="0"/>
    <x v="4"/>
    <s v="CC500"/>
    <s v="AutoPost 1634"/>
    <s v="GBP"/>
    <s v="2024-10"/>
    <n v="-1244.05"/>
    <m/>
    <n v="-1244.05"/>
    <s v="N/A"/>
    <s v=" "/>
  </r>
  <r>
    <s v="GL001635"/>
    <x v="132"/>
    <n v="4000"/>
    <x v="0"/>
    <n v="0"/>
    <n v="2017.86"/>
    <x v="1"/>
    <s v="CC500"/>
    <s v="AutoPost 1635"/>
    <s v="CAD"/>
    <s v="2023-05"/>
    <n v="2017.86"/>
    <m/>
    <n v="2017.86"/>
    <s v="N/A"/>
    <s v=" "/>
  </r>
  <r>
    <s v="GL001636"/>
    <x v="146"/>
    <n v="5010"/>
    <x v="3"/>
    <n v="1845.02"/>
    <n v="0"/>
    <x v="4"/>
    <s v="CC200"/>
    <s v="AutoPost 1636"/>
    <s v="CAD"/>
    <s v="2023-12"/>
    <n v="-1845.02"/>
    <m/>
    <n v="-1845.02"/>
    <s v="N/A"/>
    <s v=" "/>
  </r>
  <r>
    <s v="GL001637"/>
    <x v="29"/>
    <n v="4000"/>
    <x v="0"/>
    <n v="0"/>
    <n v="1184.05"/>
    <x v="5"/>
    <s v="CC400"/>
    <s v="AutoPost 1637"/>
    <s v="AUD"/>
    <s v="2024-03"/>
    <n v="1184.05"/>
    <m/>
    <n v="1184.05"/>
    <s v="N/A"/>
    <s v=" "/>
  </r>
  <r>
    <s v="GL001638"/>
    <x v="7"/>
    <n v="5000"/>
    <x v="1"/>
    <n v="1165.1400000000001"/>
    <n v="0"/>
    <x v="1"/>
    <s v="CC100"/>
    <s v="AutoPost 1638"/>
    <s v="AUD"/>
    <s v="2023-12"/>
    <n v="-1165.1400000000001"/>
    <m/>
    <n v="-1165.1400000000001"/>
    <s v="N/A"/>
    <s v=" "/>
  </r>
  <r>
    <s v="GL001639"/>
    <x v="357"/>
    <n v="5000"/>
    <x v="1"/>
    <n v="641.08000000000004"/>
    <n v="0"/>
    <x v="0"/>
    <s v="CC200"/>
    <s v="AutoPost 1639"/>
    <s v="EUR"/>
    <s v="2024-12"/>
    <n v="-641.08000000000004"/>
    <m/>
    <n v="-641.08000000000004"/>
    <s v="N/A"/>
    <s v=" "/>
  </r>
  <r>
    <s v="GL001640"/>
    <x v="141"/>
    <n v="5010"/>
    <x v="3"/>
    <n v="194.16"/>
    <n v="0"/>
    <x v="5"/>
    <s v="CC400"/>
    <s v="AutoPost 1640"/>
    <s v="CAD"/>
    <s v="2023-07"/>
    <n v="-194.16"/>
    <m/>
    <n v="-194.16"/>
    <s v="N/A"/>
    <s v=" "/>
  </r>
  <r>
    <s v="GL001641"/>
    <x v="585"/>
    <n v="6000"/>
    <x v="2"/>
    <n v="262.33999999999997"/>
    <n v="0"/>
    <x v="4"/>
    <s v="CC400"/>
    <s v="AutoPost 1641"/>
    <s v="EUR"/>
    <s v="2023-04"/>
    <n v="-262.33999999999997"/>
    <m/>
    <n v="-262.33999999999997"/>
    <s v="N/A"/>
    <s v=" "/>
  </r>
  <r>
    <s v="GL001642"/>
    <x v="755"/>
    <n v="5010"/>
    <x v="3"/>
    <n v="1269.67"/>
    <n v="0"/>
    <x v="2"/>
    <s v="CC200"/>
    <s v="AutoPost 1642"/>
    <s v="CAD"/>
    <s v="2024-06"/>
    <n v="-1269.67"/>
    <m/>
    <n v="-1269.67"/>
    <s v="N/A"/>
    <s v=" "/>
  </r>
  <r>
    <s v="GL001643"/>
    <x v="764"/>
    <n v="4000"/>
    <x v="0"/>
    <n v="0"/>
    <n v="1736.08"/>
    <x v="1"/>
    <s v="CC200"/>
    <s v="AutoPost 1643"/>
    <s v="GBP"/>
    <s v="2024-01"/>
    <n v="1736.08"/>
    <m/>
    <n v="1736.08"/>
    <s v="N/A"/>
    <s v=" "/>
  </r>
  <r>
    <s v="GL001644"/>
    <x v="747"/>
    <n v="5010"/>
    <x v="3"/>
    <n v="418.98"/>
    <n v="0"/>
    <x v="3"/>
    <s v="CC400"/>
    <s v="AutoPost 1644"/>
    <s v="CAD"/>
    <s v="2024-06"/>
    <n v="-418.98"/>
    <m/>
    <n v="-418.98"/>
    <s v="N/A"/>
    <s v=" "/>
  </r>
  <r>
    <s v="GL001645"/>
    <x v="168"/>
    <n v="5010"/>
    <x v="3"/>
    <n v="1106.24"/>
    <n v="0"/>
    <x v="4"/>
    <s v="CC100"/>
    <s v="AutoPost 1645"/>
    <s v="USD"/>
    <s v="2023-05"/>
    <n v="-1106.24"/>
    <m/>
    <n v="-1106.24"/>
    <s v="N/A"/>
    <s v=" "/>
  </r>
  <r>
    <s v="GL001646"/>
    <x v="765"/>
    <n v="4010"/>
    <x v="4"/>
    <n v="0"/>
    <n v="3037.2"/>
    <x v="4"/>
    <s v="CC200"/>
    <s v="AutoPost 1646"/>
    <s v="GBP"/>
    <s v="2023-05"/>
    <n v="3037.2"/>
    <m/>
    <n v="3037.2"/>
    <s v="N/A"/>
    <s v=" "/>
  </r>
  <r>
    <s v="GL001647"/>
    <x v="620"/>
    <n v="4000"/>
    <x v="0"/>
    <n v="0"/>
    <n v="4063.27"/>
    <x v="5"/>
    <s v="CC500"/>
    <s v="AutoPost 1647"/>
    <s v="GBP"/>
    <s v="2023-02"/>
    <n v="4063.27"/>
    <m/>
    <n v="4063.27"/>
    <s v="N/A"/>
    <s v=" "/>
  </r>
  <r>
    <s v="GL001648"/>
    <x v="725"/>
    <n v="6000"/>
    <x v="2"/>
    <n v="1920.87"/>
    <n v="0"/>
    <x v="4"/>
    <s v="CC300"/>
    <s v="AutoPost 1648"/>
    <s v="AUD"/>
    <s v="2023-08"/>
    <n v="-1920.87"/>
    <m/>
    <n v="-1920.87"/>
    <s v="N/A"/>
    <s v=" "/>
  </r>
  <r>
    <s v="GL001649"/>
    <x v="597"/>
    <n v="6000"/>
    <x v="2"/>
    <n v="1167.74"/>
    <n v="0"/>
    <x v="4"/>
    <s v="CC400"/>
    <s v="AutoPost 1649"/>
    <s v="GBP"/>
    <s v="2024-07"/>
    <n v="-1167.74"/>
    <m/>
    <n v="-1167.74"/>
    <s v="N/A"/>
    <s v=" "/>
  </r>
  <r>
    <s v="GL001650"/>
    <x v="683"/>
    <n v="5000"/>
    <x v="1"/>
    <n v="686.31"/>
    <n v="0"/>
    <x v="4"/>
    <s v="CC400"/>
    <s v="AutoPost 1650"/>
    <s v="USD"/>
    <s v="2025-05"/>
    <n v="-686.31"/>
    <m/>
    <n v="-686.31"/>
    <s v="N/A"/>
    <s v=" "/>
  </r>
  <r>
    <s v="GL001651"/>
    <x v="748"/>
    <n v="4000"/>
    <x v="0"/>
    <n v="0"/>
    <n v="1294.23"/>
    <x v="5"/>
    <s v="CC300"/>
    <s v="AutoPost 1651"/>
    <s v="USD"/>
    <s v="2025-01"/>
    <n v="1294.23"/>
    <m/>
    <n v="1294.23"/>
    <s v="N/A"/>
    <s v=" "/>
  </r>
  <r>
    <s v="GL001652"/>
    <x v="334"/>
    <n v="5010"/>
    <x v="3"/>
    <n v="1657.22"/>
    <n v="0"/>
    <x v="2"/>
    <s v="CC500"/>
    <s v="AutoPost 1652"/>
    <s v="EUR"/>
    <s v="2024-07"/>
    <n v="-1657.22"/>
    <m/>
    <n v="-1657.22"/>
    <s v="N/A"/>
    <s v=" "/>
  </r>
  <r>
    <s v="GL001653"/>
    <x v="220"/>
    <n v="4010"/>
    <x v="4"/>
    <n v="0"/>
    <n v="677.29"/>
    <x v="4"/>
    <s v="CC400"/>
    <s v="AutoPost 1653"/>
    <s v="USD"/>
    <s v="2024-06"/>
    <n v="677.29"/>
    <m/>
    <n v="677.29"/>
    <s v="N/A"/>
    <s v=" "/>
  </r>
  <r>
    <s v="GL001654"/>
    <x v="574"/>
    <n v="6000"/>
    <x v="2"/>
    <n v="1765.08"/>
    <n v="0"/>
    <x v="2"/>
    <s v="CC400"/>
    <s v="AutoPost 1654"/>
    <s v="USD"/>
    <s v="2024-11"/>
    <n v="-1765.08"/>
    <m/>
    <n v="-1765.08"/>
    <s v="N/A"/>
    <s v=" "/>
  </r>
  <r>
    <s v="GL001655"/>
    <x v="548"/>
    <n v="4000"/>
    <x v="0"/>
    <n v="0"/>
    <n v="3407.83"/>
    <x v="0"/>
    <s v="CC200"/>
    <s v="AutoPost 1655"/>
    <s v="CAD"/>
    <s v="2023-10"/>
    <n v="3407.83"/>
    <m/>
    <n v="3407.83"/>
    <s v="N/A"/>
    <s v=" "/>
  </r>
  <r>
    <s v="GL001656"/>
    <x v="320"/>
    <n v="5010"/>
    <x v="3"/>
    <n v="543.41"/>
    <n v="0"/>
    <x v="1"/>
    <s v="CC400"/>
    <s v="AutoPost 1656"/>
    <s v="USD"/>
    <s v="2023-11"/>
    <n v="-543.41"/>
    <m/>
    <n v="-543.41"/>
    <s v="N/A"/>
    <s v=" "/>
  </r>
  <r>
    <s v="GL001657"/>
    <x v="141"/>
    <n v="5000"/>
    <x v="1"/>
    <n v="408.27"/>
    <n v="0"/>
    <x v="2"/>
    <s v="CC500"/>
    <s v="AutoPost 1657"/>
    <s v="EUR"/>
    <s v="2023-07"/>
    <n v="-408.27"/>
    <m/>
    <n v="-408.27"/>
    <s v="N/A"/>
    <s v=" "/>
  </r>
  <r>
    <s v="GL001658"/>
    <x v="319"/>
    <n v="4000"/>
    <x v="0"/>
    <n v="0"/>
    <n v="1300.21"/>
    <x v="5"/>
    <s v="CC400"/>
    <s v="AutoPost 1658"/>
    <s v="AUD"/>
    <s v="2025-02"/>
    <n v="1300.21"/>
    <m/>
    <n v="1300.21"/>
    <s v="N/A"/>
    <s v=" "/>
  </r>
  <r>
    <s v="GL001659"/>
    <x v="615"/>
    <n v="5000"/>
    <x v="1"/>
    <n v="1326.8"/>
    <n v="0"/>
    <x v="5"/>
    <s v="CC500"/>
    <s v="AutoPost 1659"/>
    <s v="USD"/>
    <s v="2023-06"/>
    <n v="-1326.8"/>
    <m/>
    <n v="-1326.8"/>
    <s v="N/A"/>
    <s v=" "/>
  </r>
  <r>
    <s v="GL001660"/>
    <x v="346"/>
    <n v="4000"/>
    <x v="0"/>
    <n v="0"/>
    <n v="2057.71"/>
    <x v="3"/>
    <s v="CC400"/>
    <s v="AutoPost 1660"/>
    <s v="CAD"/>
    <s v="2025-03"/>
    <n v="2057.71"/>
    <m/>
    <n v="2057.71"/>
    <s v="N/A"/>
    <s v=" "/>
  </r>
  <r>
    <s v="GL001661"/>
    <x v="355"/>
    <n v="5000"/>
    <x v="1"/>
    <n v="1959.6"/>
    <n v="0"/>
    <x v="3"/>
    <s v="CC500"/>
    <s v="AutoPost 1661"/>
    <s v="AUD"/>
    <s v="2024-01"/>
    <n v="-1959.6"/>
    <m/>
    <n v="-1959.6"/>
    <s v="N/A"/>
    <s v=" "/>
  </r>
  <r>
    <s v="GL001662"/>
    <x v="513"/>
    <n v="5000"/>
    <x v="1"/>
    <n v="1047.3399999999999"/>
    <n v="0"/>
    <x v="1"/>
    <s v="CC100"/>
    <s v="AutoPost 1662"/>
    <s v="AUD"/>
    <s v="2025-03"/>
    <n v="-1047.3399999999999"/>
    <m/>
    <n v="-1047.3399999999999"/>
    <s v="N/A"/>
    <s v=" "/>
  </r>
  <r>
    <s v="GL001663"/>
    <x v="510"/>
    <n v="4010"/>
    <x v="4"/>
    <n v="0"/>
    <n v="3260.6"/>
    <x v="2"/>
    <s v="CC400"/>
    <s v="AutoPost 1663"/>
    <s v="AUD"/>
    <s v="2024-10"/>
    <n v="3260.6"/>
    <m/>
    <n v="3260.6"/>
    <s v="N/A"/>
    <s v=" "/>
  </r>
  <r>
    <s v="GL001664"/>
    <x v="707"/>
    <n v="6000"/>
    <x v="2"/>
    <n v="1149.3599999999999"/>
    <n v="0"/>
    <x v="3"/>
    <s v="CC400"/>
    <s v="AutoPost 1664"/>
    <s v="AUD"/>
    <s v="2023-05"/>
    <n v="-1149.3599999999999"/>
    <m/>
    <n v="-1149.3599999999999"/>
    <s v="N/A"/>
    <s v=" "/>
  </r>
  <r>
    <s v="GL001665"/>
    <x v="414"/>
    <n v="4010"/>
    <x v="4"/>
    <n v="0"/>
    <n v="1766.14"/>
    <x v="4"/>
    <s v="CC300"/>
    <s v="AutoPost 1665"/>
    <s v="CAD"/>
    <s v="2023-02"/>
    <n v="1766.14"/>
    <m/>
    <n v="1766.14"/>
    <s v="N/A"/>
    <s v=" "/>
  </r>
  <r>
    <s v="GL001666"/>
    <x v="759"/>
    <n v="6000"/>
    <x v="2"/>
    <n v="1403.79"/>
    <n v="0"/>
    <x v="4"/>
    <s v="CC400"/>
    <s v="AutoPost 1666"/>
    <s v="EUR"/>
    <s v="2023-08"/>
    <n v="-1403.79"/>
    <m/>
    <n v="-1403.79"/>
    <s v="N/A"/>
    <s v=" "/>
  </r>
  <r>
    <s v="GL001667"/>
    <x v="688"/>
    <n v="4000"/>
    <x v="0"/>
    <n v="0"/>
    <n v="4061.44"/>
    <x v="2"/>
    <s v="CC100"/>
    <s v="AutoPost 1667"/>
    <s v="USD"/>
    <s v="2024-03"/>
    <n v="4061.44"/>
    <m/>
    <n v="4061.44"/>
    <s v="N/A"/>
    <s v=" "/>
  </r>
  <r>
    <s v="GL001668"/>
    <x v="766"/>
    <n v="5010"/>
    <x v="3"/>
    <n v="1472.53"/>
    <n v="0"/>
    <x v="1"/>
    <s v="CC200"/>
    <s v="AutoPost 1668"/>
    <s v="CAD"/>
    <s v="2023-04"/>
    <n v="-1472.53"/>
    <m/>
    <n v="-1472.53"/>
    <s v="N/A"/>
    <s v=" "/>
  </r>
  <r>
    <s v="GL001669"/>
    <x v="146"/>
    <n v="4010"/>
    <x v="4"/>
    <n v="0"/>
    <n v="4153.5600000000004"/>
    <x v="3"/>
    <s v="CC300"/>
    <s v="AutoPost 1669"/>
    <s v="AUD"/>
    <s v="2023-12"/>
    <n v="4153.5600000000004"/>
    <m/>
    <n v="4153.5600000000004"/>
    <s v="N/A"/>
    <s v=" "/>
  </r>
  <r>
    <s v="GL001670"/>
    <x v="767"/>
    <n v="4000"/>
    <x v="0"/>
    <n v="0"/>
    <n v="1559.52"/>
    <x v="2"/>
    <s v="CC300"/>
    <s v="AutoPost 1670"/>
    <s v="AUD"/>
    <s v="2023-03"/>
    <n v="1559.52"/>
    <m/>
    <n v="1559.52"/>
    <s v="N/A"/>
    <s v=" "/>
  </r>
  <r>
    <s v="GL001671"/>
    <x v="48"/>
    <n v="5000"/>
    <x v="1"/>
    <n v="1478.02"/>
    <n v="0"/>
    <x v="4"/>
    <s v="CC400"/>
    <s v="AutoPost 1671"/>
    <s v="USD"/>
    <s v="2023-03"/>
    <n v="-1478.02"/>
    <m/>
    <n v="-1478.02"/>
    <s v="N/A"/>
    <s v=" "/>
  </r>
  <r>
    <s v="GL001672"/>
    <x v="725"/>
    <n v="6000"/>
    <x v="2"/>
    <n v="423.96"/>
    <n v="0"/>
    <x v="1"/>
    <s v="CC200"/>
    <s v="AutoPost 1672"/>
    <s v="CAD"/>
    <s v="2023-08"/>
    <n v="-423.96"/>
    <m/>
    <n v="-423.96"/>
    <s v="N/A"/>
    <s v=" "/>
  </r>
  <r>
    <s v="GL001673"/>
    <x v="63"/>
    <n v="4010"/>
    <x v="4"/>
    <n v="0"/>
    <n v="1027.73"/>
    <x v="2"/>
    <s v="CC200"/>
    <s v="AutoPost 1673"/>
    <s v="CAD"/>
    <s v="2023-02"/>
    <n v="1027.73"/>
    <m/>
    <n v="1027.73"/>
    <s v="N/A"/>
    <s v=" "/>
  </r>
  <r>
    <s v="GL001674"/>
    <x v="286"/>
    <n v="4000"/>
    <x v="0"/>
    <n v="0"/>
    <n v="1661.02"/>
    <x v="4"/>
    <s v="CC400"/>
    <s v="AutoPost 1674"/>
    <s v="EUR"/>
    <s v="2024-10"/>
    <n v="1661.02"/>
    <m/>
    <n v="1661.02"/>
    <s v="N/A"/>
    <s v=" "/>
  </r>
  <r>
    <s v="GL001675"/>
    <x v="128"/>
    <n v="4010"/>
    <x v="4"/>
    <n v="0"/>
    <n v="1263.17"/>
    <x v="1"/>
    <s v="CC100"/>
    <s v="AutoPost 1675"/>
    <s v="EUR"/>
    <s v="2023-08"/>
    <n v="1263.17"/>
    <m/>
    <n v="1263.17"/>
    <s v="N/A"/>
    <s v=" "/>
  </r>
  <r>
    <s v="GL001676"/>
    <x v="317"/>
    <n v="4010"/>
    <x v="4"/>
    <n v="0"/>
    <n v="2207.1799999999998"/>
    <x v="4"/>
    <s v="CC200"/>
    <s v="AutoPost 1676"/>
    <s v="GBP"/>
    <s v="2024-03"/>
    <n v="2207.1799999999998"/>
    <m/>
    <n v="2207.1799999999998"/>
    <s v="N/A"/>
    <s v=" "/>
  </r>
  <r>
    <s v="GL001677"/>
    <x v="491"/>
    <n v="4010"/>
    <x v="4"/>
    <n v="0"/>
    <n v="3799.96"/>
    <x v="4"/>
    <s v="CC300"/>
    <s v="AutoPost 1677"/>
    <s v="USD"/>
    <s v="2025-05"/>
    <n v="3799.96"/>
    <m/>
    <n v="3799.96"/>
    <s v="N/A"/>
    <s v=" "/>
  </r>
  <r>
    <s v="GL001678"/>
    <x v="278"/>
    <n v="5010"/>
    <x v="3"/>
    <n v="1292.8800000000001"/>
    <n v="0"/>
    <x v="5"/>
    <s v="CC200"/>
    <s v="AutoPost 1678"/>
    <s v="EUR"/>
    <s v="2023-04"/>
    <n v="-1292.8800000000001"/>
    <m/>
    <n v="-1292.8800000000001"/>
    <s v="N/A"/>
    <s v=" "/>
  </r>
  <r>
    <s v="GL001679"/>
    <x v="477"/>
    <n v="5000"/>
    <x v="1"/>
    <n v="154.07"/>
    <n v="0"/>
    <x v="3"/>
    <s v="CC400"/>
    <s v="AutoPost 1679"/>
    <s v="EUR"/>
    <s v="2024-11"/>
    <n v="-154.07"/>
    <m/>
    <n v="-154.07"/>
    <s v="N/A"/>
    <s v=" "/>
  </r>
  <r>
    <s v="GL001680"/>
    <x v="486"/>
    <n v="6000"/>
    <x v="2"/>
    <n v="1751.78"/>
    <n v="0"/>
    <x v="5"/>
    <s v="CC300"/>
    <s v="AutoPost 1680"/>
    <s v="USD"/>
    <s v="2025-01"/>
    <n v="-1751.78"/>
    <m/>
    <n v="-1751.78"/>
    <s v="N/A"/>
    <s v=" "/>
  </r>
  <r>
    <s v="GL001681"/>
    <x v="194"/>
    <n v="4010"/>
    <x v="4"/>
    <n v="0"/>
    <n v="635.34"/>
    <x v="1"/>
    <s v="CC400"/>
    <s v="AutoPost 1681"/>
    <s v="AUD"/>
    <s v="2024-12"/>
    <n v="635.34"/>
    <m/>
    <n v="635.34"/>
    <s v="N/A"/>
    <s v=" "/>
  </r>
  <r>
    <s v="GL001682"/>
    <x v="280"/>
    <n v="5000"/>
    <x v="1"/>
    <n v="534.29"/>
    <n v="0"/>
    <x v="2"/>
    <s v="CC100"/>
    <s v="AutoPost 1682"/>
    <s v="EUR"/>
    <s v="2024-08"/>
    <n v="-534.29"/>
    <m/>
    <n v="-534.29"/>
    <s v="N/A"/>
    <s v=" "/>
  </r>
  <r>
    <s v="GL001683"/>
    <x v="768"/>
    <n v="5010"/>
    <x v="3"/>
    <n v="1212.18"/>
    <n v="0"/>
    <x v="0"/>
    <s v="CC300"/>
    <s v="AutoPost 1683"/>
    <s v="EUR"/>
    <s v="2024-07"/>
    <n v="-1212.18"/>
    <m/>
    <n v="-1212.18"/>
    <s v="N/A"/>
    <s v=" "/>
  </r>
  <r>
    <s v="GL001684"/>
    <x v="360"/>
    <n v="5000"/>
    <x v="1"/>
    <n v="1830.4"/>
    <n v="0"/>
    <x v="1"/>
    <s v="CC400"/>
    <s v="AutoPost 1684"/>
    <s v="CAD"/>
    <s v="2024-09"/>
    <n v="-1830.4"/>
    <m/>
    <n v="-1830.4"/>
    <s v="N/A"/>
    <s v=" "/>
  </r>
  <r>
    <s v="GL001685"/>
    <x v="525"/>
    <n v="4010"/>
    <x v="4"/>
    <n v="0"/>
    <n v="1032.3800000000001"/>
    <x v="5"/>
    <s v="CC400"/>
    <s v="AutoPost 1685"/>
    <s v="AUD"/>
    <s v="2023-03"/>
    <n v="1032.3800000000001"/>
    <m/>
    <n v="1032.3800000000001"/>
    <s v="N/A"/>
    <s v=" "/>
  </r>
  <r>
    <s v="GL001686"/>
    <x v="684"/>
    <n v="4000"/>
    <x v="0"/>
    <n v="0"/>
    <n v="2620.3200000000002"/>
    <x v="4"/>
    <s v="CC500"/>
    <s v="AutoPost 1686"/>
    <s v="CAD"/>
    <s v="2023-02"/>
    <n v="2620.3200000000002"/>
    <m/>
    <n v="2620.3200000000002"/>
    <s v="N/A"/>
    <s v=" "/>
  </r>
  <r>
    <s v="GL001687"/>
    <x v="460"/>
    <n v="4010"/>
    <x v="4"/>
    <n v="0"/>
    <n v="4016.77"/>
    <x v="4"/>
    <s v="CC300"/>
    <s v="AutoPost 1687"/>
    <s v="CAD"/>
    <s v="2024-08"/>
    <n v="4016.77"/>
    <m/>
    <n v="4016.77"/>
    <s v="N/A"/>
    <s v=" "/>
  </r>
  <r>
    <s v="GL001688"/>
    <x v="769"/>
    <n v="5000"/>
    <x v="1"/>
    <n v="575"/>
    <n v="0"/>
    <x v="4"/>
    <s v="CC500"/>
    <s v="AutoPost 1688"/>
    <s v="EUR"/>
    <s v="2024-04"/>
    <n v="-575"/>
    <m/>
    <n v="-575"/>
    <s v="N/A"/>
    <s v=" "/>
  </r>
  <r>
    <s v="GL001689"/>
    <x v="216"/>
    <n v="5010"/>
    <x v="3"/>
    <n v="692.19"/>
    <n v="0"/>
    <x v="5"/>
    <s v="CC300"/>
    <s v="AutoPost 1689"/>
    <s v="EUR"/>
    <s v="2025-03"/>
    <n v="-692.19"/>
    <m/>
    <n v="-692.19"/>
    <s v="N/A"/>
    <s v=" "/>
  </r>
  <r>
    <s v="GL001690"/>
    <x v="66"/>
    <n v="4000"/>
    <x v="0"/>
    <n v="0"/>
    <n v="129.38999999999999"/>
    <x v="4"/>
    <s v="CC400"/>
    <s v="AutoPost 1690"/>
    <s v="CAD"/>
    <s v="2025-06"/>
    <n v="129.38999999999999"/>
    <m/>
    <n v="129.38999999999999"/>
    <s v="N/A"/>
    <s v=" "/>
  </r>
  <r>
    <s v="GL001691"/>
    <x v="400"/>
    <n v="6000"/>
    <x v="2"/>
    <n v="739.61"/>
    <n v="0"/>
    <x v="3"/>
    <s v="CC500"/>
    <s v="AutoPost 1691"/>
    <s v="EUR"/>
    <s v="2024-05"/>
    <n v="-739.61"/>
    <m/>
    <n v="-739.61"/>
    <s v="N/A"/>
    <s v=" "/>
  </r>
  <r>
    <s v="GL001692"/>
    <x v="651"/>
    <n v="4000"/>
    <x v="0"/>
    <n v="0"/>
    <n v="1931.62"/>
    <x v="4"/>
    <s v="CC400"/>
    <s v="AutoPost 1692"/>
    <s v="CAD"/>
    <s v="2023-06"/>
    <n v="1931.62"/>
    <m/>
    <n v="1931.62"/>
    <s v="N/A"/>
    <s v=" "/>
  </r>
  <r>
    <s v="GL001693"/>
    <x v="82"/>
    <n v="5010"/>
    <x v="3"/>
    <n v="624.64"/>
    <n v="0"/>
    <x v="2"/>
    <s v="CC100"/>
    <s v="AutoPost 1693"/>
    <s v="EUR"/>
    <s v="2025-02"/>
    <n v="-624.64"/>
    <m/>
    <n v="-624.64"/>
    <s v="N/A"/>
    <s v=" "/>
  </r>
  <r>
    <s v="GL001694"/>
    <x v="400"/>
    <n v="4010"/>
    <x v="4"/>
    <n v="0"/>
    <n v="724.9"/>
    <x v="5"/>
    <s v="CC100"/>
    <s v="AutoPost 1694"/>
    <s v="EUR"/>
    <s v="2024-05"/>
    <n v="724.9"/>
    <m/>
    <n v="724.9"/>
    <s v="N/A"/>
    <s v=" "/>
  </r>
  <r>
    <s v="GL001695"/>
    <x v="576"/>
    <n v="6000"/>
    <x v="2"/>
    <n v="630.79"/>
    <n v="0"/>
    <x v="5"/>
    <s v="CC500"/>
    <s v="AutoPost 1695"/>
    <s v="AUD"/>
    <s v="2024-03"/>
    <n v="-630.79"/>
    <m/>
    <n v="-630.79"/>
    <s v="N/A"/>
    <s v=" "/>
  </r>
  <r>
    <s v="GL001696"/>
    <x v="249"/>
    <n v="5010"/>
    <x v="3"/>
    <n v="808.72"/>
    <n v="0"/>
    <x v="2"/>
    <s v="CC100"/>
    <s v="AutoPost 1696"/>
    <s v="GBP"/>
    <s v="2025-04"/>
    <n v="-808.72"/>
    <m/>
    <n v="-808.72"/>
    <s v="N/A"/>
    <s v=" "/>
  </r>
  <r>
    <s v="GL001697"/>
    <x v="387"/>
    <n v="4000"/>
    <x v="0"/>
    <n v="0"/>
    <n v="1092.32"/>
    <x v="0"/>
    <s v="CC400"/>
    <s v="AutoPost 1697"/>
    <s v="CAD"/>
    <s v="2023-08"/>
    <n v="1092.32"/>
    <m/>
    <n v="1092.32"/>
    <s v="N/A"/>
    <s v=" "/>
  </r>
  <r>
    <s v="GL001698"/>
    <x v="245"/>
    <n v="5010"/>
    <x v="3"/>
    <n v="1433.85"/>
    <n v="0"/>
    <x v="5"/>
    <s v="CC100"/>
    <s v="AutoPost 1698"/>
    <s v="CAD"/>
    <s v="2024-04"/>
    <n v="-1433.85"/>
    <m/>
    <n v="-1433.85"/>
    <s v="N/A"/>
    <s v=" "/>
  </r>
  <r>
    <s v="GL001699"/>
    <x v="770"/>
    <n v="4010"/>
    <x v="4"/>
    <n v="0"/>
    <n v="902.75"/>
    <x v="4"/>
    <s v="CC300"/>
    <s v="AutoPost 1699"/>
    <s v="GBP"/>
    <s v="2024-02"/>
    <n v="902.75"/>
    <m/>
    <n v="902.75"/>
    <s v="N/A"/>
    <s v=" "/>
  </r>
  <r>
    <s v="GL001700"/>
    <x v="656"/>
    <n v="5010"/>
    <x v="3"/>
    <n v="1012.66"/>
    <n v="0"/>
    <x v="4"/>
    <s v="CC300"/>
    <s v="AutoPost 1700"/>
    <s v="AUD"/>
    <s v="2023-12"/>
    <n v="-1012.66"/>
    <m/>
    <n v="-1012.66"/>
    <s v="N/A"/>
    <s v=" "/>
  </r>
  <r>
    <s v="GL001701"/>
    <x v="771"/>
    <n v="5000"/>
    <x v="1"/>
    <n v="1143.22"/>
    <n v="0"/>
    <x v="2"/>
    <s v="CC200"/>
    <s v="AutoPost 1701"/>
    <s v="USD"/>
    <s v="2024-12"/>
    <n v="-1143.22"/>
    <m/>
    <n v="-1143.22"/>
    <s v="N/A"/>
    <s v=" "/>
  </r>
  <r>
    <s v="GL001702"/>
    <x v="750"/>
    <n v="4000"/>
    <x v="0"/>
    <n v="0"/>
    <n v="3892.69"/>
    <x v="0"/>
    <s v="CC100"/>
    <s v="AutoPost 1702"/>
    <s v="AUD"/>
    <s v="2023-01"/>
    <n v="3892.69"/>
    <m/>
    <n v="3892.69"/>
    <s v="N/A"/>
    <s v=" "/>
  </r>
  <r>
    <s v="GL001703"/>
    <x v="562"/>
    <n v="6000"/>
    <x v="2"/>
    <n v="649.45000000000005"/>
    <n v="0"/>
    <x v="5"/>
    <s v="CC500"/>
    <s v="AutoPost 1703"/>
    <s v="CAD"/>
    <s v="2025-01"/>
    <n v="-649.45000000000005"/>
    <m/>
    <n v="-649.45000000000005"/>
    <s v="N/A"/>
    <s v=" "/>
  </r>
  <r>
    <s v="GL001704"/>
    <x v="406"/>
    <n v="4010"/>
    <x v="4"/>
    <n v="0"/>
    <n v="1422.91"/>
    <x v="1"/>
    <s v="CC400"/>
    <s v="AutoPost 1704"/>
    <s v="AUD"/>
    <s v="2025-01"/>
    <n v="1422.91"/>
    <m/>
    <n v="1422.91"/>
    <s v="N/A"/>
    <s v=" "/>
  </r>
  <r>
    <s v="GL001705"/>
    <x v="478"/>
    <n v="4000"/>
    <x v="0"/>
    <n v="0"/>
    <n v="1269.95"/>
    <x v="1"/>
    <s v="CC200"/>
    <s v="AutoPost 1705"/>
    <s v="GBP"/>
    <s v="2024-03"/>
    <n v="1269.95"/>
    <m/>
    <n v="1269.95"/>
    <s v="N/A"/>
    <s v=" "/>
  </r>
  <r>
    <s v="GL001706"/>
    <x v="669"/>
    <n v="4010"/>
    <x v="4"/>
    <n v="0"/>
    <n v="4047.23"/>
    <x v="2"/>
    <s v="CC100"/>
    <s v="AutoPost 1706"/>
    <s v="GBP"/>
    <s v="2024-09"/>
    <n v="4047.23"/>
    <m/>
    <n v="4047.23"/>
    <s v="N/A"/>
    <s v=" "/>
  </r>
  <r>
    <s v="GL001707"/>
    <x v="713"/>
    <n v="5000"/>
    <x v="1"/>
    <n v="546.9"/>
    <n v="0"/>
    <x v="5"/>
    <s v="CC100"/>
    <s v="AutoPost 1707"/>
    <s v="AUD"/>
    <s v="2024-11"/>
    <n v="-546.9"/>
    <m/>
    <n v="-546.9"/>
    <s v="N/A"/>
    <s v=" "/>
  </r>
  <r>
    <s v="GL001708"/>
    <x v="322"/>
    <n v="4000"/>
    <x v="0"/>
    <n v="0"/>
    <n v="652.36"/>
    <x v="5"/>
    <s v="CC300"/>
    <s v="AutoPost 1708"/>
    <s v="EUR"/>
    <s v="2023-01"/>
    <n v="652.36"/>
    <m/>
    <n v="652.36"/>
    <s v="N/A"/>
    <s v=" "/>
  </r>
  <r>
    <s v="GL001709"/>
    <x v="582"/>
    <n v="4010"/>
    <x v="4"/>
    <n v="0"/>
    <n v="1963.74"/>
    <x v="2"/>
    <s v="CC300"/>
    <s v="AutoPost 1709"/>
    <s v="USD"/>
    <s v="2023-01"/>
    <n v="1963.74"/>
    <m/>
    <n v="1963.74"/>
    <s v="N/A"/>
    <s v=" "/>
  </r>
  <r>
    <s v="GL001710"/>
    <x v="359"/>
    <n v="4010"/>
    <x v="4"/>
    <n v="0"/>
    <n v="1521.92"/>
    <x v="5"/>
    <s v="CC100"/>
    <s v="AutoPost 1710"/>
    <s v="EUR"/>
    <s v="2025-01"/>
    <n v="1521.92"/>
    <m/>
    <n v="1521.92"/>
    <s v="N/A"/>
    <s v=" "/>
  </r>
  <r>
    <s v="GL001711"/>
    <x v="673"/>
    <n v="4010"/>
    <x v="4"/>
    <n v="0"/>
    <n v="3858.51"/>
    <x v="2"/>
    <s v="CC400"/>
    <s v="AutoPost 1711"/>
    <s v="GBP"/>
    <s v="2024-01"/>
    <n v="3858.51"/>
    <m/>
    <n v="3858.51"/>
    <s v="N/A"/>
    <s v=" "/>
  </r>
  <r>
    <s v="GL001712"/>
    <x v="613"/>
    <n v="4010"/>
    <x v="4"/>
    <n v="0"/>
    <n v="4500.74"/>
    <x v="2"/>
    <s v="CC100"/>
    <s v="AutoPost 1712"/>
    <s v="AUD"/>
    <s v="2024-04"/>
    <n v="4500.74"/>
    <m/>
    <n v="4500.74"/>
    <s v="N/A"/>
    <s v=" "/>
  </r>
  <r>
    <s v="GL001713"/>
    <x v="57"/>
    <n v="6000"/>
    <x v="2"/>
    <n v="678.18"/>
    <n v="0"/>
    <x v="3"/>
    <s v="CC500"/>
    <s v="AutoPost 1713"/>
    <s v="AUD"/>
    <s v="2024-09"/>
    <n v="-678.18"/>
    <m/>
    <n v="-678.18"/>
    <s v="N/A"/>
    <s v=" "/>
  </r>
  <r>
    <s v="GL001714"/>
    <x v="407"/>
    <n v="6000"/>
    <x v="2"/>
    <n v="1306.92"/>
    <n v="0"/>
    <x v="5"/>
    <s v="CC300"/>
    <s v="AutoPost 1714"/>
    <s v="CAD"/>
    <s v="2024-12"/>
    <n v="-1306.92"/>
    <m/>
    <n v="-1306.92"/>
    <s v="N/A"/>
    <s v=" "/>
  </r>
  <r>
    <s v="GL001715"/>
    <x v="356"/>
    <n v="4010"/>
    <x v="4"/>
    <n v="0"/>
    <n v="1899.18"/>
    <x v="0"/>
    <s v="CC500"/>
    <s v="AutoPost 1715"/>
    <s v="GBP"/>
    <s v="2023-01"/>
    <n v="1899.18"/>
    <m/>
    <n v="1899.18"/>
    <s v="N/A"/>
    <s v=" "/>
  </r>
  <r>
    <s v="GL001716"/>
    <x v="749"/>
    <n v="4010"/>
    <x v="4"/>
    <n v="0"/>
    <n v="4785.2299999999996"/>
    <x v="2"/>
    <s v="CC200"/>
    <s v="AutoPost 1716"/>
    <s v="GBP"/>
    <s v="2024-10"/>
    <n v="4785.2299999999996"/>
    <m/>
    <n v="4785.2299999999996"/>
    <s v="N/A"/>
    <s v=" "/>
  </r>
  <r>
    <s v="GL001717"/>
    <x v="772"/>
    <n v="4010"/>
    <x v="4"/>
    <n v="0"/>
    <n v="2005.29"/>
    <x v="4"/>
    <s v="CC300"/>
    <s v="AutoPost 1717"/>
    <s v="USD"/>
    <s v="2023-09"/>
    <n v="2005.29"/>
    <m/>
    <n v="2005.29"/>
    <s v="N/A"/>
    <s v=" "/>
  </r>
  <r>
    <s v="GL001718"/>
    <x v="202"/>
    <n v="6000"/>
    <x v="2"/>
    <n v="1255.1099999999999"/>
    <n v="0"/>
    <x v="5"/>
    <s v="CC300"/>
    <s v="AutoPost 1718"/>
    <s v="EUR"/>
    <s v="2023-08"/>
    <n v="-1255.1099999999999"/>
    <m/>
    <n v="-1255.1099999999999"/>
    <s v="N/A"/>
    <s v=" "/>
  </r>
  <r>
    <s v="GL001719"/>
    <x v="293"/>
    <n v="5000"/>
    <x v="1"/>
    <n v="816.6"/>
    <n v="0"/>
    <x v="5"/>
    <s v="CC100"/>
    <s v="AutoPost 1719"/>
    <s v="EUR"/>
    <s v="2024-01"/>
    <n v="-816.6"/>
    <m/>
    <n v="-816.6"/>
    <s v="N/A"/>
    <s v=" "/>
  </r>
  <r>
    <s v="GL001720"/>
    <x v="773"/>
    <n v="4010"/>
    <x v="4"/>
    <n v="0"/>
    <n v="1623.32"/>
    <x v="5"/>
    <s v="CC500"/>
    <s v="AutoPost 1720"/>
    <s v="AUD"/>
    <s v="2023-03"/>
    <n v="1623.32"/>
    <m/>
    <n v="1623.32"/>
    <s v="N/A"/>
    <s v=" "/>
  </r>
  <r>
    <s v="GL001721"/>
    <x v="774"/>
    <n v="6000"/>
    <x v="2"/>
    <n v="770.91"/>
    <n v="0"/>
    <x v="5"/>
    <s v="CC100"/>
    <s v="AutoPost 1721"/>
    <s v="AUD"/>
    <s v="2023-07"/>
    <n v="-770.91"/>
    <m/>
    <n v="-770.91"/>
    <s v="N/A"/>
    <s v=" "/>
  </r>
  <r>
    <s v="GL001722"/>
    <x v="20"/>
    <n v="4010"/>
    <x v="4"/>
    <n v="0"/>
    <n v="3597.73"/>
    <x v="0"/>
    <s v="CC300"/>
    <s v="AutoPost 1722"/>
    <s v="CAD"/>
    <s v="2024-03"/>
    <n v="3597.73"/>
    <m/>
    <n v="3597.73"/>
    <s v="N/A"/>
    <s v=" "/>
  </r>
  <r>
    <s v="GL001723"/>
    <x v="402"/>
    <n v="5000"/>
    <x v="1"/>
    <n v="468"/>
    <n v="0"/>
    <x v="4"/>
    <s v="CC100"/>
    <s v="AutoPost 1723"/>
    <s v="USD"/>
    <s v="2025-03"/>
    <n v="-468"/>
    <m/>
    <n v="-468"/>
    <s v="N/A"/>
    <s v=" "/>
  </r>
  <r>
    <s v="GL001724"/>
    <x v="367"/>
    <n v="6000"/>
    <x v="2"/>
    <n v="1093.3800000000001"/>
    <n v="0"/>
    <x v="2"/>
    <s v="CC300"/>
    <s v="AutoPost 1724"/>
    <s v="AUD"/>
    <s v="2024-05"/>
    <n v="-1093.3800000000001"/>
    <m/>
    <n v="-1093.3800000000001"/>
    <s v="N/A"/>
    <s v=" "/>
  </r>
  <r>
    <s v="GL001725"/>
    <x v="195"/>
    <n v="4010"/>
    <x v="4"/>
    <n v="0"/>
    <n v="1791.26"/>
    <x v="2"/>
    <s v="CC200"/>
    <s v="AutoPost 1725"/>
    <s v="USD"/>
    <s v="2024-05"/>
    <n v="1791.26"/>
    <m/>
    <n v="1791.26"/>
    <s v="N/A"/>
    <s v=" "/>
  </r>
  <r>
    <s v="GL001726"/>
    <x v="775"/>
    <n v="4010"/>
    <x v="4"/>
    <n v="0"/>
    <n v="2175.02"/>
    <x v="1"/>
    <s v="CC400"/>
    <s v="AutoPost 1726"/>
    <s v="GBP"/>
    <s v="2025-04"/>
    <n v="2175.02"/>
    <m/>
    <n v="2175.02"/>
    <s v="N/A"/>
    <s v=" "/>
  </r>
  <r>
    <s v="GL001727"/>
    <x v="711"/>
    <n v="6000"/>
    <x v="2"/>
    <n v="1574.77"/>
    <n v="0"/>
    <x v="0"/>
    <s v="CC500"/>
    <s v="AutoPost 1727"/>
    <s v="CAD"/>
    <s v="2025-01"/>
    <n v="-1574.77"/>
    <m/>
    <n v="-1574.77"/>
    <s v="N/A"/>
    <s v=" "/>
  </r>
  <r>
    <s v="GL001728"/>
    <x v="776"/>
    <n v="5000"/>
    <x v="1"/>
    <n v="1527.19"/>
    <n v="0"/>
    <x v="5"/>
    <s v="CC100"/>
    <s v="AutoPost 1728"/>
    <s v="GBP"/>
    <s v="2025-01"/>
    <n v="-1527.19"/>
    <m/>
    <n v="-1527.19"/>
    <s v="N/A"/>
    <s v=" "/>
  </r>
  <r>
    <s v="GL001729"/>
    <x v="740"/>
    <n v="5010"/>
    <x v="3"/>
    <n v="235.69"/>
    <n v="0"/>
    <x v="5"/>
    <s v="CC300"/>
    <s v="AutoPost 1729"/>
    <s v="AUD"/>
    <s v="2023-12"/>
    <n v="-235.69"/>
    <m/>
    <n v="-235.69"/>
    <s v="N/A"/>
    <s v=" "/>
  </r>
  <r>
    <s v="GL001730"/>
    <x v="48"/>
    <n v="4010"/>
    <x v="4"/>
    <n v="0"/>
    <n v="1732.54"/>
    <x v="1"/>
    <s v="CC200"/>
    <s v="AutoPost 1730"/>
    <s v="USD"/>
    <s v="2023-03"/>
    <n v="1732.54"/>
    <m/>
    <n v="1732.54"/>
    <s v="N/A"/>
    <s v=" "/>
  </r>
  <r>
    <s v="GL001731"/>
    <x v="149"/>
    <n v="4010"/>
    <x v="4"/>
    <n v="0"/>
    <n v="2626.2"/>
    <x v="0"/>
    <s v="CC400"/>
    <s v="AutoPost 1731"/>
    <s v="CAD"/>
    <s v="2025-02"/>
    <n v="2626.2"/>
    <m/>
    <n v="2626.2"/>
    <s v="N/A"/>
    <s v=" "/>
  </r>
  <r>
    <s v="GL001732"/>
    <x v="528"/>
    <n v="5010"/>
    <x v="3"/>
    <n v="1253"/>
    <n v="0"/>
    <x v="0"/>
    <s v="CC500"/>
    <s v="AutoPost 1732"/>
    <s v="EUR"/>
    <s v="2023-03"/>
    <n v="-1253"/>
    <m/>
    <n v="-1253"/>
    <s v="N/A"/>
    <s v=" "/>
  </r>
  <r>
    <s v="GL001733"/>
    <x v="94"/>
    <n v="5000"/>
    <x v="1"/>
    <n v="698.8"/>
    <n v="0"/>
    <x v="2"/>
    <s v="CC100"/>
    <s v="AutoPost 1733"/>
    <s v="CAD"/>
    <s v="2025-01"/>
    <n v="-698.8"/>
    <m/>
    <n v="-698.8"/>
    <s v="N/A"/>
    <s v=" "/>
  </r>
  <r>
    <s v="GL001734"/>
    <x v="745"/>
    <n v="4000"/>
    <x v="0"/>
    <n v="0"/>
    <n v="1651.12"/>
    <x v="3"/>
    <s v="CC500"/>
    <s v="AutoPost 1734"/>
    <s v="AUD"/>
    <s v="2024-03"/>
    <n v="1651.12"/>
    <m/>
    <n v="1651.12"/>
    <s v="N/A"/>
    <s v=" "/>
  </r>
  <r>
    <s v="GL001735"/>
    <x v="229"/>
    <n v="4010"/>
    <x v="4"/>
    <n v="0"/>
    <n v="4999.53"/>
    <x v="4"/>
    <s v="CC500"/>
    <s v="AutoPost 1735"/>
    <s v="CAD"/>
    <s v="2024-05"/>
    <n v="4999.53"/>
    <m/>
    <n v="4999.53"/>
    <s v="N/A"/>
    <s v=" "/>
  </r>
  <r>
    <s v="GL001736"/>
    <x v="326"/>
    <n v="5000"/>
    <x v="1"/>
    <n v="600.07000000000005"/>
    <n v="0"/>
    <x v="1"/>
    <s v="CC300"/>
    <s v="AutoPost 1736"/>
    <s v="EUR"/>
    <s v="2025-05"/>
    <n v="-600.07000000000005"/>
    <m/>
    <n v="-600.07000000000005"/>
    <s v="N/A"/>
    <s v=" "/>
  </r>
  <r>
    <s v="GL001737"/>
    <x v="338"/>
    <n v="6000"/>
    <x v="2"/>
    <n v="1136.96"/>
    <n v="0"/>
    <x v="5"/>
    <s v="CC200"/>
    <s v="AutoPost 1737"/>
    <s v="USD"/>
    <s v="2023-05"/>
    <n v="-1136.96"/>
    <m/>
    <n v="-1136.96"/>
    <s v="N/A"/>
    <s v=" "/>
  </r>
  <r>
    <s v="GL001738"/>
    <x v="688"/>
    <n v="4010"/>
    <x v="4"/>
    <n v="0"/>
    <n v="3007.82"/>
    <x v="5"/>
    <s v="CC100"/>
    <s v="AutoPost 1738"/>
    <s v="USD"/>
    <s v="2024-03"/>
    <n v="3007.82"/>
    <m/>
    <n v="3007.82"/>
    <s v="N/A"/>
    <s v=" "/>
  </r>
  <r>
    <s v="GL001739"/>
    <x v="777"/>
    <n v="4010"/>
    <x v="4"/>
    <n v="0"/>
    <n v="2023.01"/>
    <x v="3"/>
    <s v="CC100"/>
    <s v="AutoPost 1739"/>
    <s v="GBP"/>
    <s v="2024-07"/>
    <n v="2023.01"/>
    <m/>
    <n v="2023.01"/>
    <s v="N/A"/>
    <s v=" "/>
  </r>
  <r>
    <s v="GL001740"/>
    <x v="207"/>
    <n v="4000"/>
    <x v="0"/>
    <n v="0"/>
    <n v="3884.34"/>
    <x v="2"/>
    <s v="CC500"/>
    <s v="AutoPost 1740"/>
    <s v="GBP"/>
    <s v="2024-04"/>
    <n v="3884.34"/>
    <m/>
    <n v="3884.34"/>
    <s v="N/A"/>
    <s v=" "/>
  </r>
  <r>
    <s v="GL001741"/>
    <x v="413"/>
    <n v="4000"/>
    <x v="0"/>
    <n v="0"/>
    <n v="225.78"/>
    <x v="3"/>
    <s v="CC400"/>
    <s v="AutoPost 1741"/>
    <s v="EUR"/>
    <s v="2024-02"/>
    <n v="225.78"/>
    <m/>
    <n v="225.78"/>
    <s v="N/A"/>
    <s v=" "/>
  </r>
  <r>
    <s v="GL001742"/>
    <x v="227"/>
    <n v="4000"/>
    <x v="0"/>
    <n v="0"/>
    <n v="2518.37"/>
    <x v="2"/>
    <s v="CC200"/>
    <s v="AutoPost 1742"/>
    <s v="AUD"/>
    <s v="2024-11"/>
    <n v="2518.37"/>
    <m/>
    <n v="2518.37"/>
    <s v="N/A"/>
    <s v=" "/>
  </r>
  <r>
    <s v="GL001743"/>
    <x v="778"/>
    <n v="5000"/>
    <x v="1"/>
    <n v="847.09"/>
    <n v="0"/>
    <x v="4"/>
    <s v="CC200"/>
    <s v="AutoPost 1743"/>
    <s v="GBP"/>
    <s v="2024-10"/>
    <n v="-847.09"/>
    <m/>
    <n v="-847.09"/>
    <s v="N/A"/>
    <s v=" "/>
  </r>
  <r>
    <s v="GL001744"/>
    <x v="770"/>
    <n v="6000"/>
    <x v="2"/>
    <n v="121.29"/>
    <n v="0"/>
    <x v="5"/>
    <s v="CC400"/>
    <s v="AutoPost 1744"/>
    <s v="EUR"/>
    <s v="2024-02"/>
    <n v="-121.29"/>
    <m/>
    <n v="-121.29"/>
    <s v="N/A"/>
    <s v=" "/>
  </r>
  <r>
    <s v="GL001745"/>
    <x v="266"/>
    <n v="6000"/>
    <x v="2"/>
    <n v="1357.35"/>
    <n v="0"/>
    <x v="3"/>
    <s v="CC300"/>
    <s v="AutoPost 1745"/>
    <s v="USD"/>
    <s v="2024-04"/>
    <n v="-1357.35"/>
    <m/>
    <n v="-1357.35"/>
    <s v="N/A"/>
    <s v=" "/>
  </r>
  <r>
    <s v="GL001746"/>
    <x v="634"/>
    <n v="4010"/>
    <x v="4"/>
    <n v="0"/>
    <n v="1658.15"/>
    <x v="5"/>
    <s v="CC400"/>
    <s v="AutoPost 1746"/>
    <s v="CAD"/>
    <s v="2023-05"/>
    <n v="1658.15"/>
    <m/>
    <n v="1658.15"/>
    <s v="N/A"/>
    <s v=" "/>
  </r>
  <r>
    <s v="GL001747"/>
    <x v="779"/>
    <n v="5010"/>
    <x v="3"/>
    <n v="759.41"/>
    <n v="0"/>
    <x v="4"/>
    <s v="CC500"/>
    <s v="AutoPost 1747"/>
    <s v="AUD"/>
    <s v="2025-01"/>
    <n v="-759.41"/>
    <m/>
    <n v="-759.41"/>
    <s v="N/A"/>
    <s v=" "/>
  </r>
  <r>
    <s v="GL001748"/>
    <x v="285"/>
    <n v="4000"/>
    <x v="0"/>
    <n v="0"/>
    <n v="4703.2"/>
    <x v="5"/>
    <s v="CC400"/>
    <s v="AutoPost 1748"/>
    <s v="EUR"/>
    <s v="2023-11"/>
    <n v="4703.2"/>
    <m/>
    <n v="4703.2"/>
    <s v="N/A"/>
    <s v=" "/>
  </r>
  <r>
    <s v="GL001749"/>
    <x v="183"/>
    <n v="4010"/>
    <x v="4"/>
    <n v="0"/>
    <n v="528.16999999999996"/>
    <x v="3"/>
    <s v="CC200"/>
    <s v="AutoPost 1749"/>
    <s v="EUR"/>
    <s v="2023-08"/>
    <n v="528.16999999999996"/>
    <m/>
    <n v="528.16999999999996"/>
    <s v="N/A"/>
    <s v=" "/>
  </r>
  <r>
    <s v="GL001750"/>
    <x v="6"/>
    <n v="4000"/>
    <x v="0"/>
    <n v="0"/>
    <n v="4978.6499999999996"/>
    <x v="2"/>
    <s v="CC500"/>
    <s v="AutoPost 1750"/>
    <s v="USD"/>
    <s v="2023-08"/>
    <n v="4978.6499999999996"/>
    <m/>
    <n v="4978.6499999999996"/>
    <s v="N/A"/>
    <s v=" "/>
  </r>
  <r>
    <s v="GL001751"/>
    <x v="173"/>
    <n v="6000"/>
    <x v="2"/>
    <n v="912.48"/>
    <n v="0"/>
    <x v="4"/>
    <s v="CC500"/>
    <s v="AutoPost 1751"/>
    <s v="EUR"/>
    <s v="2025-06"/>
    <n v="-912.48"/>
    <m/>
    <n v="-912.48"/>
    <s v="N/A"/>
    <s v=" "/>
  </r>
  <r>
    <s v="GL001752"/>
    <x v="610"/>
    <n v="4000"/>
    <x v="0"/>
    <n v="0"/>
    <n v="3719.23"/>
    <x v="2"/>
    <s v="CC100"/>
    <s v="AutoPost 1752"/>
    <s v="GBP"/>
    <s v="2025-03"/>
    <n v="3719.23"/>
    <m/>
    <n v="3719.23"/>
    <s v="N/A"/>
    <s v=" "/>
  </r>
  <r>
    <s v="GL001753"/>
    <x v="779"/>
    <n v="5000"/>
    <x v="1"/>
    <n v="136.12"/>
    <n v="0"/>
    <x v="2"/>
    <s v="CC100"/>
    <s v="AutoPost 1753"/>
    <s v="GBP"/>
    <s v="2025-01"/>
    <n v="-136.12"/>
    <m/>
    <n v="-136.12"/>
    <s v="N/A"/>
    <s v=" "/>
  </r>
  <r>
    <s v="GL001754"/>
    <x v="780"/>
    <n v="5000"/>
    <x v="1"/>
    <n v="501.66"/>
    <n v="0"/>
    <x v="5"/>
    <s v="CC400"/>
    <s v="AutoPost 1754"/>
    <s v="AUD"/>
    <s v="2024-09"/>
    <n v="-501.66"/>
    <m/>
    <n v="-501.66"/>
    <s v="N/A"/>
    <s v=" "/>
  </r>
  <r>
    <s v="GL001755"/>
    <x v="5"/>
    <n v="4010"/>
    <x v="4"/>
    <n v="0"/>
    <n v="4477.99"/>
    <x v="5"/>
    <s v="CC300"/>
    <s v="AutoPost 1755"/>
    <s v="GBP"/>
    <s v="2025-05"/>
    <n v="4477.99"/>
    <m/>
    <n v="4477.99"/>
    <s v="N/A"/>
    <s v=" "/>
  </r>
  <r>
    <s v="GL001756"/>
    <x v="28"/>
    <n v="5000"/>
    <x v="1"/>
    <n v="310.49"/>
    <n v="0"/>
    <x v="1"/>
    <s v="CC200"/>
    <s v="AutoPost 1756"/>
    <s v="USD"/>
    <s v="2025-03"/>
    <n v="-310.49"/>
    <m/>
    <n v="-310.49"/>
    <s v="N/A"/>
    <s v=" "/>
  </r>
  <r>
    <s v="GL001757"/>
    <x v="195"/>
    <n v="5010"/>
    <x v="3"/>
    <n v="1687.77"/>
    <n v="0"/>
    <x v="3"/>
    <s v="CC200"/>
    <s v="AutoPost 1757"/>
    <s v="CAD"/>
    <s v="2024-05"/>
    <n v="-1687.77"/>
    <m/>
    <n v="-1687.77"/>
    <s v="N/A"/>
    <s v=" "/>
  </r>
  <r>
    <s v="GL001758"/>
    <x v="538"/>
    <n v="4010"/>
    <x v="4"/>
    <n v="0"/>
    <n v="3606.68"/>
    <x v="0"/>
    <s v="CC500"/>
    <s v="AutoPost 1758"/>
    <s v="CAD"/>
    <s v="2024-03"/>
    <n v="3606.68"/>
    <m/>
    <n v="3606.68"/>
    <s v="N/A"/>
    <s v=" "/>
  </r>
  <r>
    <s v="GL001759"/>
    <x v="448"/>
    <n v="5010"/>
    <x v="3"/>
    <n v="1726.93"/>
    <n v="0"/>
    <x v="4"/>
    <s v="CC400"/>
    <s v="AutoPost 1759"/>
    <s v="AUD"/>
    <s v="2023-04"/>
    <n v="-1726.93"/>
    <m/>
    <n v="-1726.93"/>
    <s v="N/A"/>
    <s v=" "/>
  </r>
  <r>
    <s v="GL001760"/>
    <x v="732"/>
    <n v="4010"/>
    <x v="4"/>
    <n v="0"/>
    <n v="4091.1"/>
    <x v="5"/>
    <s v="CC500"/>
    <s v="AutoPost 1760"/>
    <s v="AUD"/>
    <s v="2023-03"/>
    <n v="4091.1"/>
    <m/>
    <n v="4091.1"/>
    <s v="N/A"/>
    <s v=" "/>
  </r>
  <r>
    <s v="GL001761"/>
    <x v="223"/>
    <n v="5000"/>
    <x v="1"/>
    <n v="1712.78"/>
    <n v="0"/>
    <x v="2"/>
    <s v="CC100"/>
    <s v="AutoPost 1761"/>
    <s v="AUD"/>
    <s v="2023-07"/>
    <n v="-1712.78"/>
    <m/>
    <n v="-1712.78"/>
    <s v="N/A"/>
    <s v=" "/>
  </r>
  <r>
    <s v="GL001762"/>
    <x v="781"/>
    <n v="4010"/>
    <x v="4"/>
    <n v="0"/>
    <n v="4088.16"/>
    <x v="1"/>
    <s v="CC200"/>
    <s v="AutoPost 1762"/>
    <s v="EUR"/>
    <s v="2023-05"/>
    <n v="4088.16"/>
    <m/>
    <n v="4088.16"/>
    <s v="N/A"/>
    <s v=" "/>
  </r>
  <r>
    <s v="GL001763"/>
    <x v="615"/>
    <n v="5000"/>
    <x v="1"/>
    <n v="1941.5"/>
    <n v="0"/>
    <x v="2"/>
    <s v="CC500"/>
    <s v="AutoPost 1763"/>
    <s v="GBP"/>
    <s v="2023-06"/>
    <n v="-1941.5"/>
    <m/>
    <n v="-1941.5"/>
    <s v="N/A"/>
    <s v=" "/>
  </r>
  <r>
    <s v="GL001764"/>
    <x v="304"/>
    <n v="5010"/>
    <x v="3"/>
    <n v="1945.41"/>
    <n v="0"/>
    <x v="3"/>
    <s v="CC500"/>
    <s v="AutoPost 1764"/>
    <s v="GBP"/>
    <s v="2024-01"/>
    <n v="-1945.41"/>
    <m/>
    <n v="-1945.41"/>
    <s v="N/A"/>
    <s v=" "/>
  </r>
  <r>
    <s v="GL001765"/>
    <x v="738"/>
    <n v="5000"/>
    <x v="1"/>
    <n v="1421.11"/>
    <n v="0"/>
    <x v="2"/>
    <s v="CC200"/>
    <s v="AutoPost 1765"/>
    <s v="CAD"/>
    <s v="2024-02"/>
    <n v="-1421.11"/>
    <m/>
    <n v="-1421.11"/>
    <s v="N/A"/>
    <s v=" "/>
  </r>
  <r>
    <s v="GL001766"/>
    <x v="782"/>
    <n v="5010"/>
    <x v="3"/>
    <n v="289.94"/>
    <n v="0"/>
    <x v="5"/>
    <s v="CC200"/>
    <s v="AutoPost 1766"/>
    <s v="USD"/>
    <s v="2023-02"/>
    <n v="-289.94"/>
    <m/>
    <n v="-289.94"/>
    <s v="N/A"/>
    <s v=" "/>
  </r>
  <r>
    <s v="GL001767"/>
    <x v="183"/>
    <n v="5010"/>
    <x v="3"/>
    <n v="1061.21"/>
    <n v="0"/>
    <x v="4"/>
    <s v="CC400"/>
    <s v="AutoPost 1767"/>
    <s v="USD"/>
    <s v="2023-08"/>
    <n v="-1061.21"/>
    <m/>
    <n v="-1061.21"/>
    <s v="N/A"/>
    <s v=" "/>
  </r>
  <r>
    <s v="GL001768"/>
    <x v="332"/>
    <n v="4000"/>
    <x v="0"/>
    <n v="0"/>
    <n v="2682.77"/>
    <x v="1"/>
    <s v="CC200"/>
    <s v="AutoPost 1768"/>
    <s v="GBP"/>
    <s v="2023-02"/>
    <n v="2682.77"/>
    <m/>
    <n v="2682.77"/>
    <s v="N/A"/>
    <s v=" "/>
  </r>
  <r>
    <s v="GL001769"/>
    <x v="756"/>
    <n v="4010"/>
    <x v="4"/>
    <n v="0"/>
    <n v="250.7"/>
    <x v="4"/>
    <s v="CC200"/>
    <s v="AutoPost 1769"/>
    <s v="CAD"/>
    <s v="2025-05"/>
    <n v="250.7"/>
    <m/>
    <n v="250.7"/>
    <s v="N/A"/>
    <s v=" "/>
  </r>
  <r>
    <s v="GL001770"/>
    <x v="319"/>
    <n v="5000"/>
    <x v="1"/>
    <n v="1995.64"/>
    <n v="0"/>
    <x v="3"/>
    <s v="CC500"/>
    <s v="AutoPost 1770"/>
    <s v="USD"/>
    <s v="2025-02"/>
    <n v="-1995.64"/>
    <m/>
    <n v="-1995.64"/>
    <s v="N/A"/>
    <s v=" "/>
  </r>
  <r>
    <s v="GL001771"/>
    <x v="586"/>
    <n v="5010"/>
    <x v="3"/>
    <n v="1268.68"/>
    <n v="0"/>
    <x v="1"/>
    <s v="CC500"/>
    <s v="AutoPost 1771"/>
    <s v="EUR"/>
    <s v="2023-06"/>
    <n v="-1268.68"/>
    <m/>
    <n v="-1268.68"/>
    <s v="N/A"/>
    <s v=" "/>
  </r>
  <r>
    <s v="GL001772"/>
    <x v="168"/>
    <n v="5000"/>
    <x v="1"/>
    <n v="1700.66"/>
    <n v="0"/>
    <x v="0"/>
    <s v="CC500"/>
    <s v="AutoPost 1772"/>
    <s v="CAD"/>
    <s v="2023-05"/>
    <n v="-1700.66"/>
    <m/>
    <n v="-1700.66"/>
    <s v="N/A"/>
    <s v=" "/>
  </r>
  <r>
    <s v="GL001773"/>
    <x v="67"/>
    <n v="6000"/>
    <x v="2"/>
    <n v="335.24"/>
    <n v="0"/>
    <x v="4"/>
    <s v="CC300"/>
    <s v="AutoPost 1773"/>
    <s v="GBP"/>
    <s v="2025-06"/>
    <n v="-335.24"/>
    <m/>
    <n v="-335.24"/>
    <s v="N/A"/>
    <s v=" "/>
  </r>
  <r>
    <s v="GL001774"/>
    <x v="636"/>
    <n v="6000"/>
    <x v="2"/>
    <n v="705.25"/>
    <n v="0"/>
    <x v="1"/>
    <s v="CC400"/>
    <s v="AutoPost 1774"/>
    <s v="AUD"/>
    <s v="2024-06"/>
    <n v="-705.25"/>
    <m/>
    <n v="-705.25"/>
    <s v="N/A"/>
    <s v=" "/>
  </r>
  <r>
    <s v="GL001775"/>
    <x v="4"/>
    <n v="5000"/>
    <x v="1"/>
    <n v="1859.77"/>
    <n v="0"/>
    <x v="5"/>
    <s v="CC100"/>
    <s v="AutoPost 1775"/>
    <s v="AUD"/>
    <s v="2023-08"/>
    <n v="-1859.77"/>
    <m/>
    <n v="-1859.77"/>
    <s v="N/A"/>
    <s v=" "/>
  </r>
  <r>
    <s v="GL001776"/>
    <x v="564"/>
    <n v="6000"/>
    <x v="2"/>
    <n v="1672.52"/>
    <n v="0"/>
    <x v="0"/>
    <s v="CC300"/>
    <s v="AutoPost 1776"/>
    <s v="EUR"/>
    <s v="2023-12"/>
    <n v="-1672.52"/>
    <m/>
    <n v="-1672.52"/>
    <s v="N/A"/>
    <s v=" "/>
  </r>
  <r>
    <s v="GL001777"/>
    <x v="269"/>
    <n v="6000"/>
    <x v="2"/>
    <n v="692.89"/>
    <n v="0"/>
    <x v="1"/>
    <s v="CC400"/>
    <s v="AutoPost 1777"/>
    <s v="GBP"/>
    <s v="2024-05"/>
    <n v="-692.89"/>
    <m/>
    <n v="-692.89"/>
    <s v="N/A"/>
    <s v=" "/>
  </r>
  <r>
    <s v="GL001778"/>
    <x v="178"/>
    <n v="5010"/>
    <x v="3"/>
    <n v="324.08"/>
    <n v="0"/>
    <x v="0"/>
    <s v="CC200"/>
    <s v="AutoPost 1778"/>
    <s v="CAD"/>
    <s v="2023-03"/>
    <n v="-324.08"/>
    <m/>
    <n v="-324.08"/>
    <s v="N/A"/>
    <s v=" "/>
  </r>
  <r>
    <s v="GL001779"/>
    <x v="783"/>
    <n v="6000"/>
    <x v="2"/>
    <n v="1164.05"/>
    <n v="0"/>
    <x v="5"/>
    <s v="CC500"/>
    <s v="AutoPost 1779"/>
    <s v="USD"/>
    <s v="2024-09"/>
    <n v="-1164.05"/>
    <m/>
    <n v="-1164.05"/>
    <s v="N/A"/>
    <s v=" "/>
  </r>
  <r>
    <s v="GL001780"/>
    <x v="784"/>
    <n v="4000"/>
    <x v="0"/>
    <n v="0"/>
    <n v="778.57"/>
    <x v="3"/>
    <s v="CC100"/>
    <s v="AutoPost 1780"/>
    <s v="AUD"/>
    <s v="2024-05"/>
    <n v="778.57"/>
    <m/>
    <n v="778.57"/>
    <s v="N/A"/>
    <s v=" "/>
  </r>
  <r>
    <s v="GL001781"/>
    <x v="424"/>
    <n v="6000"/>
    <x v="2"/>
    <n v="670.62"/>
    <n v="0"/>
    <x v="1"/>
    <s v="CC400"/>
    <s v="AutoPost 1781"/>
    <s v="GBP"/>
    <s v="2023-08"/>
    <n v="-670.62"/>
    <m/>
    <n v="-670.62"/>
    <s v="N/A"/>
    <s v=" "/>
  </r>
  <r>
    <s v="GL001782"/>
    <x v="106"/>
    <n v="6000"/>
    <x v="2"/>
    <n v="887.17"/>
    <n v="0"/>
    <x v="2"/>
    <s v="CC500"/>
    <s v="AutoPost 1782"/>
    <s v="EUR"/>
    <s v="2024-09"/>
    <n v="-887.17"/>
    <m/>
    <n v="-887.17"/>
    <s v="N/A"/>
    <s v=" "/>
  </r>
  <r>
    <s v="GL001783"/>
    <x v="478"/>
    <n v="5010"/>
    <x v="3"/>
    <n v="680.13"/>
    <n v="0"/>
    <x v="2"/>
    <s v="CC200"/>
    <s v="AutoPost 1783"/>
    <s v="AUD"/>
    <s v="2024-03"/>
    <n v="-680.13"/>
    <m/>
    <n v="-680.13"/>
    <s v="N/A"/>
    <s v=" "/>
  </r>
  <r>
    <s v="GL001784"/>
    <x v="383"/>
    <n v="4010"/>
    <x v="4"/>
    <n v="0"/>
    <n v="841.83"/>
    <x v="0"/>
    <s v="CC500"/>
    <s v="AutoPost 1784"/>
    <s v="AUD"/>
    <s v="2024-05"/>
    <n v="841.83"/>
    <m/>
    <n v="841.83"/>
    <s v="N/A"/>
    <s v=" "/>
  </r>
  <r>
    <s v="GL001785"/>
    <x v="733"/>
    <n v="4010"/>
    <x v="4"/>
    <n v="0"/>
    <n v="302.97000000000003"/>
    <x v="2"/>
    <s v="CC300"/>
    <s v="AutoPost 1785"/>
    <s v="USD"/>
    <s v="2025-06"/>
    <n v="302.97000000000003"/>
    <m/>
    <n v="302.97000000000003"/>
    <s v="N/A"/>
    <s v=" "/>
  </r>
  <r>
    <s v="GL001786"/>
    <x v="40"/>
    <n v="5000"/>
    <x v="1"/>
    <n v="80.23"/>
    <n v="0"/>
    <x v="1"/>
    <s v="CC200"/>
    <s v="AutoPost 1786"/>
    <s v="CAD"/>
    <s v="2024-12"/>
    <n v="-80.23"/>
    <m/>
    <n v="-80.23"/>
    <s v="N/A"/>
    <s v=" "/>
  </r>
  <r>
    <s v="GL001787"/>
    <x v="266"/>
    <n v="5000"/>
    <x v="1"/>
    <n v="338.61"/>
    <n v="0"/>
    <x v="4"/>
    <s v="CC400"/>
    <s v="AutoPost 1787"/>
    <s v="USD"/>
    <s v="2024-04"/>
    <n v="-338.61"/>
    <m/>
    <n v="-338.61"/>
    <s v="N/A"/>
    <s v=" "/>
  </r>
  <r>
    <s v="GL001788"/>
    <x v="785"/>
    <n v="5000"/>
    <x v="1"/>
    <n v="1098.3699999999999"/>
    <n v="0"/>
    <x v="4"/>
    <s v="CC100"/>
    <s v="AutoPost 1788"/>
    <s v="USD"/>
    <s v="2023-03"/>
    <n v="-1098.3699999999999"/>
    <m/>
    <n v="-1098.3699999999999"/>
    <s v="N/A"/>
    <s v=" "/>
  </r>
  <r>
    <s v="GL001789"/>
    <x v="733"/>
    <n v="4000"/>
    <x v="0"/>
    <n v="0"/>
    <n v="2290.62"/>
    <x v="0"/>
    <s v="CC200"/>
    <s v="AutoPost 1789"/>
    <s v="CAD"/>
    <s v="2025-06"/>
    <n v="2290.62"/>
    <m/>
    <n v="2290.62"/>
    <s v="N/A"/>
    <s v=" "/>
  </r>
  <r>
    <s v="GL001790"/>
    <x v="205"/>
    <n v="5010"/>
    <x v="3"/>
    <n v="1294.49"/>
    <n v="0"/>
    <x v="1"/>
    <s v="CC100"/>
    <s v="AutoPost 1790"/>
    <s v="CAD"/>
    <s v="2023-08"/>
    <n v="-1294.49"/>
    <m/>
    <n v="-1294.49"/>
    <s v="N/A"/>
    <s v=" "/>
  </r>
  <r>
    <s v="GL001791"/>
    <x v="159"/>
    <n v="5010"/>
    <x v="3"/>
    <n v="877.51"/>
    <n v="0"/>
    <x v="4"/>
    <s v="CC100"/>
    <s v="AutoPost 1791"/>
    <s v="CAD"/>
    <s v="2025-03"/>
    <n v="-877.51"/>
    <m/>
    <n v="-877.51"/>
    <s v="N/A"/>
    <s v=" "/>
  </r>
  <r>
    <s v="GL001792"/>
    <x v="518"/>
    <n v="4000"/>
    <x v="0"/>
    <n v="0"/>
    <n v="2987.63"/>
    <x v="1"/>
    <s v="CC400"/>
    <s v="AutoPost 1792"/>
    <s v="EUR"/>
    <s v="2024-11"/>
    <n v="2987.63"/>
    <m/>
    <n v="2987.63"/>
    <s v="N/A"/>
    <s v=" "/>
  </r>
  <r>
    <s v="GL001793"/>
    <x v="786"/>
    <n v="5000"/>
    <x v="1"/>
    <n v="1925.26"/>
    <n v="0"/>
    <x v="4"/>
    <s v="CC300"/>
    <s v="AutoPost 1793"/>
    <s v="GBP"/>
    <s v="2024-01"/>
    <n v="-1925.26"/>
    <m/>
    <n v="-1925.26"/>
    <s v="N/A"/>
    <s v=" "/>
  </r>
  <r>
    <s v="GL001794"/>
    <x v="787"/>
    <n v="4000"/>
    <x v="0"/>
    <n v="0"/>
    <n v="1216.3499999999999"/>
    <x v="4"/>
    <s v="CC200"/>
    <s v="AutoPost 1794"/>
    <s v="CAD"/>
    <s v="2024-03"/>
    <n v="1216.3499999999999"/>
    <m/>
    <n v="1216.3499999999999"/>
    <s v="N/A"/>
    <s v=" "/>
  </r>
  <r>
    <s v="GL001795"/>
    <x v="498"/>
    <n v="5010"/>
    <x v="3"/>
    <n v="1553.28"/>
    <n v="0"/>
    <x v="3"/>
    <s v="CC300"/>
    <s v="AutoPost 1795"/>
    <s v="USD"/>
    <s v="2025-04"/>
    <n v="-1553.28"/>
    <m/>
    <n v="-1553.28"/>
    <s v="N/A"/>
    <s v=" "/>
  </r>
  <r>
    <s v="GL001796"/>
    <x v="373"/>
    <n v="4000"/>
    <x v="0"/>
    <n v="0"/>
    <n v="1122.51"/>
    <x v="3"/>
    <s v="CC100"/>
    <s v="AutoPost 1796"/>
    <s v="USD"/>
    <s v="2024-07"/>
    <n v="1122.51"/>
    <m/>
    <n v="1122.51"/>
    <s v="N/A"/>
    <s v=" "/>
  </r>
  <r>
    <s v="GL001797"/>
    <x v="177"/>
    <n v="6000"/>
    <x v="2"/>
    <n v="1893.28"/>
    <n v="0"/>
    <x v="3"/>
    <s v="CC400"/>
    <s v="AutoPost 1797"/>
    <s v="AUD"/>
    <s v="2023-02"/>
    <n v="-1893.28"/>
    <m/>
    <n v="-1893.28"/>
    <s v="N/A"/>
    <s v=" "/>
  </r>
  <r>
    <s v="GL001798"/>
    <x v="72"/>
    <n v="5000"/>
    <x v="1"/>
    <n v="1667.55"/>
    <n v="0"/>
    <x v="1"/>
    <s v="CC500"/>
    <s v="AutoPost 1798"/>
    <s v="EUR"/>
    <s v="2024-09"/>
    <n v="-1667.55"/>
    <m/>
    <n v="-1667.55"/>
    <s v="N/A"/>
    <s v=" "/>
  </r>
  <r>
    <s v="GL001799"/>
    <x v="199"/>
    <n v="5000"/>
    <x v="1"/>
    <n v="1448.96"/>
    <n v="0"/>
    <x v="0"/>
    <s v="CC100"/>
    <s v="AutoPost 1799"/>
    <s v="USD"/>
    <s v="2023-12"/>
    <n v="-1448.96"/>
    <m/>
    <n v="-1448.96"/>
    <s v="N/A"/>
    <s v=" "/>
  </r>
  <r>
    <s v="GL001800"/>
    <x v="788"/>
    <n v="5010"/>
    <x v="3"/>
    <n v="292.83999999999997"/>
    <n v="0"/>
    <x v="3"/>
    <s v="CC200"/>
    <s v="AutoPost 1800"/>
    <s v="USD"/>
    <s v="2024-01"/>
    <n v="-292.83999999999997"/>
    <m/>
    <n v="-292.83999999999997"/>
    <s v="N/A"/>
    <s v=" "/>
  </r>
  <r>
    <s v="GL001801"/>
    <x v="789"/>
    <n v="5000"/>
    <x v="1"/>
    <n v="1746.92"/>
    <n v="0"/>
    <x v="2"/>
    <s v="CC300"/>
    <s v="AutoPost 1801"/>
    <s v="USD"/>
    <s v="2023-11"/>
    <n v="-1746.92"/>
    <m/>
    <n v="-1746.92"/>
    <s v="N/A"/>
    <s v=" "/>
  </r>
  <r>
    <s v="GL001802"/>
    <x v="62"/>
    <n v="6000"/>
    <x v="2"/>
    <n v="870.1"/>
    <n v="0"/>
    <x v="4"/>
    <s v="CC400"/>
    <s v="AutoPost 1802"/>
    <s v="CAD"/>
    <s v="2023-09"/>
    <n v="-870.1"/>
    <m/>
    <n v="-870.1"/>
    <s v="N/A"/>
    <s v=" "/>
  </r>
  <r>
    <s v="GL001803"/>
    <x v="703"/>
    <n v="5000"/>
    <x v="1"/>
    <n v="1451.54"/>
    <n v="0"/>
    <x v="2"/>
    <s v="CC200"/>
    <s v="AutoPost 1803"/>
    <s v="USD"/>
    <s v="2023-03"/>
    <n v="-1451.54"/>
    <m/>
    <n v="-1451.54"/>
    <s v="N/A"/>
    <s v=" "/>
  </r>
  <r>
    <s v="GL001804"/>
    <x v="215"/>
    <n v="4010"/>
    <x v="4"/>
    <n v="0"/>
    <n v="905.45"/>
    <x v="0"/>
    <s v="CC500"/>
    <s v="AutoPost 1804"/>
    <s v="AUD"/>
    <s v="2023-05"/>
    <n v="905.45"/>
    <m/>
    <n v="905.45"/>
    <s v="N/A"/>
    <s v=" "/>
  </r>
  <r>
    <s v="GL001805"/>
    <x v="567"/>
    <n v="5000"/>
    <x v="1"/>
    <n v="435.57"/>
    <n v="0"/>
    <x v="2"/>
    <s v="CC200"/>
    <s v="AutoPost 1805"/>
    <s v="USD"/>
    <s v="2023-12"/>
    <n v="-435.57"/>
    <m/>
    <n v="-435.57"/>
    <s v="N/A"/>
    <s v=" "/>
  </r>
  <r>
    <s v="GL001806"/>
    <x v="790"/>
    <n v="4010"/>
    <x v="4"/>
    <n v="0"/>
    <n v="1129.92"/>
    <x v="5"/>
    <s v="CC100"/>
    <s v="AutoPost 1806"/>
    <s v="EUR"/>
    <s v="2025-03"/>
    <n v="1129.92"/>
    <m/>
    <n v="1129.92"/>
    <s v="N/A"/>
    <s v=" "/>
  </r>
  <r>
    <s v="GL001807"/>
    <x v="528"/>
    <n v="5000"/>
    <x v="1"/>
    <n v="956.25"/>
    <n v="0"/>
    <x v="0"/>
    <s v="CC200"/>
    <s v="AutoPost 1807"/>
    <s v="EUR"/>
    <s v="2023-03"/>
    <n v="-956.25"/>
    <m/>
    <n v="-956.25"/>
    <s v="N/A"/>
    <s v=" "/>
  </r>
  <r>
    <s v="GL001808"/>
    <x v="415"/>
    <n v="5000"/>
    <x v="1"/>
    <n v="1866.55"/>
    <n v="0"/>
    <x v="1"/>
    <s v="CC500"/>
    <s v="AutoPost 1808"/>
    <s v="EUR"/>
    <s v="2024-10"/>
    <n v="-1866.55"/>
    <m/>
    <n v="-1866.55"/>
    <s v="N/A"/>
    <s v=" "/>
  </r>
  <r>
    <s v="GL001809"/>
    <x v="791"/>
    <n v="5000"/>
    <x v="1"/>
    <n v="1920.83"/>
    <n v="0"/>
    <x v="3"/>
    <s v="CC200"/>
    <s v="AutoPost 1809"/>
    <s v="CAD"/>
    <s v="2025-06"/>
    <n v="-1920.83"/>
    <m/>
    <n v="-1920.83"/>
    <s v="N/A"/>
    <s v=" "/>
  </r>
  <r>
    <s v="GL001810"/>
    <x v="792"/>
    <n v="4000"/>
    <x v="0"/>
    <n v="0"/>
    <n v="4953.79"/>
    <x v="5"/>
    <s v="CC300"/>
    <s v="AutoPost 1810"/>
    <s v="CAD"/>
    <s v="2024-11"/>
    <n v="4953.79"/>
    <m/>
    <n v="4953.79"/>
    <s v="N/A"/>
    <s v=" "/>
  </r>
  <r>
    <s v="GL001811"/>
    <x v="480"/>
    <n v="5000"/>
    <x v="1"/>
    <n v="1790.29"/>
    <n v="0"/>
    <x v="5"/>
    <s v="CC300"/>
    <s v="AutoPost 1811"/>
    <s v="GBP"/>
    <s v="2024-05"/>
    <n v="-1790.29"/>
    <m/>
    <n v="-1790.29"/>
    <s v="N/A"/>
    <s v=" "/>
  </r>
  <r>
    <s v="GL001812"/>
    <x v="25"/>
    <n v="4000"/>
    <x v="0"/>
    <n v="0"/>
    <n v="523.59"/>
    <x v="1"/>
    <s v="CC200"/>
    <s v="AutoPost 1812"/>
    <s v="CAD"/>
    <s v="2025-05"/>
    <n v="523.59"/>
    <m/>
    <n v="523.59"/>
    <s v="N/A"/>
    <s v=" "/>
  </r>
  <r>
    <s v="GL001813"/>
    <x v="30"/>
    <n v="5010"/>
    <x v="3"/>
    <n v="200.91"/>
    <n v="0"/>
    <x v="4"/>
    <s v="CC200"/>
    <s v="AutoPost 1813"/>
    <s v="USD"/>
    <s v="2024-01"/>
    <n v="-200.91"/>
    <m/>
    <n v="-200.91"/>
    <s v="N/A"/>
    <s v=" "/>
  </r>
  <r>
    <s v="GL001814"/>
    <x v="758"/>
    <n v="6000"/>
    <x v="2"/>
    <n v="219.39"/>
    <n v="0"/>
    <x v="1"/>
    <s v="CC100"/>
    <s v="AutoPost 1814"/>
    <s v="CAD"/>
    <s v="2024-11"/>
    <n v="-219.39"/>
    <m/>
    <n v="-219.39"/>
    <s v="N/A"/>
    <s v=" "/>
  </r>
  <r>
    <s v="GL001815"/>
    <x v="43"/>
    <n v="5010"/>
    <x v="3"/>
    <n v="1274.73"/>
    <n v="0"/>
    <x v="5"/>
    <s v="CC100"/>
    <s v="AutoPost 1815"/>
    <s v="CAD"/>
    <s v="2023-03"/>
    <n v="-1274.73"/>
    <m/>
    <n v="-1274.73"/>
    <s v="N/A"/>
    <s v=" "/>
  </r>
  <r>
    <s v="GL001816"/>
    <x v="249"/>
    <n v="5000"/>
    <x v="1"/>
    <n v="692.56"/>
    <n v="0"/>
    <x v="0"/>
    <s v="CC500"/>
    <s v="AutoPost 1816"/>
    <s v="AUD"/>
    <s v="2025-04"/>
    <n v="-692.56"/>
    <m/>
    <n v="-692.56"/>
    <s v="N/A"/>
    <s v=" "/>
  </r>
  <r>
    <s v="GL001817"/>
    <x v="203"/>
    <n v="5000"/>
    <x v="1"/>
    <n v="1914.11"/>
    <n v="0"/>
    <x v="5"/>
    <s v="CC200"/>
    <s v="AutoPost 1817"/>
    <s v="EUR"/>
    <s v="2025-02"/>
    <n v="-1914.11"/>
    <m/>
    <n v="-1914.11"/>
    <s v="N/A"/>
    <s v=" "/>
  </r>
  <r>
    <s v="GL001818"/>
    <x v="198"/>
    <n v="5010"/>
    <x v="3"/>
    <n v="1033.2"/>
    <n v="0"/>
    <x v="1"/>
    <s v="CC500"/>
    <s v="AutoPost 1818"/>
    <s v="AUD"/>
    <s v="2023-04"/>
    <n v="-1033.2"/>
    <m/>
    <n v="-1033.2"/>
    <s v="N/A"/>
    <s v=" "/>
  </r>
  <r>
    <s v="GL001819"/>
    <x v="601"/>
    <n v="4010"/>
    <x v="4"/>
    <n v="0"/>
    <n v="2648.51"/>
    <x v="3"/>
    <s v="CC300"/>
    <s v="AutoPost 1819"/>
    <s v="CAD"/>
    <s v="2023-02"/>
    <n v="2648.51"/>
    <m/>
    <n v="2648.51"/>
    <s v="N/A"/>
    <s v=" "/>
  </r>
  <r>
    <s v="GL001820"/>
    <x v="274"/>
    <n v="4000"/>
    <x v="0"/>
    <n v="0"/>
    <n v="737.9"/>
    <x v="5"/>
    <s v="CC300"/>
    <s v="AutoPost 1820"/>
    <s v="EUR"/>
    <s v="2023-07"/>
    <n v="737.9"/>
    <m/>
    <n v="737.9"/>
    <s v="N/A"/>
    <s v=" "/>
  </r>
  <r>
    <s v="GL001821"/>
    <x v="685"/>
    <n v="6000"/>
    <x v="2"/>
    <n v="323.47000000000003"/>
    <n v="0"/>
    <x v="3"/>
    <s v="CC400"/>
    <s v="AutoPost 1821"/>
    <s v="USD"/>
    <s v="2023-12"/>
    <n v="-323.47000000000003"/>
    <m/>
    <n v="-323.47000000000003"/>
    <s v="N/A"/>
    <s v=" "/>
  </r>
  <r>
    <s v="GL001822"/>
    <x v="605"/>
    <n v="5010"/>
    <x v="3"/>
    <n v="728.68"/>
    <n v="0"/>
    <x v="1"/>
    <s v="CC300"/>
    <s v="AutoPost 1822"/>
    <s v="CAD"/>
    <s v="2024-04"/>
    <n v="-728.68"/>
    <m/>
    <n v="-728.68"/>
    <s v="N/A"/>
    <s v=" "/>
  </r>
  <r>
    <s v="GL001823"/>
    <x v="704"/>
    <n v="5000"/>
    <x v="1"/>
    <n v="1625.93"/>
    <n v="0"/>
    <x v="3"/>
    <s v="CC500"/>
    <s v="AutoPost 1823"/>
    <s v="EUR"/>
    <s v="2024-03"/>
    <n v="-1625.93"/>
    <m/>
    <n v="-1625.93"/>
    <s v="N/A"/>
    <s v=" "/>
  </r>
  <r>
    <s v="GL001824"/>
    <x v="484"/>
    <n v="4000"/>
    <x v="0"/>
    <n v="0"/>
    <n v="166.02"/>
    <x v="2"/>
    <s v="CC500"/>
    <s v="AutoPost 1824"/>
    <s v="EUR"/>
    <s v="2024-07"/>
    <n v="166.02"/>
    <m/>
    <n v="166.02"/>
    <s v="N/A"/>
    <s v=" "/>
  </r>
  <r>
    <s v="GL001825"/>
    <x v="437"/>
    <n v="5000"/>
    <x v="1"/>
    <n v="510"/>
    <n v="0"/>
    <x v="2"/>
    <s v="CC400"/>
    <s v="AutoPost 1825"/>
    <s v="AUD"/>
    <s v="2024-07"/>
    <n v="-510"/>
    <m/>
    <n v="-510"/>
    <s v="N/A"/>
    <s v=" "/>
  </r>
  <r>
    <s v="GL001826"/>
    <x v="316"/>
    <n v="4010"/>
    <x v="4"/>
    <n v="0"/>
    <n v="1743.21"/>
    <x v="5"/>
    <s v="CC400"/>
    <s v="AutoPost 1826"/>
    <s v="GBP"/>
    <s v="2024-10"/>
    <n v="1743.21"/>
    <m/>
    <n v="1743.21"/>
    <s v="N/A"/>
    <s v=" "/>
  </r>
  <r>
    <s v="GL001827"/>
    <x v="793"/>
    <n v="5010"/>
    <x v="3"/>
    <n v="652.48"/>
    <n v="0"/>
    <x v="0"/>
    <s v="CC500"/>
    <s v="AutoPost 1827"/>
    <s v="AUD"/>
    <s v="2024-07"/>
    <n v="-652.48"/>
    <m/>
    <n v="-652.48"/>
    <s v="N/A"/>
    <s v=" "/>
  </r>
  <r>
    <s v="GL001828"/>
    <x v="33"/>
    <n v="5000"/>
    <x v="1"/>
    <n v="710.38"/>
    <n v="0"/>
    <x v="0"/>
    <s v="CC100"/>
    <s v="AutoPost 1828"/>
    <s v="EUR"/>
    <s v="2023-11"/>
    <n v="-710.38"/>
    <m/>
    <n v="-710.38"/>
    <s v="N/A"/>
    <s v=" "/>
  </r>
  <r>
    <s v="GL001829"/>
    <x v="439"/>
    <n v="4010"/>
    <x v="4"/>
    <n v="0"/>
    <n v="4569.3500000000004"/>
    <x v="0"/>
    <s v="CC200"/>
    <s v="AutoPost 1829"/>
    <s v="EUR"/>
    <s v="2025-03"/>
    <n v="4569.3500000000004"/>
    <m/>
    <n v="4569.3500000000004"/>
    <s v="N/A"/>
    <s v=" "/>
  </r>
  <r>
    <s v="GL001830"/>
    <x v="794"/>
    <n v="5000"/>
    <x v="1"/>
    <n v="1247.49"/>
    <n v="0"/>
    <x v="4"/>
    <s v="CC400"/>
    <s v="AutoPost 1830"/>
    <s v="AUD"/>
    <s v="2024-10"/>
    <n v="-1247.49"/>
    <m/>
    <n v="-1247.49"/>
    <s v="N/A"/>
    <s v=" "/>
  </r>
  <r>
    <s v="GL001831"/>
    <x v="358"/>
    <n v="6000"/>
    <x v="2"/>
    <n v="153.35"/>
    <n v="0"/>
    <x v="4"/>
    <s v="CC400"/>
    <s v="AutoPost 1831"/>
    <s v="CAD"/>
    <s v="2024-06"/>
    <n v="-153.35"/>
    <m/>
    <n v="-153.35"/>
    <s v="N/A"/>
    <s v=" "/>
  </r>
  <r>
    <s v="GL001832"/>
    <x v="795"/>
    <n v="4010"/>
    <x v="4"/>
    <n v="0"/>
    <n v="432.36"/>
    <x v="0"/>
    <s v="CC400"/>
    <s v="AutoPost 1832"/>
    <s v="AUD"/>
    <s v="2025-02"/>
    <n v="432.36"/>
    <m/>
    <n v="432.36"/>
    <s v="N/A"/>
    <s v=" "/>
  </r>
  <r>
    <s v="GL001833"/>
    <x v="212"/>
    <n v="5010"/>
    <x v="3"/>
    <n v="283.95999999999998"/>
    <n v="0"/>
    <x v="1"/>
    <s v="CC500"/>
    <s v="AutoPost 1833"/>
    <s v="USD"/>
    <s v="2025-02"/>
    <n v="-283.95999999999998"/>
    <m/>
    <n v="-283.95999999999998"/>
    <s v="N/A"/>
    <s v=" "/>
  </r>
  <r>
    <s v="GL001834"/>
    <x v="324"/>
    <n v="5000"/>
    <x v="1"/>
    <n v="1915.58"/>
    <n v="0"/>
    <x v="4"/>
    <s v="CC100"/>
    <s v="AutoPost 1834"/>
    <s v="USD"/>
    <s v="2023-02"/>
    <n v="-1915.58"/>
    <m/>
    <n v="-1915.58"/>
    <s v="N/A"/>
    <s v=" "/>
  </r>
  <r>
    <s v="GL001835"/>
    <x v="24"/>
    <n v="5000"/>
    <x v="1"/>
    <n v="229.78"/>
    <n v="0"/>
    <x v="3"/>
    <s v="CC200"/>
    <s v="AutoPost 1835"/>
    <s v="GBP"/>
    <s v="2023-04"/>
    <n v="-229.78"/>
    <m/>
    <n v="-229.78"/>
    <s v="N/A"/>
    <s v=" "/>
  </r>
  <r>
    <s v="GL001836"/>
    <x v="796"/>
    <n v="6000"/>
    <x v="2"/>
    <n v="1583.41"/>
    <n v="0"/>
    <x v="1"/>
    <s v="CC500"/>
    <s v="AutoPost 1836"/>
    <s v="EUR"/>
    <s v="2024-12"/>
    <n v="-1583.41"/>
    <m/>
    <n v="-1583.41"/>
    <s v="N/A"/>
    <s v=" "/>
  </r>
  <r>
    <s v="GL001837"/>
    <x v="797"/>
    <n v="4010"/>
    <x v="4"/>
    <n v="0"/>
    <n v="4316.26"/>
    <x v="1"/>
    <s v="CC100"/>
    <s v="AutoPost 1837"/>
    <s v="GBP"/>
    <s v="2023-02"/>
    <n v="4316.26"/>
    <m/>
    <n v="4316.26"/>
    <s v="N/A"/>
    <s v=" "/>
  </r>
  <r>
    <s v="GL001838"/>
    <x v="798"/>
    <n v="4000"/>
    <x v="0"/>
    <n v="0"/>
    <n v="887.28"/>
    <x v="0"/>
    <s v="CC200"/>
    <s v="AutoPost 1838"/>
    <s v="EUR"/>
    <s v="2024-06"/>
    <n v="887.28"/>
    <m/>
    <n v="887.28"/>
    <s v="N/A"/>
    <s v=" "/>
  </r>
  <r>
    <s v="GL001839"/>
    <x v="66"/>
    <n v="4010"/>
    <x v="4"/>
    <n v="0"/>
    <n v="1446.64"/>
    <x v="1"/>
    <s v="CC400"/>
    <s v="AutoPost 1839"/>
    <s v="EUR"/>
    <s v="2025-06"/>
    <n v="1446.64"/>
    <m/>
    <n v="1446.64"/>
    <s v="N/A"/>
    <s v=" "/>
  </r>
  <r>
    <s v="GL001840"/>
    <x v="500"/>
    <n v="5010"/>
    <x v="3"/>
    <n v="794.56"/>
    <n v="0"/>
    <x v="5"/>
    <s v="CC100"/>
    <s v="AutoPost 1840"/>
    <s v="USD"/>
    <s v="2024-11"/>
    <n v="-794.56"/>
    <m/>
    <n v="-794.56"/>
    <s v="N/A"/>
    <s v=" "/>
  </r>
  <r>
    <s v="GL001841"/>
    <x v="458"/>
    <n v="4000"/>
    <x v="0"/>
    <n v="0"/>
    <n v="1094.51"/>
    <x v="1"/>
    <s v="CC400"/>
    <s v="AutoPost 1841"/>
    <s v="USD"/>
    <s v="2023-03"/>
    <n v="1094.51"/>
    <m/>
    <n v="1094.51"/>
    <s v="N/A"/>
    <s v=" "/>
  </r>
  <r>
    <s v="GL001842"/>
    <x v="524"/>
    <n v="4010"/>
    <x v="4"/>
    <n v="0"/>
    <n v="1492.82"/>
    <x v="2"/>
    <s v="CC200"/>
    <s v="AutoPost 1842"/>
    <s v="USD"/>
    <s v="2024-05"/>
    <n v="1492.82"/>
    <m/>
    <n v="1492.82"/>
    <s v="N/A"/>
    <s v=" "/>
  </r>
  <r>
    <s v="GL001843"/>
    <x v="38"/>
    <n v="4000"/>
    <x v="0"/>
    <n v="0"/>
    <n v="1521.98"/>
    <x v="3"/>
    <s v="CC400"/>
    <s v="AutoPost 1843"/>
    <s v="GBP"/>
    <s v="2025-01"/>
    <n v="1521.98"/>
    <m/>
    <n v="1521.98"/>
    <s v="N/A"/>
    <s v=" "/>
  </r>
  <r>
    <s v="GL001844"/>
    <x v="460"/>
    <n v="5010"/>
    <x v="3"/>
    <n v="597.86"/>
    <n v="0"/>
    <x v="3"/>
    <s v="CC100"/>
    <s v="AutoPost 1844"/>
    <s v="EUR"/>
    <s v="2024-08"/>
    <n v="-597.86"/>
    <m/>
    <n v="-597.86"/>
    <s v="N/A"/>
    <s v=" "/>
  </r>
  <r>
    <s v="GL001845"/>
    <x v="526"/>
    <n v="6000"/>
    <x v="2"/>
    <n v="106.18"/>
    <n v="0"/>
    <x v="3"/>
    <s v="CC200"/>
    <s v="AutoPost 1845"/>
    <s v="USD"/>
    <s v="2024-01"/>
    <n v="-106.18"/>
    <m/>
    <n v="-106.18"/>
    <s v="N/A"/>
    <s v=" "/>
  </r>
  <r>
    <s v="GL001846"/>
    <x v="274"/>
    <n v="5010"/>
    <x v="3"/>
    <n v="446.48"/>
    <n v="0"/>
    <x v="0"/>
    <s v="CC200"/>
    <s v="AutoPost 1846"/>
    <s v="GBP"/>
    <s v="2023-07"/>
    <n v="-446.48"/>
    <m/>
    <n v="-446.48"/>
    <s v="N/A"/>
    <s v=" "/>
  </r>
  <r>
    <s v="GL001847"/>
    <x v="799"/>
    <n v="6000"/>
    <x v="2"/>
    <n v="405.28"/>
    <n v="0"/>
    <x v="1"/>
    <s v="CC400"/>
    <s v="AutoPost 1847"/>
    <s v="GBP"/>
    <s v="2024-12"/>
    <n v="-405.28"/>
    <m/>
    <n v="-405.28"/>
    <s v="N/A"/>
    <s v=" "/>
  </r>
  <r>
    <s v="GL001848"/>
    <x v="344"/>
    <n v="5000"/>
    <x v="1"/>
    <n v="1418.69"/>
    <n v="0"/>
    <x v="1"/>
    <s v="CC300"/>
    <s v="AutoPost 1848"/>
    <s v="USD"/>
    <s v="2023-07"/>
    <n v="-1418.69"/>
    <m/>
    <n v="-1418.69"/>
    <s v="N/A"/>
    <s v=" "/>
  </r>
  <r>
    <s v="GL001849"/>
    <x v="149"/>
    <n v="6000"/>
    <x v="2"/>
    <n v="622.67999999999995"/>
    <n v="0"/>
    <x v="1"/>
    <s v="CC200"/>
    <s v="AutoPost 1849"/>
    <s v="USD"/>
    <s v="2025-02"/>
    <n v="-622.67999999999995"/>
    <m/>
    <n v="-622.67999999999995"/>
    <s v="N/A"/>
    <s v=" "/>
  </r>
  <r>
    <s v="GL001850"/>
    <x v="411"/>
    <n v="6000"/>
    <x v="2"/>
    <n v="568.46"/>
    <n v="0"/>
    <x v="1"/>
    <s v="CC500"/>
    <s v="AutoPost 1850"/>
    <s v="AUD"/>
    <s v="2024-09"/>
    <n v="-568.46"/>
    <m/>
    <n v="-568.46"/>
    <s v="N/A"/>
    <s v=" "/>
  </r>
  <r>
    <s v="GL001851"/>
    <x v="759"/>
    <n v="5000"/>
    <x v="1"/>
    <n v="544.71"/>
    <n v="0"/>
    <x v="5"/>
    <s v="CC100"/>
    <s v="AutoPost 1851"/>
    <s v="CAD"/>
    <s v="2023-08"/>
    <n v="-544.71"/>
    <m/>
    <n v="-544.71"/>
    <s v="N/A"/>
    <s v=" "/>
  </r>
  <r>
    <s v="GL001852"/>
    <x v="315"/>
    <n v="5000"/>
    <x v="1"/>
    <n v="1849.24"/>
    <n v="0"/>
    <x v="3"/>
    <s v="CC400"/>
    <s v="AutoPost 1852"/>
    <s v="USD"/>
    <s v="2023-01"/>
    <n v="-1849.24"/>
    <m/>
    <n v="-1849.24"/>
    <s v="N/A"/>
    <s v=" "/>
  </r>
  <r>
    <s v="GL001853"/>
    <x v="514"/>
    <n v="6000"/>
    <x v="2"/>
    <n v="499.11"/>
    <n v="0"/>
    <x v="0"/>
    <s v="CC100"/>
    <s v="AutoPost 1853"/>
    <s v="CAD"/>
    <s v="2024-08"/>
    <n v="-499.11"/>
    <m/>
    <n v="-499.11"/>
    <s v="N/A"/>
    <s v=" "/>
  </r>
  <r>
    <s v="GL001854"/>
    <x v="575"/>
    <n v="6000"/>
    <x v="2"/>
    <n v="288.41000000000003"/>
    <n v="0"/>
    <x v="3"/>
    <s v="CC500"/>
    <s v="AutoPost 1854"/>
    <s v="GBP"/>
    <s v="2024-05"/>
    <n v="-288.41000000000003"/>
    <m/>
    <n v="-288.41000000000003"/>
    <s v="N/A"/>
    <s v=" "/>
  </r>
  <r>
    <s v="GL001855"/>
    <x v="549"/>
    <n v="4010"/>
    <x v="4"/>
    <n v="0"/>
    <n v="4589.42"/>
    <x v="0"/>
    <s v="CC400"/>
    <s v="AutoPost 1855"/>
    <s v="EUR"/>
    <s v="2023-04"/>
    <n v="4589.42"/>
    <m/>
    <n v="4589.42"/>
    <s v="N/A"/>
    <s v=" "/>
  </r>
  <r>
    <s v="GL001856"/>
    <x v="477"/>
    <n v="4010"/>
    <x v="4"/>
    <n v="0"/>
    <n v="4897.2299999999996"/>
    <x v="3"/>
    <s v="CC400"/>
    <s v="AutoPost 1856"/>
    <s v="CAD"/>
    <s v="2024-11"/>
    <n v="4897.2299999999996"/>
    <m/>
    <n v="4897.2299999999996"/>
    <s v="N/A"/>
    <s v=" "/>
  </r>
  <r>
    <s v="GL001857"/>
    <x v="0"/>
    <n v="4010"/>
    <x v="4"/>
    <n v="0"/>
    <n v="4365.5600000000004"/>
    <x v="5"/>
    <s v="CC300"/>
    <s v="AutoPost 1857"/>
    <s v="GBP"/>
    <s v="2024-05"/>
    <n v="4365.5600000000004"/>
    <m/>
    <n v="4365.5600000000004"/>
    <s v="N/A"/>
    <s v=" "/>
  </r>
  <r>
    <s v="GL001858"/>
    <x v="236"/>
    <n v="5010"/>
    <x v="3"/>
    <n v="1569.69"/>
    <n v="0"/>
    <x v="1"/>
    <s v="CC400"/>
    <s v="AutoPost 1858"/>
    <s v="USD"/>
    <s v="2025-01"/>
    <n v="-1569.69"/>
    <m/>
    <n v="-1569.69"/>
    <s v="N/A"/>
    <s v=" "/>
  </r>
  <r>
    <s v="GL001859"/>
    <x v="489"/>
    <n v="6000"/>
    <x v="2"/>
    <n v="1592.97"/>
    <n v="0"/>
    <x v="1"/>
    <s v="CC200"/>
    <s v="AutoPost 1859"/>
    <s v="GBP"/>
    <s v="2025-06"/>
    <n v="-1592.97"/>
    <m/>
    <n v="-1592.97"/>
    <s v="N/A"/>
    <s v=" "/>
  </r>
  <r>
    <s v="GL001860"/>
    <x v="564"/>
    <n v="4010"/>
    <x v="4"/>
    <n v="0"/>
    <n v="871.59"/>
    <x v="4"/>
    <s v="CC200"/>
    <s v="AutoPost 1860"/>
    <s v="USD"/>
    <s v="2023-12"/>
    <n v="871.59"/>
    <m/>
    <n v="871.59"/>
    <s v="N/A"/>
    <s v=" "/>
  </r>
  <r>
    <s v="GL001861"/>
    <x v="448"/>
    <n v="5000"/>
    <x v="1"/>
    <n v="585.89"/>
    <n v="0"/>
    <x v="1"/>
    <s v="CC300"/>
    <s v="AutoPost 1861"/>
    <s v="EUR"/>
    <s v="2023-04"/>
    <n v="-585.89"/>
    <m/>
    <n v="-585.89"/>
    <s v="N/A"/>
    <s v=" "/>
  </r>
  <r>
    <s v="GL001862"/>
    <x v="765"/>
    <n v="5000"/>
    <x v="1"/>
    <n v="1221.74"/>
    <n v="0"/>
    <x v="5"/>
    <s v="CC500"/>
    <s v="AutoPost 1862"/>
    <s v="EUR"/>
    <s v="2023-05"/>
    <n v="-1221.74"/>
    <m/>
    <n v="-1221.74"/>
    <s v="N/A"/>
    <s v=" "/>
  </r>
  <r>
    <s v="GL001863"/>
    <x v="180"/>
    <n v="4000"/>
    <x v="0"/>
    <n v="0"/>
    <n v="4982.43"/>
    <x v="3"/>
    <s v="CC300"/>
    <s v="AutoPost 1863"/>
    <s v="GBP"/>
    <s v="2024-02"/>
    <n v="4982.43"/>
    <m/>
    <n v="4982.43"/>
    <s v="N/A"/>
    <s v=" "/>
  </r>
  <r>
    <s v="GL001864"/>
    <x v="800"/>
    <n v="5000"/>
    <x v="1"/>
    <n v="1723.01"/>
    <n v="0"/>
    <x v="2"/>
    <s v="CC100"/>
    <s v="AutoPost 1864"/>
    <s v="AUD"/>
    <s v="2024-11"/>
    <n v="-1723.01"/>
    <m/>
    <n v="-1723.01"/>
    <s v="N/A"/>
    <s v=" "/>
  </r>
  <r>
    <s v="GL001865"/>
    <x v="194"/>
    <n v="5010"/>
    <x v="3"/>
    <n v="1741.23"/>
    <n v="0"/>
    <x v="1"/>
    <s v="CC400"/>
    <s v="AutoPost 1865"/>
    <s v="GBP"/>
    <s v="2024-12"/>
    <n v="-1741.23"/>
    <m/>
    <n v="-1741.23"/>
    <s v="N/A"/>
    <s v=" "/>
  </r>
  <r>
    <s v="GL001866"/>
    <x v="271"/>
    <n v="6000"/>
    <x v="2"/>
    <n v="1055.53"/>
    <n v="0"/>
    <x v="2"/>
    <s v="CC200"/>
    <s v="AutoPost 1866"/>
    <s v="GBP"/>
    <s v="2024-02"/>
    <n v="-1055.53"/>
    <m/>
    <n v="-1055.53"/>
    <s v="N/A"/>
    <s v=" "/>
  </r>
  <r>
    <s v="GL001867"/>
    <x v="336"/>
    <n v="6000"/>
    <x v="2"/>
    <n v="349.69"/>
    <n v="0"/>
    <x v="4"/>
    <s v="CC100"/>
    <s v="AutoPost 1867"/>
    <s v="GBP"/>
    <s v="2025-01"/>
    <n v="-349.69"/>
    <m/>
    <n v="-349.69"/>
    <s v="N/A"/>
    <s v=" "/>
  </r>
  <r>
    <s v="GL001868"/>
    <x v="492"/>
    <n v="4010"/>
    <x v="4"/>
    <n v="0"/>
    <n v="1886.23"/>
    <x v="0"/>
    <s v="CC500"/>
    <s v="AutoPost 1868"/>
    <s v="EUR"/>
    <s v="2024-10"/>
    <n v="1886.23"/>
    <m/>
    <n v="1886.23"/>
    <s v="N/A"/>
    <s v=" "/>
  </r>
  <r>
    <s v="GL001869"/>
    <x v="275"/>
    <n v="6000"/>
    <x v="2"/>
    <n v="552.91"/>
    <n v="0"/>
    <x v="3"/>
    <s v="CC200"/>
    <s v="AutoPost 1869"/>
    <s v="AUD"/>
    <s v="2023-12"/>
    <n v="-552.91"/>
    <m/>
    <n v="-552.91"/>
    <s v="N/A"/>
    <s v=" "/>
  </r>
  <r>
    <s v="GL001870"/>
    <x v="87"/>
    <n v="4010"/>
    <x v="4"/>
    <n v="0"/>
    <n v="258.08"/>
    <x v="4"/>
    <s v="CC300"/>
    <s v="AutoPost 1870"/>
    <s v="USD"/>
    <s v="2024-11"/>
    <n v="258.08"/>
    <m/>
    <n v="258.08"/>
    <s v="N/A"/>
    <s v=" "/>
  </r>
  <r>
    <s v="GL001871"/>
    <x v="432"/>
    <n v="5010"/>
    <x v="3"/>
    <n v="1370.81"/>
    <n v="0"/>
    <x v="4"/>
    <s v="CC500"/>
    <s v="AutoPost 1871"/>
    <s v="AUD"/>
    <s v="2025-05"/>
    <n v="-1370.81"/>
    <m/>
    <n v="-1370.81"/>
    <s v="N/A"/>
    <s v=" "/>
  </r>
  <r>
    <s v="GL001872"/>
    <x v="701"/>
    <n v="6000"/>
    <x v="2"/>
    <n v="1669.15"/>
    <n v="0"/>
    <x v="2"/>
    <s v="CC300"/>
    <s v="AutoPost 1872"/>
    <s v="USD"/>
    <s v="2024-03"/>
    <n v="-1669.15"/>
    <m/>
    <n v="-1669.15"/>
    <s v="N/A"/>
    <s v=" "/>
  </r>
  <r>
    <s v="GL001873"/>
    <x v="563"/>
    <n v="5010"/>
    <x v="3"/>
    <n v="1711.71"/>
    <n v="0"/>
    <x v="0"/>
    <s v="CC400"/>
    <s v="AutoPost 1873"/>
    <s v="EUR"/>
    <s v="2023-06"/>
    <n v="-1711.71"/>
    <m/>
    <n v="-1711.71"/>
    <s v="N/A"/>
    <s v=" "/>
  </r>
  <r>
    <s v="GL001874"/>
    <x v="390"/>
    <n v="5000"/>
    <x v="1"/>
    <n v="520.70000000000005"/>
    <n v="0"/>
    <x v="1"/>
    <s v="CC100"/>
    <s v="AutoPost 1874"/>
    <s v="USD"/>
    <s v="2023-01"/>
    <n v="-520.70000000000005"/>
    <m/>
    <n v="-520.70000000000005"/>
    <s v="N/A"/>
    <s v=" "/>
  </r>
  <r>
    <s v="GL001875"/>
    <x v="527"/>
    <n v="6000"/>
    <x v="2"/>
    <n v="501.53"/>
    <n v="0"/>
    <x v="0"/>
    <s v="CC100"/>
    <s v="AutoPost 1875"/>
    <s v="USD"/>
    <s v="2024-03"/>
    <n v="-501.53"/>
    <m/>
    <n v="-501.53"/>
    <s v="N/A"/>
    <s v=" "/>
  </r>
  <r>
    <s v="GL001876"/>
    <x v="304"/>
    <n v="5010"/>
    <x v="3"/>
    <n v="283.45"/>
    <n v="0"/>
    <x v="1"/>
    <s v="CC300"/>
    <s v="AutoPost 1876"/>
    <s v="USD"/>
    <s v="2024-01"/>
    <n v="-283.45"/>
    <m/>
    <n v="-283.45"/>
    <s v="N/A"/>
    <s v=" "/>
  </r>
  <r>
    <s v="GL001877"/>
    <x v="138"/>
    <n v="4010"/>
    <x v="4"/>
    <n v="0"/>
    <n v="3079.85"/>
    <x v="1"/>
    <s v="CC300"/>
    <s v="AutoPost 1877"/>
    <s v="CAD"/>
    <s v="2025-06"/>
    <n v="3079.85"/>
    <m/>
    <n v="3079.85"/>
    <s v="N/A"/>
    <s v=" "/>
  </r>
  <r>
    <s v="GL001878"/>
    <x v="81"/>
    <n v="6000"/>
    <x v="2"/>
    <n v="316.08"/>
    <n v="0"/>
    <x v="1"/>
    <s v="CC500"/>
    <s v="AutoPost 1878"/>
    <s v="CAD"/>
    <s v="2023-10"/>
    <n v="-316.08"/>
    <m/>
    <n v="-316.08"/>
    <s v="N/A"/>
    <s v=" "/>
  </r>
  <r>
    <s v="GL001879"/>
    <x v="192"/>
    <n v="5010"/>
    <x v="3"/>
    <n v="1517.3"/>
    <n v="0"/>
    <x v="4"/>
    <s v="CC200"/>
    <s v="AutoPost 1879"/>
    <s v="AUD"/>
    <s v="2024-02"/>
    <n v="-1517.3"/>
    <m/>
    <n v="-1517.3"/>
    <s v="N/A"/>
    <s v=" "/>
  </r>
  <r>
    <s v="GL001880"/>
    <x v="334"/>
    <n v="5000"/>
    <x v="1"/>
    <n v="1863.66"/>
    <n v="0"/>
    <x v="5"/>
    <s v="CC100"/>
    <s v="AutoPost 1880"/>
    <s v="CAD"/>
    <s v="2024-07"/>
    <n v="-1863.66"/>
    <m/>
    <n v="-1863.66"/>
    <s v="N/A"/>
    <s v=" "/>
  </r>
  <r>
    <s v="GL001881"/>
    <x v="1"/>
    <n v="5000"/>
    <x v="1"/>
    <n v="146.04"/>
    <n v="0"/>
    <x v="5"/>
    <s v="CC400"/>
    <s v="AutoPost 1881"/>
    <s v="AUD"/>
    <s v="2024-06"/>
    <n v="-146.04"/>
    <m/>
    <n v="-146.04"/>
    <s v="N/A"/>
    <s v=" "/>
  </r>
  <r>
    <s v="GL001882"/>
    <x v="801"/>
    <n v="6000"/>
    <x v="2"/>
    <n v="701.14"/>
    <n v="0"/>
    <x v="0"/>
    <s v="CC400"/>
    <s v="AutoPost 1882"/>
    <s v="EUR"/>
    <s v="2023-10"/>
    <n v="-701.14"/>
    <m/>
    <n v="-701.14"/>
    <s v="N/A"/>
    <s v=" "/>
  </r>
  <r>
    <s v="GL001883"/>
    <x v="712"/>
    <n v="5010"/>
    <x v="3"/>
    <n v="1033.6199999999999"/>
    <n v="0"/>
    <x v="2"/>
    <s v="CC400"/>
    <s v="AutoPost 1883"/>
    <s v="USD"/>
    <s v="2024-09"/>
    <n v="-1033.6199999999999"/>
    <m/>
    <n v="-1033.6199999999999"/>
    <s v="N/A"/>
    <s v=" "/>
  </r>
  <r>
    <s v="GL001884"/>
    <x v="802"/>
    <n v="6000"/>
    <x v="2"/>
    <n v="652.77"/>
    <n v="0"/>
    <x v="4"/>
    <s v="CC300"/>
    <s v="AutoPost 1884"/>
    <s v="USD"/>
    <s v="2025-05"/>
    <n v="-652.77"/>
    <m/>
    <n v="-652.77"/>
    <s v="N/A"/>
    <s v=" "/>
  </r>
  <r>
    <s v="GL001885"/>
    <x v="321"/>
    <n v="4000"/>
    <x v="0"/>
    <n v="0"/>
    <n v="2202.71"/>
    <x v="0"/>
    <s v="CC400"/>
    <s v="AutoPost 1885"/>
    <s v="USD"/>
    <s v="2023-07"/>
    <n v="2202.71"/>
    <m/>
    <n v="2202.71"/>
    <s v="N/A"/>
    <s v=" "/>
  </r>
  <r>
    <s v="GL001886"/>
    <x v="706"/>
    <n v="6000"/>
    <x v="2"/>
    <n v="1252.73"/>
    <n v="0"/>
    <x v="4"/>
    <s v="CC200"/>
    <s v="AutoPost 1886"/>
    <s v="USD"/>
    <s v="2023-10"/>
    <n v="-1252.73"/>
    <m/>
    <n v="-1252.73"/>
    <s v="N/A"/>
    <s v=" "/>
  </r>
  <r>
    <s v="GL001887"/>
    <x v="522"/>
    <n v="5000"/>
    <x v="1"/>
    <n v="1422.61"/>
    <n v="0"/>
    <x v="1"/>
    <s v="CC200"/>
    <s v="AutoPost 1887"/>
    <s v="CAD"/>
    <s v="2024-04"/>
    <n v="-1422.61"/>
    <m/>
    <n v="-1422.61"/>
    <s v="N/A"/>
    <s v=" "/>
  </r>
  <r>
    <s v="GL001888"/>
    <x v="803"/>
    <n v="5010"/>
    <x v="3"/>
    <n v="729.53"/>
    <n v="0"/>
    <x v="3"/>
    <s v="CC500"/>
    <s v="AutoPost 1888"/>
    <s v="EUR"/>
    <s v="2025-06"/>
    <n v="-729.53"/>
    <m/>
    <n v="-729.53"/>
    <s v="N/A"/>
    <s v=" "/>
  </r>
  <r>
    <s v="GL001889"/>
    <x v="315"/>
    <n v="5010"/>
    <x v="3"/>
    <n v="1561.21"/>
    <n v="0"/>
    <x v="1"/>
    <s v="CC200"/>
    <s v="AutoPost 1889"/>
    <s v="USD"/>
    <s v="2023-01"/>
    <n v="-1561.21"/>
    <m/>
    <n v="-1561.21"/>
    <s v="N/A"/>
    <s v=" "/>
  </r>
  <r>
    <s v="GL001890"/>
    <x v="602"/>
    <n v="4010"/>
    <x v="4"/>
    <n v="0"/>
    <n v="3774.32"/>
    <x v="5"/>
    <s v="CC300"/>
    <s v="AutoPost 1890"/>
    <s v="CAD"/>
    <s v="2025-02"/>
    <n v="3774.32"/>
    <m/>
    <n v="3774.32"/>
    <s v="N/A"/>
    <s v=" "/>
  </r>
  <r>
    <s v="GL001891"/>
    <x v="186"/>
    <n v="6000"/>
    <x v="2"/>
    <n v="503.88"/>
    <n v="0"/>
    <x v="3"/>
    <s v="CC300"/>
    <s v="AutoPost 1891"/>
    <s v="EUR"/>
    <s v="2023-08"/>
    <n v="-503.88"/>
    <m/>
    <n v="-503.88"/>
    <s v="N/A"/>
    <s v=" "/>
  </r>
  <r>
    <s v="GL001892"/>
    <x v="296"/>
    <n v="4010"/>
    <x v="4"/>
    <n v="0"/>
    <n v="2344.2199999999998"/>
    <x v="1"/>
    <s v="CC300"/>
    <s v="AutoPost 1892"/>
    <s v="EUR"/>
    <s v="2023-10"/>
    <n v="2344.2199999999998"/>
    <m/>
    <n v="2344.2199999999998"/>
    <s v="N/A"/>
    <s v=" "/>
  </r>
  <r>
    <s v="GL001893"/>
    <x v="728"/>
    <n v="5010"/>
    <x v="3"/>
    <n v="1283.57"/>
    <n v="0"/>
    <x v="1"/>
    <s v="CC100"/>
    <s v="AutoPost 1893"/>
    <s v="CAD"/>
    <s v="2024-01"/>
    <n v="-1283.57"/>
    <m/>
    <n v="-1283.57"/>
    <s v="N/A"/>
    <s v=" "/>
  </r>
  <r>
    <s v="GL001894"/>
    <x v="681"/>
    <n v="4010"/>
    <x v="4"/>
    <n v="0"/>
    <n v="1964.79"/>
    <x v="5"/>
    <s v="CC300"/>
    <s v="AutoPost 1894"/>
    <s v="AUD"/>
    <s v="2024-07"/>
    <n v="1964.79"/>
    <m/>
    <n v="1964.79"/>
    <s v="N/A"/>
    <s v=" "/>
  </r>
  <r>
    <s v="GL001895"/>
    <x v="804"/>
    <n v="4010"/>
    <x v="4"/>
    <n v="0"/>
    <n v="3387.63"/>
    <x v="4"/>
    <s v="CC200"/>
    <s v="AutoPost 1895"/>
    <s v="EUR"/>
    <s v="2024-07"/>
    <n v="3387.63"/>
    <m/>
    <n v="3387.63"/>
    <s v="N/A"/>
    <s v=" "/>
  </r>
  <r>
    <s v="GL001896"/>
    <x v="519"/>
    <n v="6000"/>
    <x v="2"/>
    <n v="1756.28"/>
    <n v="0"/>
    <x v="2"/>
    <s v="CC100"/>
    <s v="AutoPost 1896"/>
    <s v="EUR"/>
    <s v="2023-08"/>
    <n v="-1756.28"/>
    <m/>
    <n v="-1756.28"/>
    <s v="N/A"/>
    <s v=" "/>
  </r>
  <r>
    <s v="GL001897"/>
    <x v="80"/>
    <n v="6000"/>
    <x v="2"/>
    <n v="938.88"/>
    <n v="0"/>
    <x v="1"/>
    <s v="CC100"/>
    <s v="AutoPost 1897"/>
    <s v="GBP"/>
    <s v="2023-12"/>
    <n v="-938.88"/>
    <m/>
    <n v="-938.88"/>
    <s v="N/A"/>
    <s v=" "/>
  </r>
  <r>
    <s v="GL001898"/>
    <x v="292"/>
    <n v="4000"/>
    <x v="0"/>
    <n v="0"/>
    <n v="994.95"/>
    <x v="1"/>
    <s v="CC500"/>
    <s v="AutoPost 1898"/>
    <s v="CAD"/>
    <s v="2024-12"/>
    <n v="994.95"/>
    <m/>
    <n v="994.95"/>
    <s v="N/A"/>
    <s v=" "/>
  </r>
  <r>
    <s v="GL001899"/>
    <x v="659"/>
    <n v="5000"/>
    <x v="1"/>
    <n v="1619.31"/>
    <n v="0"/>
    <x v="3"/>
    <s v="CC300"/>
    <s v="AutoPost 1899"/>
    <s v="AUD"/>
    <s v="2024-07"/>
    <n v="-1619.31"/>
    <m/>
    <n v="-1619.31"/>
    <s v="N/A"/>
    <s v=" "/>
  </r>
  <r>
    <s v="GL001900"/>
    <x v="784"/>
    <n v="4010"/>
    <x v="4"/>
    <n v="0"/>
    <n v="2332.9299999999998"/>
    <x v="0"/>
    <s v="CC100"/>
    <s v="AutoPost 1900"/>
    <s v="USD"/>
    <s v="2024-05"/>
    <n v="2332.9299999999998"/>
    <m/>
    <n v="2332.9299999999998"/>
    <s v="N/A"/>
    <s v=" "/>
  </r>
  <r>
    <s v="GL001901"/>
    <x v="3"/>
    <n v="5010"/>
    <x v="3"/>
    <n v="335.2"/>
    <n v="0"/>
    <x v="3"/>
    <s v="CC300"/>
    <s v="AutoPost 1901"/>
    <s v="USD"/>
    <s v="2023-09"/>
    <n v="-335.2"/>
    <m/>
    <n v="-335.2"/>
    <s v="N/A"/>
    <s v=" "/>
  </r>
  <r>
    <s v="GL001902"/>
    <x v="106"/>
    <n v="5010"/>
    <x v="3"/>
    <n v="1838.96"/>
    <n v="0"/>
    <x v="5"/>
    <s v="CC200"/>
    <s v="AutoPost 1902"/>
    <s v="AUD"/>
    <s v="2024-09"/>
    <n v="-1838.96"/>
    <m/>
    <n v="-1838.96"/>
    <s v="N/A"/>
    <s v=" "/>
  </r>
  <r>
    <s v="GL001903"/>
    <x v="805"/>
    <n v="4000"/>
    <x v="0"/>
    <n v="0"/>
    <n v="2599.65"/>
    <x v="1"/>
    <s v="CC300"/>
    <s v="AutoPost 1903"/>
    <s v="EUR"/>
    <s v="2025-04"/>
    <n v="2599.65"/>
    <m/>
    <n v="2599.65"/>
    <s v="N/A"/>
    <s v=" "/>
  </r>
  <r>
    <s v="GL001904"/>
    <x v="168"/>
    <n v="5000"/>
    <x v="1"/>
    <n v="801.83"/>
    <n v="0"/>
    <x v="2"/>
    <s v="CC400"/>
    <s v="AutoPost 1904"/>
    <s v="USD"/>
    <s v="2023-05"/>
    <n v="-801.83"/>
    <m/>
    <n v="-801.83"/>
    <s v="N/A"/>
    <s v=" "/>
  </r>
  <r>
    <s v="GL001905"/>
    <x v="806"/>
    <n v="5000"/>
    <x v="1"/>
    <n v="54.12"/>
    <n v="0"/>
    <x v="0"/>
    <s v="CC100"/>
    <s v="AutoPost 1905"/>
    <s v="GBP"/>
    <s v="2023-08"/>
    <n v="-54.12"/>
    <m/>
    <n v="-54.12"/>
    <s v="N/A"/>
    <s v=" "/>
  </r>
  <r>
    <s v="GL001906"/>
    <x v="807"/>
    <n v="5000"/>
    <x v="1"/>
    <n v="326.83"/>
    <n v="0"/>
    <x v="3"/>
    <s v="CC200"/>
    <s v="AutoPost 1906"/>
    <s v="CAD"/>
    <s v="2023-02"/>
    <n v="-326.83"/>
    <m/>
    <n v="-326.83"/>
    <s v="N/A"/>
    <s v=" "/>
  </r>
  <r>
    <s v="GL001907"/>
    <x v="413"/>
    <n v="5000"/>
    <x v="1"/>
    <n v="1868.89"/>
    <n v="0"/>
    <x v="0"/>
    <s v="CC100"/>
    <s v="AutoPost 1907"/>
    <s v="GBP"/>
    <s v="2024-02"/>
    <n v="-1868.89"/>
    <m/>
    <n v="-1868.89"/>
    <s v="N/A"/>
    <s v=" "/>
  </r>
  <r>
    <s v="GL001908"/>
    <x v="343"/>
    <n v="6000"/>
    <x v="2"/>
    <n v="1572.8"/>
    <n v="0"/>
    <x v="5"/>
    <s v="CC400"/>
    <s v="AutoPost 1908"/>
    <s v="AUD"/>
    <s v="2024-08"/>
    <n v="-1572.8"/>
    <m/>
    <n v="-1572.8"/>
    <s v="N/A"/>
    <s v=" "/>
  </r>
  <r>
    <s v="GL001909"/>
    <x v="401"/>
    <n v="5010"/>
    <x v="3"/>
    <n v="284.08"/>
    <n v="0"/>
    <x v="3"/>
    <s v="CC100"/>
    <s v="AutoPost 1909"/>
    <s v="AUD"/>
    <s v="2025-05"/>
    <n v="-284.08"/>
    <m/>
    <n v="-284.08"/>
    <s v="N/A"/>
    <s v=" "/>
  </r>
  <r>
    <s v="GL001910"/>
    <x v="427"/>
    <n v="4010"/>
    <x v="4"/>
    <n v="0"/>
    <n v="2962.29"/>
    <x v="0"/>
    <s v="CC300"/>
    <s v="AutoPost 1910"/>
    <s v="USD"/>
    <s v="2023-12"/>
    <n v="2962.29"/>
    <m/>
    <n v="2962.29"/>
    <s v="N/A"/>
    <s v=" "/>
  </r>
  <r>
    <s v="GL001911"/>
    <x v="185"/>
    <n v="4010"/>
    <x v="4"/>
    <n v="0"/>
    <n v="1937.71"/>
    <x v="2"/>
    <s v="CC100"/>
    <s v="AutoPost 1911"/>
    <s v="EUR"/>
    <s v="2025-03"/>
    <n v="1937.71"/>
    <m/>
    <n v="1937.71"/>
    <s v="N/A"/>
    <s v=" "/>
  </r>
  <r>
    <s v="GL001912"/>
    <x v="469"/>
    <n v="4010"/>
    <x v="4"/>
    <n v="0"/>
    <n v="166.31"/>
    <x v="4"/>
    <s v="CC500"/>
    <s v="AutoPost 1912"/>
    <s v="CAD"/>
    <s v="2023-10"/>
    <n v="166.31"/>
    <m/>
    <n v="166.31"/>
    <s v="N/A"/>
    <s v=" "/>
  </r>
  <r>
    <s v="GL001913"/>
    <x v="142"/>
    <n v="4000"/>
    <x v="0"/>
    <n v="0"/>
    <n v="1137.06"/>
    <x v="2"/>
    <s v="CC200"/>
    <s v="AutoPost 1913"/>
    <s v="EUR"/>
    <s v="2023-04"/>
    <n v="1137.06"/>
    <m/>
    <n v="1137.06"/>
    <s v="N/A"/>
    <s v=" "/>
  </r>
  <r>
    <s v="GL001914"/>
    <x v="397"/>
    <n v="4010"/>
    <x v="4"/>
    <n v="0"/>
    <n v="993.38"/>
    <x v="4"/>
    <s v="CC100"/>
    <s v="AutoPost 1914"/>
    <s v="AUD"/>
    <s v="2024-03"/>
    <n v="993.38"/>
    <m/>
    <n v="993.38"/>
    <s v="N/A"/>
    <s v=" "/>
  </r>
  <r>
    <s v="GL001915"/>
    <x v="505"/>
    <n v="5010"/>
    <x v="3"/>
    <n v="1915.74"/>
    <n v="0"/>
    <x v="4"/>
    <s v="CC300"/>
    <s v="AutoPost 1915"/>
    <s v="GBP"/>
    <s v="2024-06"/>
    <n v="-1915.74"/>
    <m/>
    <n v="-1915.74"/>
    <s v="N/A"/>
    <s v=" "/>
  </r>
  <r>
    <s v="GL001916"/>
    <x v="244"/>
    <n v="5010"/>
    <x v="3"/>
    <n v="1850.88"/>
    <n v="0"/>
    <x v="3"/>
    <s v="CC300"/>
    <s v="AutoPost 1916"/>
    <s v="GBP"/>
    <s v="2023-08"/>
    <n v="-1850.88"/>
    <m/>
    <n v="-1850.88"/>
    <s v="N/A"/>
    <s v=" "/>
  </r>
  <r>
    <s v="GL001917"/>
    <x v="464"/>
    <n v="4010"/>
    <x v="4"/>
    <n v="0"/>
    <n v="4525.68"/>
    <x v="0"/>
    <s v="CC100"/>
    <s v="AutoPost 1917"/>
    <s v="USD"/>
    <s v="2023-08"/>
    <n v="4525.68"/>
    <m/>
    <n v="4525.68"/>
    <s v="N/A"/>
    <s v=" "/>
  </r>
  <r>
    <s v="GL001918"/>
    <x v="398"/>
    <n v="5010"/>
    <x v="3"/>
    <n v="854.45"/>
    <n v="0"/>
    <x v="3"/>
    <s v="CC100"/>
    <s v="AutoPost 1918"/>
    <s v="GBP"/>
    <s v="2023-01"/>
    <n v="-854.45"/>
    <m/>
    <n v="-854.45"/>
    <s v="N/A"/>
    <s v=" "/>
  </r>
  <r>
    <s v="GL001919"/>
    <x v="316"/>
    <n v="5000"/>
    <x v="1"/>
    <n v="198.43"/>
    <n v="0"/>
    <x v="2"/>
    <s v="CC400"/>
    <s v="AutoPost 1919"/>
    <s v="AUD"/>
    <s v="2024-10"/>
    <n v="-198.43"/>
    <m/>
    <n v="-198.43"/>
    <s v="N/A"/>
    <s v=" "/>
  </r>
  <r>
    <s v="GL001920"/>
    <x v="419"/>
    <n v="6000"/>
    <x v="2"/>
    <n v="1818.32"/>
    <n v="0"/>
    <x v="4"/>
    <s v="CC300"/>
    <s v="AutoPost 1920"/>
    <s v="CAD"/>
    <s v="2025-03"/>
    <n v="-1818.32"/>
    <m/>
    <n v="-1818.32"/>
    <s v="N/A"/>
    <s v=" "/>
  </r>
  <r>
    <s v="GL001921"/>
    <x v="157"/>
    <n v="4010"/>
    <x v="4"/>
    <n v="0"/>
    <n v="2638.4"/>
    <x v="5"/>
    <s v="CC100"/>
    <s v="AutoPost 1921"/>
    <s v="USD"/>
    <s v="2024-04"/>
    <n v="2638.4"/>
    <m/>
    <n v="2638.4"/>
    <s v="N/A"/>
    <s v=" "/>
  </r>
  <r>
    <s v="GL001922"/>
    <x v="808"/>
    <n v="4010"/>
    <x v="4"/>
    <n v="0"/>
    <n v="2791.71"/>
    <x v="1"/>
    <s v="CC200"/>
    <s v="AutoPost 1922"/>
    <s v="CAD"/>
    <s v="2023-03"/>
    <n v="2791.71"/>
    <m/>
    <n v="2791.71"/>
    <s v="N/A"/>
    <s v=" "/>
  </r>
  <r>
    <s v="GL001923"/>
    <x v="355"/>
    <n v="5000"/>
    <x v="1"/>
    <n v="726.03"/>
    <n v="0"/>
    <x v="1"/>
    <s v="CC100"/>
    <s v="AutoPost 1923"/>
    <s v="USD"/>
    <s v="2024-01"/>
    <n v="-726.03"/>
    <m/>
    <n v="-726.03"/>
    <s v="N/A"/>
    <s v=" "/>
  </r>
  <r>
    <s v="GL001924"/>
    <x v="338"/>
    <n v="5000"/>
    <x v="1"/>
    <n v="1370.59"/>
    <n v="0"/>
    <x v="0"/>
    <s v="CC100"/>
    <s v="AutoPost 1924"/>
    <s v="AUD"/>
    <s v="2023-05"/>
    <n v="-1370.59"/>
    <m/>
    <n v="-1370.59"/>
    <s v="N/A"/>
    <s v=" "/>
  </r>
  <r>
    <s v="GL001925"/>
    <x v="769"/>
    <n v="5010"/>
    <x v="3"/>
    <n v="263.16000000000003"/>
    <n v="0"/>
    <x v="2"/>
    <s v="CC400"/>
    <s v="AutoPost 1925"/>
    <s v="CAD"/>
    <s v="2024-04"/>
    <n v="-263.16000000000003"/>
    <m/>
    <n v="-263.16000000000003"/>
    <s v="N/A"/>
    <s v=" "/>
  </r>
  <r>
    <s v="GL001926"/>
    <x v="669"/>
    <n v="5010"/>
    <x v="3"/>
    <n v="1336.28"/>
    <n v="0"/>
    <x v="2"/>
    <s v="CC300"/>
    <s v="AutoPost 1926"/>
    <s v="AUD"/>
    <s v="2024-09"/>
    <n v="-1336.28"/>
    <m/>
    <n v="-1336.28"/>
    <s v="N/A"/>
    <s v=" "/>
  </r>
  <r>
    <s v="GL001927"/>
    <x v="400"/>
    <n v="6000"/>
    <x v="2"/>
    <n v="1661.05"/>
    <n v="0"/>
    <x v="3"/>
    <s v="CC400"/>
    <s v="AutoPost 1927"/>
    <s v="EUR"/>
    <s v="2024-05"/>
    <n v="-1661.05"/>
    <m/>
    <n v="-1661.05"/>
    <s v="N/A"/>
    <s v=" "/>
  </r>
  <r>
    <s v="GL001928"/>
    <x v="33"/>
    <n v="4000"/>
    <x v="0"/>
    <n v="0"/>
    <n v="2221.86"/>
    <x v="5"/>
    <s v="CC300"/>
    <s v="AutoPost 1928"/>
    <s v="GBP"/>
    <s v="2023-11"/>
    <n v="2221.86"/>
    <m/>
    <n v="2221.86"/>
    <s v="N/A"/>
    <s v=" "/>
  </r>
  <r>
    <s v="GL001929"/>
    <x v="230"/>
    <n v="4010"/>
    <x v="4"/>
    <n v="0"/>
    <n v="4064.87"/>
    <x v="0"/>
    <s v="CC300"/>
    <s v="AutoPost 1929"/>
    <s v="CAD"/>
    <s v="2024-03"/>
    <n v="4064.87"/>
    <m/>
    <n v="4064.87"/>
    <s v="N/A"/>
    <s v=" "/>
  </r>
  <r>
    <s v="GL001930"/>
    <x v="749"/>
    <n v="5000"/>
    <x v="1"/>
    <n v="564.04"/>
    <n v="0"/>
    <x v="3"/>
    <s v="CC400"/>
    <s v="AutoPost 1930"/>
    <s v="USD"/>
    <s v="2024-10"/>
    <n v="-564.04"/>
    <m/>
    <n v="-564.04"/>
    <s v="N/A"/>
    <s v=" "/>
  </r>
  <r>
    <s v="GL001931"/>
    <x v="607"/>
    <n v="4010"/>
    <x v="4"/>
    <n v="0"/>
    <n v="2394.69"/>
    <x v="5"/>
    <s v="CC300"/>
    <s v="AutoPost 1931"/>
    <s v="AUD"/>
    <s v="2023-11"/>
    <n v="2394.69"/>
    <m/>
    <n v="2394.69"/>
    <s v="N/A"/>
    <s v=" "/>
  </r>
  <r>
    <s v="GL001932"/>
    <x v="370"/>
    <n v="4010"/>
    <x v="4"/>
    <n v="0"/>
    <n v="4484.1899999999996"/>
    <x v="3"/>
    <s v="CC500"/>
    <s v="AutoPost 1932"/>
    <s v="AUD"/>
    <s v="2024-10"/>
    <n v="4484.1899999999996"/>
    <m/>
    <n v="4484.1899999999996"/>
    <s v="N/A"/>
    <s v=" "/>
  </r>
  <r>
    <s v="GL001933"/>
    <x v="488"/>
    <n v="4010"/>
    <x v="4"/>
    <n v="0"/>
    <n v="1838.71"/>
    <x v="3"/>
    <s v="CC400"/>
    <s v="AutoPost 1933"/>
    <s v="CAD"/>
    <s v="2024-12"/>
    <n v="1838.71"/>
    <m/>
    <n v="1838.71"/>
    <s v="N/A"/>
    <s v=" "/>
  </r>
  <r>
    <s v="GL001934"/>
    <x v="36"/>
    <n v="5010"/>
    <x v="3"/>
    <n v="407.55"/>
    <n v="0"/>
    <x v="2"/>
    <s v="CC400"/>
    <s v="AutoPost 1934"/>
    <s v="GBP"/>
    <s v="2025-04"/>
    <n v="-407.55"/>
    <m/>
    <n v="-407.55"/>
    <s v="N/A"/>
    <s v=" "/>
  </r>
  <r>
    <s v="GL001935"/>
    <x v="459"/>
    <n v="4000"/>
    <x v="0"/>
    <n v="0"/>
    <n v="1239.76"/>
    <x v="5"/>
    <s v="CC400"/>
    <s v="AutoPost 1935"/>
    <s v="CAD"/>
    <s v="2023-11"/>
    <n v="1239.76"/>
    <m/>
    <n v="1239.76"/>
    <s v="N/A"/>
    <s v=" "/>
  </r>
  <r>
    <s v="GL001936"/>
    <x v="809"/>
    <n v="5010"/>
    <x v="3"/>
    <n v="721.91"/>
    <n v="0"/>
    <x v="3"/>
    <s v="CC500"/>
    <s v="AutoPost 1936"/>
    <s v="EUR"/>
    <s v="2023-07"/>
    <n v="-721.91"/>
    <m/>
    <n v="-721.91"/>
    <s v="N/A"/>
    <s v=" "/>
  </r>
  <r>
    <s v="GL001937"/>
    <x v="810"/>
    <n v="6000"/>
    <x v="2"/>
    <n v="1506.81"/>
    <n v="0"/>
    <x v="3"/>
    <s v="CC200"/>
    <s v="AutoPost 1937"/>
    <s v="GBP"/>
    <s v="2024-01"/>
    <n v="-1506.81"/>
    <m/>
    <n v="-1506.81"/>
    <s v="N/A"/>
    <s v=" "/>
  </r>
  <r>
    <s v="GL001938"/>
    <x v="193"/>
    <n v="4010"/>
    <x v="4"/>
    <n v="0"/>
    <n v="3376.73"/>
    <x v="2"/>
    <s v="CC400"/>
    <s v="AutoPost 1938"/>
    <s v="EUR"/>
    <s v="2025-03"/>
    <n v="3376.73"/>
    <m/>
    <n v="3376.73"/>
    <s v="N/A"/>
    <s v=" "/>
  </r>
  <r>
    <s v="GL001939"/>
    <x v="811"/>
    <n v="6000"/>
    <x v="2"/>
    <n v="1023.13"/>
    <n v="0"/>
    <x v="3"/>
    <s v="CC100"/>
    <s v="AutoPost 1939"/>
    <s v="GBP"/>
    <s v="2023-12"/>
    <n v="-1023.13"/>
    <m/>
    <n v="-1023.13"/>
    <s v="N/A"/>
    <s v=" "/>
  </r>
  <r>
    <s v="GL001940"/>
    <x v="698"/>
    <n v="6000"/>
    <x v="2"/>
    <n v="1885.62"/>
    <n v="0"/>
    <x v="4"/>
    <s v="CC200"/>
    <s v="AutoPost 1940"/>
    <s v="CAD"/>
    <s v="2025-06"/>
    <n v="-1885.62"/>
    <m/>
    <n v="-1885.62"/>
    <s v="N/A"/>
    <s v=" "/>
  </r>
  <r>
    <s v="GL001941"/>
    <x v="524"/>
    <n v="4010"/>
    <x v="4"/>
    <n v="0"/>
    <n v="955.35"/>
    <x v="3"/>
    <s v="CC200"/>
    <s v="AutoPost 1941"/>
    <s v="CAD"/>
    <s v="2024-05"/>
    <n v="955.35"/>
    <m/>
    <n v="955.35"/>
    <s v="N/A"/>
    <s v=" "/>
  </r>
  <r>
    <s v="GL001942"/>
    <x v="461"/>
    <n v="5010"/>
    <x v="3"/>
    <n v="1735.63"/>
    <n v="0"/>
    <x v="0"/>
    <s v="CC500"/>
    <s v="AutoPost 1942"/>
    <s v="CAD"/>
    <s v="2023-01"/>
    <n v="-1735.63"/>
    <m/>
    <n v="-1735.63"/>
    <s v="N/A"/>
    <s v=" "/>
  </r>
  <r>
    <s v="GL001943"/>
    <x v="584"/>
    <n v="5000"/>
    <x v="1"/>
    <n v="1311.61"/>
    <n v="0"/>
    <x v="5"/>
    <s v="CC100"/>
    <s v="AutoPost 1943"/>
    <s v="AUD"/>
    <s v="2023-07"/>
    <n v="-1311.61"/>
    <m/>
    <n v="-1311.61"/>
    <s v="N/A"/>
    <s v=" "/>
  </r>
  <r>
    <s v="GL001944"/>
    <x v="362"/>
    <n v="4010"/>
    <x v="4"/>
    <n v="0"/>
    <n v="3124.09"/>
    <x v="5"/>
    <s v="CC500"/>
    <s v="AutoPost 1944"/>
    <s v="USD"/>
    <s v="2023-11"/>
    <n v="3124.09"/>
    <m/>
    <n v="3124.09"/>
    <s v="N/A"/>
    <s v=" "/>
  </r>
  <r>
    <s v="GL001945"/>
    <x v="308"/>
    <n v="5010"/>
    <x v="3"/>
    <n v="1453.46"/>
    <n v="0"/>
    <x v="4"/>
    <s v="CC400"/>
    <s v="AutoPost 1945"/>
    <s v="USD"/>
    <s v="2024-08"/>
    <n v="-1453.46"/>
    <m/>
    <n v="-1453.46"/>
    <s v="N/A"/>
    <s v=" "/>
  </r>
  <r>
    <s v="GL001946"/>
    <x v="15"/>
    <n v="6000"/>
    <x v="2"/>
    <n v="502.87"/>
    <n v="0"/>
    <x v="1"/>
    <s v="CC500"/>
    <s v="AutoPost 1946"/>
    <s v="CAD"/>
    <s v="2023-04"/>
    <n v="-502.87"/>
    <m/>
    <n v="-502.87"/>
    <s v="N/A"/>
    <s v=" "/>
  </r>
  <r>
    <s v="GL001947"/>
    <x v="424"/>
    <n v="6000"/>
    <x v="2"/>
    <n v="845.04"/>
    <n v="0"/>
    <x v="3"/>
    <s v="CC300"/>
    <s v="AutoPost 1947"/>
    <s v="EUR"/>
    <s v="2023-08"/>
    <n v="-845.04"/>
    <m/>
    <n v="-845.04"/>
    <s v="N/A"/>
    <s v=" "/>
  </r>
  <r>
    <s v="GL001948"/>
    <x v="771"/>
    <n v="4010"/>
    <x v="4"/>
    <n v="0"/>
    <n v="2650.78"/>
    <x v="4"/>
    <s v="CC400"/>
    <s v="AutoPost 1948"/>
    <s v="AUD"/>
    <s v="2024-12"/>
    <n v="2650.78"/>
    <m/>
    <n v="2650.78"/>
    <s v="N/A"/>
    <s v=" "/>
  </r>
  <r>
    <s v="GL001949"/>
    <x v="236"/>
    <n v="4000"/>
    <x v="0"/>
    <n v="0"/>
    <n v="3701"/>
    <x v="1"/>
    <s v="CC100"/>
    <s v="AutoPost 1949"/>
    <s v="AUD"/>
    <s v="2025-01"/>
    <n v="3701"/>
    <m/>
    <n v="3701"/>
    <s v="N/A"/>
    <s v=" "/>
  </r>
  <r>
    <s v="GL001950"/>
    <x v="305"/>
    <n v="6000"/>
    <x v="2"/>
    <n v="866.51"/>
    <n v="0"/>
    <x v="2"/>
    <s v="CC200"/>
    <s v="AutoPost 1950"/>
    <s v="CAD"/>
    <s v="2024-08"/>
    <n v="-866.51"/>
    <m/>
    <n v="-866.51"/>
    <s v="N/A"/>
    <s v=" "/>
  </r>
  <r>
    <s v="GL001951"/>
    <x v="555"/>
    <n v="5000"/>
    <x v="1"/>
    <n v="1517.29"/>
    <n v="0"/>
    <x v="2"/>
    <s v="CC100"/>
    <s v="AutoPost 1951"/>
    <s v="EUR"/>
    <s v="2024-04"/>
    <n v="-1517.29"/>
    <m/>
    <n v="-1517.29"/>
    <s v="N/A"/>
    <s v=" "/>
  </r>
  <r>
    <s v="GL001952"/>
    <x v="250"/>
    <n v="5000"/>
    <x v="1"/>
    <n v="58.18"/>
    <n v="0"/>
    <x v="0"/>
    <s v="CC200"/>
    <s v="AutoPost 1952"/>
    <s v="EUR"/>
    <s v="2025-01"/>
    <n v="-58.18"/>
    <m/>
    <n v="-58.18"/>
    <s v="N/A"/>
    <s v=" "/>
  </r>
  <r>
    <s v="GL001953"/>
    <x v="736"/>
    <n v="4000"/>
    <x v="0"/>
    <n v="0"/>
    <n v="944.88"/>
    <x v="3"/>
    <s v="CC300"/>
    <s v="AutoPost 1953"/>
    <s v="AUD"/>
    <s v="2024-12"/>
    <n v="944.88"/>
    <m/>
    <n v="944.88"/>
    <s v="N/A"/>
    <s v=" "/>
  </r>
  <r>
    <s v="GL001954"/>
    <x v="118"/>
    <n v="6000"/>
    <x v="2"/>
    <n v="394.98"/>
    <n v="0"/>
    <x v="1"/>
    <s v="CC300"/>
    <s v="AutoPost 1954"/>
    <s v="CAD"/>
    <s v="2025-01"/>
    <n v="-394.98"/>
    <m/>
    <n v="-394.98"/>
    <s v="N/A"/>
    <s v=" "/>
  </r>
  <r>
    <s v="GL001955"/>
    <x v="531"/>
    <n v="5000"/>
    <x v="1"/>
    <n v="1322.13"/>
    <n v="0"/>
    <x v="2"/>
    <s v="CC200"/>
    <s v="AutoPost 1955"/>
    <s v="CAD"/>
    <s v="2023-06"/>
    <n v="-1322.13"/>
    <m/>
    <n v="-1322.13"/>
    <s v="N/A"/>
    <s v=" "/>
  </r>
  <r>
    <s v="GL001956"/>
    <x v="151"/>
    <n v="5010"/>
    <x v="3"/>
    <n v="780.7"/>
    <n v="0"/>
    <x v="2"/>
    <s v="CC300"/>
    <s v="AutoPost 1956"/>
    <s v="USD"/>
    <s v="2024-06"/>
    <n v="-780.7"/>
    <m/>
    <n v="-780.7"/>
    <s v="N/A"/>
    <s v=" "/>
  </r>
  <r>
    <s v="GL001957"/>
    <x v="352"/>
    <n v="5000"/>
    <x v="1"/>
    <n v="1051.1600000000001"/>
    <n v="0"/>
    <x v="0"/>
    <s v="CC300"/>
    <s v="AutoPost 1957"/>
    <s v="GBP"/>
    <s v="2025-02"/>
    <n v="-1051.1600000000001"/>
    <m/>
    <n v="-1051.1600000000001"/>
    <s v="N/A"/>
    <s v=" "/>
  </r>
  <r>
    <s v="GL001958"/>
    <x v="281"/>
    <n v="4010"/>
    <x v="4"/>
    <n v="0"/>
    <n v="3466.47"/>
    <x v="4"/>
    <s v="CC400"/>
    <s v="AutoPost 1958"/>
    <s v="AUD"/>
    <s v="2023-11"/>
    <n v="3466.47"/>
    <m/>
    <n v="3466.47"/>
    <s v="N/A"/>
    <s v=" "/>
  </r>
  <r>
    <s v="GL001959"/>
    <x v="176"/>
    <n v="4000"/>
    <x v="0"/>
    <n v="0"/>
    <n v="2900.85"/>
    <x v="3"/>
    <s v="CC200"/>
    <s v="AutoPost 1959"/>
    <s v="CAD"/>
    <s v="2024-01"/>
    <n v="2900.85"/>
    <m/>
    <n v="2900.85"/>
    <s v="N/A"/>
    <s v=" "/>
  </r>
  <r>
    <s v="GL001960"/>
    <x v="496"/>
    <n v="5010"/>
    <x v="3"/>
    <n v="852.05"/>
    <n v="0"/>
    <x v="2"/>
    <s v="CC300"/>
    <s v="AutoPost 1960"/>
    <s v="CAD"/>
    <s v="2024-12"/>
    <n v="-852.05"/>
    <m/>
    <n v="-852.05"/>
    <s v="N/A"/>
    <s v=" "/>
  </r>
  <r>
    <s v="GL001961"/>
    <x v="294"/>
    <n v="6000"/>
    <x v="2"/>
    <n v="1137.76"/>
    <n v="0"/>
    <x v="1"/>
    <s v="CC100"/>
    <s v="AutoPost 1961"/>
    <s v="AUD"/>
    <s v="2023-05"/>
    <n v="-1137.76"/>
    <m/>
    <n v="-1137.76"/>
    <s v="N/A"/>
    <s v=" "/>
  </r>
  <r>
    <s v="GL001962"/>
    <x v="755"/>
    <n v="6000"/>
    <x v="2"/>
    <n v="1927.94"/>
    <n v="0"/>
    <x v="5"/>
    <s v="CC100"/>
    <s v="AutoPost 1962"/>
    <s v="CAD"/>
    <s v="2024-06"/>
    <n v="-1927.94"/>
    <m/>
    <n v="-1927.94"/>
    <s v="N/A"/>
    <s v=" "/>
  </r>
  <r>
    <s v="GL001963"/>
    <x v="587"/>
    <n v="4010"/>
    <x v="4"/>
    <n v="0"/>
    <n v="2609.17"/>
    <x v="1"/>
    <s v="CC500"/>
    <s v="AutoPost 1963"/>
    <s v="GBP"/>
    <s v="2025-02"/>
    <n v="2609.17"/>
    <m/>
    <n v="2609.17"/>
    <s v="N/A"/>
    <s v=" "/>
  </r>
  <r>
    <s v="GL001964"/>
    <x v="752"/>
    <n v="5000"/>
    <x v="1"/>
    <n v="1813.3"/>
    <n v="0"/>
    <x v="5"/>
    <s v="CC400"/>
    <s v="AutoPost 1964"/>
    <s v="AUD"/>
    <s v="2025-04"/>
    <n v="-1813.3"/>
    <m/>
    <n v="-1813.3"/>
    <s v="N/A"/>
    <s v=" "/>
  </r>
  <r>
    <s v="GL001965"/>
    <x v="519"/>
    <n v="4000"/>
    <x v="0"/>
    <n v="0"/>
    <n v="2658.68"/>
    <x v="5"/>
    <s v="CC400"/>
    <s v="AutoPost 1965"/>
    <s v="GBP"/>
    <s v="2023-08"/>
    <n v="2658.68"/>
    <m/>
    <n v="2658.68"/>
    <s v="N/A"/>
    <s v=" "/>
  </r>
  <r>
    <s v="GL001966"/>
    <x v="583"/>
    <n v="4010"/>
    <x v="4"/>
    <n v="0"/>
    <n v="4776.24"/>
    <x v="1"/>
    <s v="CC400"/>
    <s v="AutoPost 1966"/>
    <s v="AUD"/>
    <s v="2023-09"/>
    <n v="4776.24"/>
    <m/>
    <n v="4776.24"/>
    <s v="N/A"/>
    <s v=" "/>
  </r>
  <r>
    <s v="GL001967"/>
    <x v="184"/>
    <n v="5000"/>
    <x v="1"/>
    <n v="839.33"/>
    <n v="0"/>
    <x v="5"/>
    <s v="CC100"/>
    <s v="AutoPost 1967"/>
    <s v="USD"/>
    <s v="2024-09"/>
    <n v="-839.33"/>
    <m/>
    <n v="-839.33"/>
    <s v="N/A"/>
    <s v=" "/>
  </r>
  <r>
    <s v="GL001968"/>
    <x v="548"/>
    <n v="6000"/>
    <x v="2"/>
    <n v="961.76"/>
    <n v="0"/>
    <x v="3"/>
    <s v="CC400"/>
    <s v="AutoPost 1968"/>
    <s v="AUD"/>
    <s v="2023-10"/>
    <n v="-961.76"/>
    <m/>
    <n v="-961.76"/>
    <s v="N/A"/>
    <s v=" "/>
  </r>
  <r>
    <s v="GL001969"/>
    <x v="165"/>
    <n v="4010"/>
    <x v="4"/>
    <n v="0"/>
    <n v="1071.52"/>
    <x v="2"/>
    <s v="CC400"/>
    <s v="AutoPost 1969"/>
    <s v="USD"/>
    <s v="2025-04"/>
    <n v="1071.52"/>
    <m/>
    <n v="1071.52"/>
    <s v="N/A"/>
    <s v=" "/>
  </r>
  <r>
    <s v="GL001970"/>
    <x v="208"/>
    <n v="5000"/>
    <x v="1"/>
    <n v="512.01"/>
    <n v="0"/>
    <x v="2"/>
    <s v="CC100"/>
    <s v="AutoPost 1970"/>
    <s v="CAD"/>
    <s v="2024-10"/>
    <n v="-512.01"/>
    <m/>
    <n v="-512.01"/>
    <s v="N/A"/>
    <s v=" "/>
  </r>
  <r>
    <s v="GL001971"/>
    <x v="364"/>
    <n v="4010"/>
    <x v="4"/>
    <n v="0"/>
    <n v="876.89"/>
    <x v="2"/>
    <s v="CC200"/>
    <s v="AutoPost 1971"/>
    <s v="CAD"/>
    <s v="2024-05"/>
    <n v="876.89"/>
    <m/>
    <n v="876.89"/>
    <s v="N/A"/>
    <s v=" "/>
  </r>
  <r>
    <s v="GL001972"/>
    <x v="320"/>
    <n v="4010"/>
    <x v="4"/>
    <n v="0"/>
    <n v="214.94"/>
    <x v="5"/>
    <s v="CC100"/>
    <s v="AutoPost 1972"/>
    <s v="USD"/>
    <s v="2023-11"/>
    <n v="214.94"/>
    <m/>
    <n v="214.94"/>
    <s v="N/A"/>
    <s v=" "/>
  </r>
  <r>
    <s v="GL001973"/>
    <x v="490"/>
    <n v="5010"/>
    <x v="3"/>
    <n v="318.63"/>
    <n v="0"/>
    <x v="5"/>
    <s v="CC400"/>
    <s v="AutoPost 1973"/>
    <s v="CAD"/>
    <s v="2024-03"/>
    <n v="-318.63"/>
    <m/>
    <n v="-318.63"/>
    <s v="N/A"/>
    <s v=" "/>
  </r>
  <r>
    <s v="GL001974"/>
    <x v="766"/>
    <n v="6000"/>
    <x v="2"/>
    <n v="1505.25"/>
    <n v="0"/>
    <x v="5"/>
    <s v="CC200"/>
    <s v="AutoPost 1974"/>
    <s v="USD"/>
    <s v="2023-04"/>
    <n v="-1505.25"/>
    <m/>
    <n v="-1505.25"/>
    <s v="N/A"/>
    <s v=" "/>
  </r>
  <r>
    <s v="GL001975"/>
    <x v="730"/>
    <n v="5010"/>
    <x v="3"/>
    <n v="1165.8499999999999"/>
    <n v="0"/>
    <x v="1"/>
    <s v="CC100"/>
    <s v="AutoPost 1975"/>
    <s v="AUD"/>
    <s v="2024-07"/>
    <n v="-1165.8499999999999"/>
    <m/>
    <n v="-1165.8499999999999"/>
    <s v="N/A"/>
    <s v=" "/>
  </r>
  <r>
    <s v="GL001976"/>
    <x v="568"/>
    <n v="5000"/>
    <x v="1"/>
    <n v="424.86"/>
    <n v="0"/>
    <x v="4"/>
    <s v="CC400"/>
    <s v="AutoPost 1976"/>
    <s v="CAD"/>
    <s v="2024-12"/>
    <n v="-424.86"/>
    <m/>
    <n v="-424.86"/>
    <s v="N/A"/>
    <s v=" "/>
  </r>
  <r>
    <s v="GL001977"/>
    <x v="445"/>
    <n v="5000"/>
    <x v="1"/>
    <n v="1626.39"/>
    <n v="0"/>
    <x v="1"/>
    <s v="CC200"/>
    <s v="AutoPost 1977"/>
    <s v="EUR"/>
    <s v="2023-10"/>
    <n v="-1626.39"/>
    <m/>
    <n v="-1626.39"/>
    <s v="N/A"/>
    <s v=" "/>
  </r>
  <r>
    <s v="GL001978"/>
    <x v="53"/>
    <n v="6000"/>
    <x v="2"/>
    <n v="559.39"/>
    <n v="0"/>
    <x v="3"/>
    <s v="CC100"/>
    <s v="AutoPost 1978"/>
    <s v="USD"/>
    <s v="2024-04"/>
    <n v="-559.39"/>
    <m/>
    <n v="-559.39"/>
    <s v="N/A"/>
    <s v=" "/>
  </r>
  <r>
    <s v="GL001979"/>
    <x v="524"/>
    <n v="5000"/>
    <x v="1"/>
    <n v="1234.21"/>
    <n v="0"/>
    <x v="4"/>
    <s v="CC200"/>
    <s v="AutoPost 1979"/>
    <s v="CAD"/>
    <s v="2024-05"/>
    <n v="-1234.21"/>
    <m/>
    <n v="-1234.21"/>
    <s v="N/A"/>
    <s v=" "/>
  </r>
  <r>
    <s v="GL001980"/>
    <x v="240"/>
    <n v="6000"/>
    <x v="2"/>
    <n v="704.55"/>
    <n v="0"/>
    <x v="3"/>
    <s v="CC500"/>
    <s v="AutoPost 1980"/>
    <s v="EUR"/>
    <s v="2024-02"/>
    <n v="-704.55"/>
    <m/>
    <n v="-704.55"/>
    <s v="N/A"/>
    <s v=" "/>
  </r>
  <r>
    <s v="GL001981"/>
    <x v="42"/>
    <n v="4010"/>
    <x v="4"/>
    <n v="0"/>
    <n v="118.67"/>
    <x v="0"/>
    <s v="CC400"/>
    <s v="AutoPost 1981"/>
    <s v="CAD"/>
    <s v="2023-02"/>
    <n v="118.67"/>
    <m/>
    <n v="118.67"/>
    <s v="N/A"/>
    <s v=" "/>
  </r>
  <r>
    <s v="GL001982"/>
    <x v="812"/>
    <n v="4000"/>
    <x v="0"/>
    <n v="0"/>
    <n v="1819.43"/>
    <x v="0"/>
    <s v="CC500"/>
    <s v="AutoPost 1982"/>
    <s v="EUR"/>
    <s v="2023-06"/>
    <n v="1819.43"/>
    <m/>
    <n v="1819.43"/>
    <s v="N/A"/>
    <s v=" "/>
  </r>
  <r>
    <s v="GL001983"/>
    <x v="813"/>
    <n v="5010"/>
    <x v="3"/>
    <n v="1104.31"/>
    <n v="0"/>
    <x v="3"/>
    <s v="CC500"/>
    <s v="AutoPost 1983"/>
    <s v="AUD"/>
    <s v="2023-09"/>
    <n v="-1104.31"/>
    <m/>
    <n v="-1104.31"/>
    <s v="N/A"/>
    <s v=" "/>
  </r>
  <r>
    <s v="GL001984"/>
    <x v="582"/>
    <n v="5000"/>
    <x v="1"/>
    <n v="698.67"/>
    <n v="0"/>
    <x v="5"/>
    <s v="CC400"/>
    <s v="AutoPost 1984"/>
    <s v="AUD"/>
    <s v="2023-01"/>
    <n v="-698.67"/>
    <m/>
    <n v="-698.67"/>
    <s v="N/A"/>
    <s v=" "/>
  </r>
  <r>
    <s v="GL001985"/>
    <x v="814"/>
    <n v="4000"/>
    <x v="0"/>
    <n v="0"/>
    <n v="3256.52"/>
    <x v="3"/>
    <s v="CC200"/>
    <s v="AutoPost 1985"/>
    <s v="EUR"/>
    <s v="2024-10"/>
    <n v="3256.52"/>
    <m/>
    <n v="3256.52"/>
    <s v="N/A"/>
    <s v=" "/>
  </r>
  <r>
    <s v="GL001986"/>
    <x v="434"/>
    <n v="6000"/>
    <x v="2"/>
    <n v="415.73"/>
    <n v="0"/>
    <x v="3"/>
    <s v="CC500"/>
    <s v="AutoPost 1986"/>
    <s v="USD"/>
    <s v="2023-10"/>
    <n v="-415.73"/>
    <m/>
    <n v="-415.73"/>
    <s v="N/A"/>
    <s v=" "/>
  </r>
  <r>
    <s v="GL001987"/>
    <x v="530"/>
    <n v="5000"/>
    <x v="1"/>
    <n v="798.68"/>
    <n v="0"/>
    <x v="3"/>
    <s v="CC500"/>
    <s v="AutoPost 1987"/>
    <s v="CAD"/>
    <s v="2025-03"/>
    <n v="-798.68"/>
    <m/>
    <n v="-798.68"/>
    <s v="N/A"/>
    <s v=" "/>
  </r>
  <r>
    <s v="GL001988"/>
    <x v="528"/>
    <n v="5010"/>
    <x v="3"/>
    <n v="829.83"/>
    <n v="0"/>
    <x v="1"/>
    <s v="CC300"/>
    <s v="AutoPost 1988"/>
    <s v="AUD"/>
    <s v="2023-03"/>
    <n v="-829.83"/>
    <m/>
    <n v="-829.83"/>
    <s v="N/A"/>
    <s v=" "/>
  </r>
  <r>
    <s v="GL001989"/>
    <x v="50"/>
    <n v="5010"/>
    <x v="3"/>
    <n v="247.03"/>
    <n v="0"/>
    <x v="3"/>
    <s v="CC200"/>
    <s v="AutoPost 1989"/>
    <s v="USD"/>
    <s v="2024-10"/>
    <n v="-247.03"/>
    <m/>
    <n v="-247.03"/>
    <s v="N/A"/>
    <s v=" "/>
  </r>
  <r>
    <s v="GL001990"/>
    <x v="396"/>
    <n v="5000"/>
    <x v="1"/>
    <n v="688.11"/>
    <n v="0"/>
    <x v="1"/>
    <s v="CC200"/>
    <s v="AutoPost 1990"/>
    <s v="USD"/>
    <s v="2023-09"/>
    <n v="-688.11"/>
    <m/>
    <n v="-688.11"/>
    <s v="N/A"/>
    <s v=" "/>
  </r>
  <r>
    <s v="GL001991"/>
    <x v="557"/>
    <n v="6000"/>
    <x v="2"/>
    <n v="1196.93"/>
    <n v="0"/>
    <x v="3"/>
    <s v="CC300"/>
    <s v="AutoPost 1991"/>
    <s v="USD"/>
    <s v="2024-08"/>
    <n v="-1196.93"/>
    <m/>
    <n v="-1196.93"/>
    <s v="N/A"/>
    <s v=" "/>
  </r>
  <r>
    <s v="GL001992"/>
    <x v="665"/>
    <n v="4010"/>
    <x v="4"/>
    <n v="0"/>
    <n v="2003.64"/>
    <x v="4"/>
    <s v="CC500"/>
    <s v="AutoPost 1992"/>
    <s v="CAD"/>
    <s v="2024-06"/>
    <n v="2003.64"/>
    <m/>
    <n v="2003.64"/>
    <s v="N/A"/>
    <s v=" "/>
  </r>
  <r>
    <s v="GL001993"/>
    <x v="500"/>
    <n v="4000"/>
    <x v="0"/>
    <n v="0"/>
    <n v="1233.1300000000001"/>
    <x v="0"/>
    <s v="CC200"/>
    <s v="AutoPost 1993"/>
    <s v="GBP"/>
    <s v="2024-11"/>
    <n v="1233.1300000000001"/>
    <m/>
    <n v="1233.1300000000001"/>
    <s v="N/A"/>
    <s v=" "/>
  </r>
  <r>
    <s v="GL001994"/>
    <x v="476"/>
    <n v="4010"/>
    <x v="4"/>
    <n v="0"/>
    <n v="767.31"/>
    <x v="0"/>
    <s v="CC100"/>
    <s v="AutoPost 1994"/>
    <s v="USD"/>
    <s v="2024-01"/>
    <n v="767.31"/>
    <m/>
    <n v="767.31"/>
    <s v="N/A"/>
    <s v=" "/>
  </r>
  <r>
    <s v="GL001995"/>
    <x v="588"/>
    <n v="5010"/>
    <x v="3"/>
    <n v="719.33"/>
    <n v="0"/>
    <x v="2"/>
    <s v="CC300"/>
    <s v="AutoPost 1995"/>
    <s v="EUR"/>
    <s v="2025-06"/>
    <n v="-719.33"/>
    <m/>
    <n v="-719.33"/>
    <s v="N/A"/>
    <s v=" "/>
  </r>
  <r>
    <s v="GL001996"/>
    <x v="128"/>
    <n v="4000"/>
    <x v="0"/>
    <n v="0"/>
    <n v="2016.99"/>
    <x v="1"/>
    <s v="CC400"/>
    <s v="AutoPost 1996"/>
    <s v="CAD"/>
    <s v="2023-08"/>
    <n v="2016.99"/>
    <m/>
    <n v="2016.99"/>
    <s v="N/A"/>
    <s v=" "/>
  </r>
  <r>
    <s v="GL001997"/>
    <x v="52"/>
    <n v="4000"/>
    <x v="0"/>
    <n v="0"/>
    <n v="4719.37"/>
    <x v="5"/>
    <s v="CC100"/>
    <s v="AutoPost 1997"/>
    <s v="CAD"/>
    <s v="2023-11"/>
    <n v="4719.37"/>
    <m/>
    <n v="4719.37"/>
    <s v="N/A"/>
    <s v=" "/>
  </r>
  <r>
    <s v="GL001998"/>
    <x v="761"/>
    <n v="4010"/>
    <x v="4"/>
    <n v="0"/>
    <n v="4523.09"/>
    <x v="5"/>
    <s v="CC500"/>
    <s v="AutoPost 1998"/>
    <s v="AUD"/>
    <s v="2023-03"/>
    <n v="4523.09"/>
    <m/>
    <n v="4523.09"/>
    <s v="N/A"/>
    <s v=" "/>
  </r>
  <r>
    <s v="GL001999"/>
    <x v="261"/>
    <n v="4000"/>
    <x v="0"/>
    <n v="0"/>
    <n v="354.88"/>
    <x v="1"/>
    <s v="CC500"/>
    <s v="AutoPost 1999"/>
    <s v="USD"/>
    <s v="2024-09"/>
    <n v="354.88"/>
    <m/>
    <n v="354.88"/>
    <s v="N/A"/>
    <s v=" "/>
  </r>
  <r>
    <m/>
    <x v="815"/>
    <m/>
    <x v="5"/>
    <m/>
    <m/>
    <x v="6"/>
    <m/>
    <m/>
    <m/>
    <m/>
    <m/>
    <m/>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1">
  <r>
    <s v="GL000000"/>
    <d v="2024-05-05T00:00:00"/>
    <x v="0"/>
    <x v="0"/>
    <n v="0"/>
    <n v="2505.15"/>
    <x v="0"/>
    <x v="0"/>
    <s v="AutoPost 0"/>
    <s v="GBP"/>
    <x v="0"/>
    <n v="2505.15"/>
    <n v="41215.19"/>
    <n v="-38710.04"/>
    <n v="-0.93921779809822536"/>
    <x v="0"/>
    <x v="0"/>
  </r>
  <r>
    <s v="GL000001"/>
    <d v="2024-06-23T00:00:00"/>
    <x v="1"/>
    <x v="1"/>
    <n v="1184.73"/>
    <n v="0"/>
    <x v="1"/>
    <x v="0"/>
    <s v="AutoPost 1"/>
    <s v="GBP"/>
    <x v="1"/>
    <n v="-1184.73"/>
    <n v="79918.89"/>
    <n v="-81103.62"/>
    <n v="-1.0148241548399883"/>
    <x v="0"/>
    <x v="0"/>
  </r>
  <r>
    <s v="GL000002"/>
    <d v="2025-01-09T00:00:00"/>
    <x v="1"/>
    <x v="1"/>
    <n v="748.25"/>
    <n v="0"/>
    <x v="2"/>
    <x v="1"/>
    <s v="AutoPost 2"/>
    <s v="EUR"/>
    <x v="2"/>
    <n v="-748.25"/>
    <n v="92014.18"/>
    <n v="-92762.43"/>
    <n v="-1.0081318988008152"/>
    <x v="0"/>
    <x v="0"/>
  </r>
  <r>
    <s v="GL000003"/>
    <d v="2023-09-30T00:00:00"/>
    <x v="2"/>
    <x v="2"/>
    <n v="1610.64"/>
    <n v="0"/>
    <x v="0"/>
    <x v="2"/>
    <s v="AutoPost 3"/>
    <s v="AUD"/>
    <x v="3"/>
    <n v="-1610.64"/>
    <n v="117680.6"/>
    <n v="-119291.24"/>
    <n v="-1.0136865379680253"/>
    <x v="0"/>
    <x v="0"/>
  </r>
  <r>
    <s v="GL000004"/>
    <d v="2023-08-03T00:00:00"/>
    <x v="1"/>
    <x v="1"/>
    <n v="1053.1199999999999"/>
    <n v="0"/>
    <x v="1"/>
    <x v="2"/>
    <s v="AutoPost 4"/>
    <s v="USD"/>
    <x v="4"/>
    <n v="-1053.1199999999999"/>
    <n v="32925.71"/>
    <n v="-33978.83"/>
    <n v="-1.0319847316883979"/>
    <x v="0"/>
    <x v="0"/>
  </r>
  <r>
    <s v="GL000005"/>
    <d v="2025-05-11T00:00:00"/>
    <x v="2"/>
    <x v="2"/>
    <n v="1653.64"/>
    <n v="0"/>
    <x v="3"/>
    <x v="2"/>
    <s v="AutoPost 5"/>
    <s v="USD"/>
    <x v="5"/>
    <n v="-1653.64"/>
    <n v="75074.820000000007"/>
    <n v="-76728.460000000006"/>
    <n v="-1.0220265596374389"/>
    <x v="0"/>
    <x v="0"/>
  </r>
  <r>
    <s v="GL000006"/>
    <d v="2023-08-04T00:00:00"/>
    <x v="3"/>
    <x v="3"/>
    <n v="899.55"/>
    <n v="0"/>
    <x v="1"/>
    <x v="3"/>
    <s v="AutoPost 6"/>
    <s v="USD"/>
    <x v="4"/>
    <n v="-899.55"/>
    <n v="42503.06"/>
    <n v="-43402.61"/>
    <n v="-1.0211643585191279"/>
    <x v="0"/>
    <x v="0"/>
  </r>
  <r>
    <s v="GL000007"/>
    <d v="2023-12-22T00:00:00"/>
    <x v="2"/>
    <x v="2"/>
    <n v="247.27"/>
    <n v="0"/>
    <x v="3"/>
    <x v="0"/>
    <s v="AutoPost 7"/>
    <s v="USD"/>
    <x v="6"/>
    <n v="-247.27"/>
    <n v="31047.85"/>
    <n v="-31295.119999999999"/>
    <n v="-1.0079641585488206"/>
    <x v="0"/>
    <x v="0"/>
  </r>
  <r>
    <s v="GL000008"/>
    <d v="2024-04-30T00:00:00"/>
    <x v="1"/>
    <x v="1"/>
    <n v="202.02"/>
    <n v="0"/>
    <x v="4"/>
    <x v="1"/>
    <s v="AutoPost 8"/>
    <s v="GBP"/>
    <x v="7"/>
    <n v="-202.02"/>
    <n v="26040.63"/>
    <n v="-26242.65"/>
    <n v="-1.0077578768255606"/>
    <x v="0"/>
    <x v="0"/>
  </r>
  <r>
    <s v="GL000009"/>
    <d v="2023-04-13T00:00:00"/>
    <x v="1"/>
    <x v="1"/>
    <n v="1093.72"/>
    <n v="0"/>
    <x v="1"/>
    <x v="2"/>
    <s v="AutoPost 9"/>
    <s v="USD"/>
    <x v="8"/>
    <n v="-1093.72"/>
    <n v="125902.24"/>
    <n v="-126995.96"/>
    <n v="-1.0086870575138298"/>
    <x v="0"/>
    <x v="0"/>
  </r>
  <r>
    <s v="GL000010"/>
    <d v="2023-11-20T00:00:00"/>
    <x v="4"/>
    <x v="4"/>
    <n v="0"/>
    <n v="3282.35"/>
    <x v="3"/>
    <x v="4"/>
    <s v="AutoPost 10"/>
    <s v="CAD"/>
    <x v="9"/>
    <n v="3282.35"/>
    <n v="100055.73"/>
    <n v="-96773.37999999999"/>
    <n v="-0.96719478234779754"/>
    <x v="0"/>
    <x v="0"/>
  </r>
  <r>
    <s v="GL000011"/>
    <d v="2024-11-12T00:00:00"/>
    <x v="0"/>
    <x v="0"/>
    <n v="0"/>
    <n v="2452.1999999999998"/>
    <x v="3"/>
    <x v="3"/>
    <s v="AutoPost 11"/>
    <s v="EUR"/>
    <x v="10"/>
    <n v="2452.1999999999998"/>
    <n v="72786.960000000006"/>
    <n v="-70334.760000000009"/>
    <n v="-0.96630989946550871"/>
    <x v="0"/>
    <x v="0"/>
  </r>
  <r>
    <s v="GL000012"/>
    <d v="2024-05-25T00:00:00"/>
    <x v="0"/>
    <x v="0"/>
    <n v="0"/>
    <n v="3490.39"/>
    <x v="3"/>
    <x v="0"/>
    <s v="AutoPost 12"/>
    <s v="CAD"/>
    <x v="0"/>
    <n v="3490.39"/>
    <n v="93664.65"/>
    <n v="-90174.26"/>
    <n v="-0.96273524750265971"/>
    <x v="0"/>
    <x v="0"/>
  </r>
  <r>
    <s v="GL000013"/>
    <d v="2024-02-22T00:00:00"/>
    <x v="0"/>
    <x v="0"/>
    <n v="0"/>
    <n v="3379.63"/>
    <x v="0"/>
    <x v="4"/>
    <s v="AutoPost 13"/>
    <s v="CAD"/>
    <x v="11"/>
    <n v="3379.63"/>
    <n v="115140.75"/>
    <n v="-111761.12"/>
    <n v="-0.97064783753796979"/>
    <x v="0"/>
    <x v="0"/>
  </r>
  <r>
    <s v="GL000014"/>
    <d v="2025-04-29T00:00:00"/>
    <x v="4"/>
    <x v="4"/>
    <n v="0"/>
    <n v="1490.43"/>
    <x v="0"/>
    <x v="2"/>
    <s v="AutoPost 14"/>
    <s v="GBP"/>
    <x v="12"/>
    <n v="1490.43"/>
    <n v="73898.42"/>
    <n v="-72407.990000000005"/>
    <n v="-0.97983136851911057"/>
    <x v="0"/>
    <x v="0"/>
  </r>
  <r>
    <s v="GL000015"/>
    <d v="2023-04-02T00:00:00"/>
    <x v="1"/>
    <x v="1"/>
    <n v="1119.05"/>
    <n v="0"/>
    <x v="1"/>
    <x v="4"/>
    <s v="AutoPost 15"/>
    <s v="AUD"/>
    <x v="8"/>
    <n v="-1119.05"/>
    <n v="46637.67"/>
    <n v="-47756.72"/>
    <n v="-1.0239945520434448"/>
    <x v="0"/>
    <x v="0"/>
  </r>
  <r>
    <s v="GL000016"/>
    <d v="2025-03-06T00:00:00"/>
    <x v="4"/>
    <x v="4"/>
    <n v="0"/>
    <n v="4006.73"/>
    <x v="0"/>
    <x v="3"/>
    <s v="AutoPost 16"/>
    <s v="EUR"/>
    <x v="13"/>
    <n v="4006.73"/>
    <n v="44332.15"/>
    <n v="-40325.42"/>
    <n v="-0.90962021918630154"/>
    <x v="0"/>
    <x v="0"/>
  </r>
  <r>
    <s v="GL000017"/>
    <d v="2024-11-09T00:00:00"/>
    <x v="0"/>
    <x v="0"/>
    <n v="0"/>
    <n v="259.83999999999997"/>
    <x v="5"/>
    <x v="4"/>
    <s v="AutoPost 17"/>
    <s v="AUD"/>
    <x v="10"/>
    <n v="259.83999999999997"/>
    <n v="112743.3"/>
    <n v="-112483.46"/>
    <n v="-0.99769529541888524"/>
    <x v="0"/>
    <x v="0"/>
  </r>
  <r>
    <s v="GL000018"/>
    <d v="2023-01-27T00:00:00"/>
    <x v="3"/>
    <x v="3"/>
    <n v="735.45"/>
    <n v="0"/>
    <x v="2"/>
    <x v="4"/>
    <s v="AutoPost 18"/>
    <s v="CAD"/>
    <x v="14"/>
    <n v="-735.45"/>
    <n v="141475.81"/>
    <n v="-142211.26"/>
    <n v="-1.0051984151919682"/>
    <x v="0"/>
    <x v="0"/>
  </r>
  <r>
    <s v="GL000019"/>
    <d v="2024-09-02T00:00:00"/>
    <x v="1"/>
    <x v="1"/>
    <n v="154.43"/>
    <n v="0"/>
    <x v="5"/>
    <x v="1"/>
    <s v="AutoPost 19"/>
    <s v="CAD"/>
    <x v="15"/>
    <n v="-154.43"/>
    <n v="102519.44"/>
    <n v="-102673.87"/>
    <n v="-1.0015063484544979"/>
    <x v="0"/>
    <x v="0"/>
  </r>
  <r>
    <s v="GL000020"/>
    <d v="2024-03-28T00:00:00"/>
    <x v="2"/>
    <x v="2"/>
    <n v="359.1"/>
    <n v="0"/>
    <x v="2"/>
    <x v="1"/>
    <s v="AutoPost 20"/>
    <s v="CAD"/>
    <x v="16"/>
    <n v="-359.1"/>
    <n v="100318.84"/>
    <n v="-100677.94"/>
    <n v="-1.0035795868453026"/>
    <x v="0"/>
    <x v="0"/>
  </r>
  <r>
    <s v="GL000021"/>
    <d v="2023-07-01T00:00:00"/>
    <x v="4"/>
    <x v="4"/>
    <n v="0"/>
    <n v="1632.86"/>
    <x v="2"/>
    <x v="0"/>
    <s v="AutoPost 21"/>
    <s v="CAD"/>
    <x v="17"/>
    <n v="1632.86"/>
    <n v="51361.43"/>
    <n v="-49728.57"/>
    <n v="-0.96820843967934689"/>
    <x v="0"/>
    <x v="0"/>
  </r>
  <r>
    <s v="GL000022"/>
    <d v="2024-05-29T00:00:00"/>
    <x v="1"/>
    <x v="1"/>
    <n v="319.7"/>
    <n v="0"/>
    <x v="2"/>
    <x v="0"/>
    <s v="AutoPost 22"/>
    <s v="USD"/>
    <x v="0"/>
    <n v="-319.7"/>
    <n v="29263.69"/>
    <n v="-29583.39"/>
    <n v="-1.0109248013493857"/>
    <x v="0"/>
    <x v="0"/>
  </r>
  <r>
    <s v="GL000023"/>
    <d v="2023-03-22T00:00:00"/>
    <x v="1"/>
    <x v="1"/>
    <n v="546.02"/>
    <n v="0"/>
    <x v="2"/>
    <x v="3"/>
    <s v="AutoPost 23"/>
    <s v="CAD"/>
    <x v="18"/>
    <n v="-546.02"/>
    <n v="146937.60999999999"/>
    <n v="-147483.62999999998"/>
    <n v="-1.0037159989195414"/>
    <x v="0"/>
    <x v="0"/>
  </r>
  <r>
    <s v="GL000024"/>
    <d v="2023-04-09T00:00:00"/>
    <x v="3"/>
    <x v="3"/>
    <n v="267.04000000000002"/>
    <n v="0"/>
    <x v="1"/>
    <x v="3"/>
    <s v="AutoPost 24"/>
    <s v="AUD"/>
    <x v="8"/>
    <n v="-267.04000000000002"/>
    <n v="70700.52"/>
    <n v="-70967.56"/>
    <n v="-1.003777058499711"/>
    <x v="0"/>
    <x v="0"/>
  </r>
  <r>
    <s v="GL000025"/>
    <d v="2025-05-25T00:00:00"/>
    <x v="0"/>
    <x v="0"/>
    <n v="0"/>
    <n v="1650.08"/>
    <x v="2"/>
    <x v="3"/>
    <s v="AutoPost 25"/>
    <s v="USD"/>
    <x v="5"/>
    <n v="1650.08"/>
    <n v="61495.92"/>
    <n v="-59845.84"/>
    <n v="-0.97316765079699596"/>
    <x v="0"/>
    <x v="0"/>
  </r>
  <r>
    <s v="GL000026"/>
    <d v="2024-11-14T00:00:00"/>
    <x v="1"/>
    <x v="1"/>
    <n v="115"/>
    <n v="0"/>
    <x v="0"/>
    <x v="4"/>
    <s v="AutoPost 26"/>
    <s v="AUD"/>
    <x v="10"/>
    <n v="-115"/>
    <n v="55254.78"/>
    <n v="-55369.78"/>
    <n v="-1.0020812679011661"/>
    <x v="0"/>
    <x v="0"/>
  </r>
  <r>
    <s v="GL000027"/>
    <d v="2025-06-12T00:00:00"/>
    <x v="4"/>
    <x v="4"/>
    <n v="0"/>
    <n v="1073.4100000000001"/>
    <x v="0"/>
    <x v="2"/>
    <s v="AutoPost 27"/>
    <s v="AUD"/>
    <x v="19"/>
    <n v="1073.4100000000001"/>
    <n v="124523.7"/>
    <n v="-123450.29"/>
    <n v="-0.99137987387139959"/>
    <x v="0"/>
    <x v="0"/>
  </r>
  <r>
    <s v="GL000028"/>
    <d v="2025-03-19T00:00:00"/>
    <x v="4"/>
    <x v="4"/>
    <n v="0"/>
    <n v="3466"/>
    <x v="4"/>
    <x v="2"/>
    <s v="AutoPost 28"/>
    <s v="GBP"/>
    <x v="13"/>
    <n v="3466"/>
    <n v="81015.75"/>
    <n v="-77549.75"/>
    <n v="-0.9572181952274712"/>
    <x v="0"/>
    <x v="0"/>
  </r>
  <r>
    <s v="GL000029"/>
    <d v="2024-03-26T00:00:00"/>
    <x v="3"/>
    <x v="3"/>
    <n v="947.43"/>
    <n v="0"/>
    <x v="0"/>
    <x v="1"/>
    <s v="AutoPost 29"/>
    <s v="CAD"/>
    <x v="16"/>
    <n v="-947.43"/>
    <n v="55099.41"/>
    <n v="-56046.840000000004"/>
    <n v="-1.0171949209619486"/>
    <x v="0"/>
    <x v="0"/>
  </r>
  <r>
    <s v="GL000030"/>
    <d v="2024-01-07T00:00:00"/>
    <x v="4"/>
    <x v="4"/>
    <n v="0"/>
    <n v="4495.8900000000003"/>
    <x v="0"/>
    <x v="2"/>
    <s v="AutoPost 30"/>
    <s v="GBP"/>
    <x v="20"/>
    <n v="4495.8900000000003"/>
    <n v="120462.05"/>
    <n v="-115966.16"/>
    <n v="-0.96267795542247536"/>
    <x v="0"/>
    <x v="0"/>
  </r>
  <r>
    <s v="GL000031"/>
    <d v="2024-05-04T00:00:00"/>
    <x v="1"/>
    <x v="1"/>
    <n v="72.88"/>
    <n v="0"/>
    <x v="0"/>
    <x v="0"/>
    <s v="AutoPost 31"/>
    <s v="CAD"/>
    <x v="0"/>
    <n v="-72.88"/>
    <n v="90267.18"/>
    <n v="-90340.06"/>
    <n v="-1.000807380932915"/>
    <x v="0"/>
    <x v="0"/>
  </r>
  <r>
    <s v="GL000032"/>
    <d v="2023-01-15T00:00:00"/>
    <x v="4"/>
    <x v="4"/>
    <n v="0"/>
    <n v="867.61"/>
    <x v="2"/>
    <x v="0"/>
    <s v="AutoPost 32"/>
    <s v="AUD"/>
    <x v="14"/>
    <n v="867.61"/>
    <n v="116604.87"/>
    <n v="-115737.26"/>
    <n v="-0.9925594016785062"/>
    <x v="0"/>
    <x v="0"/>
  </r>
  <r>
    <s v="GL000033"/>
    <d v="2023-11-17T00:00:00"/>
    <x v="3"/>
    <x v="3"/>
    <n v="1416.83"/>
    <n v="0"/>
    <x v="5"/>
    <x v="0"/>
    <s v="AutoPost 33"/>
    <s v="USD"/>
    <x v="9"/>
    <n v="-1416.83"/>
    <n v="48595.51"/>
    <n v="-50012.340000000004"/>
    <n v="-1.0291555742495553"/>
    <x v="0"/>
    <x v="0"/>
  </r>
  <r>
    <s v="GL000034"/>
    <d v="2024-07-28T00:00:00"/>
    <x v="3"/>
    <x v="3"/>
    <n v="806.72"/>
    <n v="0"/>
    <x v="0"/>
    <x v="4"/>
    <s v="AutoPost 34"/>
    <s v="AUD"/>
    <x v="21"/>
    <n v="-806.72"/>
    <n v="28599.200000000001"/>
    <n v="-29405.920000000002"/>
    <n v="-1.0282077820358613"/>
    <x v="0"/>
    <x v="0"/>
  </r>
  <r>
    <s v="GL000035"/>
    <d v="2024-05-13T00:00:00"/>
    <x v="0"/>
    <x v="0"/>
    <n v="0"/>
    <n v="391.57"/>
    <x v="4"/>
    <x v="3"/>
    <s v="AutoPost 35"/>
    <s v="EUR"/>
    <x v="0"/>
    <n v="391.57"/>
    <n v="42077.120000000003"/>
    <n v="-41685.550000000003"/>
    <n v="-0.9906939923644964"/>
    <x v="0"/>
    <x v="0"/>
  </r>
  <r>
    <s v="GL000036"/>
    <d v="2025-04-20T00:00:00"/>
    <x v="1"/>
    <x v="1"/>
    <n v="248.09"/>
    <n v="0"/>
    <x v="4"/>
    <x v="0"/>
    <s v="AutoPost 36"/>
    <s v="EUR"/>
    <x v="12"/>
    <n v="-248.09"/>
    <n v="89482.9"/>
    <n v="-89730.989999999991"/>
    <n v="-1.0027724850222779"/>
    <x v="0"/>
    <x v="0"/>
  </r>
  <r>
    <s v="GL000037"/>
    <d v="2023-06-19T00:00:00"/>
    <x v="3"/>
    <x v="3"/>
    <n v="1469.2"/>
    <n v="0"/>
    <x v="2"/>
    <x v="0"/>
    <s v="AutoPost 37"/>
    <s v="USD"/>
    <x v="22"/>
    <n v="-1469.2"/>
    <n v="66730.62"/>
    <n v="-68199.819999999992"/>
    <n v="-1.022016879207776"/>
    <x v="0"/>
    <x v="0"/>
  </r>
  <r>
    <s v="GL000038"/>
    <d v="2025-01-03T00:00:00"/>
    <x v="2"/>
    <x v="2"/>
    <n v="1924.85"/>
    <n v="0"/>
    <x v="4"/>
    <x v="4"/>
    <s v="AutoPost 38"/>
    <s v="EUR"/>
    <x v="2"/>
    <n v="-1924.85"/>
    <n v="127969.04"/>
    <n v="-129893.89"/>
    <n v="-1.0150415287947774"/>
    <x v="0"/>
    <x v="0"/>
  </r>
  <r>
    <s v="GL000039"/>
    <d v="2024-02-03T00:00:00"/>
    <x v="3"/>
    <x v="3"/>
    <n v="1416.63"/>
    <n v="0"/>
    <x v="2"/>
    <x v="2"/>
    <s v="AutoPost 39"/>
    <s v="CAD"/>
    <x v="11"/>
    <n v="-1416.63"/>
    <n v="98859.83"/>
    <n v="-100276.46"/>
    <n v="-1.0143296827437394"/>
    <x v="0"/>
    <x v="0"/>
  </r>
  <r>
    <s v="GL000040"/>
    <d v="2024-12-22T00:00:00"/>
    <x v="2"/>
    <x v="2"/>
    <n v="358.23"/>
    <n v="0"/>
    <x v="0"/>
    <x v="2"/>
    <s v="AutoPost 40"/>
    <s v="AUD"/>
    <x v="23"/>
    <n v="-358.23"/>
    <n v="75571.7"/>
    <n v="-75929.929999999993"/>
    <n v="-1.0047402665283431"/>
    <x v="0"/>
    <x v="0"/>
  </r>
  <r>
    <s v="GL000041"/>
    <d v="2023-09-27T00:00:00"/>
    <x v="3"/>
    <x v="3"/>
    <n v="1647.4"/>
    <n v="0"/>
    <x v="1"/>
    <x v="4"/>
    <s v="AutoPost 41"/>
    <s v="EUR"/>
    <x v="3"/>
    <n v="-1647.4"/>
    <n v="130984.44"/>
    <n v="-132631.84"/>
    <n v="-1.0125770664057501"/>
    <x v="0"/>
    <x v="0"/>
  </r>
  <r>
    <s v="GL000042"/>
    <d v="2023-02-08T00:00:00"/>
    <x v="1"/>
    <x v="1"/>
    <n v="945.76"/>
    <n v="0"/>
    <x v="3"/>
    <x v="1"/>
    <s v="AutoPost 42"/>
    <s v="AUD"/>
    <x v="24"/>
    <n v="-945.76"/>
    <n v="89085.04"/>
    <n v="-90030.799999999988"/>
    <n v="-1.0106163728500317"/>
    <x v="0"/>
    <x v="0"/>
  </r>
  <r>
    <s v="GL000043"/>
    <d v="2023-03-15T00:00:00"/>
    <x v="2"/>
    <x v="2"/>
    <n v="941.14"/>
    <n v="0"/>
    <x v="4"/>
    <x v="2"/>
    <s v="AutoPost 43"/>
    <s v="EUR"/>
    <x v="18"/>
    <n v="-941.14"/>
    <n v="116081.08"/>
    <n v="-117022.22"/>
    <n v="-1.0081076089230046"/>
    <x v="0"/>
    <x v="0"/>
  </r>
  <r>
    <s v="GL000044"/>
    <d v="2024-08-28T00:00:00"/>
    <x v="2"/>
    <x v="2"/>
    <n v="142.16"/>
    <n v="0"/>
    <x v="5"/>
    <x v="3"/>
    <s v="AutoPost 44"/>
    <s v="EUR"/>
    <x v="25"/>
    <n v="-142.16"/>
    <n v="64640.45"/>
    <n v="-64782.61"/>
    <n v="-1.0021992421154247"/>
    <x v="0"/>
    <x v="0"/>
  </r>
  <r>
    <s v="GL000045"/>
    <d v="2024-03-19T00:00:00"/>
    <x v="4"/>
    <x v="4"/>
    <n v="0"/>
    <n v="1368.77"/>
    <x v="3"/>
    <x v="0"/>
    <s v="AutoPost 45"/>
    <s v="EUR"/>
    <x v="16"/>
    <n v="1368.77"/>
    <n v="21211.21"/>
    <n v="-19842.439999999999"/>
    <n v="-0.93546949938263779"/>
    <x v="0"/>
    <x v="0"/>
  </r>
  <r>
    <s v="GL000046"/>
    <d v="2023-01-25T00:00:00"/>
    <x v="0"/>
    <x v="0"/>
    <n v="0"/>
    <n v="2507.52"/>
    <x v="3"/>
    <x v="2"/>
    <s v="AutoPost 46"/>
    <s v="EUR"/>
    <x v="14"/>
    <n v="2507.52"/>
    <n v="37532.769999999997"/>
    <n v="-35025.25"/>
    <n v="-0.93319118199909046"/>
    <x v="0"/>
    <x v="0"/>
  </r>
  <r>
    <s v="GL000047"/>
    <d v="2024-03-08T00:00:00"/>
    <x v="0"/>
    <x v="0"/>
    <n v="0"/>
    <n v="1744.89"/>
    <x v="4"/>
    <x v="2"/>
    <s v="AutoPost 47"/>
    <s v="USD"/>
    <x v="16"/>
    <n v="1744.89"/>
    <n v="28580.31"/>
    <n v="-26835.420000000002"/>
    <n v="-0.93894782806764521"/>
    <x v="0"/>
    <x v="0"/>
  </r>
  <r>
    <s v="GL000048"/>
    <d v="2025-05-11T00:00:00"/>
    <x v="2"/>
    <x v="2"/>
    <n v="1408.09"/>
    <n v="0"/>
    <x v="2"/>
    <x v="2"/>
    <s v="AutoPost 48"/>
    <s v="CAD"/>
    <x v="5"/>
    <n v="-1408.09"/>
    <m/>
    <n v="-1408.09"/>
    <s v="N/A"/>
    <x v="1"/>
    <x v="0"/>
  </r>
  <r>
    <s v="GL000049"/>
    <d v="2023-03-14T00:00:00"/>
    <x v="2"/>
    <x v="2"/>
    <n v="480.19"/>
    <n v="0"/>
    <x v="3"/>
    <x v="4"/>
    <s v="AutoPost 49"/>
    <s v="EUR"/>
    <x v="18"/>
    <n v="-480.19"/>
    <m/>
    <n v="-480.19"/>
    <s v="N/A"/>
    <x v="1"/>
    <x v="0"/>
  </r>
  <r>
    <s v="GL000050"/>
    <d v="2024-09-18T00:00:00"/>
    <x v="1"/>
    <x v="1"/>
    <n v="1444.62"/>
    <n v="0"/>
    <x v="3"/>
    <x v="4"/>
    <s v="AutoPost 50"/>
    <s v="CAD"/>
    <x v="15"/>
    <n v="-1444.62"/>
    <m/>
    <n v="-1444.62"/>
    <s v="N/A"/>
    <x v="1"/>
    <x v="0"/>
  </r>
  <r>
    <s v="GL000051"/>
    <d v="2024-10-26T00:00:00"/>
    <x v="0"/>
    <x v="0"/>
    <n v="0"/>
    <n v="4456.24"/>
    <x v="1"/>
    <x v="2"/>
    <s v="AutoPost 51"/>
    <s v="CAD"/>
    <x v="26"/>
    <n v="4456.24"/>
    <m/>
    <n v="4456.24"/>
    <s v="N/A"/>
    <x v="1"/>
    <x v="1"/>
  </r>
  <r>
    <s v="GL000052"/>
    <d v="2025-06-09T00:00:00"/>
    <x v="0"/>
    <x v="0"/>
    <n v="0"/>
    <n v="4800.28"/>
    <x v="5"/>
    <x v="2"/>
    <s v="AutoPost 52"/>
    <s v="CAD"/>
    <x v="19"/>
    <n v="4800.28"/>
    <m/>
    <n v="4800.28"/>
    <s v="N/A"/>
    <x v="1"/>
    <x v="1"/>
  </r>
  <r>
    <s v="GL000053"/>
    <d v="2023-11-19T00:00:00"/>
    <x v="1"/>
    <x v="1"/>
    <n v="425.12"/>
    <n v="0"/>
    <x v="3"/>
    <x v="0"/>
    <s v="AutoPost 53"/>
    <s v="AUD"/>
    <x v="9"/>
    <n v="-425.12"/>
    <m/>
    <n v="-425.12"/>
    <s v="N/A"/>
    <x v="1"/>
    <x v="0"/>
  </r>
  <r>
    <s v="GL000054"/>
    <d v="2024-04-26T00:00:00"/>
    <x v="2"/>
    <x v="2"/>
    <n v="1830.18"/>
    <n v="0"/>
    <x v="4"/>
    <x v="0"/>
    <s v="AutoPost 54"/>
    <s v="EUR"/>
    <x v="7"/>
    <n v="-1830.18"/>
    <m/>
    <n v="-1830.18"/>
    <s v="N/A"/>
    <x v="1"/>
    <x v="0"/>
  </r>
  <r>
    <s v="GL000055"/>
    <d v="2024-11-02T00:00:00"/>
    <x v="0"/>
    <x v="0"/>
    <n v="0"/>
    <n v="4128.6400000000003"/>
    <x v="0"/>
    <x v="4"/>
    <s v="AutoPost 55"/>
    <s v="AUD"/>
    <x v="10"/>
    <n v="4128.6400000000003"/>
    <m/>
    <n v="4128.6400000000003"/>
    <s v="N/A"/>
    <x v="1"/>
    <x v="1"/>
  </r>
  <r>
    <s v="GL000056"/>
    <d v="2023-04-25T00:00:00"/>
    <x v="1"/>
    <x v="1"/>
    <n v="609.79999999999995"/>
    <n v="0"/>
    <x v="1"/>
    <x v="1"/>
    <s v="AutoPost 56"/>
    <s v="CAD"/>
    <x v="8"/>
    <n v="-609.79999999999995"/>
    <m/>
    <n v="-609.79999999999995"/>
    <s v="N/A"/>
    <x v="1"/>
    <x v="0"/>
  </r>
  <r>
    <s v="GL000057"/>
    <d v="2023-12-19T00:00:00"/>
    <x v="3"/>
    <x v="3"/>
    <n v="279.32"/>
    <n v="0"/>
    <x v="3"/>
    <x v="2"/>
    <s v="AutoPost 57"/>
    <s v="USD"/>
    <x v="6"/>
    <n v="-279.32"/>
    <m/>
    <n v="-279.32"/>
    <s v="N/A"/>
    <x v="1"/>
    <x v="0"/>
  </r>
  <r>
    <s v="GL000058"/>
    <d v="2024-09-11T00:00:00"/>
    <x v="4"/>
    <x v="4"/>
    <n v="0"/>
    <n v="1790.31"/>
    <x v="4"/>
    <x v="0"/>
    <s v="AutoPost 58"/>
    <s v="CAD"/>
    <x v="15"/>
    <n v="1790.31"/>
    <m/>
    <n v="1790.31"/>
    <s v="N/A"/>
    <x v="1"/>
    <x v="1"/>
  </r>
  <r>
    <s v="GL000059"/>
    <d v="2024-02-02T00:00:00"/>
    <x v="3"/>
    <x v="3"/>
    <n v="1635.65"/>
    <n v="0"/>
    <x v="1"/>
    <x v="2"/>
    <s v="AutoPost 59"/>
    <s v="CAD"/>
    <x v="11"/>
    <n v="-1635.65"/>
    <m/>
    <n v="-1635.65"/>
    <s v="N/A"/>
    <x v="1"/>
    <x v="0"/>
  </r>
  <r>
    <s v="GL000060"/>
    <d v="2024-04-30T00:00:00"/>
    <x v="0"/>
    <x v="0"/>
    <n v="0"/>
    <n v="3300.5"/>
    <x v="4"/>
    <x v="2"/>
    <s v="AutoPost 60"/>
    <s v="USD"/>
    <x v="7"/>
    <n v="3300.5"/>
    <m/>
    <n v="3300.5"/>
    <s v="N/A"/>
    <x v="1"/>
    <x v="1"/>
  </r>
  <r>
    <s v="GL000061"/>
    <d v="2024-06-22T00:00:00"/>
    <x v="2"/>
    <x v="2"/>
    <n v="1704.76"/>
    <n v="0"/>
    <x v="3"/>
    <x v="1"/>
    <s v="AutoPost 61"/>
    <s v="AUD"/>
    <x v="1"/>
    <n v="-1704.76"/>
    <m/>
    <n v="-1704.76"/>
    <s v="N/A"/>
    <x v="1"/>
    <x v="0"/>
  </r>
  <r>
    <s v="GL000062"/>
    <d v="2023-09-16T00:00:00"/>
    <x v="3"/>
    <x v="3"/>
    <n v="145.25"/>
    <n v="0"/>
    <x v="2"/>
    <x v="1"/>
    <s v="AutoPost 62"/>
    <s v="EUR"/>
    <x v="3"/>
    <n v="-145.25"/>
    <m/>
    <n v="-145.25"/>
    <s v="N/A"/>
    <x v="1"/>
    <x v="0"/>
  </r>
  <r>
    <s v="GL000063"/>
    <d v="2024-08-25T00:00:00"/>
    <x v="2"/>
    <x v="2"/>
    <n v="1423.44"/>
    <n v="0"/>
    <x v="3"/>
    <x v="1"/>
    <s v="AutoPost 63"/>
    <s v="EUR"/>
    <x v="25"/>
    <n v="-1423.44"/>
    <m/>
    <n v="-1423.44"/>
    <s v="N/A"/>
    <x v="1"/>
    <x v="0"/>
  </r>
  <r>
    <s v="GL000064"/>
    <d v="2023-09-03T00:00:00"/>
    <x v="3"/>
    <x v="3"/>
    <n v="793.01"/>
    <n v="0"/>
    <x v="2"/>
    <x v="4"/>
    <s v="AutoPost 64"/>
    <s v="CAD"/>
    <x v="3"/>
    <n v="-793.01"/>
    <m/>
    <n v="-793.01"/>
    <s v="N/A"/>
    <x v="1"/>
    <x v="0"/>
  </r>
  <r>
    <s v="GL000065"/>
    <d v="2023-02-27T00:00:00"/>
    <x v="4"/>
    <x v="4"/>
    <n v="0"/>
    <n v="2977.78"/>
    <x v="3"/>
    <x v="1"/>
    <s v="AutoPost 65"/>
    <s v="USD"/>
    <x v="24"/>
    <n v="2977.78"/>
    <m/>
    <n v="2977.78"/>
    <s v="N/A"/>
    <x v="1"/>
    <x v="1"/>
  </r>
  <r>
    <s v="GL000066"/>
    <d v="2023-10-15T00:00:00"/>
    <x v="3"/>
    <x v="3"/>
    <n v="1212.6500000000001"/>
    <n v="0"/>
    <x v="5"/>
    <x v="0"/>
    <s v="AutoPost 66"/>
    <s v="EUR"/>
    <x v="27"/>
    <n v="-1212.6500000000001"/>
    <m/>
    <n v="-1212.6500000000001"/>
    <s v="N/A"/>
    <x v="1"/>
    <x v="0"/>
  </r>
  <r>
    <s v="GL000067"/>
    <d v="2025-05-01T00:00:00"/>
    <x v="0"/>
    <x v="0"/>
    <n v="0"/>
    <n v="1204.96"/>
    <x v="5"/>
    <x v="1"/>
    <s v="AutoPost 67"/>
    <s v="GBP"/>
    <x v="5"/>
    <n v="1204.96"/>
    <m/>
    <n v="1204.96"/>
    <s v="N/A"/>
    <x v="1"/>
    <x v="1"/>
  </r>
  <r>
    <s v="GL000068"/>
    <d v="2025-06-23T00:00:00"/>
    <x v="3"/>
    <x v="3"/>
    <n v="1735.7"/>
    <n v="0"/>
    <x v="3"/>
    <x v="4"/>
    <s v="AutoPost 68"/>
    <s v="USD"/>
    <x v="19"/>
    <n v="-1735.7"/>
    <m/>
    <n v="-1735.7"/>
    <s v="N/A"/>
    <x v="1"/>
    <x v="0"/>
  </r>
  <r>
    <s v="GL000069"/>
    <d v="2025-06-18T00:00:00"/>
    <x v="2"/>
    <x v="2"/>
    <n v="1095.32"/>
    <n v="0"/>
    <x v="4"/>
    <x v="0"/>
    <s v="AutoPost 69"/>
    <s v="AUD"/>
    <x v="19"/>
    <n v="-1095.32"/>
    <m/>
    <n v="-1095.32"/>
    <s v="N/A"/>
    <x v="1"/>
    <x v="0"/>
  </r>
  <r>
    <s v="GL000070"/>
    <d v="2024-05-18T00:00:00"/>
    <x v="2"/>
    <x v="2"/>
    <n v="553.17999999999995"/>
    <n v="0"/>
    <x v="2"/>
    <x v="1"/>
    <s v="AutoPost 70"/>
    <s v="USD"/>
    <x v="0"/>
    <n v="-553.17999999999995"/>
    <m/>
    <n v="-553.17999999999995"/>
    <s v="N/A"/>
    <x v="1"/>
    <x v="0"/>
  </r>
  <r>
    <s v="GL000071"/>
    <d v="2025-05-04T00:00:00"/>
    <x v="0"/>
    <x v="0"/>
    <n v="0"/>
    <n v="2434.5500000000002"/>
    <x v="4"/>
    <x v="1"/>
    <s v="AutoPost 71"/>
    <s v="CAD"/>
    <x v="5"/>
    <n v="2434.5500000000002"/>
    <m/>
    <n v="2434.5500000000002"/>
    <s v="N/A"/>
    <x v="1"/>
    <x v="1"/>
  </r>
  <r>
    <s v="GL000072"/>
    <d v="2024-02-21T00:00:00"/>
    <x v="1"/>
    <x v="1"/>
    <n v="156.53"/>
    <n v="0"/>
    <x v="4"/>
    <x v="0"/>
    <s v="AutoPost 72"/>
    <s v="USD"/>
    <x v="11"/>
    <n v="-156.53"/>
    <m/>
    <n v="-156.53"/>
    <s v="N/A"/>
    <x v="1"/>
    <x v="0"/>
  </r>
  <r>
    <s v="GL000073"/>
    <d v="2025-02-02T00:00:00"/>
    <x v="2"/>
    <x v="2"/>
    <n v="1231.32"/>
    <n v="0"/>
    <x v="1"/>
    <x v="3"/>
    <s v="AutoPost 73"/>
    <s v="GBP"/>
    <x v="28"/>
    <n v="-1231.32"/>
    <m/>
    <n v="-1231.32"/>
    <s v="N/A"/>
    <x v="1"/>
    <x v="0"/>
  </r>
  <r>
    <s v="GL000074"/>
    <d v="2024-09-16T00:00:00"/>
    <x v="3"/>
    <x v="3"/>
    <n v="1844.88"/>
    <n v="0"/>
    <x v="0"/>
    <x v="4"/>
    <s v="AutoPost 74"/>
    <s v="AUD"/>
    <x v="15"/>
    <n v="-1844.88"/>
    <m/>
    <n v="-1844.88"/>
    <s v="N/A"/>
    <x v="1"/>
    <x v="0"/>
  </r>
  <r>
    <s v="GL000075"/>
    <d v="2025-04-04T00:00:00"/>
    <x v="3"/>
    <x v="3"/>
    <n v="1368.26"/>
    <n v="0"/>
    <x v="4"/>
    <x v="0"/>
    <s v="AutoPost 75"/>
    <s v="GBP"/>
    <x v="12"/>
    <n v="-1368.26"/>
    <m/>
    <n v="-1368.26"/>
    <s v="N/A"/>
    <x v="1"/>
    <x v="0"/>
  </r>
  <r>
    <s v="GL000076"/>
    <d v="2024-05-25T00:00:00"/>
    <x v="0"/>
    <x v="0"/>
    <n v="0"/>
    <n v="2609.56"/>
    <x v="0"/>
    <x v="2"/>
    <s v="AutoPost 76"/>
    <s v="GBP"/>
    <x v="0"/>
    <n v="2609.56"/>
    <m/>
    <n v="2609.56"/>
    <s v="N/A"/>
    <x v="1"/>
    <x v="1"/>
  </r>
  <r>
    <s v="GL000077"/>
    <d v="2023-03-27T00:00:00"/>
    <x v="2"/>
    <x v="2"/>
    <n v="1420.84"/>
    <n v="0"/>
    <x v="2"/>
    <x v="2"/>
    <s v="AutoPost 77"/>
    <s v="AUD"/>
    <x v="18"/>
    <n v="-1420.84"/>
    <m/>
    <n v="-1420.84"/>
    <s v="N/A"/>
    <x v="1"/>
    <x v="0"/>
  </r>
  <r>
    <s v="GL000078"/>
    <d v="2025-03-26T00:00:00"/>
    <x v="1"/>
    <x v="1"/>
    <n v="1671.57"/>
    <n v="0"/>
    <x v="4"/>
    <x v="1"/>
    <s v="AutoPost 78"/>
    <s v="GBP"/>
    <x v="13"/>
    <n v="-1671.57"/>
    <m/>
    <n v="-1671.57"/>
    <s v="N/A"/>
    <x v="1"/>
    <x v="0"/>
  </r>
  <r>
    <s v="GL000079"/>
    <d v="2023-03-16T00:00:00"/>
    <x v="2"/>
    <x v="2"/>
    <n v="498.83"/>
    <n v="0"/>
    <x v="5"/>
    <x v="1"/>
    <s v="AutoPost 79"/>
    <s v="AUD"/>
    <x v="18"/>
    <n v="-498.83"/>
    <m/>
    <n v="-498.83"/>
    <s v="N/A"/>
    <x v="1"/>
    <x v="0"/>
  </r>
  <r>
    <s v="GL000080"/>
    <d v="2025-05-22T00:00:00"/>
    <x v="3"/>
    <x v="3"/>
    <n v="1528.9"/>
    <n v="0"/>
    <x v="0"/>
    <x v="3"/>
    <s v="AutoPost 80"/>
    <s v="USD"/>
    <x v="5"/>
    <n v="-1528.9"/>
    <m/>
    <n v="-1528.9"/>
    <s v="N/A"/>
    <x v="1"/>
    <x v="0"/>
  </r>
  <r>
    <s v="GL000081"/>
    <d v="2023-09-03T00:00:00"/>
    <x v="0"/>
    <x v="0"/>
    <n v="0"/>
    <n v="4706.6099999999997"/>
    <x v="2"/>
    <x v="1"/>
    <s v="AutoPost 81"/>
    <s v="EUR"/>
    <x v="3"/>
    <n v="4706.6099999999997"/>
    <m/>
    <n v="4706.6099999999997"/>
    <s v="N/A"/>
    <x v="1"/>
    <x v="1"/>
  </r>
  <r>
    <s v="GL000082"/>
    <d v="2023-12-24T00:00:00"/>
    <x v="3"/>
    <x v="3"/>
    <n v="1105.6300000000001"/>
    <n v="0"/>
    <x v="0"/>
    <x v="1"/>
    <s v="AutoPost 82"/>
    <s v="AUD"/>
    <x v="6"/>
    <n v="-1105.6300000000001"/>
    <m/>
    <n v="-1105.6300000000001"/>
    <s v="N/A"/>
    <x v="1"/>
    <x v="0"/>
  </r>
  <r>
    <s v="GL000083"/>
    <d v="2023-10-23T00:00:00"/>
    <x v="4"/>
    <x v="4"/>
    <n v="0"/>
    <n v="3399.04"/>
    <x v="2"/>
    <x v="3"/>
    <s v="AutoPost 83"/>
    <s v="AUD"/>
    <x v="27"/>
    <n v="3399.04"/>
    <m/>
    <n v="3399.04"/>
    <s v="N/A"/>
    <x v="1"/>
    <x v="1"/>
  </r>
  <r>
    <s v="GL000084"/>
    <d v="2023-12-31T00:00:00"/>
    <x v="3"/>
    <x v="3"/>
    <n v="1163.98"/>
    <n v="0"/>
    <x v="0"/>
    <x v="4"/>
    <s v="AutoPost 84"/>
    <s v="GBP"/>
    <x v="6"/>
    <n v="-1163.98"/>
    <m/>
    <n v="-1163.98"/>
    <s v="N/A"/>
    <x v="1"/>
    <x v="0"/>
  </r>
  <r>
    <s v="GL000085"/>
    <d v="2023-10-22T00:00:00"/>
    <x v="0"/>
    <x v="0"/>
    <n v="0"/>
    <n v="3532.66"/>
    <x v="2"/>
    <x v="1"/>
    <s v="AutoPost 85"/>
    <s v="USD"/>
    <x v="27"/>
    <n v="3532.66"/>
    <m/>
    <n v="3532.66"/>
    <s v="N/A"/>
    <x v="1"/>
    <x v="1"/>
  </r>
  <r>
    <s v="GL000086"/>
    <d v="2025-02-21T00:00:00"/>
    <x v="3"/>
    <x v="3"/>
    <n v="1395.59"/>
    <n v="0"/>
    <x v="1"/>
    <x v="4"/>
    <s v="AutoPost 86"/>
    <s v="USD"/>
    <x v="28"/>
    <n v="-1395.59"/>
    <m/>
    <n v="-1395.59"/>
    <s v="N/A"/>
    <x v="1"/>
    <x v="0"/>
  </r>
  <r>
    <s v="GL000087"/>
    <d v="2024-11-22T00:00:00"/>
    <x v="1"/>
    <x v="1"/>
    <n v="1441.07"/>
    <n v="0"/>
    <x v="4"/>
    <x v="4"/>
    <s v="AutoPost 87"/>
    <s v="CAD"/>
    <x v="10"/>
    <n v="-1441.07"/>
    <m/>
    <n v="-1441.07"/>
    <s v="N/A"/>
    <x v="1"/>
    <x v="0"/>
  </r>
  <r>
    <s v="GL000088"/>
    <d v="2023-12-15T00:00:00"/>
    <x v="4"/>
    <x v="4"/>
    <n v="0"/>
    <n v="3845.76"/>
    <x v="0"/>
    <x v="0"/>
    <s v="AutoPost 88"/>
    <s v="USD"/>
    <x v="6"/>
    <n v="3845.76"/>
    <m/>
    <n v="3845.76"/>
    <s v="N/A"/>
    <x v="1"/>
    <x v="1"/>
  </r>
  <r>
    <s v="GL000089"/>
    <d v="2023-07-28T00:00:00"/>
    <x v="2"/>
    <x v="2"/>
    <n v="1448.69"/>
    <n v="0"/>
    <x v="3"/>
    <x v="1"/>
    <s v="AutoPost 89"/>
    <s v="CAD"/>
    <x v="17"/>
    <n v="-1448.69"/>
    <m/>
    <n v="-1448.69"/>
    <s v="N/A"/>
    <x v="1"/>
    <x v="0"/>
  </r>
  <r>
    <s v="GL000090"/>
    <d v="2024-04-14T00:00:00"/>
    <x v="1"/>
    <x v="1"/>
    <n v="74.5"/>
    <n v="0"/>
    <x v="2"/>
    <x v="0"/>
    <s v="AutoPost 90"/>
    <s v="GBP"/>
    <x v="7"/>
    <n v="-74.5"/>
    <m/>
    <n v="-74.5"/>
    <s v="N/A"/>
    <x v="1"/>
    <x v="0"/>
  </r>
  <r>
    <s v="GL000091"/>
    <d v="2024-11-24T00:00:00"/>
    <x v="0"/>
    <x v="0"/>
    <n v="0"/>
    <n v="1071.73"/>
    <x v="5"/>
    <x v="2"/>
    <s v="AutoPost 91"/>
    <s v="USD"/>
    <x v="10"/>
    <n v="1071.73"/>
    <m/>
    <n v="1071.73"/>
    <s v="N/A"/>
    <x v="1"/>
    <x v="1"/>
  </r>
  <r>
    <s v="GL000092"/>
    <d v="2025-02-21T00:00:00"/>
    <x v="1"/>
    <x v="1"/>
    <n v="1875.56"/>
    <n v="0"/>
    <x v="4"/>
    <x v="1"/>
    <s v="AutoPost 92"/>
    <s v="GBP"/>
    <x v="28"/>
    <n v="-1875.56"/>
    <m/>
    <n v="-1875.56"/>
    <s v="N/A"/>
    <x v="1"/>
    <x v="0"/>
  </r>
  <r>
    <s v="GL000093"/>
    <d v="2024-05-12T00:00:00"/>
    <x v="2"/>
    <x v="2"/>
    <n v="1449.67"/>
    <n v="0"/>
    <x v="0"/>
    <x v="3"/>
    <s v="AutoPost 93"/>
    <s v="USD"/>
    <x v="0"/>
    <n v="-1449.67"/>
    <m/>
    <n v="-1449.67"/>
    <s v="N/A"/>
    <x v="1"/>
    <x v="0"/>
  </r>
  <r>
    <s v="GL000094"/>
    <d v="2023-10-16T00:00:00"/>
    <x v="1"/>
    <x v="1"/>
    <n v="1782.21"/>
    <n v="0"/>
    <x v="5"/>
    <x v="0"/>
    <s v="AutoPost 94"/>
    <s v="AUD"/>
    <x v="27"/>
    <n v="-1782.21"/>
    <m/>
    <n v="-1782.21"/>
    <s v="N/A"/>
    <x v="1"/>
    <x v="0"/>
  </r>
  <r>
    <s v="GL000095"/>
    <d v="2023-04-25T00:00:00"/>
    <x v="4"/>
    <x v="4"/>
    <n v="0"/>
    <n v="4889.25"/>
    <x v="5"/>
    <x v="1"/>
    <s v="AutoPost 95"/>
    <s v="AUD"/>
    <x v="8"/>
    <n v="4889.25"/>
    <m/>
    <n v="4889.25"/>
    <s v="N/A"/>
    <x v="1"/>
    <x v="1"/>
  </r>
  <r>
    <s v="GL000096"/>
    <d v="2023-10-12T00:00:00"/>
    <x v="2"/>
    <x v="2"/>
    <n v="1101.33"/>
    <n v="0"/>
    <x v="0"/>
    <x v="0"/>
    <s v="AutoPost 96"/>
    <s v="GBP"/>
    <x v="27"/>
    <n v="-1101.33"/>
    <m/>
    <n v="-1101.33"/>
    <s v="N/A"/>
    <x v="1"/>
    <x v="0"/>
  </r>
  <r>
    <s v="GL000097"/>
    <d v="2025-05-12T00:00:00"/>
    <x v="3"/>
    <x v="3"/>
    <n v="121.65"/>
    <n v="0"/>
    <x v="1"/>
    <x v="3"/>
    <s v="AutoPost 97"/>
    <s v="USD"/>
    <x v="5"/>
    <n v="-121.65"/>
    <m/>
    <n v="-121.65"/>
    <s v="N/A"/>
    <x v="1"/>
    <x v="0"/>
  </r>
  <r>
    <s v="GL000098"/>
    <d v="2023-02-15T00:00:00"/>
    <x v="3"/>
    <x v="3"/>
    <n v="137.87"/>
    <n v="0"/>
    <x v="0"/>
    <x v="0"/>
    <s v="AutoPost 98"/>
    <s v="AUD"/>
    <x v="24"/>
    <n v="-137.87"/>
    <m/>
    <n v="-137.87"/>
    <s v="N/A"/>
    <x v="1"/>
    <x v="0"/>
  </r>
  <r>
    <s v="GL000099"/>
    <d v="2023-01-09T00:00:00"/>
    <x v="0"/>
    <x v="0"/>
    <n v="0"/>
    <n v="792.94"/>
    <x v="4"/>
    <x v="2"/>
    <s v="AutoPost 99"/>
    <s v="CAD"/>
    <x v="14"/>
    <n v="792.94"/>
    <m/>
    <n v="792.94"/>
    <s v="N/A"/>
    <x v="1"/>
    <x v="1"/>
  </r>
  <r>
    <s v="GL000100"/>
    <d v="2025-01-10T00:00:00"/>
    <x v="4"/>
    <x v="4"/>
    <n v="0"/>
    <n v="1346.1"/>
    <x v="1"/>
    <x v="1"/>
    <s v="AutoPost 100"/>
    <s v="USD"/>
    <x v="2"/>
    <n v="1346.1"/>
    <m/>
    <n v="1346.1"/>
    <s v="N/A"/>
    <x v="1"/>
    <x v="1"/>
  </r>
  <r>
    <s v="GL000101"/>
    <d v="2024-07-05T00:00:00"/>
    <x v="4"/>
    <x v="4"/>
    <n v="0"/>
    <n v="961.26"/>
    <x v="5"/>
    <x v="1"/>
    <s v="AutoPost 101"/>
    <s v="CAD"/>
    <x v="21"/>
    <n v="961.26"/>
    <m/>
    <n v="961.26"/>
    <s v="N/A"/>
    <x v="1"/>
    <x v="1"/>
  </r>
  <r>
    <s v="GL000102"/>
    <d v="2024-10-07T00:00:00"/>
    <x v="1"/>
    <x v="1"/>
    <n v="421.91"/>
    <n v="0"/>
    <x v="5"/>
    <x v="1"/>
    <s v="AutoPost 102"/>
    <s v="EUR"/>
    <x v="26"/>
    <n v="-421.91"/>
    <m/>
    <n v="-421.91"/>
    <s v="N/A"/>
    <x v="1"/>
    <x v="0"/>
  </r>
  <r>
    <s v="GL000103"/>
    <d v="2025-05-22T00:00:00"/>
    <x v="0"/>
    <x v="0"/>
    <n v="0"/>
    <n v="1902.45"/>
    <x v="2"/>
    <x v="0"/>
    <s v="AutoPost 103"/>
    <s v="GBP"/>
    <x v="5"/>
    <n v="1902.45"/>
    <m/>
    <n v="1902.45"/>
    <s v="N/A"/>
    <x v="1"/>
    <x v="1"/>
  </r>
  <r>
    <s v="GL000104"/>
    <d v="2023-09-01T00:00:00"/>
    <x v="2"/>
    <x v="2"/>
    <n v="764.96"/>
    <n v="0"/>
    <x v="4"/>
    <x v="3"/>
    <s v="AutoPost 104"/>
    <s v="USD"/>
    <x v="3"/>
    <n v="-764.96"/>
    <m/>
    <n v="-764.96"/>
    <s v="N/A"/>
    <x v="1"/>
    <x v="0"/>
  </r>
  <r>
    <s v="GL000105"/>
    <d v="2023-08-24T00:00:00"/>
    <x v="0"/>
    <x v="0"/>
    <n v="0"/>
    <n v="734.03"/>
    <x v="0"/>
    <x v="4"/>
    <s v="AutoPost 105"/>
    <s v="EUR"/>
    <x v="4"/>
    <n v="734.03"/>
    <m/>
    <n v="734.03"/>
    <s v="N/A"/>
    <x v="1"/>
    <x v="1"/>
  </r>
  <r>
    <s v="GL000106"/>
    <d v="2023-06-30T00:00:00"/>
    <x v="1"/>
    <x v="1"/>
    <n v="1157.81"/>
    <n v="0"/>
    <x v="3"/>
    <x v="2"/>
    <s v="AutoPost 106"/>
    <s v="AUD"/>
    <x v="22"/>
    <n v="-1157.81"/>
    <m/>
    <n v="-1157.81"/>
    <s v="N/A"/>
    <x v="1"/>
    <x v="0"/>
  </r>
  <r>
    <s v="GL000107"/>
    <d v="2025-06-15T00:00:00"/>
    <x v="3"/>
    <x v="3"/>
    <n v="1552.29"/>
    <n v="0"/>
    <x v="4"/>
    <x v="2"/>
    <s v="AutoPost 107"/>
    <s v="GBP"/>
    <x v="19"/>
    <n v="-1552.29"/>
    <m/>
    <n v="-1552.29"/>
    <s v="N/A"/>
    <x v="1"/>
    <x v="0"/>
  </r>
  <r>
    <s v="GL000108"/>
    <d v="2024-01-28T00:00:00"/>
    <x v="2"/>
    <x v="2"/>
    <n v="1400.69"/>
    <n v="0"/>
    <x v="1"/>
    <x v="2"/>
    <s v="AutoPost 108"/>
    <s v="GBP"/>
    <x v="20"/>
    <n v="-1400.69"/>
    <m/>
    <n v="-1400.69"/>
    <s v="N/A"/>
    <x v="1"/>
    <x v="0"/>
  </r>
  <r>
    <s v="GL000109"/>
    <d v="2024-03-04T00:00:00"/>
    <x v="3"/>
    <x v="3"/>
    <n v="1548.81"/>
    <n v="0"/>
    <x v="5"/>
    <x v="4"/>
    <s v="AutoPost 109"/>
    <s v="AUD"/>
    <x v="16"/>
    <n v="-1548.81"/>
    <m/>
    <n v="-1548.81"/>
    <s v="N/A"/>
    <x v="1"/>
    <x v="0"/>
  </r>
  <r>
    <s v="GL000110"/>
    <d v="2025-02-14T00:00:00"/>
    <x v="2"/>
    <x v="2"/>
    <n v="1166.95"/>
    <n v="0"/>
    <x v="0"/>
    <x v="4"/>
    <s v="AutoPost 110"/>
    <s v="GBP"/>
    <x v="28"/>
    <n v="-1166.95"/>
    <m/>
    <n v="-1166.95"/>
    <s v="N/A"/>
    <x v="1"/>
    <x v="0"/>
  </r>
  <r>
    <s v="GL000111"/>
    <d v="2023-06-25T00:00:00"/>
    <x v="0"/>
    <x v="0"/>
    <n v="0"/>
    <n v="3630.78"/>
    <x v="4"/>
    <x v="1"/>
    <s v="AutoPost 111"/>
    <s v="CAD"/>
    <x v="22"/>
    <n v="3630.78"/>
    <m/>
    <n v="3630.78"/>
    <s v="N/A"/>
    <x v="1"/>
    <x v="1"/>
  </r>
  <r>
    <s v="GL000112"/>
    <d v="2024-03-30T00:00:00"/>
    <x v="0"/>
    <x v="0"/>
    <n v="0"/>
    <n v="1148.97"/>
    <x v="1"/>
    <x v="4"/>
    <s v="AutoPost 112"/>
    <s v="CAD"/>
    <x v="16"/>
    <n v="1148.97"/>
    <m/>
    <n v="1148.97"/>
    <s v="N/A"/>
    <x v="1"/>
    <x v="1"/>
  </r>
  <r>
    <s v="GL000113"/>
    <d v="2024-09-10T00:00:00"/>
    <x v="0"/>
    <x v="0"/>
    <n v="0"/>
    <n v="1826.98"/>
    <x v="4"/>
    <x v="3"/>
    <s v="AutoPost 113"/>
    <s v="AUD"/>
    <x v="15"/>
    <n v="1826.98"/>
    <m/>
    <n v="1826.98"/>
    <s v="N/A"/>
    <x v="1"/>
    <x v="1"/>
  </r>
  <r>
    <s v="GL000114"/>
    <d v="2023-10-28T00:00:00"/>
    <x v="3"/>
    <x v="3"/>
    <n v="464.27"/>
    <n v="0"/>
    <x v="4"/>
    <x v="0"/>
    <s v="AutoPost 114"/>
    <s v="USD"/>
    <x v="27"/>
    <n v="-464.27"/>
    <m/>
    <n v="-464.27"/>
    <s v="N/A"/>
    <x v="1"/>
    <x v="0"/>
  </r>
  <r>
    <s v="GL000115"/>
    <d v="2025-04-15T00:00:00"/>
    <x v="3"/>
    <x v="3"/>
    <n v="325.08999999999997"/>
    <n v="0"/>
    <x v="4"/>
    <x v="2"/>
    <s v="AutoPost 115"/>
    <s v="USD"/>
    <x v="12"/>
    <n v="-325.08999999999997"/>
    <m/>
    <n v="-325.08999999999997"/>
    <s v="N/A"/>
    <x v="1"/>
    <x v="0"/>
  </r>
  <r>
    <s v="GL000116"/>
    <d v="2023-04-13T00:00:00"/>
    <x v="0"/>
    <x v="0"/>
    <n v="0"/>
    <n v="3674.13"/>
    <x v="1"/>
    <x v="4"/>
    <s v="AutoPost 116"/>
    <s v="CAD"/>
    <x v="8"/>
    <n v="3674.13"/>
    <m/>
    <n v="3674.13"/>
    <s v="N/A"/>
    <x v="1"/>
    <x v="1"/>
  </r>
  <r>
    <s v="GL000117"/>
    <d v="2023-09-01T00:00:00"/>
    <x v="4"/>
    <x v="4"/>
    <n v="0"/>
    <n v="2578.4299999999998"/>
    <x v="4"/>
    <x v="1"/>
    <s v="AutoPost 117"/>
    <s v="GBP"/>
    <x v="3"/>
    <n v="2578.4299999999998"/>
    <m/>
    <n v="2578.4299999999998"/>
    <s v="N/A"/>
    <x v="1"/>
    <x v="1"/>
  </r>
  <r>
    <s v="GL000118"/>
    <d v="2025-01-12T00:00:00"/>
    <x v="2"/>
    <x v="2"/>
    <n v="523.80999999999995"/>
    <n v="0"/>
    <x v="3"/>
    <x v="0"/>
    <s v="AutoPost 118"/>
    <s v="AUD"/>
    <x v="2"/>
    <n v="-523.80999999999995"/>
    <m/>
    <n v="-523.80999999999995"/>
    <s v="N/A"/>
    <x v="1"/>
    <x v="0"/>
  </r>
  <r>
    <s v="GL000119"/>
    <d v="2024-11-30T00:00:00"/>
    <x v="3"/>
    <x v="3"/>
    <n v="1120.46"/>
    <n v="0"/>
    <x v="4"/>
    <x v="1"/>
    <s v="AutoPost 119"/>
    <s v="AUD"/>
    <x v="10"/>
    <n v="-1120.46"/>
    <m/>
    <n v="-1120.46"/>
    <s v="N/A"/>
    <x v="1"/>
    <x v="0"/>
  </r>
  <r>
    <s v="GL000120"/>
    <d v="2023-03-15T00:00:00"/>
    <x v="1"/>
    <x v="1"/>
    <n v="547.59"/>
    <n v="0"/>
    <x v="2"/>
    <x v="0"/>
    <s v="AutoPost 120"/>
    <s v="AUD"/>
    <x v="18"/>
    <n v="-547.59"/>
    <m/>
    <n v="-547.59"/>
    <s v="N/A"/>
    <x v="1"/>
    <x v="0"/>
  </r>
  <r>
    <s v="GL000121"/>
    <d v="2025-01-24T00:00:00"/>
    <x v="4"/>
    <x v="4"/>
    <n v="0"/>
    <n v="2032.52"/>
    <x v="5"/>
    <x v="2"/>
    <s v="AutoPost 121"/>
    <s v="CAD"/>
    <x v="2"/>
    <n v="2032.52"/>
    <m/>
    <n v="2032.52"/>
    <s v="N/A"/>
    <x v="1"/>
    <x v="1"/>
  </r>
  <r>
    <s v="GL000122"/>
    <d v="2023-07-21T00:00:00"/>
    <x v="2"/>
    <x v="2"/>
    <n v="1405.18"/>
    <n v="0"/>
    <x v="5"/>
    <x v="1"/>
    <s v="AutoPost 122"/>
    <s v="GBP"/>
    <x v="17"/>
    <n v="-1405.18"/>
    <m/>
    <n v="-1405.18"/>
    <s v="N/A"/>
    <x v="1"/>
    <x v="0"/>
  </r>
  <r>
    <s v="GL000123"/>
    <d v="2024-02-23T00:00:00"/>
    <x v="1"/>
    <x v="1"/>
    <n v="150.66999999999999"/>
    <n v="0"/>
    <x v="3"/>
    <x v="0"/>
    <s v="AutoPost 123"/>
    <s v="CAD"/>
    <x v="11"/>
    <n v="-150.66999999999999"/>
    <m/>
    <n v="-150.66999999999999"/>
    <s v="N/A"/>
    <x v="1"/>
    <x v="0"/>
  </r>
  <r>
    <s v="GL000124"/>
    <d v="2024-08-06T00:00:00"/>
    <x v="4"/>
    <x v="4"/>
    <n v="0"/>
    <n v="902.67"/>
    <x v="2"/>
    <x v="1"/>
    <s v="AutoPost 124"/>
    <s v="CAD"/>
    <x v="25"/>
    <n v="902.67"/>
    <m/>
    <n v="902.67"/>
    <s v="N/A"/>
    <x v="1"/>
    <x v="1"/>
  </r>
  <r>
    <s v="GL000125"/>
    <d v="2023-11-30T00:00:00"/>
    <x v="0"/>
    <x v="0"/>
    <n v="0"/>
    <n v="160.09"/>
    <x v="4"/>
    <x v="0"/>
    <s v="AutoPost 125"/>
    <s v="CAD"/>
    <x v="9"/>
    <n v="160.09"/>
    <m/>
    <n v="160.09"/>
    <s v="N/A"/>
    <x v="1"/>
    <x v="1"/>
  </r>
  <r>
    <s v="GL000126"/>
    <d v="2023-12-16T00:00:00"/>
    <x v="3"/>
    <x v="3"/>
    <n v="367.4"/>
    <n v="0"/>
    <x v="2"/>
    <x v="0"/>
    <s v="AutoPost 126"/>
    <s v="AUD"/>
    <x v="6"/>
    <n v="-367.4"/>
    <m/>
    <n v="-367.4"/>
    <s v="N/A"/>
    <x v="1"/>
    <x v="0"/>
  </r>
  <r>
    <s v="GL000127"/>
    <d v="2023-02-05T00:00:00"/>
    <x v="0"/>
    <x v="0"/>
    <n v="0"/>
    <n v="4964.84"/>
    <x v="1"/>
    <x v="0"/>
    <s v="AutoPost 127"/>
    <s v="GBP"/>
    <x v="24"/>
    <n v="4964.84"/>
    <m/>
    <n v="4964.84"/>
    <s v="N/A"/>
    <x v="1"/>
    <x v="1"/>
  </r>
  <r>
    <s v="GL000128"/>
    <d v="2025-04-15T00:00:00"/>
    <x v="3"/>
    <x v="3"/>
    <n v="925"/>
    <n v="0"/>
    <x v="0"/>
    <x v="0"/>
    <s v="AutoPost 128"/>
    <s v="EUR"/>
    <x v="12"/>
    <n v="-925"/>
    <m/>
    <n v="-925"/>
    <s v="N/A"/>
    <x v="1"/>
    <x v="0"/>
  </r>
  <r>
    <s v="GL000129"/>
    <d v="2025-01-14T00:00:00"/>
    <x v="1"/>
    <x v="1"/>
    <n v="1697.34"/>
    <n v="0"/>
    <x v="2"/>
    <x v="0"/>
    <s v="AutoPost 129"/>
    <s v="EUR"/>
    <x v="2"/>
    <n v="-1697.34"/>
    <m/>
    <n v="-1697.34"/>
    <s v="N/A"/>
    <x v="1"/>
    <x v="0"/>
  </r>
  <r>
    <s v="GL000130"/>
    <d v="2023-09-05T00:00:00"/>
    <x v="1"/>
    <x v="1"/>
    <n v="308.37"/>
    <n v="0"/>
    <x v="5"/>
    <x v="0"/>
    <s v="AutoPost 130"/>
    <s v="CAD"/>
    <x v="3"/>
    <n v="-308.37"/>
    <m/>
    <n v="-308.37"/>
    <s v="N/A"/>
    <x v="1"/>
    <x v="0"/>
  </r>
  <r>
    <s v="GL000131"/>
    <d v="2024-07-05T00:00:00"/>
    <x v="1"/>
    <x v="1"/>
    <n v="1304.32"/>
    <n v="0"/>
    <x v="5"/>
    <x v="2"/>
    <s v="AutoPost 131"/>
    <s v="USD"/>
    <x v="21"/>
    <n v="-1304.32"/>
    <m/>
    <n v="-1304.32"/>
    <s v="N/A"/>
    <x v="1"/>
    <x v="0"/>
  </r>
  <r>
    <s v="GL000132"/>
    <d v="2024-03-04T00:00:00"/>
    <x v="4"/>
    <x v="4"/>
    <n v="0"/>
    <n v="3993.88"/>
    <x v="2"/>
    <x v="4"/>
    <s v="AutoPost 132"/>
    <s v="AUD"/>
    <x v="16"/>
    <n v="3993.88"/>
    <m/>
    <n v="3993.88"/>
    <s v="N/A"/>
    <x v="1"/>
    <x v="1"/>
  </r>
  <r>
    <s v="GL000133"/>
    <d v="2025-02-22T00:00:00"/>
    <x v="0"/>
    <x v="0"/>
    <n v="0"/>
    <n v="703.6"/>
    <x v="3"/>
    <x v="4"/>
    <s v="AutoPost 133"/>
    <s v="GBP"/>
    <x v="28"/>
    <n v="703.6"/>
    <m/>
    <n v="703.6"/>
    <s v="N/A"/>
    <x v="1"/>
    <x v="1"/>
  </r>
  <r>
    <s v="GL000134"/>
    <d v="2024-08-31T00:00:00"/>
    <x v="3"/>
    <x v="3"/>
    <n v="355.53"/>
    <n v="0"/>
    <x v="3"/>
    <x v="2"/>
    <s v="AutoPost 134"/>
    <s v="EUR"/>
    <x v="25"/>
    <n v="-355.53"/>
    <m/>
    <n v="-355.53"/>
    <s v="N/A"/>
    <x v="1"/>
    <x v="0"/>
  </r>
  <r>
    <s v="GL000135"/>
    <d v="2024-09-02T00:00:00"/>
    <x v="1"/>
    <x v="1"/>
    <n v="1915.19"/>
    <n v="0"/>
    <x v="1"/>
    <x v="1"/>
    <s v="AutoPost 135"/>
    <s v="USD"/>
    <x v="15"/>
    <n v="-1915.19"/>
    <m/>
    <n v="-1915.19"/>
    <s v="N/A"/>
    <x v="1"/>
    <x v="0"/>
  </r>
  <r>
    <s v="GL000136"/>
    <d v="2023-09-08T00:00:00"/>
    <x v="4"/>
    <x v="4"/>
    <n v="0"/>
    <n v="877.66"/>
    <x v="1"/>
    <x v="1"/>
    <s v="AutoPost 136"/>
    <s v="AUD"/>
    <x v="3"/>
    <n v="877.66"/>
    <m/>
    <n v="877.66"/>
    <s v="N/A"/>
    <x v="1"/>
    <x v="1"/>
  </r>
  <r>
    <s v="GL000137"/>
    <d v="2024-10-17T00:00:00"/>
    <x v="4"/>
    <x v="4"/>
    <n v="0"/>
    <n v="2719.49"/>
    <x v="3"/>
    <x v="1"/>
    <s v="AutoPost 137"/>
    <s v="USD"/>
    <x v="26"/>
    <n v="2719.49"/>
    <m/>
    <n v="2719.49"/>
    <s v="N/A"/>
    <x v="1"/>
    <x v="1"/>
  </r>
  <r>
    <s v="GL000138"/>
    <d v="2025-01-04T00:00:00"/>
    <x v="3"/>
    <x v="3"/>
    <n v="1695.8"/>
    <n v="0"/>
    <x v="1"/>
    <x v="4"/>
    <s v="AutoPost 138"/>
    <s v="EUR"/>
    <x v="2"/>
    <n v="-1695.8"/>
    <m/>
    <n v="-1695.8"/>
    <s v="N/A"/>
    <x v="1"/>
    <x v="0"/>
  </r>
  <r>
    <s v="GL000139"/>
    <d v="2024-09-23T00:00:00"/>
    <x v="2"/>
    <x v="2"/>
    <n v="1304.8399999999999"/>
    <n v="0"/>
    <x v="1"/>
    <x v="4"/>
    <s v="AutoPost 139"/>
    <s v="AUD"/>
    <x v="15"/>
    <n v="-1304.8399999999999"/>
    <m/>
    <n v="-1304.8399999999999"/>
    <s v="N/A"/>
    <x v="1"/>
    <x v="0"/>
  </r>
  <r>
    <s v="GL000140"/>
    <d v="2025-06-24T00:00:00"/>
    <x v="0"/>
    <x v="0"/>
    <n v="0"/>
    <n v="708.58"/>
    <x v="2"/>
    <x v="3"/>
    <s v="AutoPost 140"/>
    <s v="GBP"/>
    <x v="19"/>
    <n v="708.58"/>
    <m/>
    <n v="708.58"/>
    <s v="N/A"/>
    <x v="1"/>
    <x v="1"/>
  </r>
  <r>
    <s v="GL000141"/>
    <d v="2023-12-25T00:00:00"/>
    <x v="3"/>
    <x v="3"/>
    <n v="1650.46"/>
    <n v="0"/>
    <x v="3"/>
    <x v="4"/>
    <s v="AutoPost 141"/>
    <s v="CAD"/>
    <x v="6"/>
    <n v="-1650.46"/>
    <m/>
    <n v="-1650.46"/>
    <s v="N/A"/>
    <x v="1"/>
    <x v="0"/>
  </r>
  <r>
    <s v="GL000142"/>
    <d v="2023-08-09T00:00:00"/>
    <x v="4"/>
    <x v="4"/>
    <n v="0"/>
    <n v="1112.1600000000001"/>
    <x v="4"/>
    <x v="3"/>
    <s v="AutoPost 142"/>
    <s v="CAD"/>
    <x v="4"/>
    <n v="1112.1600000000001"/>
    <m/>
    <n v="1112.1600000000001"/>
    <s v="N/A"/>
    <x v="1"/>
    <x v="1"/>
  </r>
  <r>
    <s v="GL000143"/>
    <d v="2024-06-18T00:00:00"/>
    <x v="0"/>
    <x v="0"/>
    <n v="0"/>
    <n v="3711.83"/>
    <x v="0"/>
    <x v="2"/>
    <s v="AutoPost 143"/>
    <s v="CAD"/>
    <x v="1"/>
    <n v="3711.83"/>
    <m/>
    <n v="3711.83"/>
    <s v="N/A"/>
    <x v="1"/>
    <x v="1"/>
  </r>
  <r>
    <s v="GL000144"/>
    <d v="2023-04-30T00:00:00"/>
    <x v="1"/>
    <x v="1"/>
    <n v="715.32"/>
    <n v="0"/>
    <x v="3"/>
    <x v="1"/>
    <s v="AutoPost 144"/>
    <s v="GBP"/>
    <x v="8"/>
    <n v="-715.32"/>
    <m/>
    <n v="-715.32"/>
    <s v="N/A"/>
    <x v="1"/>
    <x v="0"/>
  </r>
  <r>
    <s v="GL000145"/>
    <d v="2023-06-03T00:00:00"/>
    <x v="2"/>
    <x v="2"/>
    <n v="1366.61"/>
    <n v="0"/>
    <x v="1"/>
    <x v="3"/>
    <s v="AutoPost 145"/>
    <s v="USD"/>
    <x v="22"/>
    <n v="-1366.61"/>
    <m/>
    <n v="-1366.61"/>
    <s v="N/A"/>
    <x v="1"/>
    <x v="0"/>
  </r>
  <r>
    <s v="GL000146"/>
    <d v="2023-05-22T00:00:00"/>
    <x v="1"/>
    <x v="1"/>
    <n v="1091.43"/>
    <n v="0"/>
    <x v="2"/>
    <x v="3"/>
    <s v="AutoPost 146"/>
    <s v="CAD"/>
    <x v="29"/>
    <n v="-1091.43"/>
    <m/>
    <n v="-1091.43"/>
    <s v="N/A"/>
    <x v="1"/>
    <x v="0"/>
  </r>
  <r>
    <s v="GL000147"/>
    <d v="2024-06-25T00:00:00"/>
    <x v="0"/>
    <x v="0"/>
    <n v="0"/>
    <n v="1164.3499999999999"/>
    <x v="5"/>
    <x v="3"/>
    <s v="AutoPost 147"/>
    <s v="GBP"/>
    <x v="1"/>
    <n v="1164.3499999999999"/>
    <m/>
    <n v="1164.3499999999999"/>
    <s v="N/A"/>
    <x v="1"/>
    <x v="1"/>
  </r>
  <r>
    <s v="GL000148"/>
    <d v="2024-03-01T00:00:00"/>
    <x v="3"/>
    <x v="3"/>
    <n v="1139.5"/>
    <n v="0"/>
    <x v="5"/>
    <x v="3"/>
    <s v="AutoPost 148"/>
    <s v="AUD"/>
    <x v="16"/>
    <n v="-1139.5"/>
    <m/>
    <n v="-1139.5"/>
    <s v="N/A"/>
    <x v="1"/>
    <x v="0"/>
  </r>
  <r>
    <s v="GL000149"/>
    <d v="2025-01-11T00:00:00"/>
    <x v="0"/>
    <x v="0"/>
    <n v="0"/>
    <n v="338.86"/>
    <x v="4"/>
    <x v="2"/>
    <s v="AutoPost 149"/>
    <s v="USD"/>
    <x v="2"/>
    <n v="338.86"/>
    <m/>
    <n v="338.86"/>
    <s v="N/A"/>
    <x v="1"/>
    <x v="1"/>
  </r>
  <r>
    <s v="GL000150"/>
    <d v="2025-02-18T00:00:00"/>
    <x v="1"/>
    <x v="1"/>
    <n v="1379.51"/>
    <n v="0"/>
    <x v="1"/>
    <x v="2"/>
    <s v="AutoPost 150"/>
    <s v="USD"/>
    <x v="28"/>
    <n v="-1379.51"/>
    <m/>
    <n v="-1379.51"/>
    <s v="N/A"/>
    <x v="1"/>
    <x v="0"/>
  </r>
  <r>
    <s v="GL000151"/>
    <d v="2024-03-17T00:00:00"/>
    <x v="4"/>
    <x v="4"/>
    <n v="0"/>
    <n v="978.34"/>
    <x v="3"/>
    <x v="1"/>
    <s v="AutoPost 151"/>
    <s v="AUD"/>
    <x v="16"/>
    <n v="978.34"/>
    <m/>
    <n v="978.34"/>
    <s v="N/A"/>
    <x v="1"/>
    <x v="1"/>
  </r>
  <r>
    <s v="GL000152"/>
    <d v="2025-06-03T00:00:00"/>
    <x v="2"/>
    <x v="2"/>
    <n v="1490.29"/>
    <n v="0"/>
    <x v="0"/>
    <x v="1"/>
    <s v="AutoPost 152"/>
    <s v="EUR"/>
    <x v="19"/>
    <n v="-1490.29"/>
    <m/>
    <n v="-1490.29"/>
    <s v="N/A"/>
    <x v="1"/>
    <x v="0"/>
  </r>
  <r>
    <s v="GL000153"/>
    <d v="2024-10-11T00:00:00"/>
    <x v="3"/>
    <x v="3"/>
    <n v="1515.7"/>
    <n v="0"/>
    <x v="5"/>
    <x v="2"/>
    <s v="AutoPost 153"/>
    <s v="USD"/>
    <x v="26"/>
    <n v="-1515.7"/>
    <m/>
    <n v="-1515.7"/>
    <s v="N/A"/>
    <x v="1"/>
    <x v="0"/>
  </r>
  <r>
    <s v="GL000154"/>
    <d v="2025-06-14T00:00:00"/>
    <x v="0"/>
    <x v="0"/>
    <n v="0"/>
    <n v="1736.2"/>
    <x v="5"/>
    <x v="2"/>
    <s v="AutoPost 154"/>
    <s v="GBP"/>
    <x v="19"/>
    <n v="1736.2"/>
    <m/>
    <n v="1736.2"/>
    <s v="N/A"/>
    <x v="1"/>
    <x v="1"/>
  </r>
  <r>
    <s v="GL000155"/>
    <d v="2023-07-09T00:00:00"/>
    <x v="2"/>
    <x v="2"/>
    <n v="1711.43"/>
    <n v="0"/>
    <x v="4"/>
    <x v="2"/>
    <s v="AutoPost 155"/>
    <s v="CAD"/>
    <x v="17"/>
    <n v="-1711.43"/>
    <m/>
    <n v="-1711.43"/>
    <s v="N/A"/>
    <x v="1"/>
    <x v="0"/>
  </r>
  <r>
    <s v="GL000156"/>
    <d v="2023-04-19T00:00:00"/>
    <x v="2"/>
    <x v="2"/>
    <n v="511.34"/>
    <n v="0"/>
    <x v="3"/>
    <x v="3"/>
    <s v="AutoPost 156"/>
    <s v="GBP"/>
    <x v="8"/>
    <n v="-511.34"/>
    <m/>
    <n v="-511.34"/>
    <s v="N/A"/>
    <x v="1"/>
    <x v="0"/>
  </r>
  <r>
    <s v="GL000157"/>
    <d v="2023-04-21T00:00:00"/>
    <x v="0"/>
    <x v="0"/>
    <n v="0"/>
    <n v="4520.9799999999996"/>
    <x v="0"/>
    <x v="2"/>
    <s v="AutoPost 157"/>
    <s v="AUD"/>
    <x v="8"/>
    <n v="4520.9799999999996"/>
    <m/>
    <n v="4520.9799999999996"/>
    <s v="N/A"/>
    <x v="1"/>
    <x v="1"/>
  </r>
  <r>
    <s v="GL000158"/>
    <d v="2023-01-29T00:00:00"/>
    <x v="1"/>
    <x v="1"/>
    <n v="1483.66"/>
    <n v="0"/>
    <x v="2"/>
    <x v="3"/>
    <s v="AutoPost 158"/>
    <s v="AUD"/>
    <x v="14"/>
    <n v="-1483.66"/>
    <m/>
    <n v="-1483.66"/>
    <s v="N/A"/>
    <x v="1"/>
    <x v="0"/>
  </r>
  <r>
    <s v="GL000159"/>
    <d v="2025-06-20T00:00:00"/>
    <x v="3"/>
    <x v="3"/>
    <n v="571.01"/>
    <n v="0"/>
    <x v="4"/>
    <x v="1"/>
    <s v="AutoPost 159"/>
    <s v="EUR"/>
    <x v="19"/>
    <n v="-571.01"/>
    <m/>
    <n v="-571.01"/>
    <s v="N/A"/>
    <x v="1"/>
    <x v="0"/>
  </r>
  <r>
    <s v="GL000160"/>
    <d v="2023-12-09T00:00:00"/>
    <x v="2"/>
    <x v="2"/>
    <n v="1556.44"/>
    <n v="0"/>
    <x v="5"/>
    <x v="2"/>
    <s v="AutoPost 160"/>
    <s v="USD"/>
    <x v="6"/>
    <n v="-1556.44"/>
    <m/>
    <n v="-1556.44"/>
    <s v="N/A"/>
    <x v="1"/>
    <x v="0"/>
  </r>
  <r>
    <s v="GL000161"/>
    <d v="2025-02-17T00:00:00"/>
    <x v="0"/>
    <x v="0"/>
    <n v="0"/>
    <n v="2614.6799999999998"/>
    <x v="1"/>
    <x v="4"/>
    <s v="AutoPost 161"/>
    <s v="AUD"/>
    <x v="28"/>
    <n v="2614.6799999999998"/>
    <m/>
    <n v="2614.6799999999998"/>
    <s v="N/A"/>
    <x v="1"/>
    <x v="1"/>
  </r>
  <r>
    <s v="GL000162"/>
    <d v="2024-12-21T00:00:00"/>
    <x v="0"/>
    <x v="0"/>
    <n v="0"/>
    <n v="3901.69"/>
    <x v="5"/>
    <x v="4"/>
    <s v="AutoPost 162"/>
    <s v="EUR"/>
    <x v="23"/>
    <n v="3901.69"/>
    <m/>
    <n v="3901.69"/>
    <s v="N/A"/>
    <x v="1"/>
    <x v="1"/>
  </r>
  <r>
    <s v="GL000163"/>
    <d v="2025-02-26T00:00:00"/>
    <x v="4"/>
    <x v="4"/>
    <n v="0"/>
    <n v="1890.76"/>
    <x v="1"/>
    <x v="3"/>
    <s v="AutoPost 163"/>
    <s v="CAD"/>
    <x v="28"/>
    <n v="1890.76"/>
    <m/>
    <n v="1890.76"/>
    <s v="N/A"/>
    <x v="1"/>
    <x v="1"/>
  </r>
  <r>
    <s v="GL000164"/>
    <d v="2024-07-17T00:00:00"/>
    <x v="4"/>
    <x v="4"/>
    <n v="0"/>
    <n v="1829.98"/>
    <x v="1"/>
    <x v="4"/>
    <s v="AutoPost 164"/>
    <s v="CAD"/>
    <x v="21"/>
    <n v="1829.98"/>
    <m/>
    <n v="1829.98"/>
    <s v="N/A"/>
    <x v="1"/>
    <x v="1"/>
  </r>
  <r>
    <s v="GL000165"/>
    <d v="2024-06-04T00:00:00"/>
    <x v="0"/>
    <x v="0"/>
    <n v="0"/>
    <n v="1161.94"/>
    <x v="4"/>
    <x v="1"/>
    <s v="AutoPost 165"/>
    <s v="EUR"/>
    <x v="1"/>
    <n v="1161.94"/>
    <m/>
    <n v="1161.94"/>
    <s v="N/A"/>
    <x v="1"/>
    <x v="1"/>
  </r>
  <r>
    <s v="GL000166"/>
    <d v="2023-11-22T00:00:00"/>
    <x v="2"/>
    <x v="2"/>
    <n v="1114.08"/>
    <n v="0"/>
    <x v="0"/>
    <x v="4"/>
    <s v="AutoPost 166"/>
    <s v="EUR"/>
    <x v="9"/>
    <n v="-1114.08"/>
    <m/>
    <n v="-1114.08"/>
    <s v="N/A"/>
    <x v="1"/>
    <x v="0"/>
  </r>
  <r>
    <s v="GL000167"/>
    <d v="2024-05-06T00:00:00"/>
    <x v="4"/>
    <x v="4"/>
    <n v="0"/>
    <n v="859.97"/>
    <x v="0"/>
    <x v="4"/>
    <s v="AutoPost 167"/>
    <s v="EUR"/>
    <x v="0"/>
    <n v="859.97"/>
    <m/>
    <n v="859.97"/>
    <s v="N/A"/>
    <x v="1"/>
    <x v="1"/>
  </r>
  <r>
    <s v="GL000168"/>
    <d v="2023-09-13T00:00:00"/>
    <x v="1"/>
    <x v="1"/>
    <n v="1369.63"/>
    <n v="0"/>
    <x v="0"/>
    <x v="4"/>
    <s v="AutoPost 168"/>
    <s v="USD"/>
    <x v="3"/>
    <n v="-1369.63"/>
    <m/>
    <n v="-1369.63"/>
    <s v="N/A"/>
    <x v="1"/>
    <x v="0"/>
  </r>
  <r>
    <s v="GL000169"/>
    <d v="2023-01-17T00:00:00"/>
    <x v="2"/>
    <x v="2"/>
    <n v="1174.4100000000001"/>
    <n v="0"/>
    <x v="0"/>
    <x v="0"/>
    <s v="AutoPost 169"/>
    <s v="AUD"/>
    <x v="14"/>
    <n v="-1174.4100000000001"/>
    <m/>
    <n v="-1174.4100000000001"/>
    <s v="N/A"/>
    <x v="1"/>
    <x v="0"/>
  </r>
  <r>
    <s v="GL000170"/>
    <d v="2024-09-29T00:00:00"/>
    <x v="3"/>
    <x v="3"/>
    <n v="605.78"/>
    <n v="0"/>
    <x v="3"/>
    <x v="3"/>
    <s v="AutoPost 170"/>
    <s v="EUR"/>
    <x v="15"/>
    <n v="-605.78"/>
    <m/>
    <n v="-605.78"/>
    <s v="N/A"/>
    <x v="1"/>
    <x v="0"/>
  </r>
  <r>
    <s v="GL000171"/>
    <d v="2024-04-02T00:00:00"/>
    <x v="1"/>
    <x v="1"/>
    <n v="60.93"/>
    <n v="0"/>
    <x v="4"/>
    <x v="2"/>
    <s v="AutoPost 171"/>
    <s v="AUD"/>
    <x v="7"/>
    <n v="-60.93"/>
    <m/>
    <n v="-60.93"/>
    <s v="N/A"/>
    <x v="1"/>
    <x v="0"/>
  </r>
  <r>
    <s v="GL000172"/>
    <d v="2024-07-16T00:00:00"/>
    <x v="3"/>
    <x v="3"/>
    <n v="210.91"/>
    <n v="0"/>
    <x v="2"/>
    <x v="2"/>
    <s v="AutoPost 172"/>
    <s v="EUR"/>
    <x v="21"/>
    <n v="-210.91"/>
    <m/>
    <n v="-210.91"/>
    <s v="N/A"/>
    <x v="1"/>
    <x v="0"/>
  </r>
  <r>
    <s v="GL000173"/>
    <d v="2025-03-13T00:00:00"/>
    <x v="3"/>
    <x v="3"/>
    <n v="763.11"/>
    <n v="0"/>
    <x v="4"/>
    <x v="4"/>
    <s v="AutoPost 173"/>
    <s v="EUR"/>
    <x v="13"/>
    <n v="-763.11"/>
    <m/>
    <n v="-763.11"/>
    <s v="N/A"/>
    <x v="1"/>
    <x v="0"/>
  </r>
  <r>
    <s v="GL000174"/>
    <d v="2024-08-22T00:00:00"/>
    <x v="1"/>
    <x v="1"/>
    <n v="858.91"/>
    <n v="0"/>
    <x v="3"/>
    <x v="2"/>
    <s v="AutoPost 174"/>
    <s v="EUR"/>
    <x v="25"/>
    <n v="-858.91"/>
    <m/>
    <n v="-858.91"/>
    <s v="N/A"/>
    <x v="1"/>
    <x v="0"/>
  </r>
  <r>
    <s v="GL000175"/>
    <d v="2024-02-08T00:00:00"/>
    <x v="3"/>
    <x v="3"/>
    <n v="1330.42"/>
    <n v="0"/>
    <x v="0"/>
    <x v="1"/>
    <s v="AutoPost 175"/>
    <s v="USD"/>
    <x v="11"/>
    <n v="-1330.42"/>
    <m/>
    <n v="-1330.42"/>
    <s v="N/A"/>
    <x v="1"/>
    <x v="0"/>
  </r>
  <r>
    <s v="GL000176"/>
    <d v="2024-08-07T00:00:00"/>
    <x v="0"/>
    <x v="0"/>
    <n v="0"/>
    <n v="1750.45"/>
    <x v="1"/>
    <x v="2"/>
    <s v="AutoPost 176"/>
    <s v="USD"/>
    <x v="25"/>
    <n v="1750.45"/>
    <m/>
    <n v="1750.45"/>
    <s v="N/A"/>
    <x v="1"/>
    <x v="1"/>
  </r>
  <r>
    <s v="GL000177"/>
    <d v="2023-12-09T00:00:00"/>
    <x v="0"/>
    <x v="0"/>
    <n v="0"/>
    <n v="335.99"/>
    <x v="2"/>
    <x v="0"/>
    <s v="AutoPost 177"/>
    <s v="GBP"/>
    <x v="6"/>
    <n v="335.99"/>
    <m/>
    <n v="335.99"/>
    <s v="N/A"/>
    <x v="1"/>
    <x v="1"/>
  </r>
  <r>
    <s v="GL000178"/>
    <d v="2025-06-08T00:00:00"/>
    <x v="2"/>
    <x v="2"/>
    <n v="1783.05"/>
    <n v="0"/>
    <x v="2"/>
    <x v="3"/>
    <s v="AutoPost 178"/>
    <s v="USD"/>
    <x v="19"/>
    <n v="-1783.05"/>
    <m/>
    <n v="-1783.05"/>
    <s v="N/A"/>
    <x v="1"/>
    <x v="0"/>
  </r>
  <r>
    <s v="GL000179"/>
    <d v="2023-04-20T00:00:00"/>
    <x v="3"/>
    <x v="3"/>
    <n v="278.89"/>
    <n v="0"/>
    <x v="0"/>
    <x v="2"/>
    <s v="AutoPost 179"/>
    <s v="CAD"/>
    <x v="8"/>
    <n v="-278.89"/>
    <m/>
    <n v="-278.89"/>
    <s v="N/A"/>
    <x v="1"/>
    <x v="0"/>
  </r>
  <r>
    <s v="GL000180"/>
    <d v="2025-04-23T00:00:00"/>
    <x v="4"/>
    <x v="4"/>
    <n v="0"/>
    <n v="4714.1099999999997"/>
    <x v="0"/>
    <x v="0"/>
    <s v="AutoPost 180"/>
    <s v="GBP"/>
    <x v="12"/>
    <n v="4714.1099999999997"/>
    <m/>
    <n v="4714.1099999999997"/>
    <s v="N/A"/>
    <x v="1"/>
    <x v="1"/>
  </r>
  <r>
    <s v="GL000181"/>
    <d v="2023-01-10T00:00:00"/>
    <x v="3"/>
    <x v="3"/>
    <n v="782.32"/>
    <n v="0"/>
    <x v="3"/>
    <x v="4"/>
    <s v="AutoPost 181"/>
    <s v="USD"/>
    <x v="14"/>
    <n v="-782.32"/>
    <m/>
    <n v="-782.32"/>
    <s v="N/A"/>
    <x v="1"/>
    <x v="0"/>
  </r>
  <r>
    <s v="GL000182"/>
    <d v="2024-09-10T00:00:00"/>
    <x v="1"/>
    <x v="1"/>
    <n v="209.01"/>
    <n v="0"/>
    <x v="3"/>
    <x v="3"/>
    <s v="AutoPost 182"/>
    <s v="GBP"/>
    <x v="15"/>
    <n v="-209.01"/>
    <m/>
    <n v="-209.01"/>
    <s v="N/A"/>
    <x v="1"/>
    <x v="0"/>
  </r>
  <r>
    <s v="GL000183"/>
    <d v="2024-03-01T00:00:00"/>
    <x v="1"/>
    <x v="1"/>
    <n v="449.54"/>
    <n v="0"/>
    <x v="5"/>
    <x v="4"/>
    <s v="AutoPost 183"/>
    <s v="EUR"/>
    <x v="16"/>
    <n v="-449.54"/>
    <m/>
    <n v="-449.54"/>
    <s v="N/A"/>
    <x v="1"/>
    <x v="0"/>
  </r>
  <r>
    <s v="GL000184"/>
    <d v="2023-09-18T00:00:00"/>
    <x v="2"/>
    <x v="2"/>
    <n v="1740.12"/>
    <n v="0"/>
    <x v="3"/>
    <x v="4"/>
    <s v="AutoPost 184"/>
    <s v="AUD"/>
    <x v="3"/>
    <n v="-1740.12"/>
    <m/>
    <n v="-1740.12"/>
    <s v="N/A"/>
    <x v="1"/>
    <x v="0"/>
  </r>
  <r>
    <s v="GL000185"/>
    <d v="2023-05-23T00:00:00"/>
    <x v="1"/>
    <x v="1"/>
    <n v="1625.69"/>
    <n v="0"/>
    <x v="3"/>
    <x v="1"/>
    <s v="AutoPost 185"/>
    <s v="GBP"/>
    <x v="29"/>
    <n v="-1625.69"/>
    <m/>
    <n v="-1625.69"/>
    <s v="N/A"/>
    <x v="1"/>
    <x v="0"/>
  </r>
  <r>
    <s v="GL000186"/>
    <d v="2024-12-09T00:00:00"/>
    <x v="1"/>
    <x v="1"/>
    <n v="586.76"/>
    <n v="0"/>
    <x v="4"/>
    <x v="2"/>
    <s v="AutoPost 186"/>
    <s v="AUD"/>
    <x v="23"/>
    <n v="-586.76"/>
    <m/>
    <n v="-586.76"/>
    <s v="N/A"/>
    <x v="1"/>
    <x v="0"/>
  </r>
  <r>
    <s v="GL000187"/>
    <d v="2023-03-20T00:00:00"/>
    <x v="0"/>
    <x v="0"/>
    <n v="0"/>
    <n v="2824.84"/>
    <x v="3"/>
    <x v="4"/>
    <s v="AutoPost 187"/>
    <s v="GBP"/>
    <x v="18"/>
    <n v="2824.84"/>
    <m/>
    <n v="2824.84"/>
    <s v="N/A"/>
    <x v="1"/>
    <x v="1"/>
  </r>
  <r>
    <s v="GL000188"/>
    <d v="2024-11-01T00:00:00"/>
    <x v="0"/>
    <x v="0"/>
    <n v="0"/>
    <n v="1046.78"/>
    <x v="3"/>
    <x v="0"/>
    <s v="AutoPost 188"/>
    <s v="AUD"/>
    <x v="10"/>
    <n v="1046.78"/>
    <m/>
    <n v="1046.78"/>
    <s v="N/A"/>
    <x v="1"/>
    <x v="1"/>
  </r>
  <r>
    <s v="GL000189"/>
    <d v="2023-02-06T00:00:00"/>
    <x v="4"/>
    <x v="4"/>
    <n v="0"/>
    <n v="3930.36"/>
    <x v="0"/>
    <x v="1"/>
    <s v="AutoPost 189"/>
    <s v="GBP"/>
    <x v="24"/>
    <n v="3930.36"/>
    <m/>
    <n v="3930.36"/>
    <s v="N/A"/>
    <x v="1"/>
    <x v="1"/>
  </r>
  <r>
    <s v="GL000190"/>
    <d v="2024-09-11T00:00:00"/>
    <x v="0"/>
    <x v="0"/>
    <n v="0"/>
    <n v="2772.6"/>
    <x v="4"/>
    <x v="3"/>
    <s v="AutoPost 190"/>
    <s v="AUD"/>
    <x v="15"/>
    <n v="2772.6"/>
    <m/>
    <n v="2772.6"/>
    <s v="N/A"/>
    <x v="1"/>
    <x v="1"/>
  </r>
  <r>
    <s v="GL000191"/>
    <d v="2025-06-30T00:00:00"/>
    <x v="1"/>
    <x v="1"/>
    <n v="1409.16"/>
    <n v="0"/>
    <x v="2"/>
    <x v="0"/>
    <s v="AutoPost 191"/>
    <s v="EUR"/>
    <x v="19"/>
    <n v="-1409.16"/>
    <m/>
    <n v="-1409.16"/>
    <s v="N/A"/>
    <x v="1"/>
    <x v="0"/>
  </r>
  <r>
    <s v="GL000192"/>
    <d v="2023-12-16T00:00:00"/>
    <x v="0"/>
    <x v="0"/>
    <n v="0"/>
    <n v="1470.69"/>
    <x v="2"/>
    <x v="1"/>
    <s v="AutoPost 192"/>
    <s v="GBP"/>
    <x v="6"/>
    <n v="1470.69"/>
    <m/>
    <n v="1470.69"/>
    <s v="N/A"/>
    <x v="1"/>
    <x v="1"/>
  </r>
  <r>
    <s v="GL000193"/>
    <d v="2024-08-18T00:00:00"/>
    <x v="4"/>
    <x v="4"/>
    <n v="0"/>
    <n v="3549.99"/>
    <x v="0"/>
    <x v="4"/>
    <s v="AutoPost 193"/>
    <s v="EUR"/>
    <x v="25"/>
    <n v="3549.99"/>
    <m/>
    <n v="3549.99"/>
    <s v="N/A"/>
    <x v="1"/>
    <x v="1"/>
  </r>
  <r>
    <s v="GL000194"/>
    <d v="2023-01-29T00:00:00"/>
    <x v="0"/>
    <x v="0"/>
    <n v="0"/>
    <n v="2371.4"/>
    <x v="3"/>
    <x v="3"/>
    <s v="AutoPost 194"/>
    <s v="CAD"/>
    <x v="14"/>
    <n v="2371.4"/>
    <m/>
    <n v="2371.4"/>
    <s v="N/A"/>
    <x v="1"/>
    <x v="1"/>
  </r>
  <r>
    <s v="GL000195"/>
    <d v="2023-02-13T00:00:00"/>
    <x v="2"/>
    <x v="2"/>
    <n v="1869.71"/>
    <n v="0"/>
    <x v="1"/>
    <x v="2"/>
    <s v="AutoPost 195"/>
    <s v="AUD"/>
    <x v="24"/>
    <n v="-1869.71"/>
    <m/>
    <n v="-1869.71"/>
    <s v="N/A"/>
    <x v="1"/>
    <x v="0"/>
  </r>
  <r>
    <s v="GL000196"/>
    <d v="2024-01-15T00:00:00"/>
    <x v="1"/>
    <x v="1"/>
    <n v="1812.22"/>
    <n v="0"/>
    <x v="3"/>
    <x v="3"/>
    <s v="AutoPost 196"/>
    <s v="CAD"/>
    <x v="20"/>
    <n v="-1812.22"/>
    <m/>
    <n v="-1812.22"/>
    <s v="N/A"/>
    <x v="1"/>
    <x v="0"/>
  </r>
  <r>
    <s v="GL000197"/>
    <d v="2023-02-12T00:00:00"/>
    <x v="1"/>
    <x v="1"/>
    <n v="218.2"/>
    <n v="0"/>
    <x v="5"/>
    <x v="0"/>
    <s v="AutoPost 197"/>
    <s v="GBP"/>
    <x v="24"/>
    <n v="-218.2"/>
    <m/>
    <n v="-218.2"/>
    <s v="N/A"/>
    <x v="1"/>
    <x v="0"/>
  </r>
  <r>
    <s v="GL000198"/>
    <d v="2023-03-12T00:00:00"/>
    <x v="4"/>
    <x v="4"/>
    <n v="0"/>
    <n v="965.46"/>
    <x v="2"/>
    <x v="4"/>
    <s v="AutoPost 198"/>
    <s v="AUD"/>
    <x v="18"/>
    <n v="965.46"/>
    <m/>
    <n v="965.46"/>
    <s v="N/A"/>
    <x v="1"/>
    <x v="1"/>
  </r>
  <r>
    <s v="GL000199"/>
    <d v="2024-09-14T00:00:00"/>
    <x v="0"/>
    <x v="0"/>
    <n v="0"/>
    <n v="321.5"/>
    <x v="2"/>
    <x v="4"/>
    <s v="AutoPost 199"/>
    <s v="AUD"/>
    <x v="15"/>
    <n v="321.5"/>
    <m/>
    <n v="321.5"/>
    <s v="N/A"/>
    <x v="1"/>
    <x v="1"/>
  </r>
  <r>
    <s v="GL000200"/>
    <d v="2024-02-25T00:00:00"/>
    <x v="2"/>
    <x v="2"/>
    <n v="763.01"/>
    <n v="0"/>
    <x v="1"/>
    <x v="4"/>
    <s v="AutoPost 200"/>
    <s v="GBP"/>
    <x v="11"/>
    <n v="-763.01"/>
    <m/>
    <n v="-763.01"/>
    <s v="N/A"/>
    <x v="1"/>
    <x v="0"/>
  </r>
  <r>
    <s v="GL000201"/>
    <d v="2023-01-28T00:00:00"/>
    <x v="4"/>
    <x v="4"/>
    <n v="0"/>
    <n v="2497.61"/>
    <x v="2"/>
    <x v="2"/>
    <s v="AutoPost 201"/>
    <s v="USD"/>
    <x v="14"/>
    <n v="2497.61"/>
    <m/>
    <n v="2497.61"/>
    <s v="N/A"/>
    <x v="1"/>
    <x v="1"/>
  </r>
  <r>
    <s v="GL000202"/>
    <d v="2024-09-03T00:00:00"/>
    <x v="0"/>
    <x v="0"/>
    <n v="0"/>
    <n v="4299.82"/>
    <x v="0"/>
    <x v="3"/>
    <s v="AutoPost 202"/>
    <s v="CAD"/>
    <x v="15"/>
    <n v="4299.82"/>
    <m/>
    <n v="4299.82"/>
    <s v="N/A"/>
    <x v="1"/>
    <x v="1"/>
  </r>
  <r>
    <s v="GL000203"/>
    <d v="2024-10-26T00:00:00"/>
    <x v="2"/>
    <x v="2"/>
    <n v="492.26"/>
    <n v="0"/>
    <x v="0"/>
    <x v="2"/>
    <s v="AutoPost 203"/>
    <s v="USD"/>
    <x v="26"/>
    <n v="-492.26"/>
    <m/>
    <n v="-492.26"/>
    <s v="N/A"/>
    <x v="1"/>
    <x v="0"/>
  </r>
  <r>
    <s v="GL000204"/>
    <d v="2023-08-18T00:00:00"/>
    <x v="0"/>
    <x v="0"/>
    <n v="0"/>
    <n v="4036.79"/>
    <x v="2"/>
    <x v="0"/>
    <s v="AutoPost 204"/>
    <s v="EUR"/>
    <x v="4"/>
    <n v="4036.79"/>
    <m/>
    <n v="4036.79"/>
    <s v="N/A"/>
    <x v="1"/>
    <x v="1"/>
  </r>
  <r>
    <s v="GL000205"/>
    <d v="2024-09-13T00:00:00"/>
    <x v="4"/>
    <x v="4"/>
    <n v="0"/>
    <n v="3885.84"/>
    <x v="2"/>
    <x v="1"/>
    <s v="AutoPost 205"/>
    <s v="GBP"/>
    <x v="15"/>
    <n v="3885.84"/>
    <m/>
    <n v="3885.84"/>
    <s v="N/A"/>
    <x v="1"/>
    <x v="1"/>
  </r>
  <r>
    <s v="GL000206"/>
    <d v="2023-02-08T00:00:00"/>
    <x v="2"/>
    <x v="2"/>
    <n v="1161.43"/>
    <n v="0"/>
    <x v="2"/>
    <x v="0"/>
    <s v="AutoPost 206"/>
    <s v="GBP"/>
    <x v="24"/>
    <n v="-1161.43"/>
    <m/>
    <n v="-1161.43"/>
    <s v="N/A"/>
    <x v="1"/>
    <x v="0"/>
  </r>
  <r>
    <s v="GL000207"/>
    <d v="2025-04-04T00:00:00"/>
    <x v="0"/>
    <x v="0"/>
    <n v="0"/>
    <n v="4478.0600000000004"/>
    <x v="1"/>
    <x v="3"/>
    <s v="AutoPost 207"/>
    <s v="AUD"/>
    <x v="12"/>
    <n v="4478.0600000000004"/>
    <m/>
    <n v="4478.0600000000004"/>
    <s v="N/A"/>
    <x v="1"/>
    <x v="1"/>
  </r>
  <r>
    <s v="GL000208"/>
    <d v="2025-03-23T00:00:00"/>
    <x v="2"/>
    <x v="2"/>
    <n v="169.1"/>
    <n v="0"/>
    <x v="5"/>
    <x v="0"/>
    <s v="AutoPost 208"/>
    <s v="CAD"/>
    <x v="13"/>
    <n v="-169.1"/>
    <m/>
    <n v="-169.1"/>
    <s v="N/A"/>
    <x v="1"/>
    <x v="0"/>
  </r>
  <r>
    <s v="GL000209"/>
    <d v="2023-09-13T00:00:00"/>
    <x v="1"/>
    <x v="1"/>
    <n v="1138.92"/>
    <n v="0"/>
    <x v="1"/>
    <x v="4"/>
    <s v="AutoPost 209"/>
    <s v="AUD"/>
    <x v="3"/>
    <n v="-1138.92"/>
    <m/>
    <n v="-1138.92"/>
    <s v="N/A"/>
    <x v="1"/>
    <x v="0"/>
  </r>
  <r>
    <s v="GL000210"/>
    <d v="2023-08-21T00:00:00"/>
    <x v="4"/>
    <x v="4"/>
    <n v="0"/>
    <n v="3750.39"/>
    <x v="4"/>
    <x v="1"/>
    <s v="AutoPost 210"/>
    <s v="CAD"/>
    <x v="4"/>
    <n v="3750.39"/>
    <m/>
    <n v="3750.39"/>
    <s v="N/A"/>
    <x v="1"/>
    <x v="1"/>
  </r>
  <r>
    <s v="GL000211"/>
    <d v="2023-11-29T00:00:00"/>
    <x v="3"/>
    <x v="3"/>
    <n v="1619.58"/>
    <n v="0"/>
    <x v="0"/>
    <x v="2"/>
    <s v="AutoPost 211"/>
    <s v="USD"/>
    <x v="9"/>
    <n v="-1619.58"/>
    <m/>
    <n v="-1619.58"/>
    <s v="N/A"/>
    <x v="1"/>
    <x v="0"/>
  </r>
  <r>
    <s v="GL000212"/>
    <d v="2024-11-12T00:00:00"/>
    <x v="4"/>
    <x v="4"/>
    <n v="0"/>
    <n v="668.17"/>
    <x v="0"/>
    <x v="2"/>
    <s v="AutoPost 212"/>
    <s v="CAD"/>
    <x v="10"/>
    <n v="668.17"/>
    <m/>
    <n v="668.17"/>
    <s v="N/A"/>
    <x v="1"/>
    <x v="1"/>
  </r>
  <r>
    <s v="GL000213"/>
    <d v="2025-02-19T00:00:00"/>
    <x v="1"/>
    <x v="1"/>
    <n v="1003.8"/>
    <n v="0"/>
    <x v="3"/>
    <x v="4"/>
    <s v="AutoPost 213"/>
    <s v="AUD"/>
    <x v="28"/>
    <n v="-1003.8"/>
    <m/>
    <n v="-1003.8"/>
    <s v="N/A"/>
    <x v="1"/>
    <x v="0"/>
  </r>
  <r>
    <s v="GL000214"/>
    <d v="2023-08-14T00:00:00"/>
    <x v="4"/>
    <x v="4"/>
    <n v="0"/>
    <n v="1941.69"/>
    <x v="0"/>
    <x v="3"/>
    <s v="AutoPost 214"/>
    <s v="EUR"/>
    <x v="4"/>
    <n v="1941.69"/>
    <m/>
    <n v="1941.69"/>
    <s v="N/A"/>
    <x v="1"/>
    <x v="1"/>
  </r>
  <r>
    <s v="GL000215"/>
    <d v="2024-01-18T00:00:00"/>
    <x v="3"/>
    <x v="3"/>
    <n v="521.33000000000004"/>
    <n v="0"/>
    <x v="4"/>
    <x v="4"/>
    <s v="AutoPost 215"/>
    <s v="AUD"/>
    <x v="20"/>
    <n v="-521.33000000000004"/>
    <m/>
    <n v="-521.33000000000004"/>
    <s v="N/A"/>
    <x v="1"/>
    <x v="0"/>
  </r>
  <r>
    <s v="GL000216"/>
    <d v="2024-05-06T00:00:00"/>
    <x v="3"/>
    <x v="3"/>
    <n v="1612.68"/>
    <n v="0"/>
    <x v="0"/>
    <x v="0"/>
    <s v="AutoPost 216"/>
    <s v="AUD"/>
    <x v="0"/>
    <n v="-1612.68"/>
    <m/>
    <n v="-1612.68"/>
    <s v="N/A"/>
    <x v="1"/>
    <x v="0"/>
  </r>
  <r>
    <s v="GL000217"/>
    <d v="2023-11-01T00:00:00"/>
    <x v="1"/>
    <x v="1"/>
    <n v="1386.6"/>
    <n v="0"/>
    <x v="2"/>
    <x v="4"/>
    <s v="AutoPost 217"/>
    <s v="USD"/>
    <x v="9"/>
    <n v="-1386.6"/>
    <m/>
    <n v="-1386.6"/>
    <s v="N/A"/>
    <x v="1"/>
    <x v="0"/>
  </r>
  <r>
    <s v="GL000218"/>
    <d v="2024-02-12T00:00:00"/>
    <x v="3"/>
    <x v="3"/>
    <n v="1060.0999999999999"/>
    <n v="0"/>
    <x v="5"/>
    <x v="4"/>
    <s v="AutoPost 218"/>
    <s v="EUR"/>
    <x v="11"/>
    <n v="-1060.0999999999999"/>
    <m/>
    <n v="-1060.0999999999999"/>
    <s v="N/A"/>
    <x v="1"/>
    <x v="0"/>
  </r>
  <r>
    <s v="GL000219"/>
    <d v="2025-03-07T00:00:00"/>
    <x v="1"/>
    <x v="1"/>
    <n v="558.04"/>
    <n v="0"/>
    <x v="2"/>
    <x v="1"/>
    <s v="AutoPost 219"/>
    <s v="AUD"/>
    <x v="13"/>
    <n v="-558.04"/>
    <m/>
    <n v="-558.04"/>
    <s v="N/A"/>
    <x v="1"/>
    <x v="0"/>
  </r>
  <r>
    <s v="GL000220"/>
    <d v="2024-12-10T00:00:00"/>
    <x v="0"/>
    <x v="0"/>
    <n v="0"/>
    <n v="345.31"/>
    <x v="0"/>
    <x v="3"/>
    <s v="AutoPost 220"/>
    <s v="AUD"/>
    <x v="23"/>
    <n v="345.31"/>
    <m/>
    <n v="345.31"/>
    <s v="N/A"/>
    <x v="1"/>
    <x v="1"/>
  </r>
  <r>
    <s v="GL000221"/>
    <d v="2024-05-17T00:00:00"/>
    <x v="4"/>
    <x v="4"/>
    <n v="0"/>
    <n v="1449.49"/>
    <x v="0"/>
    <x v="3"/>
    <s v="AutoPost 221"/>
    <s v="EUR"/>
    <x v="0"/>
    <n v="1449.49"/>
    <m/>
    <n v="1449.49"/>
    <s v="N/A"/>
    <x v="1"/>
    <x v="1"/>
  </r>
  <r>
    <s v="GL000222"/>
    <d v="2023-11-21T00:00:00"/>
    <x v="2"/>
    <x v="2"/>
    <n v="491.91"/>
    <n v="0"/>
    <x v="0"/>
    <x v="0"/>
    <s v="AutoPost 222"/>
    <s v="USD"/>
    <x v="9"/>
    <n v="-491.91"/>
    <m/>
    <n v="-491.91"/>
    <s v="N/A"/>
    <x v="1"/>
    <x v="0"/>
  </r>
  <r>
    <s v="GL000223"/>
    <d v="2024-03-16T00:00:00"/>
    <x v="1"/>
    <x v="1"/>
    <n v="1439"/>
    <n v="0"/>
    <x v="5"/>
    <x v="1"/>
    <s v="AutoPost 223"/>
    <s v="AUD"/>
    <x v="16"/>
    <n v="-1439"/>
    <m/>
    <n v="-1439"/>
    <s v="N/A"/>
    <x v="1"/>
    <x v="0"/>
  </r>
  <r>
    <s v="GL000224"/>
    <d v="2023-04-11T00:00:00"/>
    <x v="2"/>
    <x v="2"/>
    <n v="858.22"/>
    <n v="0"/>
    <x v="0"/>
    <x v="1"/>
    <s v="AutoPost 224"/>
    <s v="GBP"/>
    <x v="8"/>
    <n v="-858.22"/>
    <m/>
    <n v="-858.22"/>
    <s v="N/A"/>
    <x v="1"/>
    <x v="0"/>
  </r>
  <r>
    <s v="GL000225"/>
    <d v="2023-12-20T00:00:00"/>
    <x v="4"/>
    <x v="4"/>
    <n v="0"/>
    <n v="4850.6400000000003"/>
    <x v="5"/>
    <x v="1"/>
    <s v="AutoPost 225"/>
    <s v="GBP"/>
    <x v="6"/>
    <n v="4850.6400000000003"/>
    <m/>
    <n v="4850.6400000000003"/>
    <s v="N/A"/>
    <x v="1"/>
    <x v="1"/>
  </r>
  <r>
    <s v="GL000226"/>
    <d v="2024-11-11T00:00:00"/>
    <x v="2"/>
    <x v="2"/>
    <n v="103.53"/>
    <n v="0"/>
    <x v="2"/>
    <x v="2"/>
    <s v="AutoPost 226"/>
    <s v="CAD"/>
    <x v="10"/>
    <n v="-103.53"/>
    <m/>
    <n v="-103.53"/>
    <s v="N/A"/>
    <x v="1"/>
    <x v="0"/>
  </r>
  <r>
    <s v="GL000227"/>
    <d v="2025-05-02T00:00:00"/>
    <x v="4"/>
    <x v="4"/>
    <n v="0"/>
    <n v="4048.34"/>
    <x v="4"/>
    <x v="1"/>
    <s v="AutoPost 227"/>
    <s v="GBP"/>
    <x v="5"/>
    <n v="4048.34"/>
    <m/>
    <n v="4048.34"/>
    <s v="N/A"/>
    <x v="1"/>
    <x v="1"/>
  </r>
  <r>
    <s v="GL000228"/>
    <d v="2025-06-14T00:00:00"/>
    <x v="3"/>
    <x v="3"/>
    <n v="581.82000000000005"/>
    <n v="0"/>
    <x v="3"/>
    <x v="3"/>
    <s v="AutoPost 228"/>
    <s v="USD"/>
    <x v="19"/>
    <n v="-581.82000000000005"/>
    <m/>
    <n v="-581.82000000000005"/>
    <s v="N/A"/>
    <x v="1"/>
    <x v="0"/>
  </r>
  <r>
    <s v="GL000229"/>
    <d v="2023-08-10T00:00:00"/>
    <x v="2"/>
    <x v="2"/>
    <n v="539.15"/>
    <n v="0"/>
    <x v="2"/>
    <x v="0"/>
    <s v="AutoPost 229"/>
    <s v="USD"/>
    <x v="4"/>
    <n v="-539.15"/>
    <m/>
    <n v="-539.15"/>
    <s v="N/A"/>
    <x v="1"/>
    <x v="0"/>
  </r>
  <r>
    <s v="GL000230"/>
    <d v="2025-02-16T00:00:00"/>
    <x v="0"/>
    <x v="0"/>
    <n v="0"/>
    <n v="2862.93"/>
    <x v="1"/>
    <x v="0"/>
    <s v="AutoPost 230"/>
    <s v="EUR"/>
    <x v="28"/>
    <n v="2862.93"/>
    <m/>
    <n v="2862.93"/>
    <s v="N/A"/>
    <x v="1"/>
    <x v="1"/>
  </r>
  <r>
    <s v="GL000231"/>
    <d v="2024-01-03T00:00:00"/>
    <x v="4"/>
    <x v="4"/>
    <n v="0"/>
    <n v="3938.51"/>
    <x v="3"/>
    <x v="3"/>
    <s v="AutoPost 231"/>
    <s v="GBP"/>
    <x v="20"/>
    <n v="3938.51"/>
    <m/>
    <n v="3938.51"/>
    <s v="N/A"/>
    <x v="1"/>
    <x v="1"/>
  </r>
  <r>
    <s v="GL000232"/>
    <d v="2023-08-12T00:00:00"/>
    <x v="3"/>
    <x v="3"/>
    <n v="871.28"/>
    <n v="0"/>
    <x v="2"/>
    <x v="1"/>
    <s v="AutoPost 232"/>
    <s v="CAD"/>
    <x v="4"/>
    <n v="-871.28"/>
    <m/>
    <n v="-871.28"/>
    <s v="N/A"/>
    <x v="1"/>
    <x v="0"/>
  </r>
  <r>
    <s v="GL000233"/>
    <d v="2023-07-14T00:00:00"/>
    <x v="1"/>
    <x v="1"/>
    <n v="1527.74"/>
    <n v="0"/>
    <x v="5"/>
    <x v="0"/>
    <s v="AutoPost 233"/>
    <s v="GBP"/>
    <x v="17"/>
    <n v="-1527.74"/>
    <m/>
    <n v="-1527.74"/>
    <s v="N/A"/>
    <x v="1"/>
    <x v="0"/>
  </r>
  <r>
    <s v="GL000234"/>
    <d v="2023-12-15T00:00:00"/>
    <x v="0"/>
    <x v="0"/>
    <n v="0"/>
    <n v="1075.51"/>
    <x v="2"/>
    <x v="4"/>
    <s v="AutoPost 234"/>
    <s v="USD"/>
    <x v="6"/>
    <n v="1075.51"/>
    <m/>
    <n v="1075.51"/>
    <s v="N/A"/>
    <x v="1"/>
    <x v="1"/>
  </r>
  <r>
    <s v="GL000235"/>
    <d v="2024-04-15T00:00:00"/>
    <x v="0"/>
    <x v="0"/>
    <n v="0"/>
    <n v="2361.1799999999998"/>
    <x v="2"/>
    <x v="4"/>
    <s v="AutoPost 235"/>
    <s v="USD"/>
    <x v="7"/>
    <n v="2361.1799999999998"/>
    <m/>
    <n v="2361.1799999999998"/>
    <s v="N/A"/>
    <x v="1"/>
    <x v="1"/>
  </r>
  <r>
    <s v="GL000236"/>
    <d v="2024-10-21T00:00:00"/>
    <x v="3"/>
    <x v="3"/>
    <n v="151.34"/>
    <n v="0"/>
    <x v="3"/>
    <x v="0"/>
    <s v="AutoPost 236"/>
    <s v="AUD"/>
    <x v="26"/>
    <n v="-151.34"/>
    <m/>
    <n v="-151.34"/>
    <s v="N/A"/>
    <x v="1"/>
    <x v="0"/>
  </r>
  <r>
    <s v="GL000237"/>
    <d v="2023-01-24T00:00:00"/>
    <x v="4"/>
    <x v="4"/>
    <n v="0"/>
    <n v="1299.3699999999999"/>
    <x v="3"/>
    <x v="1"/>
    <s v="AutoPost 237"/>
    <s v="USD"/>
    <x v="14"/>
    <n v="1299.3699999999999"/>
    <m/>
    <n v="1299.3699999999999"/>
    <s v="N/A"/>
    <x v="1"/>
    <x v="1"/>
  </r>
  <r>
    <s v="GL000238"/>
    <d v="2024-08-30T00:00:00"/>
    <x v="1"/>
    <x v="1"/>
    <n v="118.21"/>
    <n v="0"/>
    <x v="2"/>
    <x v="1"/>
    <s v="AutoPost 238"/>
    <s v="EUR"/>
    <x v="25"/>
    <n v="-118.21"/>
    <m/>
    <n v="-118.21"/>
    <s v="N/A"/>
    <x v="1"/>
    <x v="0"/>
  </r>
  <r>
    <s v="GL000239"/>
    <d v="2023-07-06T00:00:00"/>
    <x v="0"/>
    <x v="0"/>
    <n v="0"/>
    <n v="4864.04"/>
    <x v="1"/>
    <x v="0"/>
    <s v="AutoPost 239"/>
    <s v="GBP"/>
    <x v="17"/>
    <n v="4864.04"/>
    <m/>
    <n v="4864.04"/>
    <s v="N/A"/>
    <x v="1"/>
    <x v="1"/>
  </r>
  <r>
    <s v="GL000240"/>
    <d v="2025-02-24T00:00:00"/>
    <x v="0"/>
    <x v="0"/>
    <n v="0"/>
    <n v="4495.32"/>
    <x v="4"/>
    <x v="3"/>
    <s v="AutoPost 240"/>
    <s v="GBP"/>
    <x v="28"/>
    <n v="4495.32"/>
    <m/>
    <n v="4495.32"/>
    <s v="N/A"/>
    <x v="1"/>
    <x v="1"/>
  </r>
  <r>
    <s v="GL000241"/>
    <d v="2023-03-26T00:00:00"/>
    <x v="2"/>
    <x v="2"/>
    <n v="1121.29"/>
    <n v="0"/>
    <x v="2"/>
    <x v="4"/>
    <s v="AutoPost 241"/>
    <s v="EUR"/>
    <x v="18"/>
    <n v="-1121.29"/>
    <m/>
    <n v="-1121.29"/>
    <s v="N/A"/>
    <x v="1"/>
    <x v="0"/>
  </r>
  <r>
    <s v="GL000242"/>
    <d v="2023-01-14T00:00:00"/>
    <x v="2"/>
    <x v="2"/>
    <n v="908.7"/>
    <n v="0"/>
    <x v="1"/>
    <x v="4"/>
    <s v="AutoPost 242"/>
    <s v="EUR"/>
    <x v="14"/>
    <n v="-908.7"/>
    <m/>
    <n v="-908.7"/>
    <s v="N/A"/>
    <x v="1"/>
    <x v="0"/>
  </r>
  <r>
    <s v="GL000243"/>
    <d v="2023-05-14T00:00:00"/>
    <x v="4"/>
    <x v="4"/>
    <n v="0"/>
    <n v="3760.55"/>
    <x v="2"/>
    <x v="1"/>
    <s v="AutoPost 243"/>
    <s v="AUD"/>
    <x v="29"/>
    <n v="3760.55"/>
    <m/>
    <n v="3760.55"/>
    <s v="N/A"/>
    <x v="1"/>
    <x v="1"/>
  </r>
  <r>
    <s v="GL000244"/>
    <d v="2025-03-09T00:00:00"/>
    <x v="1"/>
    <x v="1"/>
    <n v="86.6"/>
    <n v="0"/>
    <x v="0"/>
    <x v="1"/>
    <s v="AutoPost 244"/>
    <s v="GBP"/>
    <x v="13"/>
    <n v="-86.6"/>
    <m/>
    <n v="-86.6"/>
    <s v="N/A"/>
    <x v="1"/>
    <x v="0"/>
  </r>
  <r>
    <s v="GL000245"/>
    <d v="2024-07-22T00:00:00"/>
    <x v="4"/>
    <x v="4"/>
    <n v="0"/>
    <n v="4264.16"/>
    <x v="1"/>
    <x v="1"/>
    <s v="AutoPost 245"/>
    <s v="GBP"/>
    <x v="21"/>
    <n v="4264.16"/>
    <m/>
    <n v="4264.16"/>
    <s v="N/A"/>
    <x v="1"/>
    <x v="1"/>
  </r>
  <r>
    <s v="GL000246"/>
    <d v="2023-11-04T00:00:00"/>
    <x v="4"/>
    <x v="4"/>
    <n v="0"/>
    <n v="4005.6"/>
    <x v="0"/>
    <x v="3"/>
    <s v="AutoPost 246"/>
    <s v="USD"/>
    <x v="9"/>
    <n v="4005.6"/>
    <m/>
    <n v="4005.6"/>
    <s v="N/A"/>
    <x v="1"/>
    <x v="1"/>
  </r>
  <r>
    <s v="GL000247"/>
    <d v="2025-06-16T00:00:00"/>
    <x v="1"/>
    <x v="1"/>
    <n v="736.75"/>
    <n v="0"/>
    <x v="3"/>
    <x v="3"/>
    <s v="AutoPost 247"/>
    <s v="EUR"/>
    <x v="19"/>
    <n v="-736.75"/>
    <m/>
    <n v="-736.75"/>
    <s v="N/A"/>
    <x v="1"/>
    <x v="0"/>
  </r>
  <r>
    <s v="GL000248"/>
    <d v="2024-06-12T00:00:00"/>
    <x v="4"/>
    <x v="4"/>
    <n v="0"/>
    <n v="4679.5"/>
    <x v="1"/>
    <x v="0"/>
    <s v="AutoPost 248"/>
    <s v="AUD"/>
    <x v="1"/>
    <n v="4679.5"/>
    <m/>
    <n v="4679.5"/>
    <s v="N/A"/>
    <x v="1"/>
    <x v="1"/>
  </r>
  <r>
    <s v="GL000249"/>
    <d v="2025-03-27T00:00:00"/>
    <x v="3"/>
    <x v="3"/>
    <n v="1226.52"/>
    <n v="0"/>
    <x v="5"/>
    <x v="3"/>
    <s v="AutoPost 249"/>
    <s v="USD"/>
    <x v="13"/>
    <n v="-1226.52"/>
    <m/>
    <n v="-1226.52"/>
    <s v="N/A"/>
    <x v="1"/>
    <x v="0"/>
  </r>
  <r>
    <s v="GL000250"/>
    <d v="2024-07-02T00:00:00"/>
    <x v="0"/>
    <x v="0"/>
    <n v="0"/>
    <n v="2655.25"/>
    <x v="1"/>
    <x v="0"/>
    <s v="AutoPost 250"/>
    <s v="USD"/>
    <x v="21"/>
    <n v="2655.25"/>
    <m/>
    <n v="2655.25"/>
    <s v="N/A"/>
    <x v="1"/>
    <x v="1"/>
  </r>
  <r>
    <s v="GL000251"/>
    <d v="2023-07-08T00:00:00"/>
    <x v="0"/>
    <x v="0"/>
    <n v="0"/>
    <n v="889.23"/>
    <x v="2"/>
    <x v="2"/>
    <s v="AutoPost 251"/>
    <s v="CAD"/>
    <x v="17"/>
    <n v="889.23"/>
    <m/>
    <n v="889.23"/>
    <s v="N/A"/>
    <x v="1"/>
    <x v="1"/>
  </r>
  <r>
    <s v="GL000252"/>
    <d v="2024-06-08T00:00:00"/>
    <x v="2"/>
    <x v="2"/>
    <n v="734.75"/>
    <n v="0"/>
    <x v="3"/>
    <x v="3"/>
    <s v="AutoPost 252"/>
    <s v="GBP"/>
    <x v="1"/>
    <n v="-734.75"/>
    <m/>
    <n v="-734.75"/>
    <s v="N/A"/>
    <x v="1"/>
    <x v="0"/>
  </r>
  <r>
    <s v="GL000253"/>
    <d v="2025-04-21T00:00:00"/>
    <x v="2"/>
    <x v="2"/>
    <n v="1799.36"/>
    <n v="0"/>
    <x v="4"/>
    <x v="2"/>
    <s v="AutoPost 253"/>
    <s v="CAD"/>
    <x v="12"/>
    <n v="-1799.36"/>
    <m/>
    <n v="-1799.36"/>
    <s v="N/A"/>
    <x v="1"/>
    <x v="0"/>
  </r>
  <r>
    <s v="GL000254"/>
    <d v="2023-01-22T00:00:00"/>
    <x v="2"/>
    <x v="2"/>
    <n v="950.03"/>
    <n v="0"/>
    <x v="3"/>
    <x v="3"/>
    <s v="AutoPost 254"/>
    <s v="EUR"/>
    <x v="14"/>
    <n v="-950.03"/>
    <m/>
    <n v="-950.03"/>
    <s v="N/A"/>
    <x v="1"/>
    <x v="0"/>
  </r>
  <r>
    <s v="GL000255"/>
    <d v="2024-11-26T00:00:00"/>
    <x v="0"/>
    <x v="0"/>
    <n v="0"/>
    <n v="1523.43"/>
    <x v="4"/>
    <x v="0"/>
    <s v="AutoPost 255"/>
    <s v="GBP"/>
    <x v="10"/>
    <n v="1523.43"/>
    <m/>
    <n v="1523.43"/>
    <s v="N/A"/>
    <x v="1"/>
    <x v="1"/>
  </r>
  <r>
    <s v="GL000256"/>
    <d v="2025-04-18T00:00:00"/>
    <x v="0"/>
    <x v="0"/>
    <n v="0"/>
    <n v="2725.09"/>
    <x v="4"/>
    <x v="0"/>
    <s v="AutoPost 256"/>
    <s v="GBP"/>
    <x v="12"/>
    <n v="2725.09"/>
    <m/>
    <n v="2725.09"/>
    <s v="N/A"/>
    <x v="1"/>
    <x v="1"/>
  </r>
  <r>
    <s v="GL000257"/>
    <d v="2024-05-02T00:00:00"/>
    <x v="2"/>
    <x v="2"/>
    <n v="1186.77"/>
    <n v="0"/>
    <x v="1"/>
    <x v="3"/>
    <s v="AutoPost 257"/>
    <s v="USD"/>
    <x v="0"/>
    <n v="-1186.77"/>
    <m/>
    <n v="-1186.77"/>
    <s v="N/A"/>
    <x v="1"/>
    <x v="0"/>
  </r>
  <r>
    <s v="GL000258"/>
    <d v="2024-03-05T00:00:00"/>
    <x v="4"/>
    <x v="4"/>
    <n v="0"/>
    <n v="3404.96"/>
    <x v="0"/>
    <x v="0"/>
    <s v="AutoPost 258"/>
    <s v="AUD"/>
    <x v="16"/>
    <n v="3404.96"/>
    <m/>
    <n v="3404.96"/>
    <s v="N/A"/>
    <x v="1"/>
    <x v="1"/>
  </r>
  <r>
    <s v="GL000259"/>
    <d v="2023-06-04T00:00:00"/>
    <x v="3"/>
    <x v="3"/>
    <n v="436.8"/>
    <n v="0"/>
    <x v="1"/>
    <x v="3"/>
    <s v="AutoPost 259"/>
    <s v="AUD"/>
    <x v="22"/>
    <n v="-436.8"/>
    <m/>
    <n v="-436.8"/>
    <s v="N/A"/>
    <x v="1"/>
    <x v="0"/>
  </r>
  <r>
    <s v="GL000260"/>
    <d v="2023-07-31T00:00:00"/>
    <x v="1"/>
    <x v="1"/>
    <n v="1095.1300000000001"/>
    <n v="0"/>
    <x v="1"/>
    <x v="4"/>
    <s v="AutoPost 260"/>
    <s v="GBP"/>
    <x v="17"/>
    <n v="-1095.1300000000001"/>
    <m/>
    <n v="-1095.1300000000001"/>
    <s v="N/A"/>
    <x v="1"/>
    <x v="0"/>
  </r>
  <r>
    <s v="GL000261"/>
    <d v="2024-02-26T00:00:00"/>
    <x v="3"/>
    <x v="3"/>
    <n v="393.67"/>
    <n v="0"/>
    <x v="3"/>
    <x v="2"/>
    <s v="AutoPost 261"/>
    <s v="AUD"/>
    <x v="11"/>
    <n v="-393.67"/>
    <m/>
    <n v="-393.67"/>
    <s v="N/A"/>
    <x v="1"/>
    <x v="0"/>
  </r>
  <r>
    <s v="GL000262"/>
    <d v="2025-02-09T00:00:00"/>
    <x v="0"/>
    <x v="0"/>
    <n v="0"/>
    <n v="799.77"/>
    <x v="5"/>
    <x v="1"/>
    <s v="AutoPost 262"/>
    <s v="GBP"/>
    <x v="28"/>
    <n v="799.77"/>
    <m/>
    <n v="799.77"/>
    <s v="N/A"/>
    <x v="1"/>
    <x v="1"/>
  </r>
  <r>
    <s v="GL000263"/>
    <d v="2024-01-09T00:00:00"/>
    <x v="0"/>
    <x v="0"/>
    <n v="0"/>
    <n v="4354.13"/>
    <x v="3"/>
    <x v="2"/>
    <s v="AutoPost 263"/>
    <s v="EUR"/>
    <x v="20"/>
    <n v="4354.13"/>
    <m/>
    <n v="4354.13"/>
    <s v="N/A"/>
    <x v="1"/>
    <x v="1"/>
  </r>
  <r>
    <s v="GL000264"/>
    <d v="2025-01-06T00:00:00"/>
    <x v="1"/>
    <x v="1"/>
    <n v="1157.8"/>
    <n v="0"/>
    <x v="0"/>
    <x v="0"/>
    <s v="AutoPost 264"/>
    <s v="CAD"/>
    <x v="2"/>
    <n v="-1157.8"/>
    <m/>
    <n v="-1157.8"/>
    <s v="N/A"/>
    <x v="1"/>
    <x v="0"/>
  </r>
  <r>
    <s v="GL000265"/>
    <d v="2023-10-21T00:00:00"/>
    <x v="0"/>
    <x v="0"/>
    <n v="0"/>
    <n v="2597.25"/>
    <x v="5"/>
    <x v="0"/>
    <s v="AutoPost 265"/>
    <s v="AUD"/>
    <x v="27"/>
    <n v="2597.25"/>
    <m/>
    <n v="2597.25"/>
    <s v="N/A"/>
    <x v="1"/>
    <x v="1"/>
  </r>
  <r>
    <s v="GL000266"/>
    <d v="2025-05-27T00:00:00"/>
    <x v="1"/>
    <x v="1"/>
    <n v="1343.21"/>
    <n v="0"/>
    <x v="3"/>
    <x v="3"/>
    <s v="AutoPost 266"/>
    <s v="EUR"/>
    <x v="5"/>
    <n v="-1343.21"/>
    <m/>
    <n v="-1343.21"/>
    <s v="N/A"/>
    <x v="1"/>
    <x v="0"/>
  </r>
  <r>
    <s v="GL000267"/>
    <d v="2023-09-22T00:00:00"/>
    <x v="3"/>
    <x v="3"/>
    <n v="1498.82"/>
    <n v="0"/>
    <x v="1"/>
    <x v="4"/>
    <s v="AutoPost 267"/>
    <s v="EUR"/>
    <x v="3"/>
    <n v="-1498.82"/>
    <m/>
    <n v="-1498.82"/>
    <s v="N/A"/>
    <x v="1"/>
    <x v="0"/>
  </r>
  <r>
    <s v="GL000268"/>
    <d v="2024-02-16T00:00:00"/>
    <x v="0"/>
    <x v="0"/>
    <n v="0"/>
    <n v="4728.58"/>
    <x v="3"/>
    <x v="2"/>
    <s v="AutoPost 268"/>
    <s v="AUD"/>
    <x v="11"/>
    <n v="4728.58"/>
    <m/>
    <n v="4728.58"/>
    <s v="N/A"/>
    <x v="1"/>
    <x v="1"/>
  </r>
  <r>
    <s v="GL000269"/>
    <d v="2024-02-10T00:00:00"/>
    <x v="4"/>
    <x v="4"/>
    <n v="0"/>
    <n v="3612.83"/>
    <x v="5"/>
    <x v="4"/>
    <s v="AutoPost 269"/>
    <s v="EUR"/>
    <x v="11"/>
    <n v="3612.83"/>
    <m/>
    <n v="3612.83"/>
    <s v="N/A"/>
    <x v="1"/>
    <x v="1"/>
  </r>
  <r>
    <s v="GL000270"/>
    <d v="2023-06-14T00:00:00"/>
    <x v="4"/>
    <x v="4"/>
    <n v="0"/>
    <n v="4506.28"/>
    <x v="3"/>
    <x v="1"/>
    <s v="AutoPost 270"/>
    <s v="EUR"/>
    <x v="22"/>
    <n v="4506.28"/>
    <m/>
    <n v="4506.28"/>
    <s v="N/A"/>
    <x v="1"/>
    <x v="1"/>
  </r>
  <r>
    <s v="GL000271"/>
    <d v="2023-11-24T00:00:00"/>
    <x v="3"/>
    <x v="3"/>
    <n v="1000.3"/>
    <n v="0"/>
    <x v="5"/>
    <x v="4"/>
    <s v="AutoPost 271"/>
    <s v="CAD"/>
    <x v="9"/>
    <n v="-1000.3"/>
    <m/>
    <n v="-1000.3"/>
    <s v="N/A"/>
    <x v="1"/>
    <x v="0"/>
  </r>
  <r>
    <s v="GL000272"/>
    <d v="2023-08-07T00:00:00"/>
    <x v="1"/>
    <x v="1"/>
    <n v="991.08"/>
    <n v="0"/>
    <x v="4"/>
    <x v="1"/>
    <s v="AutoPost 272"/>
    <s v="CAD"/>
    <x v="4"/>
    <n v="-991.08"/>
    <m/>
    <n v="-991.08"/>
    <s v="N/A"/>
    <x v="1"/>
    <x v="0"/>
  </r>
  <r>
    <s v="GL000273"/>
    <d v="2024-04-07T00:00:00"/>
    <x v="1"/>
    <x v="1"/>
    <n v="1499.52"/>
    <n v="0"/>
    <x v="4"/>
    <x v="0"/>
    <s v="AutoPost 273"/>
    <s v="AUD"/>
    <x v="7"/>
    <n v="-1499.52"/>
    <m/>
    <n v="-1499.52"/>
    <s v="N/A"/>
    <x v="1"/>
    <x v="0"/>
  </r>
  <r>
    <s v="GL000274"/>
    <d v="2023-05-06T00:00:00"/>
    <x v="4"/>
    <x v="4"/>
    <n v="0"/>
    <n v="1203.8"/>
    <x v="4"/>
    <x v="0"/>
    <s v="AutoPost 274"/>
    <s v="GBP"/>
    <x v="29"/>
    <n v="1203.8"/>
    <m/>
    <n v="1203.8"/>
    <s v="N/A"/>
    <x v="1"/>
    <x v="1"/>
  </r>
  <r>
    <s v="GL000275"/>
    <d v="2024-01-25T00:00:00"/>
    <x v="0"/>
    <x v="0"/>
    <n v="0"/>
    <n v="656.25"/>
    <x v="3"/>
    <x v="3"/>
    <s v="AutoPost 275"/>
    <s v="AUD"/>
    <x v="20"/>
    <n v="656.25"/>
    <m/>
    <n v="656.25"/>
    <s v="N/A"/>
    <x v="1"/>
    <x v="1"/>
  </r>
  <r>
    <s v="GL000276"/>
    <d v="2025-02-06T00:00:00"/>
    <x v="1"/>
    <x v="1"/>
    <n v="620.29999999999995"/>
    <n v="0"/>
    <x v="1"/>
    <x v="4"/>
    <s v="AutoPost 276"/>
    <s v="CAD"/>
    <x v="28"/>
    <n v="-620.29999999999995"/>
    <m/>
    <n v="-620.29999999999995"/>
    <s v="N/A"/>
    <x v="1"/>
    <x v="0"/>
  </r>
  <r>
    <s v="GL000277"/>
    <d v="2025-04-28T00:00:00"/>
    <x v="2"/>
    <x v="2"/>
    <n v="85.24"/>
    <n v="0"/>
    <x v="4"/>
    <x v="3"/>
    <s v="AutoPost 277"/>
    <s v="CAD"/>
    <x v="12"/>
    <n v="-85.24"/>
    <m/>
    <n v="-85.24"/>
    <s v="N/A"/>
    <x v="1"/>
    <x v="0"/>
  </r>
  <r>
    <s v="GL000278"/>
    <d v="2023-09-05T00:00:00"/>
    <x v="3"/>
    <x v="3"/>
    <n v="628.62"/>
    <n v="0"/>
    <x v="1"/>
    <x v="3"/>
    <s v="AutoPost 278"/>
    <s v="AUD"/>
    <x v="3"/>
    <n v="-628.62"/>
    <m/>
    <n v="-628.62"/>
    <s v="N/A"/>
    <x v="1"/>
    <x v="0"/>
  </r>
  <r>
    <s v="GL000279"/>
    <d v="2023-04-09T00:00:00"/>
    <x v="0"/>
    <x v="0"/>
    <n v="0"/>
    <n v="1358.19"/>
    <x v="3"/>
    <x v="2"/>
    <s v="AutoPost 279"/>
    <s v="GBP"/>
    <x v="8"/>
    <n v="1358.19"/>
    <m/>
    <n v="1358.19"/>
    <s v="N/A"/>
    <x v="1"/>
    <x v="1"/>
  </r>
  <r>
    <s v="GL000280"/>
    <d v="2024-07-02T00:00:00"/>
    <x v="4"/>
    <x v="4"/>
    <n v="0"/>
    <n v="2329.64"/>
    <x v="4"/>
    <x v="2"/>
    <s v="AutoPost 280"/>
    <s v="USD"/>
    <x v="21"/>
    <n v="2329.64"/>
    <m/>
    <n v="2329.64"/>
    <s v="N/A"/>
    <x v="1"/>
    <x v="1"/>
  </r>
  <r>
    <s v="GL000281"/>
    <d v="2025-01-05T00:00:00"/>
    <x v="2"/>
    <x v="2"/>
    <n v="1039.56"/>
    <n v="0"/>
    <x v="0"/>
    <x v="3"/>
    <s v="AutoPost 281"/>
    <s v="CAD"/>
    <x v="2"/>
    <n v="-1039.56"/>
    <m/>
    <n v="-1039.56"/>
    <s v="N/A"/>
    <x v="1"/>
    <x v="0"/>
  </r>
  <r>
    <s v="GL000282"/>
    <d v="2023-03-15T00:00:00"/>
    <x v="3"/>
    <x v="3"/>
    <n v="1441.17"/>
    <n v="0"/>
    <x v="1"/>
    <x v="2"/>
    <s v="AutoPost 282"/>
    <s v="CAD"/>
    <x v="18"/>
    <n v="-1441.17"/>
    <m/>
    <n v="-1441.17"/>
    <s v="N/A"/>
    <x v="1"/>
    <x v="0"/>
  </r>
  <r>
    <s v="GL000283"/>
    <d v="2023-04-15T00:00:00"/>
    <x v="0"/>
    <x v="0"/>
    <n v="0"/>
    <n v="873.53"/>
    <x v="2"/>
    <x v="3"/>
    <s v="AutoPost 283"/>
    <s v="EUR"/>
    <x v="8"/>
    <n v="873.53"/>
    <m/>
    <n v="873.53"/>
    <s v="N/A"/>
    <x v="1"/>
    <x v="1"/>
  </r>
  <r>
    <s v="GL000284"/>
    <d v="2025-01-28T00:00:00"/>
    <x v="0"/>
    <x v="0"/>
    <n v="0"/>
    <n v="1932.35"/>
    <x v="0"/>
    <x v="2"/>
    <s v="AutoPost 284"/>
    <s v="AUD"/>
    <x v="2"/>
    <n v="1932.35"/>
    <m/>
    <n v="1932.35"/>
    <s v="N/A"/>
    <x v="1"/>
    <x v="1"/>
  </r>
  <r>
    <s v="GL000285"/>
    <d v="2025-06-25T00:00:00"/>
    <x v="1"/>
    <x v="1"/>
    <n v="1733.12"/>
    <n v="0"/>
    <x v="0"/>
    <x v="0"/>
    <s v="AutoPost 285"/>
    <s v="CAD"/>
    <x v="19"/>
    <n v="-1733.12"/>
    <m/>
    <n v="-1733.12"/>
    <s v="N/A"/>
    <x v="1"/>
    <x v="0"/>
  </r>
  <r>
    <s v="GL000286"/>
    <d v="2024-11-26T00:00:00"/>
    <x v="0"/>
    <x v="0"/>
    <n v="0"/>
    <n v="3004.12"/>
    <x v="0"/>
    <x v="3"/>
    <s v="AutoPost 286"/>
    <s v="EUR"/>
    <x v="10"/>
    <n v="3004.12"/>
    <m/>
    <n v="3004.12"/>
    <s v="N/A"/>
    <x v="1"/>
    <x v="1"/>
  </r>
  <r>
    <s v="GL000287"/>
    <d v="2024-04-01T00:00:00"/>
    <x v="3"/>
    <x v="3"/>
    <n v="1521.85"/>
    <n v="0"/>
    <x v="2"/>
    <x v="4"/>
    <s v="AutoPost 287"/>
    <s v="AUD"/>
    <x v="7"/>
    <n v="-1521.85"/>
    <m/>
    <n v="-1521.85"/>
    <s v="N/A"/>
    <x v="1"/>
    <x v="0"/>
  </r>
  <r>
    <s v="GL000288"/>
    <d v="2025-02-24T00:00:00"/>
    <x v="1"/>
    <x v="1"/>
    <n v="1486.16"/>
    <n v="0"/>
    <x v="3"/>
    <x v="0"/>
    <s v="AutoPost 288"/>
    <s v="AUD"/>
    <x v="28"/>
    <n v="-1486.16"/>
    <m/>
    <n v="-1486.16"/>
    <s v="N/A"/>
    <x v="1"/>
    <x v="0"/>
  </r>
  <r>
    <s v="GL000289"/>
    <d v="2025-04-30T00:00:00"/>
    <x v="1"/>
    <x v="1"/>
    <n v="1308.19"/>
    <n v="0"/>
    <x v="0"/>
    <x v="2"/>
    <s v="AutoPost 289"/>
    <s v="USD"/>
    <x v="12"/>
    <n v="-1308.19"/>
    <m/>
    <n v="-1308.19"/>
    <s v="N/A"/>
    <x v="1"/>
    <x v="0"/>
  </r>
  <r>
    <s v="GL000290"/>
    <d v="2025-02-02T00:00:00"/>
    <x v="1"/>
    <x v="1"/>
    <n v="1765.16"/>
    <n v="0"/>
    <x v="3"/>
    <x v="3"/>
    <s v="AutoPost 290"/>
    <s v="AUD"/>
    <x v="28"/>
    <n v="-1765.16"/>
    <m/>
    <n v="-1765.16"/>
    <s v="N/A"/>
    <x v="1"/>
    <x v="0"/>
  </r>
  <r>
    <s v="GL000291"/>
    <d v="2024-05-10T00:00:00"/>
    <x v="3"/>
    <x v="3"/>
    <n v="842.35"/>
    <n v="0"/>
    <x v="3"/>
    <x v="3"/>
    <s v="AutoPost 291"/>
    <s v="USD"/>
    <x v="0"/>
    <n v="-842.35"/>
    <m/>
    <n v="-842.35"/>
    <s v="N/A"/>
    <x v="1"/>
    <x v="0"/>
  </r>
  <r>
    <s v="GL000292"/>
    <d v="2024-02-29T00:00:00"/>
    <x v="3"/>
    <x v="3"/>
    <n v="788.28"/>
    <n v="0"/>
    <x v="1"/>
    <x v="0"/>
    <s v="AutoPost 292"/>
    <s v="EUR"/>
    <x v="11"/>
    <n v="-788.28"/>
    <m/>
    <n v="-788.28"/>
    <s v="N/A"/>
    <x v="1"/>
    <x v="0"/>
  </r>
  <r>
    <s v="GL000293"/>
    <d v="2024-08-31T00:00:00"/>
    <x v="0"/>
    <x v="0"/>
    <n v="0"/>
    <n v="239.94"/>
    <x v="4"/>
    <x v="3"/>
    <s v="AutoPost 293"/>
    <s v="EUR"/>
    <x v="25"/>
    <n v="239.94"/>
    <m/>
    <n v="239.94"/>
    <s v="N/A"/>
    <x v="1"/>
    <x v="1"/>
  </r>
  <r>
    <s v="GL000294"/>
    <d v="2025-01-22T00:00:00"/>
    <x v="0"/>
    <x v="0"/>
    <n v="0"/>
    <n v="4378.1899999999996"/>
    <x v="3"/>
    <x v="2"/>
    <s v="AutoPost 294"/>
    <s v="EUR"/>
    <x v="2"/>
    <n v="4378.1899999999996"/>
    <m/>
    <n v="4378.1899999999996"/>
    <s v="N/A"/>
    <x v="1"/>
    <x v="1"/>
  </r>
  <r>
    <s v="GL000295"/>
    <d v="2023-12-08T00:00:00"/>
    <x v="2"/>
    <x v="2"/>
    <n v="1116.99"/>
    <n v="0"/>
    <x v="0"/>
    <x v="0"/>
    <s v="AutoPost 295"/>
    <s v="AUD"/>
    <x v="6"/>
    <n v="-1116.99"/>
    <m/>
    <n v="-1116.99"/>
    <s v="N/A"/>
    <x v="1"/>
    <x v="0"/>
  </r>
  <r>
    <s v="GL000296"/>
    <d v="2023-12-09T00:00:00"/>
    <x v="3"/>
    <x v="3"/>
    <n v="1902.75"/>
    <n v="0"/>
    <x v="4"/>
    <x v="2"/>
    <s v="AutoPost 296"/>
    <s v="GBP"/>
    <x v="6"/>
    <n v="-1902.75"/>
    <m/>
    <n v="-1902.75"/>
    <s v="N/A"/>
    <x v="1"/>
    <x v="0"/>
  </r>
  <r>
    <s v="GL000297"/>
    <d v="2024-11-29T00:00:00"/>
    <x v="3"/>
    <x v="3"/>
    <n v="275.93"/>
    <n v="0"/>
    <x v="1"/>
    <x v="1"/>
    <s v="AutoPost 297"/>
    <s v="USD"/>
    <x v="10"/>
    <n v="-275.93"/>
    <m/>
    <n v="-275.93"/>
    <s v="N/A"/>
    <x v="1"/>
    <x v="0"/>
  </r>
  <r>
    <s v="GL000298"/>
    <d v="2024-09-20T00:00:00"/>
    <x v="2"/>
    <x v="2"/>
    <n v="1761.1"/>
    <n v="0"/>
    <x v="3"/>
    <x v="2"/>
    <s v="AutoPost 298"/>
    <s v="AUD"/>
    <x v="15"/>
    <n v="-1761.1"/>
    <m/>
    <n v="-1761.1"/>
    <s v="N/A"/>
    <x v="1"/>
    <x v="0"/>
  </r>
  <r>
    <s v="GL000299"/>
    <d v="2024-01-17T00:00:00"/>
    <x v="4"/>
    <x v="4"/>
    <n v="0"/>
    <n v="4260.88"/>
    <x v="1"/>
    <x v="3"/>
    <s v="AutoPost 299"/>
    <s v="USD"/>
    <x v="20"/>
    <n v="4260.88"/>
    <m/>
    <n v="4260.88"/>
    <s v="N/A"/>
    <x v="1"/>
    <x v="1"/>
  </r>
  <r>
    <s v="GL000300"/>
    <d v="2023-10-10T00:00:00"/>
    <x v="0"/>
    <x v="0"/>
    <n v="0"/>
    <n v="1229.46"/>
    <x v="3"/>
    <x v="0"/>
    <s v="AutoPost 300"/>
    <s v="CAD"/>
    <x v="27"/>
    <n v="1229.46"/>
    <m/>
    <n v="1229.46"/>
    <s v="N/A"/>
    <x v="1"/>
    <x v="1"/>
  </r>
  <r>
    <s v="GL000301"/>
    <d v="2024-11-12T00:00:00"/>
    <x v="1"/>
    <x v="1"/>
    <n v="1804.04"/>
    <n v="0"/>
    <x v="1"/>
    <x v="3"/>
    <s v="AutoPost 301"/>
    <s v="GBP"/>
    <x v="10"/>
    <n v="-1804.04"/>
    <m/>
    <n v="-1804.04"/>
    <s v="N/A"/>
    <x v="1"/>
    <x v="0"/>
  </r>
  <r>
    <s v="GL000302"/>
    <d v="2024-10-02T00:00:00"/>
    <x v="1"/>
    <x v="1"/>
    <n v="1637.96"/>
    <n v="0"/>
    <x v="1"/>
    <x v="0"/>
    <s v="AutoPost 302"/>
    <s v="AUD"/>
    <x v="26"/>
    <n v="-1637.96"/>
    <m/>
    <n v="-1637.96"/>
    <s v="N/A"/>
    <x v="1"/>
    <x v="0"/>
  </r>
  <r>
    <s v="GL000303"/>
    <d v="2024-07-31T00:00:00"/>
    <x v="0"/>
    <x v="0"/>
    <n v="0"/>
    <n v="1400.77"/>
    <x v="0"/>
    <x v="3"/>
    <s v="AutoPost 303"/>
    <s v="EUR"/>
    <x v="21"/>
    <n v="1400.77"/>
    <m/>
    <n v="1400.77"/>
    <s v="N/A"/>
    <x v="1"/>
    <x v="1"/>
  </r>
  <r>
    <s v="GL000304"/>
    <d v="2025-03-13T00:00:00"/>
    <x v="3"/>
    <x v="3"/>
    <n v="1010.88"/>
    <n v="0"/>
    <x v="0"/>
    <x v="2"/>
    <s v="AutoPost 304"/>
    <s v="AUD"/>
    <x v="13"/>
    <n v="-1010.88"/>
    <m/>
    <n v="-1010.88"/>
    <s v="N/A"/>
    <x v="1"/>
    <x v="0"/>
  </r>
  <r>
    <s v="GL000305"/>
    <d v="2024-04-03T00:00:00"/>
    <x v="0"/>
    <x v="0"/>
    <n v="0"/>
    <n v="1059.18"/>
    <x v="2"/>
    <x v="2"/>
    <s v="AutoPost 305"/>
    <s v="USD"/>
    <x v="7"/>
    <n v="1059.18"/>
    <m/>
    <n v="1059.18"/>
    <s v="N/A"/>
    <x v="1"/>
    <x v="1"/>
  </r>
  <r>
    <s v="GL000306"/>
    <d v="2023-08-14T00:00:00"/>
    <x v="4"/>
    <x v="4"/>
    <n v="0"/>
    <n v="951.38"/>
    <x v="0"/>
    <x v="0"/>
    <s v="AutoPost 306"/>
    <s v="GBP"/>
    <x v="4"/>
    <n v="951.38"/>
    <m/>
    <n v="951.38"/>
    <s v="N/A"/>
    <x v="1"/>
    <x v="1"/>
  </r>
  <r>
    <s v="GL000307"/>
    <d v="2023-01-23T00:00:00"/>
    <x v="0"/>
    <x v="0"/>
    <n v="0"/>
    <n v="2648.82"/>
    <x v="5"/>
    <x v="3"/>
    <s v="AutoPost 307"/>
    <s v="GBP"/>
    <x v="14"/>
    <n v="2648.82"/>
    <m/>
    <n v="2648.82"/>
    <s v="N/A"/>
    <x v="1"/>
    <x v="1"/>
  </r>
  <r>
    <s v="GL000308"/>
    <d v="2023-03-04T00:00:00"/>
    <x v="4"/>
    <x v="4"/>
    <n v="0"/>
    <n v="2008.6"/>
    <x v="4"/>
    <x v="2"/>
    <s v="AutoPost 308"/>
    <s v="USD"/>
    <x v="18"/>
    <n v="2008.6"/>
    <m/>
    <n v="2008.6"/>
    <s v="N/A"/>
    <x v="1"/>
    <x v="1"/>
  </r>
  <r>
    <s v="GL000309"/>
    <d v="2024-05-30T00:00:00"/>
    <x v="2"/>
    <x v="2"/>
    <n v="1604.44"/>
    <n v="0"/>
    <x v="2"/>
    <x v="0"/>
    <s v="AutoPost 309"/>
    <s v="CAD"/>
    <x v="0"/>
    <n v="-1604.44"/>
    <m/>
    <n v="-1604.44"/>
    <s v="N/A"/>
    <x v="1"/>
    <x v="0"/>
  </r>
  <r>
    <s v="GL000310"/>
    <d v="2024-10-01T00:00:00"/>
    <x v="3"/>
    <x v="3"/>
    <n v="350.19"/>
    <n v="0"/>
    <x v="4"/>
    <x v="0"/>
    <s v="AutoPost 310"/>
    <s v="GBP"/>
    <x v="26"/>
    <n v="-350.19"/>
    <m/>
    <n v="-350.19"/>
    <s v="N/A"/>
    <x v="1"/>
    <x v="0"/>
  </r>
  <r>
    <s v="GL000311"/>
    <d v="2024-02-04T00:00:00"/>
    <x v="1"/>
    <x v="1"/>
    <n v="547.95000000000005"/>
    <n v="0"/>
    <x v="4"/>
    <x v="0"/>
    <s v="AutoPost 311"/>
    <s v="GBP"/>
    <x v="11"/>
    <n v="-547.95000000000005"/>
    <m/>
    <n v="-547.95000000000005"/>
    <s v="N/A"/>
    <x v="1"/>
    <x v="0"/>
  </r>
  <r>
    <s v="GL000312"/>
    <d v="2025-05-19T00:00:00"/>
    <x v="0"/>
    <x v="0"/>
    <n v="0"/>
    <n v="561.46"/>
    <x v="4"/>
    <x v="4"/>
    <s v="AutoPost 312"/>
    <s v="GBP"/>
    <x v="5"/>
    <n v="561.46"/>
    <m/>
    <n v="561.46"/>
    <s v="N/A"/>
    <x v="1"/>
    <x v="1"/>
  </r>
  <r>
    <s v="GL000313"/>
    <d v="2023-08-12T00:00:00"/>
    <x v="2"/>
    <x v="2"/>
    <n v="737.29"/>
    <n v="0"/>
    <x v="0"/>
    <x v="4"/>
    <s v="AutoPost 313"/>
    <s v="AUD"/>
    <x v="4"/>
    <n v="-737.29"/>
    <m/>
    <n v="-737.29"/>
    <s v="N/A"/>
    <x v="1"/>
    <x v="0"/>
  </r>
  <r>
    <s v="GL000314"/>
    <d v="2025-06-21T00:00:00"/>
    <x v="4"/>
    <x v="4"/>
    <n v="0"/>
    <n v="963.96"/>
    <x v="2"/>
    <x v="2"/>
    <s v="AutoPost 314"/>
    <s v="GBP"/>
    <x v="19"/>
    <n v="963.96"/>
    <m/>
    <n v="963.96"/>
    <s v="N/A"/>
    <x v="1"/>
    <x v="1"/>
  </r>
  <r>
    <s v="GL000315"/>
    <d v="2023-07-11T00:00:00"/>
    <x v="3"/>
    <x v="3"/>
    <n v="1233.1600000000001"/>
    <n v="0"/>
    <x v="0"/>
    <x v="4"/>
    <s v="AutoPost 315"/>
    <s v="USD"/>
    <x v="17"/>
    <n v="-1233.1600000000001"/>
    <m/>
    <n v="-1233.1600000000001"/>
    <s v="N/A"/>
    <x v="1"/>
    <x v="0"/>
  </r>
  <r>
    <s v="GL000316"/>
    <d v="2023-12-03T00:00:00"/>
    <x v="0"/>
    <x v="0"/>
    <n v="0"/>
    <n v="1228"/>
    <x v="4"/>
    <x v="0"/>
    <s v="AutoPost 316"/>
    <s v="USD"/>
    <x v="6"/>
    <n v="1228"/>
    <m/>
    <n v="1228"/>
    <s v="N/A"/>
    <x v="1"/>
    <x v="1"/>
  </r>
  <r>
    <s v="GL000317"/>
    <d v="2023-01-17T00:00:00"/>
    <x v="0"/>
    <x v="0"/>
    <n v="0"/>
    <n v="1067.1500000000001"/>
    <x v="0"/>
    <x v="2"/>
    <s v="AutoPost 317"/>
    <s v="CAD"/>
    <x v="14"/>
    <n v="1067.1500000000001"/>
    <m/>
    <n v="1067.1500000000001"/>
    <s v="N/A"/>
    <x v="1"/>
    <x v="1"/>
  </r>
  <r>
    <s v="GL000318"/>
    <d v="2024-01-10T00:00:00"/>
    <x v="4"/>
    <x v="4"/>
    <n v="0"/>
    <n v="1167.53"/>
    <x v="1"/>
    <x v="1"/>
    <s v="AutoPost 318"/>
    <s v="AUD"/>
    <x v="20"/>
    <n v="1167.53"/>
    <m/>
    <n v="1167.53"/>
    <s v="N/A"/>
    <x v="1"/>
    <x v="1"/>
  </r>
  <r>
    <s v="GL000319"/>
    <d v="2024-02-18T00:00:00"/>
    <x v="3"/>
    <x v="3"/>
    <n v="1808.37"/>
    <n v="0"/>
    <x v="4"/>
    <x v="2"/>
    <s v="AutoPost 319"/>
    <s v="CAD"/>
    <x v="11"/>
    <n v="-1808.37"/>
    <m/>
    <n v="-1808.37"/>
    <s v="N/A"/>
    <x v="1"/>
    <x v="0"/>
  </r>
  <r>
    <s v="GL000320"/>
    <d v="2024-05-04T00:00:00"/>
    <x v="0"/>
    <x v="0"/>
    <n v="0"/>
    <n v="3683.59"/>
    <x v="1"/>
    <x v="3"/>
    <s v="AutoPost 320"/>
    <s v="CAD"/>
    <x v="0"/>
    <n v="3683.59"/>
    <m/>
    <n v="3683.59"/>
    <s v="N/A"/>
    <x v="1"/>
    <x v="1"/>
  </r>
  <r>
    <s v="GL000321"/>
    <d v="2023-04-07T00:00:00"/>
    <x v="4"/>
    <x v="4"/>
    <n v="0"/>
    <n v="2268.92"/>
    <x v="4"/>
    <x v="0"/>
    <s v="AutoPost 321"/>
    <s v="GBP"/>
    <x v="8"/>
    <n v="2268.92"/>
    <m/>
    <n v="2268.92"/>
    <s v="N/A"/>
    <x v="1"/>
    <x v="1"/>
  </r>
  <r>
    <s v="GL000322"/>
    <d v="2024-01-26T00:00:00"/>
    <x v="2"/>
    <x v="2"/>
    <n v="791.64"/>
    <n v="0"/>
    <x v="4"/>
    <x v="3"/>
    <s v="AutoPost 322"/>
    <s v="CAD"/>
    <x v="20"/>
    <n v="-791.64"/>
    <m/>
    <n v="-791.64"/>
    <s v="N/A"/>
    <x v="1"/>
    <x v="0"/>
  </r>
  <r>
    <s v="GL000323"/>
    <d v="2024-08-13T00:00:00"/>
    <x v="0"/>
    <x v="0"/>
    <n v="0"/>
    <n v="381.77"/>
    <x v="5"/>
    <x v="4"/>
    <s v="AutoPost 323"/>
    <s v="GBP"/>
    <x v="25"/>
    <n v="381.77"/>
    <m/>
    <n v="381.77"/>
    <s v="N/A"/>
    <x v="1"/>
    <x v="1"/>
  </r>
  <r>
    <s v="GL000324"/>
    <d v="2023-02-15T00:00:00"/>
    <x v="2"/>
    <x v="2"/>
    <n v="603.09"/>
    <n v="0"/>
    <x v="2"/>
    <x v="3"/>
    <s v="AutoPost 324"/>
    <s v="USD"/>
    <x v="24"/>
    <n v="-603.09"/>
    <m/>
    <n v="-603.09"/>
    <s v="N/A"/>
    <x v="1"/>
    <x v="0"/>
  </r>
  <r>
    <s v="GL000325"/>
    <d v="2023-11-21T00:00:00"/>
    <x v="1"/>
    <x v="1"/>
    <n v="76.959999999999994"/>
    <n v="0"/>
    <x v="4"/>
    <x v="2"/>
    <s v="AutoPost 325"/>
    <s v="GBP"/>
    <x v="9"/>
    <n v="-76.959999999999994"/>
    <m/>
    <n v="-76.959999999999994"/>
    <s v="N/A"/>
    <x v="1"/>
    <x v="0"/>
  </r>
  <r>
    <s v="GL000326"/>
    <d v="2023-11-13T00:00:00"/>
    <x v="2"/>
    <x v="2"/>
    <n v="870.26"/>
    <n v="0"/>
    <x v="5"/>
    <x v="2"/>
    <s v="AutoPost 326"/>
    <s v="CAD"/>
    <x v="9"/>
    <n v="-870.26"/>
    <m/>
    <n v="-870.26"/>
    <s v="N/A"/>
    <x v="1"/>
    <x v="0"/>
  </r>
  <r>
    <s v="GL000327"/>
    <d v="2024-02-06T00:00:00"/>
    <x v="0"/>
    <x v="0"/>
    <n v="0"/>
    <n v="195.85"/>
    <x v="5"/>
    <x v="1"/>
    <s v="AutoPost 327"/>
    <s v="AUD"/>
    <x v="11"/>
    <n v="195.85"/>
    <m/>
    <n v="195.85"/>
    <s v="N/A"/>
    <x v="1"/>
    <x v="1"/>
  </r>
  <r>
    <s v="GL000328"/>
    <d v="2024-05-15T00:00:00"/>
    <x v="0"/>
    <x v="0"/>
    <n v="0"/>
    <n v="3924.16"/>
    <x v="4"/>
    <x v="0"/>
    <s v="AutoPost 328"/>
    <s v="AUD"/>
    <x v="0"/>
    <n v="3924.16"/>
    <m/>
    <n v="3924.16"/>
    <s v="N/A"/>
    <x v="1"/>
    <x v="1"/>
  </r>
  <r>
    <s v="GL000329"/>
    <d v="2025-05-06T00:00:00"/>
    <x v="3"/>
    <x v="3"/>
    <n v="745.46"/>
    <n v="0"/>
    <x v="4"/>
    <x v="0"/>
    <s v="AutoPost 329"/>
    <s v="EUR"/>
    <x v="5"/>
    <n v="-745.46"/>
    <m/>
    <n v="-745.46"/>
    <s v="N/A"/>
    <x v="1"/>
    <x v="0"/>
  </r>
  <r>
    <s v="GL000330"/>
    <d v="2023-11-08T00:00:00"/>
    <x v="0"/>
    <x v="0"/>
    <n v="0"/>
    <n v="2579.5"/>
    <x v="0"/>
    <x v="1"/>
    <s v="AutoPost 330"/>
    <s v="EUR"/>
    <x v="9"/>
    <n v="2579.5"/>
    <m/>
    <n v="2579.5"/>
    <s v="N/A"/>
    <x v="1"/>
    <x v="1"/>
  </r>
  <r>
    <s v="GL000331"/>
    <d v="2024-10-05T00:00:00"/>
    <x v="1"/>
    <x v="1"/>
    <n v="1763.39"/>
    <n v="0"/>
    <x v="4"/>
    <x v="4"/>
    <s v="AutoPost 331"/>
    <s v="USD"/>
    <x v="26"/>
    <n v="-1763.39"/>
    <m/>
    <n v="-1763.39"/>
    <s v="N/A"/>
    <x v="1"/>
    <x v="0"/>
  </r>
  <r>
    <s v="GL000332"/>
    <d v="2024-10-01T00:00:00"/>
    <x v="1"/>
    <x v="1"/>
    <n v="957.72"/>
    <n v="0"/>
    <x v="4"/>
    <x v="2"/>
    <s v="AutoPost 332"/>
    <s v="EUR"/>
    <x v="26"/>
    <n v="-957.72"/>
    <m/>
    <n v="-957.72"/>
    <s v="N/A"/>
    <x v="1"/>
    <x v="0"/>
  </r>
  <r>
    <s v="GL000333"/>
    <d v="2023-09-27T00:00:00"/>
    <x v="0"/>
    <x v="0"/>
    <n v="0"/>
    <n v="312.52"/>
    <x v="0"/>
    <x v="2"/>
    <s v="AutoPost 333"/>
    <s v="USD"/>
    <x v="3"/>
    <n v="312.52"/>
    <m/>
    <n v="312.52"/>
    <s v="N/A"/>
    <x v="1"/>
    <x v="1"/>
  </r>
  <r>
    <s v="GL000334"/>
    <d v="2023-11-02T00:00:00"/>
    <x v="4"/>
    <x v="4"/>
    <n v="0"/>
    <n v="4032.89"/>
    <x v="1"/>
    <x v="1"/>
    <s v="AutoPost 334"/>
    <s v="GBP"/>
    <x v="9"/>
    <n v="4032.89"/>
    <m/>
    <n v="4032.89"/>
    <s v="N/A"/>
    <x v="1"/>
    <x v="1"/>
  </r>
  <r>
    <s v="GL000335"/>
    <d v="2024-01-25T00:00:00"/>
    <x v="1"/>
    <x v="1"/>
    <n v="822.42"/>
    <n v="0"/>
    <x v="4"/>
    <x v="2"/>
    <s v="AutoPost 335"/>
    <s v="USD"/>
    <x v="20"/>
    <n v="-822.42"/>
    <m/>
    <n v="-822.42"/>
    <s v="N/A"/>
    <x v="1"/>
    <x v="0"/>
  </r>
  <r>
    <s v="GL000336"/>
    <d v="2023-02-19T00:00:00"/>
    <x v="4"/>
    <x v="4"/>
    <n v="0"/>
    <n v="2096.4299999999998"/>
    <x v="3"/>
    <x v="4"/>
    <s v="AutoPost 336"/>
    <s v="EUR"/>
    <x v="24"/>
    <n v="2096.4299999999998"/>
    <m/>
    <n v="2096.4299999999998"/>
    <s v="N/A"/>
    <x v="1"/>
    <x v="1"/>
  </r>
  <r>
    <s v="GL000337"/>
    <d v="2024-11-03T00:00:00"/>
    <x v="0"/>
    <x v="0"/>
    <n v="0"/>
    <n v="2254.64"/>
    <x v="3"/>
    <x v="0"/>
    <s v="AutoPost 337"/>
    <s v="EUR"/>
    <x v="10"/>
    <n v="2254.64"/>
    <m/>
    <n v="2254.64"/>
    <s v="N/A"/>
    <x v="1"/>
    <x v="1"/>
  </r>
  <r>
    <s v="GL000338"/>
    <d v="2024-09-19T00:00:00"/>
    <x v="3"/>
    <x v="3"/>
    <n v="1898.13"/>
    <n v="0"/>
    <x v="5"/>
    <x v="3"/>
    <s v="AutoPost 338"/>
    <s v="AUD"/>
    <x v="15"/>
    <n v="-1898.13"/>
    <m/>
    <n v="-1898.13"/>
    <s v="N/A"/>
    <x v="1"/>
    <x v="0"/>
  </r>
  <r>
    <s v="GL000339"/>
    <d v="2023-10-04T00:00:00"/>
    <x v="1"/>
    <x v="1"/>
    <n v="92.89"/>
    <n v="0"/>
    <x v="2"/>
    <x v="4"/>
    <s v="AutoPost 339"/>
    <s v="EUR"/>
    <x v="27"/>
    <n v="-92.89"/>
    <m/>
    <n v="-92.89"/>
    <s v="N/A"/>
    <x v="1"/>
    <x v="0"/>
  </r>
  <r>
    <s v="GL000340"/>
    <d v="2024-12-11T00:00:00"/>
    <x v="1"/>
    <x v="1"/>
    <n v="192.59"/>
    <n v="0"/>
    <x v="2"/>
    <x v="2"/>
    <s v="AutoPost 340"/>
    <s v="EUR"/>
    <x v="23"/>
    <n v="-192.59"/>
    <m/>
    <n v="-192.59"/>
    <s v="N/A"/>
    <x v="1"/>
    <x v="0"/>
  </r>
  <r>
    <s v="GL000341"/>
    <d v="2024-01-20T00:00:00"/>
    <x v="0"/>
    <x v="0"/>
    <n v="0"/>
    <n v="1924.88"/>
    <x v="5"/>
    <x v="4"/>
    <s v="AutoPost 341"/>
    <s v="CAD"/>
    <x v="20"/>
    <n v="1924.88"/>
    <m/>
    <n v="1924.88"/>
    <s v="N/A"/>
    <x v="1"/>
    <x v="1"/>
  </r>
  <r>
    <s v="GL000342"/>
    <d v="2023-05-04T00:00:00"/>
    <x v="1"/>
    <x v="1"/>
    <n v="1161.96"/>
    <n v="0"/>
    <x v="1"/>
    <x v="4"/>
    <s v="AutoPost 342"/>
    <s v="GBP"/>
    <x v="29"/>
    <n v="-1161.96"/>
    <m/>
    <n v="-1161.96"/>
    <s v="N/A"/>
    <x v="1"/>
    <x v="0"/>
  </r>
  <r>
    <s v="GL000343"/>
    <d v="2024-10-15T00:00:00"/>
    <x v="3"/>
    <x v="3"/>
    <n v="1693.2"/>
    <n v="0"/>
    <x v="2"/>
    <x v="1"/>
    <s v="AutoPost 343"/>
    <s v="EUR"/>
    <x v="26"/>
    <n v="-1693.2"/>
    <m/>
    <n v="-1693.2"/>
    <s v="N/A"/>
    <x v="1"/>
    <x v="0"/>
  </r>
  <r>
    <s v="GL000344"/>
    <d v="2023-10-13T00:00:00"/>
    <x v="4"/>
    <x v="4"/>
    <n v="0"/>
    <n v="535.42999999999995"/>
    <x v="0"/>
    <x v="1"/>
    <s v="AutoPost 344"/>
    <s v="GBP"/>
    <x v="27"/>
    <n v="535.42999999999995"/>
    <m/>
    <n v="535.42999999999995"/>
    <s v="N/A"/>
    <x v="1"/>
    <x v="1"/>
  </r>
  <r>
    <s v="GL000345"/>
    <d v="2024-08-02T00:00:00"/>
    <x v="1"/>
    <x v="1"/>
    <n v="449.09"/>
    <n v="0"/>
    <x v="3"/>
    <x v="4"/>
    <s v="AutoPost 345"/>
    <s v="GBP"/>
    <x v="25"/>
    <n v="-449.09"/>
    <m/>
    <n v="-449.09"/>
    <s v="N/A"/>
    <x v="1"/>
    <x v="0"/>
  </r>
  <r>
    <s v="GL000346"/>
    <d v="2023-09-04T00:00:00"/>
    <x v="3"/>
    <x v="3"/>
    <n v="938.21"/>
    <n v="0"/>
    <x v="1"/>
    <x v="4"/>
    <s v="AutoPost 346"/>
    <s v="GBP"/>
    <x v="3"/>
    <n v="-938.21"/>
    <m/>
    <n v="-938.21"/>
    <s v="N/A"/>
    <x v="1"/>
    <x v="0"/>
  </r>
  <r>
    <s v="GL000347"/>
    <d v="2025-02-14T00:00:00"/>
    <x v="3"/>
    <x v="3"/>
    <n v="131.84"/>
    <n v="0"/>
    <x v="5"/>
    <x v="3"/>
    <s v="AutoPost 347"/>
    <s v="EUR"/>
    <x v="28"/>
    <n v="-131.84"/>
    <m/>
    <n v="-131.84"/>
    <s v="N/A"/>
    <x v="1"/>
    <x v="0"/>
  </r>
  <r>
    <s v="GL000348"/>
    <d v="2023-09-14T00:00:00"/>
    <x v="0"/>
    <x v="0"/>
    <n v="0"/>
    <n v="3658.34"/>
    <x v="2"/>
    <x v="1"/>
    <s v="AutoPost 348"/>
    <s v="AUD"/>
    <x v="3"/>
    <n v="3658.34"/>
    <m/>
    <n v="3658.34"/>
    <s v="N/A"/>
    <x v="1"/>
    <x v="1"/>
  </r>
  <r>
    <s v="GL000349"/>
    <d v="2023-04-14T00:00:00"/>
    <x v="1"/>
    <x v="1"/>
    <n v="509.89"/>
    <n v="0"/>
    <x v="1"/>
    <x v="0"/>
    <s v="AutoPost 349"/>
    <s v="EUR"/>
    <x v="8"/>
    <n v="-509.89"/>
    <m/>
    <n v="-509.89"/>
    <s v="N/A"/>
    <x v="1"/>
    <x v="0"/>
  </r>
  <r>
    <s v="GL000350"/>
    <d v="2024-08-17T00:00:00"/>
    <x v="1"/>
    <x v="1"/>
    <n v="697.58"/>
    <n v="0"/>
    <x v="2"/>
    <x v="3"/>
    <s v="AutoPost 350"/>
    <s v="CAD"/>
    <x v="25"/>
    <n v="-697.58"/>
    <m/>
    <n v="-697.58"/>
    <s v="N/A"/>
    <x v="1"/>
    <x v="0"/>
  </r>
  <r>
    <s v="GL000351"/>
    <d v="2024-10-17T00:00:00"/>
    <x v="3"/>
    <x v="3"/>
    <n v="1580.47"/>
    <n v="0"/>
    <x v="4"/>
    <x v="4"/>
    <s v="AutoPost 351"/>
    <s v="AUD"/>
    <x v="26"/>
    <n v="-1580.47"/>
    <m/>
    <n v="-1580.47"/>
    <s v="N/A"/>
    <x v="1"/>
    <x v="0"/>
  </r>
  <r>
    <s v="GL000352"/>
    <d v="2024-01-17T00:00:00"/>
    <x v="1"/>
    <x v="1"/>
    <n v="1567.36"/>
    <n v="0"/>
    <x v="4"/>
    <x v="1"/>
    <s v="AutoPost 352"/>
    <s v="EUR"/>
    <x v="20"/>
    <n v="-1567.36"/>
    <m/>
    <n v="-1567.36"/>
    <s v="N/A"/>
    <x v="1"/>
    <x v="0"/>
  </r>
  <r>
    <s v="GL000353"/>
    <d v="2025-02-27T00:00:00"/>
    <x v="3"/>
    <x v="3"/>
    <n v="443.79"/>
    <n v="0"/>
    <x v="1"/>
    <x v="2"/>
    <s v="AutoPost 353"/>
    <s v="AUD"/>
    <x v="28"/>
    <n v="-443.79"/>
    <m/>
    <n v="-443.79"/>
    <s v="N/A"/>
    <x v="1"/>
    <x v="0"/>
  </r>
  <r>
    <s v="GL000354"/>
    <d v="2023-11-02T00:00:00"/>
    <x v="3"/>
    <x v="3"/>
    <n v="889.34"/>
    <n v="0"/>
    <x v="2"/>
    <x v="0"/>
    <s v="AutoPost 354"/>
    <s v="USD"/>
    <x v="9"/>
    <n v="-889.34"/>
    <m/>
    <n v="-889.34"/>
    <s v="N/A"/>
    <x v="1"/>
    <x v="0"/>
  </r>
  <r>
    <s v="GL000355"/>
    <d v="2025-05-24T00:00:00"/>
    <x v="4"/>
    <x v="4"/>
    <n v="0"/>
    <n v="2239.96"/>
    <x v="4"/>
    <x v="0"/>
    <s v="AutoPost 355"/>
    <s v="USD"/>
    <x v="5"/>
    <n v="2239.96"/>
    <m/>
    <n v="2239.96"/>
    <s v="N/A"/>
    <x v="1"/>
    <x v="1"/>
  </r>
  <r>
    <s v="GL000356"/>
    <d v="2024-01-02T00:00:00"/>
    <x v="3"/>
    <x v="3"/>
    <n v="1291.24"/>
    <n v="0"/>
    <x v="4"/>
    <x v="2"/>
    <s v="AutoPost 356"/>
    <s v="AUD"/>
    <x v="20"/>
    <n v="-1291.24"/>
    <m/>
    <n v="-1291.24"/>
    <s v="N/A"/>
    <x v="1"/>
    <x v="0"/>
  </r>
  <r>
    <s v="GL000357"/>
    <d v="2023-08-03T00:00:00"/>
    <x v="3"/>
    <x v="3"/>
    <n v="397.07"/>
    <n v="0"/>
    <x v="4"/>
    <x v="1"/>
    <s v="AutoPost 357"/>
    <s v="CAD"/>
    <x v="4"/>
    <n v="-397.07"/>
    <m/>
    <n v="-397.07"/>
    <s v="N/A"/>
    <x v="1"/>
    <x v="0"/>
  </r>
  <r>
    <s v="GL000358"/>
    <d v="2024-08-21T00:00:00"/>
    <x v="2"/>
    <x v="2"/>
    <n v="803.21"/>
    <n v="0"/>
    <x v="0"/>
    <x v="4"/>
    <s v="AutoPost 358"/>
    <s v="AUD"/>
    <x v="25"/>
    <n v="-803.21"/>
    <m/>
    <n v="-803.21"/>
    <s v="N/A"/>
    <x v="1"/>
    <x v="0"/>
  </r>
  <r>
    <s v="GL000359"/>
    <d v="2024-06-18T00:00:00"/>
    <x v="0"/>
    <x v="0"/>
    <n v="0"/>
    <n v="1032.8399999999999"/>
    <x v="2"/>
    <x v="3"/>
    <s v="AutoPost 359"/>
    <s v="CAD"/>
    <x v="1"/>
    <n v="1032.8399999999999"/>
    <m/>
    <n v="1032.8399999999999"/>
    <s v="N/A"/>
    <x v="1"/>
    <x v="1"/>
  </r>
  <r>
    <s v="GL000360"/>
    <d v="2025-05-29T00:00:00"/>
    <x v="2"/>
    <x v="2"/>
    <n v="1071.7"/>
    <n v="0"/>
    <x v="3"/>
    <x v="3"/>
    <s v="AutoPost 360"/>
    <s v="USD"/>
    <x v="5"/>
    <n v="-1071.7"/>
    <m/>
    <n v="-1071.7"/>
    <s v="N/A"/>
    <x v="1"/>
    <x v="0"/>
  </r>
  <r>
    <s v="GL000361"/>
    <d v="2024-06-01T00:00:00"/>
    <x v="1"/>
    <x v="1"/>
    <n v="842.82"/>
    <n v="0"/>
    <x v="2"/>
    <x v="3"/>
    <s v="AutoPost 361"/>
    <s v="GBP"/>
    <x v="1"/>
    <n v="-842.82"/>
    <m/>
    <n v="-842.82"/>
    <s v="N/A"/>
    <x v="1"/>
    <x v="0"/>
  </r>
  <r>
    <s v="GL000362"/>
    <d v="2024-08-01T00:00:00"/>
    <x v="3"/>
    <x v="3"/>
    <n v="1375.81"/>
    <n v="0"/>
    <x v="0"/>
    <x v="2"/>
    <s v="AutoPost 362"/>
    <s v="CAD"/>
    <x v="25"/>
    <n v="-1375.81"/>
    <m/>
    <n v="-1375.81"/>
    <s v="N/A"/>
    <x v="1"/>
    <x v="0"/>
  </r>
  <r>
    <s v="GL000363"/>
    <d v="2024-01-22T00:00:00"/>
    <x v="0"/>
    <x v="0"/>
    <n v="0"/>
    <n v="4517.55"/>
    <x v="2"/>
    <x v="2"/>
    <s v="AutoPost 363"/>
    <s v="CAD"/>
    <x v="20"/>
    <n v="4517.55"/>
    <m/>
    <n v="4517.55"/>
    <s v="N/A"/>
    <x v="1"/>
    <x v="1"/>
  </r>
  <r>
    <s v="GL000364"/>
    <d v="2024-12-09T00:00:00"/>
    <x v="3"/>
    <x v="3"/>
    <n v="837.89"/>
    <n v="0"/>
    <x v="1"/>
    <x v="2"/>
    <s v="AutoPost 364"/>
    <s v="EUR"/>
    <x v="23"/>
    <n v="-837.89"/>
    <m/>
    <n v="-837.89"/>
    <s v="N/A"/>
    <x v="1"/>
    <x v="0"/>
  </r>
  <r>
    <s v="GL000365"/>
    <d v="2023-03-14T00:00:00"/>
    <x v="3"/>
    <x v="3"/>
    <n v="426.78"/>
    <n v="0"/>
    <x v="0"/>
    <x v="2"/>
    <s v="AutoPost 365"/>
    <s v="CAD"/>
    <x v="18"/>
    <n v="-426.78"/>
    <m/>
    <n v="-426.78"/>
    <s v="N/A"/>
    <x v="1"/>
    <x v="0"/>
  </r>
  <r>
    <s v="GL000366"/>
    <d v="2025-04-14T00:00:00"/>
    <x v="2"/>
    <x v="2"/>
    <n v="999.72"/>
    <n v="0"/>
    <x v="5"/>
    <x v="1"/>
    <s v="AutoPost 366"/>
    <s v="EUR"/>
    <x v="12"/>
    <n v="-999.72"/>
    <m/>
    <n v="-999.72"/>
    <s v="N/A"/>
    <x v="1"/>
    <x v="0"/>
  </r>
  <r>
    <s v="GL000367"/>
    <d v="2023-04-07T00:00:00"/>
    <x v="1"/>
    <x v="1"/>
    <n v="74.209999999999994"/>
    <n v="0"/>
    <x v="3"/>
    <x v="4"/>
    <s v="AutoPost 367"/>
    <s v="CAD"/>
    <x v="8"/>
    <n v="-74.209999999999994"/>
    <m/>
    <n v="-74.209999999999994"/>
    <s v="N/A"/>
    <x v="1"/>
    <x v="0"/>
  </r>
  <r>
    <s v="GL000368"/>
    <d v="2023-01-08T00:00:00"/>
    <x v="0"/>
    <x v="0"/>
    <n v="0"/>
    <n v="1158.73"/>
    <x v="5"/>
    <x v="0"/>
    <s v="AutoPost 368"/>
    <s v="EUR"/>
    <x v="14"/>
    <n v="1158.73"/>
    <m/>
    <n v="1158.73"/>
    <s v="N/A"/>
    <x v="1"/>
    <x v="1"/>
  </r>
  <r>
    <s v="GL000369"/>
    <d v="2023-09-13T00:00:00"/>
    <x v="2"/>
    <x v="2"/>
    <n v="1129.06"/>
    <n v="0"/>
    <x v="5"/>
    <x v="2"/>
    <s v="AutoPost 369"/>
    <s v="EUR"/>
    <x v="3"/>
    <n v="-1129.06"/>
    <m/>
    <n v="-1129.06"/>
    <s v="N/A"/>
    <x v="1"/>
    <x v="0"/>
  </r>
  <r>
    <s v="GL000370"/>
    <d v="2024-02-27T00:00:00"/>
    <x v="3"/>
    <x v="3"/>
    <n v="1450.58"/>
    <n v="0"/>
    <x v="2"/>
    <x v="2"/>
    <s v="AutoPost 370"/>
    <s v="USD"/>
    <x v="11"/>
    <n v="-1450.58"/>
    <m/>
    <n v="-1450.58"/>
    <s v="N/A"/>
    <x v="1"/>
    <x v="0"/>
  </r>
  <r>
    <s v="GL000371"/>
    <d v="2023-01-04T00:00:00"/>
    <x v="2"/>
    <x v="2"/>
    <n v="820.46"/>
    <n v="0"/>
    <x v="4"/>
    <x v="0"/>
    <s v="AutoPost 371"/>
    <s v="GBP"/>
    <x v="14"/>
    <n v="-820.46"/>
    <m/>
    <n v="-820.46"/>
    <s v="N/A"/>
    <x v="1"/>
    <x v="0"/>
  </r>
  <r>
    <s v="GL000372"/>
    <d v="2025-03-02T00:00:00"/>
    <x v="1"/>
    <x v="1"/>
    <n v="1027.96"/>
    <n v="0"/>
    <x v="1"/>
    <x v="3"/>
    <s v="AutoPost 372"/>
    <s v="CAD"/>
    <x v="13"/>
    <n v="-1027.96"/>
    <m/>
    <n v="-1027.96"/>
    <s v="N/A"/>
    <x v="1"/>
    <x v="0"/>
  </r>
  <r>
    <s v="GL000373"/>
    <d v="2023-01-19T00:00:00"/>
    <x v="0"/>
    <x v="0"/>
    <n v="0"/>
    <n v="2599.69"/>
    <x v="0"/>
    <x v="3"/>
    <s v="AutoPost 373"/>
    <s v="AUD"/>
    <x v="14"/>
    <n v="2599.69"/>
    <m/>
    <n v="2599.69"/>
    <s v="N/A"/>
    <x v="1"/>
    <x v="1"/>
  </r>
  <r>
    <s v="GL000374"/>
    <d v="2024-10-09T00:00:00"/>
    <x v="3"/>
    <x v="3"/>
    <n v="903.24"/>
    <n v="0"/>
    <x v="2"/>
    <x v="2"/>
    <s v="AutoPost 374"/>
    <s v="EUR"/>
    <x v="26"/>
    <n v="-903.24"/>
    <m/>
    <n v="-903.24"/>
    <s v="N/A"/>
    <x v="1"/>
    <x v="0"/>
  </r>
  <r>
    <s v="GL000375"/>
    <d v="2024-03-12T00:00:00"/>
    <x v="1"/>
    <x v="1"/>
    <n v="1037.05"/>
    <n v="0"/>
    <x v="0"/>
    <x v="0"/>
    <s v="AutoPost 375"/>
    <s v="EUR"/>
    <x v="16"/>
    <n v="-1037.05"/>
    <m/>
    <n v="-1037.05"/>
    <s v="N/A"/>
    <x v="1"/>
    <x v="0"/>
  </r>
  <r>
    <s v="GL000376"/>
    <d v="2025-05-08T00:00:00"/>
    <x v="3"/>
    <x v="3"/>
    <n v="390.22"/>
    <n v="0"/>
    <x v="1"/>
    <x v="3"/>
    <s v="AutoPost 376"/>
    <s v="EUR"/>
    <x v="5"/>
    <n v="-390.22"/>
    <m/>
    <n v="-390.22"/>
    <s v="N/A"/>
    <x v="1"/>
    <x v="0"/>
  </r>
  <r>
    <s v="GL000377"/>
    <d v="2025-02-11T00:00:00"/>
    <x v="4"/>
    <x v="4"/>
    <n v="0"/>
    <n v="4450.59"/>
    <x v="3"/>
    <x v="4"/>
    <s v="AutoPost 377"/>
    <s v="USD"/>
    <x v="28"/>
    <n v="4450.59"/>
    <m/>
    <n v="4450.59"/>
    <s v="N/A"/>
    <x v="1"/>
    <x v="1"/>
  </r>
  <r>
    <s v="GL000378"/>
    <d v="2023-11-16T00:00:00"/>
    <x v="2"/>
    <x v="2"/>
    <n v="1836.23"/>
    <n v="0"/>
    <x v="3"/>
    <x v="4"/>
    <s v="AutoPost 378"/>
    <s v="GBP"/>
    <x v="9"/>
    <n v="-1836.23"/>
    <m/>
    <n v="-1836.23"/>
    <s v="N/A"/>
    <x v="1"/>
    <x v="0"/>
  </r>
  <r>
    <s v="GL000379"/>
    <d v="2024-09-14T00:00:00"/>
    <x v="2"/>
    <x v="2"/>
    <n v="1033.93"/>
    <n v="0"/>
    <x v="5"/>
    <x v="1"/>
    <s v="AutoPost 379"/>
    <s v="USD"/>
    <x v="15"/>
    <n v="-1033.93"/>
    <m/>
    <n v="-1033.93"/>
    <s v="N/A"/>
    <x v="1"/>
    <x v="0"/>
  </r>
  <r>
    <s v="GL000380"/>
    <d v="2023-07-03T00:00:00"/>
    <x v="3"/>
    <x v="3"/>
    <n v="64.73"/>
    <n v="0"/>
    <x v="1"/>
    <x v="3"/>
    <s v="AutoPost 380"/>
    <s v="USD"/>
    <x v="17"/>
    <n v="-64.73"/>
    <m/>
    <n v="-64.73"/>
    <s v="N/A"/>
    <x v="1"/>
    <x v="0"/>
  </r>
  <r>
    <s v="GL000381"/>
    <d v="2023-01-30T00:00:00"/>
    <x v="3"/>
    <x v="3"/>
    <n v="891.36"/>
    <n v="0"/>
    <x v="3"/>
    <x v="2"/>
    <s v="AutoPost 381"/>
    <s v="EUR"/>
    <x v="14"/>
    <n v="-891.36"/>
    <m/>
    <n v="-891.36"/>
    <s v="N/A"/>
    <x v="1"/>
    <x v="0"/>
  </r>
  <r>
    <s v="GL000382"/>
    <d v="2023-04-26T00:00:00"/>
    <x v="3"/>
    <x v="3"/>
    <n v="983.92"/>
    <n v="0"/>
    <x v="4"/>
    <x v="3"/>
    <s v="AutoPost 382"/>
    <s v="AUD"/>
    <x v="8"/>
    <n v="-983.92"/>
    <m/>
    <n v="-983.92"/>
    <s v="N/A"/>
    <x v="1"/>
    <x v="0"/>
  </r>
  <r>
    <s v="GL000383"/>
    <d v="2023-02-09T00:00:00"/>
    <x v="3"/>
    <x v="3"/>
    <n v="412.44"/>
    <n v="0"/>
    <x v="0"/>
    <x v="4"/>
    <s v="AutoPost 383"/>
    <s v="EUR"/>
    <x v="24"/>
    <n v="-412.44"/>
    <m/>
    <n v="-412.44"/>
    <s v="N/A"/>
    <x v="1"/>
    <x v="0"/>
  </r>
  <r>
    <s v="GL000384"/>
    <d v="2023-05-12T00:00:00"/>
    <x v="4"/>
    <x v="4"/>
    <n v="0"/>
    <n v="2409.8200000000002"/>
    <x v="0"/>
    <x v="0"/>
    <s v="AutoPost 384"/>
    <s v="CAD"/>
    <x v="29"/>
    <n v="2409.8200000000002"/>
    <m/>
    <n v="2409.8200000000002"/>
    <s v="N/A"/>
    <x v="1"/>
    <x v="1"/>
  </r>
  <r>
    <s v="GL000385"/>
    <d v="2025-05-15T00:00:00"/>
    <x v="3"/>
    <x v="3"/>
    <n v="1490.61"/>
    <n v="0"/>
    <x v="5"/>
    <x v="0"/>
    <s v="AutoPost 385"/>
    <s v="CAD"/>
    <x v="5"/>
    <n v="-1490.61"/>
    <m/>
    <n v="-1490.61"/>
    <s v="N/A"/>
    <x v="1"/>
    <x v="0"/>
  </r>
  <r>
    <s v="GL000386"/>
    <d v="2024-08-24T00:00:00"/>
    <x v="0"/>
    <x v="0"/>
    <n v="0"/>
    <n v="2946.46"/>
    <x v="0"/>
    <x v="2"/>
    <s v="AutoPost 386"/>
    <s v="GBP"/>
    <x v="25"/>
    <n v="2946.46"/>
    <m/>
    <n v="2946.46"/>
    <s v="N/A"/>
    <x v="1"/>
    <x v="1"/>
  </r>
  <r>
    <s v="GL000387"/>
    <d v="2024-09-13T00:00:00"/>
    <x v="2"/>
    <x v="2"/>
    <n v="542.61"/>
    <n v="0"/>
    <x v="4"/>
    <x v="3"/>
    <s v="AutoPost 387"/>
    <s v="USD"/>
    <x v="15"/>
    <n v="-542.61"/>
    <m/>
    <n v="-542.61"/>
    <s v="N/A"/>
    <x v="1"/>
    <x v="0"/>
  </r>
  <r>
    <s v="GL000388"/>
    <d v="2023-11-22T00:00:00"/>
    <x v="4"/>
    <x v="4"/>
    <n v="0"/>
    <n v="3453.36"/>
    <x v="0"/>
    <x v="2"/>
    <s v="AutoPost 388"/>
    <s v="EUR"/>
    <x v="9"/>
    <n v="3453.36"/>
    <m/>
    <n v="3453.36"/>
    <s v="N/A"/>
    <x v="1"/>
    <x v="1"/>
  </r>
  <r>
    <s v="GL000389"/>
    <d v="2024-01-26T00:00:00"/>
    <x v="1"/>
    <x v="1"/>
    <n v="1550.28"/>
    <n v="0"/>
    <x v="1"/>
    <x v="2"/>
    <s v="AutoPost 389"/>
    <s v="GBP"/>
    <x v="20"/>
    <n v="-1550.28"/>
    <m/>
    <n v="-1550.28"/>
    <s v="N/A"/>
    <x v="1"/>
    <x v="0"/>
  </r>
  <r>
    <s v="GL000390"/>
    <d v="2023-08-26T00:00:00"/>
    <x v="4"/>
    <x v="4"/>
    <n v="0"/>
    <n v="2348.4"/>
    <x v="5"/>
    <x v="4"/>
    <s v="AutoPost 390"/>
    <s v="CAD"/>
    <x v="4"/>
    <n v="2348.4"/>
    <m/>
    <n v="2348.4"/>
    <s v="N/A"/>
    <x v="1"/>
    <x v="1"/>
  </r>
  <r>
    <s v="GL000391"/>
    <d v="2023-07-21T00:00:00"/>
    <x v="1"/>
    <x v="1"/>
    <n v="761.57"/>
    <n v="0"/>
    <x v="1"/>
    <x v="0"/>
    <s v="AutoPost 391"/>
    <s v="EUR"/>
    <x v="17"/>
    <n v="-761.57"/>
    <m/>
    <n v="-761.57"/>
    <s v="N/A"/>
    <x v="1"/>
    <x v="0"/>
  </r>
  <r>
    <s v="GL000392"/>
    <d v="2023-11-03T00:00:00"/>
    <x v="0"/>
    <x v="0"/>
    <n v="0"/>
    <n v="958.3"/>
    <x v="1"/>
    <x v="3"/>
    <s v="AutoPost 392"/>
    <s v="CAD"/>
    <x v="9"/>
    <n v="958.3"/>
    <m/>
    <n v="958.3"/>
    <s v="N/A"/>
    <x v="1"/>
    <x v="1"/>
  </r>
  <r>
    <s v="GL000393"/>
    <d v="2025-02-02T00:00:00"/>
    <x v="1"/>
    <x v="1"/>
    <n v="618.6"/>
    <n v="0"/>
    <x v="4"/>
    <x v="0"/>
    <s v="AutoPost 393"/>
    <s v="USD"/>
    <x v="28"/>
    <n v="-618.6"/>
    <m/>
    <n v="-618.6"/>
    <s v="N/A"/>
    <x v="1"/>
    <x v="0"/>
  </r>
  <r>
    <s v="GL000394"/>
    <d v="2023-10-05T00:00:00"/>
    <x v="0"/>
    <x v="0"/>
    <n v="0"/>
    <n v="334.65"/>
    <x v="3"/>
    <x v="0"/>
    <s v="AutoPost 394"/>
    <s v="GBP"/>
    <x v="27"/>
    <n v="334.65"/>
    <m/>
    <n v="334.65"/>
    <s v="N/A"/>
    <x v="1"/>
    <x v="1"/>
  </r>
  <r>
    <s v="GL000395"/>
    <d v="2024-08-21T00:00:00"/>
    <x v="1"/>
    <x v="1"/>
    <n v="1922.54"/>
    <n v="0"/>
    <x v="3"/>
    <x v="4"/>
    <s v="AutoPost 395"/>
    <s v="USD"/>
    <x v="25"/>
    <n v="-1922.54"/>
    <m/>
    <n v="-1922.54"/>
    <s v="N/A"/>
    <x v="1"/>
    <x v="0"/>
  </r>
  <r>
    <s v="GL000396"/>
    <d v="2023-08-08T00:00:00"/>
    <x v="0"/>
    <x v="0"/>
    <n v="0"/>
    <n v="3519.07"/>
    <x v="1"/>
    <x v="1"/>
    <s v="AutoPost 396"/>
    <s v="AUD"/>
    <x v="4"/>
    <n v="3519.07"/>
    <m/>
    <n v="3519.07"/>
    <s v="N/A"/>
    <x v="1"/>
    <x v="1"/>
  </r>
  <r>
    <s v="GL000397"/>
    <d v="2023-02-26T00:00:00"/>
    <x v="3"/>
    <x v="3"/>
    <n v="1944.25"/>
    <n v="0"/>
    <x v="1"/>
    <x v="4"/>
    <s v="AutoPost 397"/>
    <s v="CAD"/>
    <x v="24"/>
    <n v="-1944.25"/>
    <m/>
    <n v="-1944.25"/>
    <s v="N/A"/>
    <x v="1"/>
    <x v="0"/>
  </r>
  <r>
    <s v="GL000398"/>
    <d v="2023-01-31T00:00:00"/>
    <x v="1"/>
    <x v="1"/>
    <n v="51.54"/>
    <n v="0"/>
    <x v="2"/>
    <x v="2"/>
    <s v="AutoPost 398"/>
    <s v="GBP"/>
    <x v="14"/>
    <n v="-51.54"/>
    <m/>
    <n v="-51.54"/>
    <s v="N/A"/>
    <x v="1"/>
    <x v="0"/>
  </r>
  <r>
    <s v="GL000399"/>
    <d v="2024-08-22T00:00:00"/>
    <x v="4"/>
    <x v="4"/>
    <n v="0"/>
    <n v="952.59"/>
    <x v="1"/>
    <x v="1"/>
    <s v="AutoPost 399"/>
    <s v="GBP"/>
    <x v="25"/>
    <n v="952.59"/>
    <m/>
    <n v="952.59"/>
    <s v="N/A"/>
    <x v="1"/>
    <x v="1"/>
  </r>
  <r>
    <s v="GL000400"/>
    <d v="2024-07-20T00:00:00"/>
    <x v="3"/>
    <x v="3"/>
    <n v="312.45"/>
    <n v="0"/>
    <x v="1"/>
    <x v="0"/>
    <s v="AutoPost 400"/>
    <s v="GBP"/>
    <x v="21"/>
    <n v="-312.45"/>
    <m/>
    <n v="-312.45"/>
    <s v="N/A"/>
    <x v="1"/>
    <x v="0"/>
  </r>
  <r>
    <s v="GL000401"/>
    <d v="2025-01-22T00:00:00"/>
    <x v="3"/>
    <x v="3"/>
    <n v="571.80999999999995"/>
    <n v="0"/>
    <x v="3"/>
    <x v="3"/>
    <s v="AutoPost 401"/>
    <s v="EUR"/>
    <x v="2"/>
    <n v="-571.80999999999995"/>
    <m/>
    <n v="-571.80999999999995"/>
    <s v="N/A"/>
    <x v="1"/>
    <x v="0"/>
  </r>
  <r>
    <s v="GL000402"/>
    <d v="2024-12-21T00:00:00"/>
    <x v="3"/>
    <x v="3"/>
    <n v="750.55"/>
    <n v="0"/>
    <x v="1"/>
    <x v="2"/>
    <s v="AutoPost 402"/>
    <s v="CAD"/>
    <x v="23"/>
    <n v="-750.55"/>
    <m/>
    <n v="-750.55"/>
    <s v="N/A"/>
    <x v="1"/>
    <x v="0"/>
  </r>
  <r>
    <s v="GL000403"/>
    <d v="2023-02-28T00:00:00"/>
    <x v="4"/>
    <x v="4"/>
    <n v="0"/>
    <n v="4835.87"/>
    <x v="2"/>
    <x v="0"/>
    <s v="AutoPost 403"/>
    <s v="EUR"/>
    <x v="24"/>
    <n v="4835.87"/>
    <m/>
    <n v="4835.87"/>
    <s v="N/A"/>
    <x v="1"/>
    <x v="1"/>
  </r>
  <r>
    <s v="GL000404"/>
    <d v="2025-01-27T00:00:00"/>
    <x v="0"/>
    <x v="0"/>
    <n v="0"/>
    <n v="2979.48"/>
    <x v="5"/>
    <x v="0"/>
    <s v="AutoPost 404"/>
    <s v="GBP"/>
    <x v="2"/>
    <n v="2979.48"/>
    <m/>
    <n v="2979.48"/>
    <s v="N/A"/>
    <x v="1"/>
    <x v="1"/>
  </r>
  <r>
    <s v="GL000405"/>
    <d v="2024-05-20T00:00:00"/>
    <x v="1"/>
    <x v="1"/>
    <n v="1288.94"/>
    <n v="0"/>
    <x v="0"/>
    <x v="0"/>
    <s v="AutoPost 405"/>
    <s v="GBP"/>
    <x v="0"/>
    <n v="-1288.94"/>
    <m/>
    <n v="-1288.94"/>
    <s v="N/A"/>
    <x v="1"/>
    <x v="0"/>
  </r>
  <r>
    <s v="GL000406"/>
    <d v="2023-05-09T00:00:00"/>
    <x v="1"/>
    <x v="1"/>
    <n v="578.6"/>
    <n v="0"/>
    <x v="0"/>
    <x v="3"/>
    <s v="AutoPost 406"/>
    <s v="AUD"/>
    <x v="29"/>
    <n v="-578.6"/>
    <m/>
    <n v="-578.6"/>
    <s v="N/A"/>
    <x v="1"/>
    <x v="0"/>
  </r>
  <r>
    <s v="GL000407"/>
    <d v="2025-03-26T00:00:00"/>
    <x v="1"/>
    <x v="1"/>
    <n v="341.06"/>
    <n v="0"/>
    <x v="5"/>
    <x v="4"/>
    <s v="AutoPost 407"/>
    <s v="AUD"/>
    <x v="13"/>
    <n v="-341.06"/>
    <m/>
    <n v="-341.06"/>
    <s v="N/A"/>
    <x v="1"/>
    <x v="0"/>
  </r>
  <r>
    <s v="GL000408"/>
    <d v="2024-04-08T00:00:00"/>
    <x v="3"/>
    <x v="3"/>
    <n v="1074.77"/>
    <n v="0"/>
    <x v="1"/>
    <x v="3"/>
    <s v="AutoPost 408"/>
    <s v="EUR"/>
    <x v="7"/>
    <n v="-1074.77"/>
    <m/>
    <n v="-1074.77"/>
    <s v="N/A"/>
    <x v="1"/>
    <x v="0"/>
  </r>
  <r>
    <s v="GL000409"/>
    <d v="2024-05-21T00:00:00"/>
    <x v="4"/>
    <x v="4"/>
    <n v="0"/>
    <n v="1025.56"/>
    <x v="1"/>
    <x v="0"/>
    <s v="AutoPost 409"/>
    <s v="GBP"/>
    <x v="0"/>
    <n v="1025.56"/>
    <m/>
    <n v="1025.56"/>
    <s v="N/A"/>
    <x v="1"/>
    <x v="1"/>
  </r>
  <r>
    <s v="GL000410"/>
    <d v="2024-03-17T00:00:00"/>
    <x v="0"/>
    <x v="0"/>
    <n v="0"/>
    <n v="1148.8499999999999"/>
    <x v="4"/>
    <x v="2"/>
    <s v="AutoPost 410"/>
    <s v="GBP"/>
    <x v="16"/>
    <n v="1148.8499999999999"/>
    <m/>
    <n v="1148.8499999999999"/>
    <s v="N/A"/>
    <x v="1"/>
    <x v="1"/>
  </r>
  <r>
    <s v="GL000411"/>
    <d v="2023-11-12T00:00:00"/>
    <x v="1"/>
    <x v="1"/>
    <n v="1644.1"/>
    <n v="0"/>
    <x v="0"/>
    <x v="2"/>
    <s v="AutoPost 411"/>
    <s v="EUR"/>
    <x v="9"/>
    <n v="-1644.1"/>
    <m/>
    <n v="-1644.1"/>
    <s v="N/A"/>
    <x v="1"/>
    <x v="0"/>
  </r>
  <r>
    <s v="GL000412"/>
    <d v="2024-01-17T00:00:00"/>
    <x v="4"/>
    <x v="4"/>
    <n v="0"/>
    <n v="3002.11"/>
    <x v="3"/>
    <x v="2"/>
    <s v="AutoPost 412"/>
    <s v="GBP"/>
    <x v="20"/>
    <n v="3002.11"/>
    <m/>
    <n v="3002.11"/>
    <s v="N/A"/>
    <x v="1"/>
    <x v="1"/>
  </r>
  <r>
    <s v="GL000413"/>
    <d v="2024-02-16T00:00:00"/>
    <x v="3"/>
    <x v="3"/>
    <n v="327.57"/>
    <n v="0"/>
    <x v="1"/>
    <x v="4"/>
    <s v="AutoPost 413"/>
    <s v="EUR"/>
    <x v="11"/>
    <n v="-327.57"/>
    <m/>
    <n v="-327.57"/>
    <s v="N/A"/>
    <x v="1"/>
    <x v="0"/>
  </r>
  <r>
    <s v="GL000414"/>
    <d v="2023-08-29T00:00:00"/>
    <x v="0"/>
    <x v="0"/>
    <n v="0"/>
    <n v="2146.0700000000002"/>
    <x v="3"/>
    <x v="0"/>
    <s v="AutoPost 414"/>
    <s v="AUD"/>
    <x v="4"/>
    <n v="2146.0700000000002"/>
    <m/>
    <n v="2146.0700000000002"/>
    <s v="N/A"/>
    <x v="1"/>
    <x v="1"/>
  </r>
  <r>
    <s v="GL000415"/>
    <d v="2024-08-13T00:00:00"/>
    <x v="0"/>
    <x v="0"/>
    <n v="0"/>
    <n v="811.92"/>
    <x v="1"/>
    <x v="0"/>
    <s v="AutoPost 415"/>
    <s v="AUD"/>
    <x v="25"/>
    <n v="811.92"/>
    <m/>
    <n v="811.92"/>
    <s v="N/A"/>
    <x v="1"/>
    <x v="1"/>
  </r>
  <r>
    <s v="GL000416"/>
    <d v="2024-08-09T00:00:00"/>
    <x v="1"/>
    <x v="1"/>
    <n v="943.91"/>
    <n v="0"/>
    <x v="1"/>
    <x v="3"/>
    <s v="AutoPost 416"/>
    <s v="USD"/>
    <x v="25"/>
    <n v="-943.91"/>
    <m/>
    <n v="-943.91"/>
    <s v="N/A"/>
    <x v="1"/>
    <x v="0"/>
  </r>
  <r>
    <s v="GL000417"/>
    <d v="2025-01-10T00:00:00"/>
    <x v="1"/>
    <x v="1"/>
    <n v="453.48"/>
    <n v="0"/>
    <x v="0"/>
    <x v="0"/>
    <s v="AutoPost 417"/>
    <s v="USD"/>
    <x v="2"/>
    <n v="-453.48"/>
    <m/>
    <n v="-453.48"/>
    <s v="N/A"/>
    <x v="1"/>
    <x v="0"/>
  </r>
  <r>
    <s v="GL000418"/>
    <d v="2023-07-13T00:00:00"/>
    <x v="0"/>
    <x v="0"/>
    <n v="0"/>
    <n v="4075.25"/>
    <x v="1"/>
    <x v="1"/>
    <s v="AutoPost 418"/>
    <s v="USD"/>
    <x v="17"/>
    <n v="4075.25"/>
    <m/>
    <n v="4075.25"/>
    <s v="N/A"/>
    <x v="1"/>
    <x v="1"/>
  </r>
  <r>
    <s v="GL000419"/>
    <d v="2024-02-11T00:00:00"/>
    <x v="0"/>
    <x v="0"/>
    <n v="0"/>
    <n v="4559.4399999999996"/>
    <x v="4"/>
    <x v="4"/>
    <s v="AutoPost 419"/>
    <s v="GBP"/>
    <x v="11"/>
    <n v="4559.4399999999996"/>
    <m/>
    <n v="4559.4399999999996"/>
    <s v="N/A"/>
    <x v="1"/>
    <x v="1"/>
  </r>
  <r>
    <s v="GL000420"/>
    <d v="2025-03-29T00:00:00"/>
    <x v="3"/>
    <x v="3"/>
    <n v="50.64"/>
    <n v="0"/>
    <x v="0"/>
    <x v="2"/>
    <s v="AutoPost 420"/>
    <s v="EUR"/>
    <x v="13"/>
    <n v="-50.64"/>
    <m/>
    <n v="-50.64"/>
    <s v="N/A"/>
    <x v="1"/>
    <x v="0"/>
  </r>
  <r>
    <s v="GL000421"/>
    <d v="2023-07-07T00:00:00"/>
    <x v="1"/>
    <x v="1"/>
    <n v="1277.92"/>
    <n v="0"/>
    <x v="1"/>
    <x v="4"/>
    <s v="AutoPost 421"/>
    <s v="EUR"/>
    <x v="17"/>
    <n v="-1277.92"/>
    <m/>
    <n v="-1277.92"/>
    <s v="N/A"/>
    <x v="1"/>
    <x v="0"/>
  </r>
  <r>
    <s v="GL000422"/>
    <d v="2023-11-19T00:00:00"/>
    <x v="3"/>
    <x v="3"/>
    <n v="707.53"/>
    <n v="0"/>
    <x v="1"/>
    <x v="2"/>
    <s v="AutoPost 422"/>
    <s v="USD"/>
    <x v="9"/>
    <n v="-707.53"/>
    <m/>
    <n v="-707.53"/>
    <s v="N/A"/>
    <x v="1"/>
    <x v="0"/>
  </r>
  <r>
    <s v="GL000423"/>
    <d v="2024-02-14T00:00:00"/>
    <x v="2"/>
    <x v="2"/>
    <n v="356.21"/>
    <n v="0"/>
    <x v="5"/>
    <x v="0"/>
    <s v="AutoPost 423"/>
    <s v="EUR"/>
    <x v="11"/>
    <n v="-356.21"/>
    <m/>
    <n v="-356.21"/>
    <s v="N/A"/>
    <x v="1"/>
    <x v="0"/>
  </r>
  <r>
    <s v="GL000424"/>
    <d v="2024-11-15T00:00:00"/>
    <x v="3"/>
    <x v="3"/>
    <n v="189.31"/>
    <n v="0"/>
    <x v="1"/>
    <x v="4"/>
    <s v="AutoPost 424"/>
    <s v="EUR"/>
    <x v="10"/>
    <n v="-189.31"/>
    <m/>
    <n v="-189.31"/>
    <s v="N/A"/>
    <x v="1"/>
    <x v="0"/>
  </r>
  <r>
    <s v="GL000425"/>
    <d v="2024-01-28T00:00:00"/>
    <x v="2"/>
    <x v="2"/>
    <n v="519.61"/>
    <n v="0"/>
    <x v="3"/>
    <x v="1"/>
    <s v="AutoPost 425"/>
    <s v="GBP"/>
    <x v="20"/>
    <n v="-519.61"/>
    <m/>
    <n v="-519.61"/>
    <s v="N/A"/>
    <x v="1"/>
    <x v="0"/>
  </r>
  <r>
    <s v="GL000426"/>
    <d v="2024-02-19T00:00:00"/>
    <x v="0"/>
    <x v="0"/>
    <n v="0"/>
    <n v="3923.81"/>
    <x v="5"/>
    <x v="2"/>
    <s v="AutoPost 426"/>
    <s v="AUD"/>
    <x v="11"/>
    <n v="3923.81"/>
    <m/>
    <n v="3923.81"/>
    <s v="N/A"/>
    <x v="1"/>
    <x v="1"/>
  </r>
  <r>
    <s v="GL000427"/>
    <d v="2023-10-28T00:00:00"/>
    <x v="1"/>
    <x v="1"/>
    <n v="171.38"/>
    <n v="0"/>
    <x v="3"/>
    <x v="2"/>
    <s v="AutoPost 427"/>
    <s v="CAD"/>
    <x v="27"/>
    <n v="-171.38"/>
    <m/>
    <n v="-171.38"/>
    <s v="N/A"/>
    <x v="1"/>
    <x v="0"/>
  </r>
  <r>
    <s v="GL000428"/>
    <d v="2023-07-07T00:00:00"/>
    <x v="1"/>
    <x v="1"/>
    <n v="960.38"/>
    <n v="0"/>
    <x v="3"/>
    <x v="4"/>
    <s v="AutoPost 428"/>
    <s v="EUR"/>
    <x v="17"/>
    <n v="-960.38"/>
    <m/>
    <n v="-960.38"/>
    <s v="N/A"/>
    <x v="1"/>
    <x v="0"/>
  </r>
  <r>
    <s v="GL000429"/>
    <d v="2023-03-16T00:00:00"/>
    <x v="3"/>
    <x v="3"/>
    <n v="931.96"/>
    <n v="0"/>
    <x v="3"/>
    <x v="4"/>
    <s v="AutoPost 429"/>
    <s v="GBP"/>
    <x v="18"/>
    <n v="-931.96"/>
    <m/>
    <n v="-931.96"/>
    <s v="N/A"/>
    <x v="1"/>
    <x v="0"/>
  </r>
  <r>
    <s v="GL000430"/>
    <d v="2023-12-07T00:00:00"/>
    <x v="0"/>
    <x v="0"/>
    <n v="0"/>
    <n v="353.32"/>
    <x v="4"/>
    <x v="1"/>
    <s v="AutoPost 430"/>
    <s v="USD"/>
    <x v="6"/>
    <n v="353.32"/>
    <m/>
    <n v="353.32"/>
    <s v="N/A"/>
    <x v="1"/>
    <x v="1"/>
  </r>
  <r>
    <s v="GL000431"/>
    <d v="2025-02-07T00:00:00"/>
    <x v="2"/>
    <x v="2"/>
    <n v="66.08"/>
    <n v="0"/>
    <x v="2"/>
    <x v="3"/>
    <s v="AutoPost 431"/>
    <s v="GBP"/>
    <x v="28"/>
    <n v="-66.08"/>
    <m/>
    <n v="-66.08"/>
    <s v="N/A"/>
    <x v="1"/>
    <x v="0"/>
  </r>
  <r>
    <s v="GL000432"/>
    <d v="2024-07-23T00:00:00"/>
    <x v="0"/>
    <x v="0"/>
    <n v="0"/>
    <n v="361.74"/>
    <x v="3"/>
    <x v="4"/>
    <s v="AutoPost 432"/>
    <s v="GBP"/>
    <x v="21"/>
    <n v="361.74"/>
    <m/>
    <n v="361.74"/>
    <s v="N/A"/>
    <x v="1"/>
    <x v="1"/>
  </r>
  <r>
    <s v="GL000433"/>
    <d v="2023-01-06T00:00:00"/>
    <x v="2"/>
    <x v="2"/>
    <n v="1392.66"/>
    <n v="0"/>
    <x v="2"/>
    <x v="4"/>
    <s v="AutoPost 433"/>
    <s v="CAD"/>
    <x v="14"/>
    <n v="-1392.66"/>
    <m/>
    <n v="-1392.66"/>
    <s v="N/A"/>
    <x v="1"/>
    <x v="0"/>
  </r>
  <r>
    <s v="GL000434"/>
    <d v="2024-01-29T00:00:00"/>
    <x v="0"/>
    <x v="0"/>
    <n v="0"/>
    <n v="4172.26"/>
    <x v="3"/>
    <x v="4"/>
    <s v="AutoPost 434"/>
    <s v="USD"/>
    <x v="20"/>
    <n v="4172.26"/>
    <m/>
    <n v="4172.26"/>
    <s v="N/A"/>
    <x v="1"/>
    <x v="1"/>
  </r>
  <r>
    <s v="GL000435"/>
    <d v="2023-01-21T00:00:00"/>
    <x v="2"/>
    <x v="2"/>
    <n v="1792.82"/>
    <n v="0"/>
    <x v="0"/>
    <x v="0"/>
    <s v="AutoPost 435"/>
    <s v="GBP"/>
    <x v="14"/>
    <n v="-1792.82"/>
    <m/>
    <n v="-1792.82"/>
    <s v="N/A"/>
    <x v="1"/>
    <x v="0"/>
  </r>
  <r>
    <s v="GL000436"/>
    <d v="2023-11-20T00:00:00"/>
    <x v="1"/>
    <x v="1"/>
    <n v="164.54"/>
    <n v="0"/>
    <x v="3"/>
    <x v="2"/>
    <s v="AutoPost 436"/>
    <s v="GBP"/>
    <x v="9"/>
    <n v="-164.54"/>
    <m/>
    <n v="-164.54"/>
    <s v="N/A"/>
    <x v="1"/>
    <x v="0"/>
  </r>
  <r>
    <s v="GL000437"/>
    <d v="2024-11-15T00:00:00"/>
    <x v="2"/>
    <x v="2"/>
    <n v="217.44"/>
    <n v="0"/>
    <x v="0"/>
    <x v="3"/>
    <s v="AutoPost 437"/>
    <s v="EUR"/>
    <x v="10"/>
    <n v="-217.44"/>
    <m/>
    <n v="-217.44"/>
    <s v="N/A"/>
    <x v="1"/>
    <x v="0"/>
  </r>
  <r>
    <s v="GL000438"/>
    <d v="2025-01-03T00:00:00"/>
    <x v="2"/>
    <x v="2"/>
    <n v="1899.59"/>
    <n v="0"/>
    <x v="4"/>
    <x v="0"/>
    <s v="AutoPost 438"/>
    <s v="USD"/>
    <x v="2"/>
    <n v="-1899.59"/>
    <m/>
    <n v="-1899.59"/>
    <s v="N/A"/>
    <x v="1"/>
    <x v="0"/>
  </r>
  <r>
    <s v="GL000439"/>
    <d v="2024-06-12T00:00:00"/>
    <x v="3"/>
    <x v="3"/>
    <n v="808.94"/>
    <n v="0"/>
    <x v="5"/>
    <x v="1"/>
    <s v="AutoPost 439"/>
    <s v="EUR"/>
    <x v="1"/>
    <n v="-808.94"/>
    <m/>
    <n v="-808.94"/>
    <s v="N/A"/>
    <x v="1"/>
    <x v="0"/>
  </r>
  <r>
    <s v="GL000440"/>
    <d v="2023-07-13T00:00:00"/>
    <x v="0"/>
    <x v="0"/>
    <n v="0"/>
    <n v="3691.59"/>
    <x v="3"/>
    <x v="0"/>
    <s v="AutoPost 440"/>
    <s v="AUD"/>
    <x v="17"/>
    <n v="3691.59"/>
    <m/>
    <n v="3691.59"/>
    <s v="N/A"/>
    <x v="1"/>
    <x v="1"/>
  </r>
  <r>
    <s v="GL000441"/>
    <d v="2024-12-28T00:00:00"/>
    <x v="4"/>
    <x v="4"/>
    <n v="0"/>
    <n v="2510.66"/>
    <x v="2"/>
    <x v="4"/>
    <s v="AutoPost 441"/>
    <s v="USD"/>
    <x v="23"/>
    <n v="2510.66"/>
    <m/>
    <n v="2510.66"/>
    <s v="N/A"/>
    <x v="1"/>
    <x v="1"/>
  </r>
  <r>
    <s v="GL000442"/>
    <d v="2024-06-24T00:00:00"/>
    <x v="0"/>
    <x v="0"/>
    <n v="0"/>
    <n v="1959.12"/>
    <x v="2"/>
    <x v="4"/>
    <s v="AutoPost 442"/>
    <s v="EUR"/>
    <x v="1"/>
    <n v="1959.12"/>
    <m/>
    <n v="1959.12"/>
    <s v="N/A"/>
    <x v="1"/>
    <x v="1"/>
  </r>
  <r>
    <s v="GL000443"/>
    <d v="2024-10-09T00:00:00"/>
    <x v="3"/>
    <x v="3"/>
    <n v="1541.66"/>
    <n v="0"/>
    <x v="2"/>
    <x v="2"/>
    <s v="AutoPost 443"/>
    <s v="CAD"/>
    <x v="26"/>
    <n v="-1541.66"/>
    <m/>
    <n v="-1541.66"/>
    <s v="N/A"/>
    <x v="1"/>
    <x v="0"/>
  </r>
  <r>
    <s v="GL000444"/>
    <d v="2025-03-02T00:00:00"/>
    <x v="3"/>
    <x v="3"/>
    <n v="1240.1400000000001"/>
    <n v="0"/>
    <x v="3"/>
    <x v="0"/>
    <s v="AutoPost 444"/>
    <s v="CAD"/>
    <x v="13"/>
    <n v="-1240.1400000000001"/>
    <m/>
    <n v="-1240.1400000000001"/>
    <s v="N/A"/>
    <x v="1"/>
    <x v="0"/>
  </r>
  <r>
    <s v="GL000445"/>
    <d v="2025-01-31T00:00:00"/>
    <x v="3"/>
    <x v="3"/>
    <n v="889.94"/>
    <n v="0"/>
    <x v="2"/>
    <x v="1"/>
    <s v="AutoPost 445"/>
    <s v="AUD"/>
    <x v="2"/>
    <n v="-889.94"/>
    <m/>
    <n v="-889.94"/>
    <s v="N/A"/>
    <x v="1"/>
    <x v="0"/>
  </r>
  <r>
    <s v="GL000446"/>
    <d v="2025-06-16T00:00:00"/>
    <x v="1"/>
    <x v="1"/>
    <n v="1562.72"/>
    <n v="0"/>
    <x v="2"/>
    <x v="4"/>
    <s v="AutoPost 446"/>
    <s v="EUR"/>
    <x v="19"/>
    <n v="-1562.72"/>
    <m/>
    <n v="-1562.72"/>
    <s v="N/A"/>
    <x v="1"/>
    <x v="0"/>
  </r>
  <r>
    <s v="GL000447"/>
    <d v="2024-09-17T00:00:00"/>
    <x v="2"/>
    <x v="2"/>
    <n v="1182.8"/>
    <n v="0"/>
    <x v="1"/>
    <x v="3"/>
    <s v="AutoPost 447"/>
    <s v="EUR"/>
    <x v="15"/>
    <n v="-1182.8"/>
    <m/>
    <n v="-1182.8"/>
    <s v="N/A"/>
    <x v="1"/>
    <x v="0"/>
  </r>
  <r>
    <s v="GL000448"/>
    <d v="2023-09-08T00:00:00"/>
    <x v="2"/>
    <x v="2"/>
    <n v="489.72"/>
    <n v="0"/>
    <x v="4"/>
    <x v="4"/>
    <s v="AutoPost 448"/>
    <s v="CAD"/>
    <x v="3"/>
    <n v="-489.72"/>
    <m/>
    <n v="-489.72"/>
    <s v="N/A"/>
    <x v="1"/>
    <x v="0"/>
  </r>
  <r>
    <s v="GL000449"/>
    <d v="2023-03-22T00:00:00"/>
    <x v="2"/>
    <x v="2"/>
    <n v="1003.21"/>
    <n v="0"/>
    <x v="3"/>
    <x v="3"/>
    <s v="AutoPost 449"/>
    <s v="EUR"/>
    <x v="18"/>
    <n v="-1003.21"/>
    <m/>
    <n v="-1003.21"/>
    <s v="N/A"/>
    <x v="1"/>
    <x v="0"/>
  </r>
  <r>
    <s v="GL000450"/>
    <d v="2023-10-09T00:00:00"/>
    <x v="0"/>
    <x v="0"/>
    <n v="0"/>
    <n v="1571.79"/>
    <x v="5"/>
    <x v="4"/>
    <s v="AutoPost 450"/>
    <s v="AUD"/>
    <x v="27"/>
    <n v="1571.79"/>
    <m/>
    <n v="1571.79"/>
    <s v="N/A"/>
    <x v="1"/>
    <x v="1"/>
  </r>
  <r>
    <s v="GL000451"/>
    <d v="2025-06-09T00:00:00"/>
    <x v="2"/>
    <x v="2"/>
    <n v="1413.19"/>
    <n v="0"/>
    <x v="4"/>
    <x v="0"/>
    <s v="AutoPost 451"/>
    <s v="AUD"/>
    <x v="19"/>
    <n v="-1413.19"/>
    <m/>
    <n v="-1413.19"/>
    <s v="N/A"/>
    <x v="1"/>
    <x v="0"/>
  </r>
  <r>
    <s v="GL000452"/>
    <d v="2023-11-26T00:00:00"/>
    <x v="2"/>
    <x v="2"/>
    <n v="819.5"/>
    <n v="0"/>
    <x v="2"/>
    <x v="2"/>
    <s v="AutoPost 452"/>
    <s v="GBP"/>
    <x v="9"/>
    <n v="-819.5"/>
    <m/>
    <n v="-819.5"/>
    <s v="N/A"/>
    <x v="1"/>
    <x v="0"/>
  </r>
  <r>
    <s v="GL000453"/>
    <d v="2023-02-07T00:00:00"/>
    <x v="4"/>
    <x v="4"/>
    <n v="0"/>
    <n v="1428.23"/>
    <x v="1"/>
    <x v="3"/>
    <s v="AutoPost 453"/>
    <s v="USD"/>
    <x v="24"/>
    <n v="1428.23"/>
    <m/>
    <n v="1428.23"/>
    <s v="N/A"/>
    <x v="1"/>
    <x v="1"/>
  </r>
  <r>
    <s v="GL000454"/>
    <d v="2023-01-09T00:00:00"/>
    <x v="0"/>
    <x v="0"/>
    <n v="0"/>
    <n v="1859.84"/>
    <x v="0"/>
    <x v="3"/>
    <s v="AutoPost 454"/>
    <s v="EUR"/>
    <x v="14"/>
    <n v="1859.84"/>
    <m/>
    <n v="1859.84"/>
    <s v="N/A"/>
    <x v="1"/>
    <x v="1"/>
  </r>
  <r>
    <s v="GL000455"/>
    <d v="2024-05-31T00:00:00"/>
    <x v="3"/>
    <x v="3"/>
    <n v="1060.6500000000001"/>
    <n v="0"/>
    <x v="1"/>
    <x v="4"/>
    <s v="AutoPost 455"/>
    <s v="USD"/>
    <x v="0"/>
    <n v="-1060.6500000000001"/>
    <m/>
    <n v="-1060.6500000000001"/>
    <s v="N/A"/>
    <x v="1"/>
    <x v="0"/>
  </r>
  <r>
    <s v="GL000456"/>
    <d v="2024-11-30T00:00:00"/>
    <x v="2"/>
    <x v="2"/>
    <n v="493.78"/>
    <n v="0"/>
    <x v="3"/>
    <x v="1"/>
    <s v="AutoPost 456"/>
    <s v="EUR"/>
    <x v="10"/>
    <n v="-493.78"/>
    <m/>
    <n v="-493.78"/>
    <s v="N/A"/>
    <x v="1"/>
    <x v="0"/>
  </r>
  <r>
    <s v="GL000457"/>
    <d v="2024-05-31T00:00:00"/>
    <x v="3"/>
    <x v="3"/>
    <n v="911.05"/>
    <n v="0"/>
    <x v="3"/>
    <x v="2"/>
    <s v="AutoPost 457"/>
    <s v="USD"/>
    <x v="0"/>
    <n v="-911.05"/>
    <m/>
    <n v="-911.05"/>
    <s v="N/A"/>
    <x v="1"/>
    <x v="0"/>
  </r>
  <r>
    <s v="GL000458"/>
    <d v="2024-09-06T00:00:00"/>
    <x v="4"/>
    <x v="4"/>
    <n v="0"/>
    <n v="855.46"/>
    <x v="3"/>
    <x v="0"/>
    <s v="AutoPost 458"/>
    <s v="GBP"/>
    <x v="15"/>
    <n v="855.46"/>
    <m/>
    <n v="855.46"/>
    <s v="N/A"/>
    <x v="1"/>
    <x v="1"/>
  </r>
  <r>
    <s v="GL000459"/>
    <d v="2023-09-13T00:00:00"/>
    <x v="1"/>
    <x v="1"/>
    <n v="1218.8900000000001"/>
    <n v="0"/>
    <x v="3"/>
    <x v="3"/>
    <s v="AutoPost 459"/>
    <s v="USD"/>
    <x v="3"/>
    <n v="-1218.8900000000001"/>
    <m/>
    <n v="-1218.8900000000001"/>
    <s v="N/A"/>
    <x v="1"/>
    <x v="0"/>
  </r>
  <r>
    <s v="GL000460"/>
    <d v="2023-02-20T00:00:00"/>
    <x v="2"/>
    <x v="2"/>
    <n v="670.27"/>
    <n v="0"/>
    <x v="3"/>
    <x v="4"/>
    <s v="AutoPost 460"/>
    <s v="USD"/>
    <x v="24"/>
    <n v="-670.27"/>
    <m/>
    <n v="-670.27"/>
    <s v="N/A"/>
    <x v="1"/>
    <x v="0"/>
  </r>
  <r>
    <s v="GL000461"/>
    <d v="2024-05-27T00:00:00"/>
    <x v="3"/>
    <x v="3"/>
    <n v="579"/>
    <n v="0"/>
    <x v="4"/>
    <x v="2"/>
    <s v="AutoPost 461"/>
    <s v="GBP"/>
    <x v="0"/>
    <n v="-579"/>
    <m/>
    <n v="-579"/>
    <s v="N/A"/>
    <x v="1"/>
    <x v="0"/>
  </r>
  <r>
    <s v="GL000462"/>
    <d v="2024-10-26T00:00:00"/>
    <x v="4"/>
    <x v="4"/>
    <n v="0"/>
    <n v="1322.5"/>
    <x v="1"/>
    <x v="0"/>
    <s v="AutoPost 462"/>
    <s v="GBP"/>
    <x v="26"/>
    <n v="1322.5"/>
    <m/>
    <n v="1322.5"/>
    <s v="N/A"/>
    <x v="1"/>
    <x v="1"/>
  </r>
  <r>
    <s v="GL000463"/>
    <d v="2025-01-10T00:00:00"/>
    <x v="3"/>
    <x v="3"/>
    <n v="1920.52"/>
    <n v="0"/>
    <x v="0"/>
    <x v="1"/>
    <s v="AutoPost 463"/>
    <s v="EUR"/>
    <x v="2"/>
    <n v="-1920.52"/>
    <m/>
    <n v="-1920.52"/>
    <s v="N/A"/>
    <x v="1"/>
    <x v="0"/>
  </r>
  <r>
    <s v="GL000464"/>
    <d v="2023-04-30T00:00:00"/>
    <x v="2"/>
    <x v="2"/>
    <n v="417.54"/>
    <n v="0"/>
    <x v="3"/>
    <x v="1"/>
    <s v="AutoPost 464"/>
    <s v="CAD"/>
    <x v="8"/>
    <n v="-417.54"/>
    <m/>
    <n v="-417.54"/>
    <s v="N/A"/>
    <x v="1"/>
    <x v="0"/>
  </r>
  <r>
    <s v="GL000465"/>
    <d v="2025-05-21T00:00:00"/>
    <x v="1"/>
    <x v="1"/>
    <n v="1832.61"/>
    <n v="0"/>
    <x v="3"/>
    <x v="0"/>
    <s v="AutoPost 465"/>
    <s v="CAD"/>
    <x v="5"/>
    <n v="-1832.61"/>
    <m/>
    <n v="-1832.61"/>
    <s v="N/A"/>
    <x v="1"/>
    <x v="0"/>
  </r>
  <r>
    <s v="GL000466"/>
    <d v="2023-02-17T00:00:00"/>
    <x v="0"/>
    <x v="0"/>
    <n v="0"/>
    <n v="1225.02"/>
    <x v="5"/>
    <x v="3"/>
    <s v="AutoPost 466"/>
    <s v="EUR"/>
    <x v="24"/>
    <n v="1225.02"/>
    <m/>
    <n v="1225.02"/>
    <s v="N/A"/>
    <x v="1"/>
    <x v="1"/>
  </r>
  <r>
    <s v="GL000467"/>
    <d v="2024-10-18T00:00:00"/>
    <x v="1"/>
    <x v="1"/>
    <n v="973.97"/>
    <n v="0"/>
    <x v="4"/>
    <x v="0"/>
    <s v="AutoPost 467"/>
    <s v="GBP"/>
    <x v="26"/>
    <n v="-973.97"/>
    <m/>
    <n v="-973.97"/>
    <s v="N/A"/>
    <x v="1"/>
    <x v="0"/>
  </r>
  <r>
    <s v="GL000468"/>
    <d v="2024-01-28T00:00:00"/>
    <x v="2"/>
    <x v="2"/>
    <n v="525.5"/>
    <n v="0"/>
    <x v="5"/>
    <x v="3"/>
    <s v="AutoPost 468"/>
    <s v="EUR"/>
    <x v="20"/>
    <n v="-525.5"/>
    <m/>
    <n v="-525.5"/>
    <s v="N/A"/>
    <x v="1"/>
    <x v="0"/>
  </r>
  <r>
    <s v="GL000469"/>
    <d v="2023-10-23T00:00:00"/>
    <x v="1"/>
    <x v="1"/>
    <n v="805.56"/>
    <n v="0"/>
    <x v="0"/>
    <x v="2"/>
    <s v="AutoPost 469"/>
    <s v="CAD"/>
    <x v="27"/>
    <n v="-805.56"/>
    <m/>
    <n v="-805.56"/>
    <s v="N/A"/>
    <x v="1"/>
    <x v="0"/>
  </r>
  <r>
    <s v="GL000470"/>
    <d v="2023-12-01T00:00:00"/>
    <x v="2"/>
    <x v="2"/>
    <n v="1466.97"/>
    <n v="0"/>
    <x v="1"/>
    <x v="3"/>
    <s v="AutoPost 470"/>
    <s v="AUD"/>
    <x v="6"/>
    <n v="-1466.97"/>
    <m/>
    <n v="-1466.97"/>
    <s v="N/A"/>
    <x v="1"/>
    <x v="0"/>
  </r>
  <r>
    <s v="GL000471"/>
    <d v="2024-12-18T00:00:00"/>
    <x v="4"/>
    <x v="4"/>
    <n v="0"/>
    <n v="4734.3599999999997"/>
    <x v="0"/>
    <x v="2"/>
    <s v="AutoPost 471"/>
    <s v="AUD"/>
    <x v="23"/>
    <n v="4734.3599999999997"/>
    <m/>
    <n v="4734.3599999999997"/>
    <s v="N/A"/>
    <x v="1"/>
    <x v="1"/>
  </r>
  <r>
    <s v="GL000472"/>
    <d v="2023-09-22T00:00:00"/>
    <x v="4"/>
    <x v="4"/>
    <n v="0"/>
    <n v="1668.4"/>
    <x v="4"/>
    <x v="4"/>
    <s v="AutoPost 472"/>
    <s v="USD"/>
    <x v="3"/>
    <n v="1668.4"/>
    <m/>
    <n v="1668.4"/>
    <s v="N/A"/>
    <x v="1"/>
    <x v="1"/>
  </r>
  <r>
    <s v="GL000473"/>
    <d v="2023-12-16T00:00:00"/>
    <x v="4"/>
    <x v="4"/>
    <n v="0"/>
    <n v="4991.26"/>
    <x v="3"/>
    <x v="3"/>
    <s v="AutoPost 473"/>
    <s v="USD"/>
    <x v="6"/>
    <n v="4991.26"/>
    <m/>
    <n v="4991.26"/>
    <s v="N/A"/>
    <x v="1"/>
    <x v="1"/>
  </r>
  <r>
    <s v="GL000474"/>
    <d v="2025-01-05T00:00:00"/>
    <x v="2"/>
    <x v="2"/>
    <n v="445.53"/>
    <n v="0"/>
    <x v="2"/>
    <x v="4"/>
    <s v="AutoPost 474"/>
    <s v="GBP"/>
    <x v="2"/>
    <n v="-445.53"/>
    <m/>
    <n v="-445.53"/>
    <s v="N/A"/>
    <x v="1"/>
    <x v="0"/>
  </r>
  <r>
    <s v="GL000475"/>
    <d v="2024-07-21T00:00:00"/>
    <x v="2"/>
    <x v="2"/>
    <n v="1464.99"/>
    <n v="0"/>
    <x v="3"/>
    <x v="4"/>
    <s v="AutoPost 475"/>
    <s v="EUR"/>
    <x v="21"/>
    <n v="-1464.99"/>
    <m/>
    <n v="-1464.99"/>
    <s v="N/A"/>
    <x v="1"/>
    <x v="0"/>
  </r>
  <r>
    <s v="GL000476"/>
    <d v="2023-12-06T00:00:00"/>
    <x v="4"/>
    <x v="4"/>
    <n v="0"/>
    <n v="1422.45"/>
    <x v="1"/>
    <x v="0"/>
    <s v="AutoPost 476"/>
    <s v="EUR"/>
    <x v="6"/>
    <n v="1422.45"/>
    <m/>
    <n v="1422.45"/>
    <s v="N/A"/>
    <x v="1"/>
    <x v="1"/>
  </r>
  <r>
    <s v="GL000477"/>
    <d v="2024-10-18T00:00:00"/>
    <x v="4"/>
    <x v="4"/>
    <n v="0"/>
    <n v="2350.1999999999998"/>
    <x v="1"/>
    <x v="0"/>
    <s v="AutoPost 477"/>
    <s v="AUD"/>
    <x v="26"/>
    <n v="2350.1999999999998"/>
    <m/>
    <n v="2350.1999999999998"/>
    <s v="N/A"/>
    <x v="1"/>
    <x v="1"/>
  </r>
  <r>
    <s v="GL000478"/>
    <d v="2023-09-22T00:00:00"/>
    <x v="2"/>
    <x v="2"/>
    <n v="1559.89"/>
    <n v="0"/>
    <x v="1"/>
    <x v="2"/>
    <s v="AutoPost 478"/>
    <s v="AUD"/>
    <x v="3"/>
    <n v="-1559.89"/>
    <m/>
    <n v="-1559.89"/>
    <s v="N/A"/>
    <x v="1"/>
    <x v="0"/>
  </r>
  <r>
    <s v="GL000479"/>
    <d v="2024-10-21T00:00:00"/>
    <x v="3"/>
    <x v="3"/>
    <n v="1570.96"/>
    <n v="0"/>
    <x v="0"/>
    <x v="0"/>
    <s v="AutoPost 479"/>
    <s v="USD"/>
    <x v="26"/>
    <n v="-1570.96"/>
    <m/>
    <n v="-1570.96"/>
    <s v="N/A"/>
    <x v="1"/>
    <x v="0"/>
  </r>
  <r>
    <s v="GL000480"/>
    <d v="2023-10-03T00:00:00"/>
    <x v="0"/>
    <x v="0"/>
    <n v="0"/>
    <n v="3947.32"/>
    <x v="0"/>
    <x v="2"/>
    <s v="AutoPost 480"/>
    <s v="GBP"/>
    <x v="27"/>
    <n v="3947.32"/>
    <m/>
    <n v="3947.32"/>
    <s v="N/A"/>
    <x v="1"/>
    <x v="1"/>
  </r>
  <r>
    <s v="GL000481"/>
    <d v="2024-11-03T00:00:00"/>
    <x v="2"/>
    <x v="2"/>
    <n v="1467.92"/>
    <n v="0"/>
    <x v="0"/>
    <x v="1"/>
    <s v="AutoPost 481"/>
    <s v="USD"/>
    <x v="10"/>
    <n v="-1467.92"/>
    <m/>
    <n v="-1467.92"/>
    <s v="N/A"/>
    <x v="1"/>
    <x v="0"/>
  </r>
  <r>
    <s v="GL000482"/>
    <d v="2023-06-23T00:00:00"/>
    <x v="1"/>
    <x v="1"/>
    <n v="1843.54"/>
    <n v="0"/>
    <x v="4"/>
    <x v="0"/>
    <s v="AutoPost 482"/>
    <s v="GBP"/>
    <x v="22"/>
    <n v="-1843.54"/>
    <m/>
    <n v="-1843.54"/>
    <s v="N/A"/>
    <x v="1"/>
    <x v="0"/>
  </r>
  <r>
    <s v="GL000483"/>
    <d v="2025-04-15T00:00:00"/>
    <x v="3"/>
    <x v="3"/>
    <n v="134.56"/>
    <n v="0"/>
    <x v="0"/>
    <x v="4"/>
    <s v="AutoPost 483"/>
    <s v="EUR"/>
    <x v="12"/>
    <n v="-134.56"/>
    <m/>
    <n v="-134.56"/>
    <s v="N/A"/>
    <x v="1"/>
    <x v="0"/>
  </r>
  <r>
    <s v="GL000484"/>
    <d v="2025-01-18T00:00:00"/>
    <x v="0"/>
    <x v="0"/>
    <n v="0"/>
    <n v="1712.94"/>
    <x v="4"/>
    <x v="0"/>
    <s v="AutoPost 484"/>
    <s v="EUR"/>
    <x v="2"/>
    <n v="1712.94"/>
    <m/>
    <n v="1712.94"/>
    <s v="N/A"/>
    <x v="1"/>
    <x v="1"/>
  </r>
  <r>
    <s v="GL000485"/>
    <d v="2023-08-01T00:00:00"/>
    <x v="3"/>
    <x v="3"/>
    <n v="551.23"/>
    <n v="0"/>
    <x v="5"/>
    <x v="3"/>
    <s v="AutoPost 485"/>
    <s v="GBP"/>
    <x v="4"/>
    <n v="-551.23"/>
    <m/>
    <n v="-551.23"/>
    <s v="N/A"/>
    <x v="1"/>
    <x v="0"/>
  </r>
  <r>
    <s v="GL000486"/>
    <d v="2024-08-14T00:00:00"/>
    <x v="0"/>
    <x v="0"/>
    <n v="0"/>
    <n v="588.37"/>
    <x v="0"/>
    <x v="2"/>
    <s v="AutoPost 486"/>
    <s v="GBP"/>
    <x v="25"/>
    <n v="588.37"/>
    <m/>
    <n v="588.37"/>
    <s v="N/A"/>
    <x v="1"/>
    <x v="1"/>
  </r>
  <r>
    <s v="GL000487"/>
    <d v="2024-08-06T00:00:00"/>
    <x v="2"/>
    <x v="2"/>
    <n v="134.5"/>
    <n v="0"/>
    <x v="4"/>
    <x v="0"/>
    <s v="AutoPost 487"/>
    <s v="CAD"/>
    <x v="25"/>
    <n v="-134.5"/>
    <m/>
    <n v="-134.5"/>
    <s v="N/A"/>
    <x v="1"/>
    <x v="0"/>
  </r>
  <r>
    <s v="GL000488"/>
    <d v="2024-11-14T00:00:00"/>
    <x v="1"/>
    <x v="1"/>
    <n v="630.03"/>
    <n v="0"/>
    <x v="4"/>
    <x v="3"/>
    <s v="AutoPost 488"/>
    <s v="CAD"/>
    <x v="10"/>
    <n v="-630.03"/>
    <m/>
    <n v="-630.03"/>
    <s v="N/A"/>
    <x v="1"/>
    <x v="0"/>
  </r>
  <r>
    <s v="GL000489"/>
    <d v="2023-07-25T00:00:00"/>
    <x v="2"/>
    <x v="2"/>
    <n v="1840.05"/>
    <n v="0"/>
    <x v="0"/>
    <x v="0"/>
    <s v="AutoPost 489"/>
    <s v="AUD"/>
    <x v="17"/>
    <n v="-1840.05"/>
    <m/>
    <n v="-1840.05"/>
    <s v="N/A"/>
    <x v="1"/>
    <x v="0"/>
  </r>
  <r>
    <s v="GL000490"/>
    <d v="2023-04-20T00:00:00"/>
    <x v="1"/>
    <x v="1"/>
    <n v="1943.87"/>
    <n v="0"/>
    <x v="3"/>
    <x v="4"/>
    <s v="AutoPost 490"/>
    <s v="AUD"/>
    <x v="8"/>
    <n v="-1943.87"/>
    <m/>
    <n v="-1943.87"/>
    <s v="N/A"/>
    <x v="1"/>
    <x v="0"/>
  </r>
  <r>
    <s v="GL000491"/>
    <d v="2024-09-24T00:00:00"/>
    <x v="0"/>
    <x v="0"/>
    <n v="0"/>
    <n v="2322.15"/>
    <x v="0"/>
    <x v="2"/>
    <s v="AutoPost 491"/>
    <s v="USD"/>
    <x v="15"/>
    <n v="2322.15"/>
    <m/>
    <n v="2322.15"/>
    <s v="N/A"/>
    <x v="1"/>
    <x v="1"/>
  </r>
  <r>
    <s v="GL000492"/>
    <d v="2025-03-25T00:00:00"/>
    <x v="0"/>
    <x v="0"/>
    <n v="0"/>
    <n v="1615.42"/>
    <x v="3"/>
    <x v="1"/>
    <s v="AutoPost 492"/>
    <s v="CAD"/>
    <x v="13"/>
    <n v="1615.42"/>
    <m/>
    <n v="1615.42"/>
    <s v="N/A"/>
    <x v="1"/>
    <x v="1"/>
  </r>
  <r>
    <s v="GL000493"/>
    <d v="2024-05-03T00:00:00"/>
    <x v="4"/>
    <x v="4"/>
    <n v="0"/>
    <n v="3274.24"/>
    <x v="1"/>
    <x v="4"/>
    <s v="AutoPost 493"/>
    <s v="CAD"/>
    <x v="0"/>
    <n v="3274.24"/>
    <m/>
    <n v="3274.24"/>
    <s v="N/A"/>
    <x v="1"/>
    <x v="1"/>
  </r>
  <r>
    <s v="GL000494"/>
    <d v="2023-11-10T00:00:00"/>
    <x v="3"/>
    <x v="3"/>
    <n v="293.63"/>
    <n v="0"/>
    <x v="3"/>
    <x v="1"/>
    <s v="AutoPost 494"/>
    <s v="CAD"/>
    <x v="9"/>
    <n v="-293.63"/>
    <m/>
    <n v="-293.63"/>
    <s v="N/A"/>
    <x v="1"/>
    <x v="0"/>
  </r>
  <r>
    <s v="GL000495"/>
    <d v="2023-02-15T00:00:00"/>
    <x v="0"/>
    <x v="0"/>
    <n v="0"/>
    <n v="2924.19"/>
    <x v="4"/>
    <x v="3"/>
    <s v="AutoPost 495"/>
    <s v="USD"/>
    <x v="24"/>
    <n v="2924.19"/>
    <m/>
    <n v="2924.19"/>
    <s v="N/A"/>
    <x v="1"/>
    <x v="1"/>
  </r>
  <r>
    <s v="GL000496"/>
    <d v="2024-11-06T00:00:00"/>
    <x v="1"/>
    <x v="1"/>
    <n v="630.34"/>
    <n v="0"/>
    <x v="0"/>
    <x v="0"/>
    <s v="AutoPost 496"/>
    <s v="USD"/>
    <x v="10"/>
    <n v="-630.34"/>
    <m/>
    <n v="-630.34"/>
    <s v="N/A"/>
    <x v="1"/>
    <x v="0"/>
  </r>
  <r>
    <s v="GL000497"/>
    <d v="2024-02-14T00:00:00"/>
    <x v="0"/>
    <x v="0"/>
    <n v="0"/>
    <n v="2794.59"/>
    <x v="1"/>
    <x v="3"/>
    <s v="AutoPost 497"/>
    <s v="EUR"/>
    <x v="11"/>
    <n v="2794.59"/>
    <m/>
    <n v="2794.59"/>
    <s v="N/A"/>
    <x v="1"/>
    <x v="1"/>
  </r>
  <r>
    <s v="GL000498"/>
    <d v="2023-09-13T00:00:00"/>
    <x v="1"/>
    <x v="1"/>
    <n v="276.86"/>
    <n v="0"/>
    <x v="3"/>
    <x v="2"/>
    <s v="AutoPost 498"/>
    <s v="USD"/>
    <x v="3"/>
    <n v="-276.86"/>
    <m/>
    <n v="-276.86"/>
    <s v="N/A"/>
    <x v="1"/>
    <x v="0"/>
  </r>
  <r>
    <s v="GL000499"/>
    <d v="2023-07-06T00:00:00"/>
    <x v="1"/>
    <x v="1"/>
    <n v="1358.2"/>
    <n v="0"/>
    <x v="0"/>
    <x v="3"/>
    <s v="AutoPost 499"/>
    <s v="GBP"/>
    <x v="17"/>
    <n v="-1358.2"/>
    <m/>
    <n v="-1358.2"/>
    <s v="N/A"/>
    <x v="1"/>
    <x v="0"/>
  </r>
  <r>
    <s v="GL000500"/>
    <d v="2024-04-26T00:00:00"/>
    <x v="3"/>
    <x v="3"/>
    <n v="701.01"/>
    <n v="0"/>
    <x v="3"/>
    <x v="4"/>
    <s v="AutoPost 500"/>
    <s v="GBP"/>
    <x v="7"/>
    <n v="-701.01"/>
    <m/>
    <n v="-701.01"/>
    <s v="N/A"/>
    <x v="1"/>
    <x v="0"/>
  </r>
  <r>
    <s v="GL000501"/>
    <d v="2024-10-11T00:00:00"/>
    <x v="0"/>
    <x v="0"/>
    <n v="0"/>
    <n v="3951.26"/>
    <x v="4"/>
    <x v="0"/>
    <s v="AutoPost 501"/>
    <s v="AUD"/>
    <x v="26"/>
    <n v="3951.26"/>
    <m/>
    <n v="3951.26"/>
    <s v="N/A"/>
    <x v="1"/>
    <x v="1"/>
  </r>
  <r>
    <s v="GL000502"/>
    <d v="2023-06-28T00:00:00"/>
    <x v="0"/>
    <x v="0"/>
    <n v="0"/>
    <n v="1521.81"/>
    <x v="3"/>
    <x v="3"/>
    <s v="AutoPost 502"/>
    <s v="EUR"/>
    <x v="22"/>
    <n v="1521.81"/>
    <m/>
    <n v="1521.81"/>
    <s v="N/A"/>
    <x v="1"/>
    <x v="1"/>
  </r>
  <r>
    <s v="GL000503"/>
    <d v="2023-08-22T00:00:00"/>
    <x v="3"/>
    <x v="3"/>
    <n v="402.01"/>
    <n v="0"/>
    <x v="3"/>
    <x v="0"/>
    <s v="AutoPost 503"/>
    <s v="EUR"/>
    <x v="4"/>
    <n v="-402.01"/>
    <m/>
    <n v="-402.01"/>
    <s v="N/A"/>
    <x v="1"/>
    <x v="0"/>
  </r>
  <r>
    <s v="GL000504"/>
    <d v="2024-02-12T00:00:00"/>
    <x v="1"/>
    <x v="1"/>
    <n v="610.08000000000004"/>
    <n v="0"/>
    <x v="0"/>
    <x v="4"/>
    <s v="AutoPost 504"/>
    <s v="CAD"/>
    <x v="11"/>
    <n v="-610.08000000000004"/>
    <m/>
    <n v="-610.08000000000004"/>
    <s v="N/A"/>
    <x v="1"/>
    <x v="0"/>
  </r>
  <r>
    <s v="GL000505"/>
    <d v="2024-01-04T00:00:00"/>
    <x v="0"/>
    <x v="0"/>
    <n v="0"/>
    <n v="4713.8999999999996"/>
    <x v="1"/>
    <x v="4"/>
    <s v="AutoPost 505"/>
    <s v="EUR"/>
    <x v="20"/>
    <n v="4713.8999999999996"/>
    <m/>
    <n v="4713.8999999999996"/>
    <s v="N/A"/>
    <x v="1"/>
    <x v="1"/>
  </r>
  <r>
    <s v="GL000506"/>
    <d v="2023-03-02T00:00:00"/>
    <x v="2"/>
    <x v="2"/>
    <n v="1547.67"/>
    <n v="0"/>
    <x v="0"/>
    <x v="0"/>
    <s v="AutoPost 506"/>
    <s v="EUR"/>
    <x v="18"/>
    <n v="-1547.67"/>
    <m/>
    <n v="-1547.67"/>
    <s v="N/A"/>
    <x v="1"/>
    <x v="0"/>
  </r>
  <r>
    <s v="GL000507"/>
    <d v="2023-02-08T00:00:00"/>
    <x v="4"/>
    <x v="4"/>
    <n v="0"/>
    <n v="3002.52"/>
    <x v="1"/>
    <x v="4"/>
    <s v="AutoPost 507"/>
    <s v="CAD"/>
    <x v="24"/>
    <n v="3002.52"/>
    <m/>
    <n v="3002.52"/>
    <s v="N/A"/>
    <x v="1"/>
    <x v="1"/>
  </r>
  <r>
    <s v="GL000508"/>
    <d v="2023-09-13T00:00:00"/>
    <x v="2"/>
    <x v="2"/>
    <n v="1295.97"/>
    <n v="0"/>
    <x v="1"/>
    <x v="1"/>
    <s v="AutoPost 508"/>
    <s v="GBP"/>
    <x v="3"/>
    <n v="-1295.97"/>
    <m/>
    <n v="-1295.97"/>
    <s v="N/A"/>
    <x v="1"/>
    <x v="0"/>
  </r>
  <r>
    <s v="GL000509"/>
    <d v="2024-12-21T00:00:00"/>
    <x v="3"/>
    <x v="3"/>
    <n v="1648.77"/>
    <n v="0"/>
    <x v="5"/>
    <x v="4"/>
    <s v="AutoPost 509"/>
    <s v="CAD"/>
    <x v="23"/>
    <n v="-1648.77"/>
    <m/>
    <n v="-1648.77"/>
    <s v="N/A"/>
    <x v="1"/>
    <x v="0"/>
  </r>
  <r>
    <s v="GL000510"/>
    <d v="2023-01-07T00:00:00"/>
    <x v="4"/>
    <x v="4"/>
    <n v="0"/>
    <n v="1351.35"/>
    <x v="1"/>
    <x v="0"/>
    <s v="AutoPost 510"/>
    <s v="EUR"/>
    <x v="14"/>
    <n v="1351.35"/>
    <m/>
    <n v="1351.35"/>
    <s v="N/A"/>
    <x v="1"/>
    <x v="1"/>
  </r>
  <r>
    <s v="GL000511"/>
    <d v="2025-01-09T00:00:00"/>
    <x v="4"/>
    <x v="4"/>
    <n v="0"/>
    <n v="1986.96"/>
    <x v="5"/>
    <x v="4"/>
    <s v="AutoPost 511"/>
    <s v="EUR"/>
    <x v="2"/>
    <n v="1986.96"/>
    <m/>
    <n v="1986.96"/>
    <s v="N/A"/>
    <x v="1"/>
    <x v="1"/>
  </r>
  <r>
    <s v="GL000512"/>
    <d v="2023-08-27T00:00:00"/>
    <x v="3"/>
    <x v="3"/>
    <n v="1723.41"/>
    <n v="0"/>
    <x v="0"/>
    <x v="4"/>
    <s v="AutoPost 512"/>
    <s v="EUR"/>
    <x v="4"/>
    <n v="-1723.41"/>
    <m/>
    <n v="-1723.41"/>
    <s v="N/A"/>
    <x v="1"/>
    <x v="0"/>
  </r>
  <r>
    <s v="GL000513"/>
    <d v="2023-03-22T00:00:00"/>
    <x v="4"/>
    <x v="4"/>
    <n v="0"/>
    <n v="386.09"/>
    <x v="3"/>
    <x v="2"/>
    <s v="AutoPost 513"/>
    <s v="AUD"/>
    <x v="18"/>
    <n v="386.09"/>
    <m/>
    <n v="386.09"/>
    <s v="N/A"/>
    <x v="1"/>
    <x v="1"/>
  </r>
  <r>
    <s v="GL000514"/>
    <d v="2024-09-12T00:00:00"/>
    <x v="0"/>
    <x v="0"/>
    <n v="0"/>
    <n v="2180.11"/>
    <x v="1"/>
    <x v="2"/>
    <s v="AutoPost 514"/>
    <s v="EUR"/>
    <x v="15"/>
    <n v="2180.11"/>
    <m/>
    <n v="2180.11"/>
    <s v="N/A"/>
    <x v="1"/>
    <x v="1"/>
  </r>
  <r>
    <s v="GL000515"/>
    <d v="2024-09-19T00:00:00"/>
    <x v="2"/>
    <x v="2"/>
    <n v="1283.72"/>
    <n v="0"/>
    <x v="0"/>
    <x v="3"/>
    <s v="AutoPost 515"/>
    <s v="AUD"/>
    <x v="15"/>
    <n v="-1283.72"/>
    <m/>
    <n v="-1283.72"/>
    <s v="N/A"/>
    <x v="1"/>
    <x v="0"/>
  </r>
  <r>
    <s v="GL000516"/>
    <d v="2025-05-08T00:00:00"/>
    <x v="2"/>
    <x v="2"/>
    <n v="1809.13"/>
    <n v="0"/>
    <x v="3"/>
    <x v="4"/>
    <s v="AutoPost 516"/>
    <s v="CAD"/>
    <x v="5"/>
    <n v="-1809.13"/>
    <m/>
    <n v="-1809.13"/>
    <s v="N/A"/>
    <x v="1"/>
    <x v="0"/>
  </r>
  <r>
    <s v="GL000517"/>
    <d v="2025-03-23T00:00:00"/>
    <x v="1"/>
    <x v="1"/>
    <n v="1785.9"/>
    <n v="0"/>
    <x v="4"/>
    <x v="0"/>
    <s v="AutoPost 517"/>
    <s v="AUD"/>
    <x v="13"/>
    <n v="-1785.9"/>
    <m/>
    <n v="-1785.9"/>
    <s v="N/A"/>
    <x v="1"/>
    <x v="0"/>
  </r>
  <r>
    <s v="GL000518"/>
    <d v="2023-12-19T00:00:00"/>
    <x v="4"/>
    <x v="4"/>
    <n v="0"/>
    <n v="4808.83"/>
    <x v="5"/>
    <x v="4"/>
    <s v="AutoPost 518"/>
    <s v="USD"/>
    <x v="6"/>
    <n v="4808.83"/>
    <m/>
    <n v="4808.83"/>
    <s v="N/A"/>
    <x v="1"/>
    <x v="1"/>
  </r>
  <r>
    <s v="GL000519"/>
    <d v="2024-10-06T00:00:00"/>
    <x v="1"/>
    <x v="1"/>
    <n v="922.15"/>
    <n v="0"/>
    <x v="3"/>
    <x v="3"/>
    <s v="AutoPost 519"/>
    <s v="USD"/>
    <x v="26"/>
    <n v="-922.15"/>
    <m/>
    <n v="-922.15"/>
    <s v="N/A"/>
    <x v="1"/>
    <x v="0"/>
  </r>
  <r>
    <s v="GL000520"/>
    <d v="2024-12-06T00:00:00"/>
    <x v="0"/>
    <x v="0"/>
    <n v="0"/>
    <n v="2754.43"/>
    <x v="0"/>
    <x v="4"/>
    <s v="AutoPost 520"/>
    <s v="USD"/>
    <x v="23"/>
    <n v="2754.43"/>
    <m/>
    <n v="2754.43"/>
    <s v="N/A"/>
    <x v="1"/>
    <x v="1"/>
  </r>
  <r>
    <s v="GL000521"/>
    <d v="2025-05-13T00:00:00"/>
    <x v="0"/>
    <x v="0"/>
    <n v="0"/>
    <n v="2370.2800000000002"/>
    <x v="1"/>
    <x v="3"/>
    <s v="AutoPost 521"/>
    <s v="AUD"/>
    <x v="5"/>
    <n v="2370.2800000000002"/>
    <m/>
    <n v="2370.2800000000002"/>
    <s v="N/A"/>
    <x v="1"/>
    <x v="1"/>
  </r>
  <r>
    <s v="GL000522"/>
    <d v="2023-09-19T00:00:00"/>
    <x v="1"/>
    <x v="1"/>
    <n v="649.98"/>
    <n v="0"/>
    <x v="2"/>
    <x v="3"/>
    <s v="AutoPost 522"/>
    <s v="EUR"/>
    <x v="3"/>
    <n v="-649.98"/>
    <m/>
    <n v="-649.98"/>
    <s v="N/A"/>
    <x v="1"/>
    <x v="0"/>
  </r>
  <r>
    <s v="GL000523"/>
    <d v="2024-05-29T00:00:00"/>
    <x v="4"/>
    <x v="4"/>
    <n v="0"/>
    <n v="402.69"/>
    <x v="3"/>
    <x v="3"/>
    <s v="AutoPost 523"/>
    <s v="EUR"/>
    <x v="0"/>
    <n v="402.69"/>
    <m/>
    <n v="402.69"/>
    <s v="N/A"/>
    <x v="1"/>
    <x v="1"/>
  </r>
  <r>
    <s v="GL000524"/>
    <d v="2023-11-20T00:00:00"/>
    <x v="2"/>
    <x v="2"/>
    <n v="154.30000000000001"/>
    <n v="0"/>
    <x v="3"/>
    <x v="0"/>
    <s v="AutoPost 524"/>
    <s v="GBP"/>
    <x v="9"/>
    <n v="-154.30000000000001"/>
    <m/>
    <n v="-154.30000000000001"/>
    <s v="N/A"/>
    <x v="1"/>
    <x v="0"/>
  </r>
  <r>
    <s v="GL000525"/>
    <d v="2024-03-15T00:00:00"/>
    <x v="0"/>
    <x v="0"/>
    <n v="0"/>
    <n v="3155.19"/>
    <x v="4"/>
    <x v="0"/>
    <s v="AutoPost 525"/>
    <s v="EUR"/>
    <x v="16"/>
    <n v="3155.19"/>
    <m/>
    <n v="3155.19"/>
    <s v="N/A"/>
    <x v="1"/>
    <x v="1"/>
  </r>
  <r>
    <s v="GL000526"/>
    <d v="2023-01-16T00:00:00"/>
    <x v="2"/>
    <x v="2"/>
    <n v="1455.97"/>
    <n v="0"/>
    <x v="3"/>
    <x v="2"/>
    <s v="AutoPost 526"/>
    <s v="USD"/>
    <x v="14"/>
    <n v="-1455.97"/>
    <m/>
    <n v="-1455.97"/>
    <s v="N/A"/>
    <x v="1"/>
    <x v="0"/>
  </r>
  <r>
    <s v="GL000527"/>
    <d v="2023-12-27T00:00:00"/>
    <x v="1"/>
    <x v="1"/>
    <n v="133.86000000000001"/>
    <n v="0"/>
    <x v="5"/>
    <x v="3"/>
    <s v="AutoPost 527"/>
    <s v="EUR"/>
    <x v="6"/>
    <n v="-133.86000000000001"/>
    <m/>
    <n v="-133.86000000000001"/>
    <s v="N/A"/>
    <x v="1"/>
    <x v="0"/>
  </r>
  <r>
    <s v="GL000528"/>
    <d v="2024-05-23T00:00:00"/>
    <x v="1"/>
    <x v="1"/>
    <n v="928.81"/>
    <n v="0"/>
    <x v="5"/>
    <x v="1"/>
    <s v="AutoPost 528"/>
    <s v="AUD"/>
    <x v="0"/>
    <n v="-928.81"/>
    <m/>
    <n v="-928.81"/>
    <s v="N/A"/>
    <x v="1"/>
    <x v="0"/>
  </r>
  <r>
    <s v="GL000529"/>
    <d v="2023-04-11T00:00:00"/>
    <x v="4"/>
    <x v="4"/>
    <n v="0"/>
    <n v="4936.62"/>
    <x v="2"/>
    <x v="2"/>
    <s v="AutoPost 529"/>
    <s v="GBP"/>
    <x v="8"/>
    <n v="4936.62"/>
    <m/>
    <n v="4936.62"/>
    <s v="N/A"/>
    <x v="1"/>
    <x v="1"/>
  </r>
  <r>
    <s v="GL000530"/>
    <d v="2024-05-23T00:00:00"/>
    <x v="2"/>
    <x v="2"/>
    <n v="1152.7"/>
    <n v="0"/>
    <x v="0"/>
    <x v="1"/>
    <s v="AutoPost 530"/>
    <s v="EUR"/>
    <x v="0"/>
    <n v="-1152.7"/>
    <m/>
    <n v="-1152.7"/>
    <s v="N/A"/>
    <x v="1"/>
    <x v="0"/>
  </r>
  <r>
    <s v="GL000531"/>
    <d v="2024-12-18T00:00:00"/>
    <x v="3"/>
    <x v="3"/>
    <n v="1793.92"/>
    <n v="0"/>
    <x v="4"/>
    <x v="4"/>
    <s v="AutoPost 531"/>
    <s v="AUD"/>
    <x v="23"/>
    <n v="-1793.92"/>
    <m/>
    <n v="-1793.92"/>
    <s v="N/A"/>
    <x v="1"/>
    <x v="0"/>
  </r>
  <r>
    <s v="GL000532"/>
    <d v="2024-06-25T00:00:00"/>
    <x v="1"/>
    <x v="1"/>
    <n v="1022.78"/>
    <n v="0"/>
    <x v="0"/>
    <x v="0"/>
    <s v="AutoPost 532"/>
    <s v="USD"/>
    <x v="1"/>
    <n v="-1022.78"/>
    <m/>
    <n v="-1022.78"/>
    <s v="N/A"/>
    <x v="1"/>
    <x v="0"/>
  </r>
  <r>
    <s v="GL000533"/>
    <d v="2025-01-05T00:00:00"/>
    <x v="0"/>
    <x v="0"/>
    <n v="0"/>
    <n v="1831.2"/>
    <x v="3"/>
    <x v="4"/>
    <s v="AutoPost 533"/>
    <s v="EUR"/>
    <x v="2"/>
    <n v="1831.2"/>
    <m/>
    <n v="1831.2"/>
    <s v="N/A"/>
    <x v="1"/>
    <x v="1"/>
  </r>
  <r>
    <s v="GL000534"/>
    <d v="2025-05-09T00:00:00"/>
    <x v="0"/>
    <x v="0"/>
    <n v="0"/>
    <n v="1273.25"/>
    <x v="3"/>
    <x v="3"/>
    <s v="AutoPost 534"/>
    <s v="EUR"/>
    <x v="5"/>
    <n v="1273.25"/>
    <m/>
    <n v="1273.25"/>
    <s v="N/A"/>
    <x v="1"/>
    <x v="1"/>
  </r>
  <r>
    <s v="GL000535"/>
    <d v="2023-10-15T00:00:00"/>
    <x v="4"/>
    <x v="4"/>
    <n v="0"/>
    <n v="3620.97"/>
    <x v="4"/>
    <x v="4"/>
    <s v="AutoPost 535"/>
    <s v="GBP"/>
    <x v="27"/>
    <n v="3620.97"/>
    <m/>
    <n v="3620.97"/>
    <s v="N/A"/>
    <x v="1"/>
    <x v="1"/>
  </r>
  <r>
    <s v="GL000536"/>
    <d v="2024-06-08T00:00:00"/>
    <x v="0"/>
    <x v="0"/>
    <n v="0"/>
    <n v="2592.4299999999998"/>
    <x v="3"/>
    <x v="0"/>
    <s v="AutoPost 536"/>
    <s v="EUR"/>
    <x v="1"/>
    <n v="2592.4299999999998"/>
    <m/>
    <n v="2592.4299999999998"/>
    <s v="N/A"/>
    <x v="1"/>
    <x v="1"/>
  </r>
  <r>
    <s v="GL000537"/>
    <d v="2025-03-14T00:00:00"/>
    <x v="1"/>
    <x v="1"/>
    <n v="1683.82"/>
    <n v="0"/>
    <x v="3"/>
    <x v="2"/>
    <s v="AutoPost 537"/>
    <s v="AUD"/>
    <x v="13"/>
    <n v="-1683.82"/>
    <m/>
    <n v="-1683.82"/>
    <s v="N/A"/>
    <x v="1"/>
    <x v="0"/>
  </r>
  <r>
    <s v="GL000538"/>
    <d v="2023-09-21T00:00:00"/>
    <x v="3"/>
    <x v="3"/>
    <n v="1735.98"/>
    <n v="0"/>
    <x v="0"/>
    <x v="0"/>
    <s v="AutoPost 538"/>
    <s v="AUD"/>
    <x v="3"/>
    <n v="-1735.98"/>
    <m/>
    <n v="-1735.98"/>
    <s v="N/A"/>
    <x v="1"/>
    <x v="0"/>
  </r>
  <r>
    <s v="GL000539"/>
    <d v="2025-05-20T00:00:00"/>
    <x v="0"/>
    <x v="0"/>
    <n v="0"/>
    <n v="3791.55"/>
    <x v="4"/>
    <x v="2"/>
    <s v="AutoPost 539"/>
    <s v="EUR"/>
    <x v="5"/>
    <n v="3791.55"/>
    <m/>
    <n v="3791.55"/>
    <s v="N/A"/>
    <x v="1"/>
    <x v="1"/>
  </r>
  <r>
    <s v="GL000540"/>
    <d v="2025-01-30T00:00:00"/>
    <x v="4"/>
    <x v="4"/>
    <n v="0"/>
    <n v="2119.27"/>
    <x v="0"/>
    <x v="0"/>
    <s v="AutoPost 540"/>
    <s v="USD"/>
    <x v="2"/>
    <n v="2119.27"/>
    <m/>
    <n v="2119.27"/>
    <s v="N/A"/>
    <x v="1"/>
    <x v="1"/>
  </r>
  <r>
    <s v="GL000541"/>
    <d v="2024-10-21T00:00:00"/>
    <x v="4"/>
    <x v="4"/>
    <n v="0"/>
    <n v="3802.31"/>
    <x v="3"/>
    <x v="2"/>
    <s v="AutoPost 541"/>
    <s v="CAD"/>
    <x v="26"/>
    <n v="3802.31"/>
    <m/>
    <n v="3802.31"/>
    <s v="N/A"/>
    <x v="1"/>
    <x v="1"/>
  </r>
  <r>
    <s v="GL000542"/>
    <d v="2025-01-13T00:00:00"/>
    <x v="4"/>
    <x v="4"/>
    <n v="0"/>
    <n v="1414.25"/>
    <x v="0"/>
    <x v="3"/>
    <s v="AutoPost 542"/>
    <s v="USD"/>
    <x v="2"/>
    <n v="1414.25"/>
    <m/>
    <n v="1414.25"/>
    <s v="N/A"/>
    <x v="1"/>
    <x v="1"/>
  </r>
  <r>
    <s v="GL000543"/>
    <d v="2024-12-04T00:00:00"/>
    <x v="0"/>
    <x v="0"/>
    <n v="0"/>
    <n v="1404.17"/>
    <x v="2"/>
    <x v="0"/>
    <s v="AutoPost 543"/>
    <s v="AUD"/>
    <x v="23"/>
    <n v="1404.17"/>
    <m/>
    <n v="1404.17"/>
    <s v="N/A"/>
    <x v="1"/>
    <x v="1"/>
  </r>
  <r>
    <s v="GL000544"/>
    <d v="2023-05-02T00:00:00"/>
    <x v="4"/>
    <x v="4"/>
    <n v="0"/>
    <n v="3160.15"/>
    <x v="4"/>
    <x v="2"/>
    <s v="AutoPost 544"/>
    <s v="CAD"/>
    <x v="29"/>
    <n v="3160.15"/>
    <m/>
    <n v="3160.15"/>
    <s v="N/A"/>
    <x v="1"/>
    <x v="1"/>
  </r>
  <r>
    <s v="GL000545"/>
    <d v="2023-05-31T00:00:00"/>
    <x v="2"/>
    <x v="2"/>
    <n v="344.52"/>
    <n v="0"/>
    <x v="4"/>
    <x v="2"/>
    <s v="AutoPost 545"/>
    <s v="AUD"/>
    <x v="29"/>
    <n v="-344.52"/>
    <m/>
    <n v="-344.52"/>
    <s v="N/A"/>
    <x v="1"/>
    <x v="0"/>
  </r>
  <r>
    <s v="GL000546"/>
    <d v="2024-09-17T00:00:00"/>
    <x v="2"/>
    <x v="2"/>
    <n v="846.89"/>
    <n v="0"/>
    <x v="3"/>
    <x v="3"/>
    <s v="AutoPost 546"/>
    <s v="GBP"/>
    <x v="15"/>
    <n v="-846.89"/>
    <m/>
    <n v="-846.89"/>
    <s v="N/A"/>
    <x v="1"/>
    <x v="0"/>
  </r>
  <r>
    <s v="GL000547"/>
    <d v="2025-05-29T00:00:00"/>
    <x v="3"/>
    <x v="3"/>
    <n v="1316.39"/>
    <n v="0"/>
    <x v="4"/>
    <x v="4"/>
    <s v="AutoPost 547"/>
    <s v="CAD"/>
    <x v="5"/>
    <n v="-1316.39"/>
    <m/>
    <n v="-1316.39"/>
    <s v="N/A"/>
    <x v="1"/>
    <x v="0"/>
  </r>
  <r>
    <s v="GL000548"/>
    <d v="2024-11-04T00:00:00"/>
    <x v="3"/>
    <x v="3"/>
    <n v="1731.71"/>
    <n v="0"/>
    <x v="0"/>
    <x v="2"/>
    <s v="AutoPost 548"/>
    <s v="GBP"/>
    <x v="10"/>
    <n v="-1731.71"/>
    <m/>
    <n v="-1731.71"/>
    <s v="N/A"/>
    <x v="1"/>
    <x v="0"/>
  </r>
  <r>
    <s v="GL000549"/>
    <d v="2024-05-21T00:00:00"/>
    <x v="1"/>
    <x v="1"/>
    <n v="1683.19"/>
    <n v="0"/>
    <x v="4"/>
    <x v="2"/>
    <s v="AutoPost 549"/>
    <s v="USD"/>
    <x v="0"/>
    <n v="-1683.19"/>
    <m/>
    <n v="-1683.19"/>
    <s v="N/A"/>
    <x v="1"/>
    <x v="0"/>
  </r>
  <r>
    <s v="GL000550"/>
    <d v="2024-09-01T00:00:00"/>
    <x v="2"/>
    <x v="2"/>
    <n v="225.82"/>
    <n v="0"/>
    <x v="3"/>
    <x v="2"/>
    <s v="AutoPost 550"/>
    <s v="GBP"/>
    <x v="15"/>
    <n v="-225.82"/>
    <m/>
    <n v="-225.82"/>
    <s v="N/A"/>
    <x v="1"/>
    <x v="0"/>
  </r>
  <r>
    <s v="GL000551"/>
    <d v="2023-05-04T00:00:00"/>
    <x v="0"/>
    <x v="0"/>
    <n v="0"/>
    <n v="3218.47"/>
    <x v="2"/>
    <x v="2"/>
    <s v="AutoPost 551"/>
    <s v="AUD"/>
    <x v="29"/>
    <n v="3218.47"/>
    <m/>
    <n v="3218.47"/>
    <s v="N/A"/>
    <x v="1"/>
    <x v="1"/>
  </r>
  <r>
    <s v="GL000552"/>
    <d v="2023-09-13T00:00:00"/>
    <x v="4"/>
    <x v="4"/>
    <n v="0"/>
    <n v="489.03"/>
    <x v="2"/>
    <x v="0"/>
    <s v="AutoPost 552"/>
    <s v="CAD"/>
    <x v="3"/>
    <n v="489.03"/>
    <m/>
    <n v="489.03"/>
    <s v="N/A"/>
    <x v="1"/>
    <x v="1"/>
  </r>
  <r>
    <s v="GL000553"/>
    <d v="2025-06-12T00:00:00"/>
    <x v="3"/>
    <x v="3"/>
    <n v="558.76"/>
    <n v="0"/>
    <x v="2"/>
    <x v="3"/>
    <s v="AutoPost 553"/>
    <s v="USD"/>
    <x v="19"/>
    <n v="-558.76"/>
    <m/>
    <n v="-558.76"/>
    <s v="N/A"/>
    <x v="1"/>
    <x v="0"/>
  </r>
  <r>
    <s v="GL000554"/>
    <d v="2023-01-23T00:00:00"/>
    <x v="0"/>
    <x v="0"/>
    <n v="0"/>
    <n v="3368.07"/>
    <x v="3"/>
    <x v="1"/>
    <s v="AutoPost 554"/>
    <s v="GBP"/>
    <x v="14"/>
    <n v="3368.07"/>
    <m/>
    <n v="3368.07"/>
    <s v="N/A"/>
    <x v="1"/>
    <x v="1"/>
  </r>
  <r>
    <s v="GL000555"/>
    <d v="2025-02-21T00:00:00"/>
    <x v="1"/>
    <x v="1"/>
    <n v="1354.74"/>
    <n v="0"/>
    <x v="1"/>
    <x v="0"/>
    <s v="AutoPost 555"/>
    <s v="CAD"/>
    <x v="28"/>
    <n v="-1354.74"/>
    <m/>
    <n v="-1354.74"/>
    <s v="N/A"/>
    <x v="1"/>
    <x v="0"/>
  </r>
  <r>
    <s v="GL000556"/>
    <d v="2024-10-12T00:00:00"/>
    <x v="3"/>
    <x v="3"/>
    <n v="421.39"/>
    <n v="0"/>
    <x v="4"/>
    <x v="2"/>
    <s v="AutoPost 556"/>
    <s v="USD"/>
    <x v="26"/>
    <n v="-421.39"/>
    <m/>
    <n v="-421.39"/>
    <s v="N/A"/>
    <x v="1"/>
    <x v="0"/>
  </r>
  <r>
    <s v="GL000557"/>
    <d v="2024-02-05T00:00:00"/>
    <x v="3"/>
    <x v="3"/>
    <n v="618.39"/>
    <n v="0"/>
    <x v="1"/>
    <x v="2"/>
    <s v="AutoPost 557"/>
    <s v="GBP"/>
    <x v="11"/>
    <n v="-618.39"/>
    <m/>
    <n v="-618.39"/>
    <s v="N/A"/>
    <x v="1"/>
    <x v="0"/>
  </r>
  <r>
    <s v="GL000558"/>
    <d v="2025-04-29T00:00:00"/>
    <x v="2"/>
    <x v="2"/>
    <n v="1649.25"/>
    <n v="0"/>
    <x v="3"/>
    <x v="1"/>
    <s v="AutoPost 558"/>
    <s v="AUD"/>
    <x v="12"/>
    <n v="-1649.25"/>
    <m/>
    <n v="-1649.25"/>
    <s v="N/A"/>
    <x v="1"/>
    <x v="0"/>
  </r>
  <r>
    <s v="GL000559"/>
    <d v="2025-02-22T00:00:00"/>
    <x v="0"/>
    <x v="0"/>
    <n v="0"/>
    <n v="3741.45"/>
    <x v="3"/>
    <x v="3"/>
    <s v="AutoPost 559"/>
    <s v="GBP"/>
    <x v="28"/>
    <n v="3741.45"/>
    <m/>
    <n v="3741.45"/>
    <s v="N/A"/>
    <x v="1"/>
    <x v="1"/>
  </r>
  <r>
    <s v="GL000560"/>
    <d v="2023-02-25T00:00:00"/>
    <x v="0"/>
    <x v="0"/>
    <n v="0"/>
    <n v="3563.43"/>
    <x v="1"/>
    <x v="4"/>
    <s v="AutoPost 560"/>
    <s v="USD"/>
    <x v="24"/>
    <n v="3563.43"/>
    <m/>
    <n v="3563.43"/>
    <s v="N/A"/>
    <x v="1"/>
    <x v="1"/>
  </r>
  <r>
    <s v="GL000561"/>
    <d v="2024-11-24T00:00:00"/>
    <x v="2"/>
    <x v="2"/>
    <n v="1010.12"/>
    <n v="0"/>
    <x v="1"/>
    <x v="2"/>
    <s v="AutoPost 561"/>
    <s v="USD"/>
    <x v="10"/>
    <n v="-1010.12"/>
    <m/>
    <n v="-1010.12"/>
    <s v="N/A"/>
    <x v="1"/>
    <x v="0"/>
  </r>
  <r>
    <s v="GL000562"/>
    <d v="2025-05-06T00:00:00"/>
    <x v="0"/>
    <x v="0"/>
    <n v="0"/>
    <n v="4926.55"/>
    <x v="2"/>
    <x v="3"/>
    <s v="AutoPost 562"/>
    <s v="USD"/>
    <x v="5"/>
    <n v="4926.55"/>
    <m/>
    <n v="4926.55"/>
    <s v="N/A"/>
    <x v="1"/>
    <x v="1"/>
  </r>
  <r>
    <s v="GL000563"/>
    <d v="2024-04-14T00:00:00"/>
    <x v="0"/>
    <x v="0"/>
    <n v="0"/>
    <n v="3762.76"/>
    <x v="5"/>
    <x v="4"/>
    <s v="AutoPost 563"/>
    <s v="USD"/>
    <x v="7"/>
    <n v="3762.76"/>
    <m/>
    <n v="3762.76"/>
    <s v="N/A"/>
    <x v="1"/>
    <x v="1"/>
  </r>
  <r>
    <s v="GL000564"/>
    <d v="2023-08-27T00:00:00"/>
    <x v="3"/>
    <x v="3"/>
    <n v="372.65"/>
    <n v="0"/>
    <x v="1"/>
    <x v="4"/>
    <s v="AutoPost 564"/>
    <s v="AUD"/>
    <x v="4"/>
    <n v="-372.65"/>
    <m/>
    <n v="-372.65"/>
    <s v="N/A"/>
    <x v="1"/>
    <x v="0"/>
  </r>
  <r>
    <s v="GL000565"/>
    <d v="2024-10-08T00:00:00"/>
    <x v="3"/>
    <x v="3"/>
    <n v="1040.76"/>
    <n v="0"/>
    <x v="4"/>
    <x v="2"/>
    <s v="AutoPost 565"/>
    <s v="GBP"/>
    <x v="26"/>
    <n v="-1040.76"/>
    <m/>
    <n v="-1040.76"/>
    <s v="N/A"/>
    <x v="1"/>
    <x v="0"/>
  </r>
  <r>
    <s v="GL000566"/>
    <d v="2024-11-29T00:00:00"/>
    <x v="3"/>
    <x v="3"/>
    <n v="1458.37"/>
    <n v="0"/>
    <x v="2"/>
    <x v="0"/>
    <s v="AutoPost 566"/>
    <s v="AUD"/>
    <x v="10"/>
    <n v="-1458.37"/>
    <m/>
    <n v="-1458.37"/>
    <s v="N/A"/>
    <x v="1"/>
    <x v="0"/>
  </r>
  <r>
    <s v="GL000567"/>
    <d v="2024-06-13T00:00:00"/>
    <x v="4"/>
    <x v="4"/>
    <n v="0"/>
    <n v="529.02"/>
    <x v="4"/>
    <x v="3"/>
    <s v="AutoPost 567"/>
    <s v="GBP"/>
    <x v="1"/>
    <n v="529.02"/>
    <m/>
    <n v="529.02"/>
    <s v="N/A"/>
    <x v="1"/>
    <x v="1"/>
  </r>
  <r>
    <s v="GL000568"/>
    <d v="2024-12-02T00:00:00"/>
    <x v="4"/>
    <x v="4"/>
    <n v="0"/>
    <n v="4167.67"/>
    <x v="4"/>
    <x v="1"/>
    <s v="AutoPost 568"/>
    <s v="USD"/>
    <x v="23"/>
    <n v="4167.67"/>
    <m/>
    <n v="4167.67"/>
    <s v="N/A"/>
    <x v="1"/>
    <x v="1"/>
  </r>
  <r>
    <s v="GL000569"/>
    <d v="2023-05-02T00:00:00"/>
    <x v="3"/>
    <x v="3"/>
    <n v="1788.83"/>
    <n v="0"/>
    <x v="2"/>
    <x v="0"/>
    <s v="AutoPost 569"/>
    <s v="EUR"/>
    <x v="29"/>
    <n v="-1788.83"/>
    <m/>
    <n v="-1788.83"/>
    <s v="N/A"/>
    <x v="1"/>
    <x v="0"/>
  </r>
  <r>
    <s v="GL000570"/>
    <d v="2024-12-05T00:00:00"/>
    <x v="3"/>
    <x v="3"/>
    <n v="929.85"/>
    <n v="0"/>
    <x v="2"/>
    <x v="2"/>
    <s v="AutoPost 570"/>
    <s v="USD"/>
    <x v="23"/>
    <n v="-929.85"/>
    <m/>
    <n v="-929.85"/>
    <s v="N/A"/>
    <x v="1"/>
    <x v="0"/>
  </r>
  <r>
    <s v="GL000571"/>
    <d v="2024-03-04T00:00:00"/>
    <x v="0"/>
    <x v="0"/>
    <n v="0"/>
    <n v="3706.89"/>
    <x v="2"/>
    <x v="2"/>
    <s v="AutoPost 571"/>
    <s v="CAD"/>
    <x v="16"/>
    <n v="3706.89"/>
    <m/>
    <n v="3706.89"/>
    <s v="N/A"/>
    <x v="1"/>
    <x v="1"/>
  </r>
  <r>
    <s v="GL000572"/>
    <d v="2025-03-04T00:00:00"/>
    <x v="0"/>
    <x v="0"/>
    <n v="0"/>
    <n v="4692.96"/>
    <x v="2"/>
    <x v="4"/>
    <s v="AutoPost 572"/>
    <s v="CAD"/>
    <x v="13"/>
    <n v="4692.96"/>
    <m/>
    <n v="4692.96"/>
    <s v="N/A"/>
    <x v="1"/>
    <x v="1"/>
  </r>
  <r>
    <s v="GL000573"/>
    <d v="2024-08-20T00:00:00"/>
    <x v="2"/>
    <x v="2"/>
    <n v="179.56"/>
    <n v="0"/>
    <x v="4"/>
    <x v="0"/>
    <s v="AutoPost 573"/>
    <s v="GBP"/>
    <x v="25"/>
    <n v="-179.56"/>
    <m/>
    <n v="-179.56"/>
    <s v="N/A"/>
    <x v="1"/>
    <x v="0"/>
  </r>
  <r>
    <s v="GL000574"/>
    <d v="2024-10-29T00:00:00"/>
    <x v="3"/>
    <x v="3"/>
    <n v="649.71"/>
    <n v="0"/>
    <x v="0"/>
    <x v="2"/>
    <s v="AutoPost 574"/>
    <s v="GBP"/>
    <x v="26"/>
    <n v="-649.71"/>
    <m/>
    <n v="-649.71"/>
    <s v="N/A"/>
    <x v="1"/>
    <x v="0"/>
  </r>
  <r>
    <s v="GL000575"/>
    <d v="2023-12-12T00:00:00"/>
    <x v="4"/>
    <x v="4"/>
    <n v="0"/>
    <n v="3347.45"/>
    <x v="0"/>
    <x v="0"/>
    <s v="AutoPost 575"/>
    <s v="USD"/>
    <x v="6"/>
    <n v="3347.45"/>
    <m/>
    <n v="3347.45"/>
    <s v="N/A"/>
    <x v="1"/>
    <x v="1"/>
  </r>
  <r>
    <s v="GL000576"/>
    <d v="2025-06-06T00:00:00"/>
    <x v="4"/>
    <x v="4"/>
    <n v="0"/>
    <n v="2584"/>
    <x v="1"/>
    <x v="3"/>
    <s v="AutoPost 576"/>
    <s v="EUR"/>
    <x v="19"/>
    <n v="2584"/>
    <m/>
    <n v="2584"/>
    <s v="N/A"/>
    <x v="1"/>
    <x v="1"/>
  </r>
  <r>
    <s v="GL000577"/>
    <d v="2023-08-23T00:00:00"/>
    <x v="0"/>
    <x v="0"/>
    <n v="0"/>
    <n v="4254.54"/>
    <x v="3"/>
    <x v="1"/>
    <s v="AutoPost 577"/>
    <s v="CAD"/>
    <x v="4"/>
    <n v="4254.54"/>
    <m/>
    <n v="4254.54"/>
    <s v="N/A"/>
    <x v="1"/>
    <x v="1"/>
  </r>
  <r>
    <s v="GL000578"/>
    <d v="2024-12-02T00:00:00"/>
    <x v="0"/>
    <x v="0"/>
    <n v="0"/>
    <n v="1301.08"/>
    <x v="2"/>
    <x v="3"/>
    <s v="AutoPost 578"/>
    <s v="GBP"/>
    <x v="23"/>
    <n v="1301.08"/>
    <m/>
    <n v="1301.08"/>
    <s v="N/A"/>
    <x v="1"/>
    <x v="1"/>
  </r>
  <r>
    <s v="GL000579"/>
    <d v="2023-05-24T00:00:00"/>
    <x v="4"/>
    <x v="4"/>
    <n v="0"/>
    <n v="1565.18"/>
    <x v="1"/>
    <x v="2"/>
    <s v="AutoPost 579"/>
    <s v="USD"/>
    <x v="29"/>
    <n v="1565.18"/>
    <m/>
    <n v="1565.18"/>
    <s v="N/A"/>
    <x v="1"/>
    <x v="1"/>
  </r>
  <r>
    <s v="GL000580"/>
    <d v="2025-06-21T00:00:00"/>
    <x v="1"/>
    <x v="1"/>
    <n v="69.31"/>
    <n v="0"/>
    <x v="0"/>
    <x v="4"/>
    <s v="AutoPost 580"/>
    <s v="USD"/>
    <x v="19"/>
    <n v="-69.31"/>
    <m/>
    <n v="-69.31"/>
    <s v="N/A"/>
    <x v="1"/>
    <x v="0"/>
  </r>
  <r>
    <s v="GL000581"/>
    <d v="2024-10-22T00:00:00"/>
    <x v="1"/>
    <x v="1"/>
    <n v="1752.75"/>
    <n v="0"/>
    <x v="1"/>
    <x v="0"/>
    <s v="AutoPost 581"/>
    <s v="CAD"/>
    <x v="26"/>
    <n v="-1752.75"/>
    <m/>
    <n v="-1752.75"/>
    <s v="N/A"/>
    <x v="1"/>
    <x v="0"/>
  </r>
  <r>
    <s v="GL000582"/>
    <d v="2023-10-09T00:00:00"/>
    <x v="4"/>
    <x v="4"/>
    <n v="0"/>
    <n v="759.16"/>
    <x v="5"/>
    <x v="2"/>
    <s v="AutoPost 582"/>
    <s v="CAD"/>
    <x v="27"/>
    <n v="759.16"/>
    <m/>
    <n v="759.16"/>
    <s v="N/A"/>
    <x v="1"/>
    <x v="1"/>
  </r>
  <r>
    <s v="GL000583"/>
    <d v="2023-12-02T00:00:00"/>
    <x v="2"/>
    <x v="2"/>
    <n v="350.75"/>
    <n v="0"/>
    <x v="4"/>
    <x v="2"/>
    <s v="AutoPost 583"/>
    <s v="CAD"/>
    <x v="6"/>
    <n v="-350.75"/>
    <m/>
    <n v="-350.75"/>
    <s v="N/A"/>
    <x v="1"/>
    <x v="0"/>
  </r>
  <r>
    <s v="GL000584"/>
    <d v="2024-02-29T00:00:00"/>
    <x v="2"/>
    <x v="2"/>
    <n v="1991.12"/>
    <n v="0"/>
    <x v="2"/>
    <x v="4"/>
    <s v="AutoPost 584"/>
    <s v="AUD"/>
    <x v="11"/>
    <n v="-1991.12"/>
    <m/>
    <n v="-1991.12"/>
    <s v="N/A"/>
    <x v="1"/>
    <x v="0"/>
  </r>
  <r>
    <s v="GL000585"/>
    <d v="2023-05-09T00:00:00"/>
    <x v="1"/>
    <x v="1"/>
    <n v="661.12"/>
    <n v="0"/>
    <x v="1"/>
    <x v="4"/>
    <s v="AutoPost 585"/>
    <s v="CAD"/>
    <x v="29"/>
    <n v="-661.12"/>
    <m/>
    <n v="-661.12"/>
    <s v="N/A"/>
    <x v="1"/>
    <x v="0"/>
  </r>
  <r>
    <s v="GL000586"/>
    <d v="2023-10-06T00:00:00"/>
    <x v="3"/>
    <x v="3"/>
    <n v="1109.8599999999999"/>
    <n v="0"/>
    <x v="5"/>
    <x v="0"/>
    <s v="AutoPost 586"/>
    <s v="EUR"/>
    <x v="27"/>
    <n v="-1109.8599999999999"/>
    <m/>
    <n v="-1109.8599999999999"/>
    <s v="N/A"/>
    <x v="1"/>
    <x v="0"/>
  </r>
  <r>
    <s v="GL000587"/>
    <d v="2025-05-05T00:00:00"/>
    <x v="4"/>
    <x v="4"/>
    <n v="0"/>
    <n v="4533.8"/>
    <x v="5"/>
    <x v="3"/>
    <s v="AutoPost 587"/>
    <s v="CAD"/>
    <x v="5"/>
    <n v="4533.8"/>
    <m/>
    <n v="4533.8"/>
    <s v="N/A"/>
    <x v="1"/>
    <x v="1"/>
  </r>
  <r>
    <s v="GL000588"/>
    <d v="2025-04-10T00:00:00"/>
    <x v="3"/>
    <x v="3"/>
    <n v="329.57"/>
    <n v="0"/>
    <x v="3"/>
    <x v="4"/>
    <s v="AutoPost 588"/>
    <s v="CAD"/>
    <x v="12"/>
    <n v="-329.57"/>
    <m/>
    <n v="-329.57"/>
    <s v="N/A"/>
    <x v="1"/>
    <x v="0"/>
  </r>
  <r>
    <s v="GL000589"/>
    <d v="2023-03-07T00:00:00"/>
    <x v="0"/>
    <x v="0"/>
    <n v="0"/>
    <n v="4725.13"/>
    <x v="4"/>
    <x v="0"/>
    <s v="AutoPost 589"/>
    <s v="EUR"/>
    <x v="18"/>
    <n v="4725.13"/>
    <m/>
    <n v="4725.13"/>
    <s v="N/A"/>
    <x v="1"/>
    <x v="1"/>
  </r>
  <r>
    <s v="GL000590"/>
    <d v="2023-07-14T00:00:00"/>
    <x v="3"/>
    <x v="3"/>
    <n v="206.46"/>
    <n v="0"/>
    <x v="1"/>
    <x v="3"/>
    <s v="AutoPost 590"/>
    <s v="AUD"/>
    <x v="17"/>
    <n v="-206.46"/>
    <m/>
    <n v="-206.46"/>
    <s v="N/A"/>
    <x v="1"/>
    <x v="0"/>
  </r>
  <r>
    <s v="GL000591"/>
    <d v="2025-05-18T00:00:00"/>
    <x v="2"/>
    <x v="2"/>
    <n v="402.92"/>
    <n v="0"/>
    <x v="5"/>
    <x v="2"/>
    <s v="AutoPost 591"/>
    <s v="GBP"/>
    <x v="5"/>
    <n v="-402.92"/>
    <m/>
    <n v="-402.92"/>
    <s v="N/A"/>
    <x v="1"/>
    <x v="0"/>
  </r>
  <r>
    <s v="GL000592"/>
    <d v="2025-01-13T00:00:00"/>
    <x v="4"/>
    <x v="4"/>
    <n v="0"/>
    <n v="4295.83"/>
    <x v="2"/>
    <x v="0"/>
    <s v="AutoPost 592"/>
    <s v="GBP"/>
    <x v="2"/>
    <n v="4295.83"/>
    <m/>
    <n v="4295.83"/>
    <s v="N/A"/>
    <x v="1"/>
    <x v="1"/>
  </r>
  <r>
    <s v="GL000593"/>
    <d v="2023-12-18T00:00:00"/>
    <x v="4"/>
    <x v="4"/>
    <n v="0"/>
    <n v="3237.32"/>
    <x v="4"/>
    <x v="2"/>
    <s v="AutoPost 593"/>
    <s v="GBP"/>
    <x v="6"/>
    <n v="3237.32"/>
    <m/>
    <n v="3237.32"/>
    <s v="N/A"/>
    <x v="1"/>
    <x v="1"/>
  </r>
  <r>
    <s v="GL000594"/>
    <d v="2023-11-26T00:00:00"/>
    <x v="2"/>
    <x v="2"/>
    <n v="648.30999999999995"/>
    <n v="0"/>
    <x v="4"/>
    <x v="1"/>
    <s v="AutoPost 594"/>
    <s v="GBP"/>
    <x v="9"/>
    <n v="-648.30999999999995"/>
    <m/>
    <n v="-648.30999999999995"/>
    <s v="N/A"/>
    <x v="1"/>
    <x v="0"/>
  </r>
  <r>
    <s v="GL000595"/>
    <d v="2024-05-06T00:00:00"/>
    <x v="1"/>
    <x v="1"/>
    <n v="710.64"/>
    <n v="0"/>
    <x v="0"/>
    <x v="0"/>
    <s v="AutoPost 595"/>
    <s v="EUR"/>
    <x v="0"/>
    <n v="-710.64"/>
    <m/>
    <n v="-710.64"/>
    <s v="N/A"/>
    <x v="1"/>
    <x v="0"/>
  </r>
  <r>
    <s v="GL000596"/>
    <d v="2023-10-31T00:00:00"/>
    <x v="1"/>
    <x v="1"/>
    <n v="309.33999999999997"/>
    <n v="0"/>
    <x v="4"/>
    <x v="1"/>
    <s v="AutoPost 596"/>
    <s v="EUR"/>
    <x v="27"/>
    <n v="-309.33999999999997"/>
    <m/>
    <n v="-309.33999999999997"/>
    <s v="N/A"/>
    <x v="1"/>
    <x v="0"/>
  </r>
  <r>
    <s v="GL000597"/>
    <d v="2023-03-03T00:00:00"/>
    <x v="2"/>
    <x v="2"/>
    <n v="1657.7"/>
    <n v="0"/>
    <x v="0"/>
    <x v="1"/>
    <s v="AutoPost 597"/>
    <s v="AUD"/>
    <x v="18"/>
    <n v="-1657.7"/>
    <m/>
    <n v="-1657.7"/>
    <s v="N/A"/>
    <x v="1"/>
    <x v="0"/>
  </r>
  <r>
    <s v="GL000598"/>
    <d v="2023-12-11T00:00:00"/>
    <x v="3"/>
    <x v="3"/>
    <n v="1748.81"/>
    <n v="0"/>
    <x v="4"/>
    <x v="0"/>
    <s v="AutoPost 598"/>
    <s v="EUR"/>
    <x v="6"/>
    <n v="-1748.81"/>
    <m/>
    <n v="-1748.81"/>
    <s v="N/A"/>
    <x v="1"/>
    <x v="0"/>
  </r>
  <r>
    <s v="GL000599"/>
    <d v="2024-07-19T00:00:00"/>
    <x v="2"/>
    <x v="2"/>
    <n v="278.26"/>
    <n v="0"/>
    <x v="0"/>
    <x v="2"/>
    <s v="AutoPost 599"/>
    <s v="USD"/>
    <x v="21"/>
    <n v="-278.26"/>
    <m/>
    <n v="-278.26"/>
    <s v="N/A"/>
    <x v="1"/>
    <x v="0"/>
  </r>
  <r>
    <s v="GL000600"/>
    <d v="2023-06-26T00:00:00"/>
    <x v="3"/>
    <x v="3"/>
    <n v="387.61"/>
    <n v="0"/>
    <x v="5"/>
    <x v="2"/>
    <s v="AutoPost 600"/>
    <s v="GBP"/>
    <x v="22"/>
    <n v="-387.61"/>
    <m/>
    <n v="-387.61"/>
    <s v="N/A"/>
    <x v="1"/>
    <x v="0"/>
  </r>
  <r>
    <s v="GL000601"/>
    <d v="2025-03-01T00:00:00"/>
    <x v="1"/>
    <x v="1"/>
    <n v="930.92"/>
    <n v="0"/>
    <x v="1"/>
    <x v="0"/>
    <s v="AutoPost 601"/>
    <s v="CAD"/>
    <x v="13"/>
    <n v="-930.92"/>
    <m/>
    <n v="-930.92"/>
    <s v="N/A"/>
    <x v="1"/>
    <x v="0"/>
  </r>
  <r>
    <s v="GL000602"/>
    <d v="2025-04-25T00:00:00"/>
    <x v="1"/>
    <x v="1"/>
    <n v="1231.94"/>
    <n v="0"/>
    <x v="3"/>
    <x v="1"/>
    <s v="AutoPost 602"/>
    <s v="GBP"/>
    <x v="12"/>
    <n v="-1231.94"/>
    <m/>
    <n v="-1231.94"/>
    <s v="N/A"/>
    <x v="1"/>
    <x v="0"/>
  </r>
  <r>
    <s v="GL000603"/>
    <d v="2025-02-03T00:00:00"/>
    <x v="3"/>
    <x v="3"/>
    <n v="1911.86"/>
    <n v="0"/>
    <x v="5"/>
    <x v="3"/>
    <s v="AutoPost 603"/>
    <s v="CAD"/>
    <x v="28"/>
    <n v="-1911.86"/>
    <m/>
    <n v="-1911.86"/>
    <s v="N/A"/>
    <x v="1"/>
    <x v="0"/>
  </r>
  <r>
    <s v="GL000604"/>
    <d v="2023-05-13T00:00:00"/>
    <x v="4"/>
    <x v="4"/>
    <n v="0"/>
    <n v="1161.8599999999999"/>
    <x v="3"/>
    <x v="2"/>
    <s v="AutoPost 604"/>
    <s v="AUD"/>
    <x v="29"/>
    <n v="1161.8599999999999"/>
    <m/>
    <n v="1161.8599999999999"/>
    <s v="N/A"/>
    <x v="1"/>
    <x v="1"/>
  </r>
  <r>
    <s v="GL000605"/>
    <d v="2023-09-25T00:00:00"/>
    <x v="3"/>
    <x v="3"/>
    <n v="622.09"/>
    <n v="0"/>
    <x v="5"/>
    <x v="4"/>
    <s v="AutoPost 605"/>
    <s v="GBP"/>
    <x v="3"/>
    <n v="-622.09"/>
    <m/>
    <n v="-622.09"/>
    <s v="N/A"/>
    <x v="1"/>
    <x v="0"/>
  </r>
  <r>
    <s v="GL000606"/>
    <d v="2023-03-21T00:00:00"/>
    <x v="2"/>
    <x v="2"/>
    <n v="895.07"/>
    <n v="0"/>
    <x v="5"/>
    <x v="3"/>
    <s v="AutoPost 606"/>
    <s v="USD"/>
    <x v="18"/>
    <n v="-895.07"/>
    <m/>
    <n v="-895.07"/>
    <s v="N/A"/>
    <x v="1"/>
    <x v="0"/>
  </r>
  <r>
    <s v="GL000607"/>
    <d v="2024-02-12T00:00:00"/>
    <x v="2"/>
    <x v="2"/>
    <n v="1093.48"/>
    <n v="0"/>
    <x v="4"/>
    <x v="1"/>
    <s v="AutoPost 607"/>
    <s v="CAD"/>
    <x v="11"/>
    <n v="-1093.48"/>
    <m/>
    <n v="-1093.48"/>
    <s v="N/A"/>
    <x v="1"/>
    <x v="0"/>
  </r>
  <r>
    <s v="GL000608"/>
    <d v="2023-10-25T00:00:00"/>
    <x v="0"/>
    <x v="0"/>
    <n v="0"/>
    <n v="1178.75"/>
    <x v="0"/>
    <x v="4"/>
    <s v="AutoPost 608"/>
    <s v="AUD"/>
    <x v="27"/>
    <n v="1178.75"/>
    <m/>
    <n v="1178.75"/>
    <s v="N/A"/>
    <x v="1"/>
    <x v="1"/>
  </r>
  <r>
    <s v="GL000609"/>
    <d v="2024-10-19T00:00:00"/>
    <x v="4"/>
    <x v="4"/>
    <n v="0"/>
    <n v="1843.27"/>
    <x v="0"/>
    <x v="1"/>
    <s v="AutoPost 609"/>
    <s v="CAD"/>
    <x v="26"/>
    <n v="1843.27"/>
    <m/>
    <n v="1843.27"/>
    <s v="N/A"/>
    <x v="1"/>
    <x v="1"/>
  </r>
  <r>
    <s v="GL000610"/>
    <d v="2024-06-25T00:00:00"/>
    <x v="2"/>
    <x v="2"/>
    <n v="1239.45"/>
    <n v="0"/>
    <x v="2"/>
    <x v="1"/>
    <s v="AutoPost 610"/>
    <s v="EUR"/>
    <x v="1"/>
    <n v="-1239.45"/>
    <m/>
    <n v="-1239.45"/>
    <s v="N/A"/>
    <x v="1"/>
    <x v="0"/>
  </r>
  <r>
    <s v="GL000611"/>
    <d v="2023-01-17T00:00:00"/>
    <x v="0"/>
    <x v="0"/>
    <n v="0"/>
    <n v="3317.75"/>
    <x v="0"/>
    <x v="1"/>
    <s v="AutoPost 611"/>
    <s v="EUR"/>
    <x v="14"/>
    <n v="3317.75"/>
    <m/>
    <n v="3317.75"/>
    <s v="N/A"/>
    <x v="1"/>
    <x v="1"/>
  </r>
  <r>
    <s v="GL000612"/>
    <d v="2025-03-20T00:00:00"/>
    <x v="0"/>
    <x v="0"/>
    <n v="0"/>
    <n v="493.21"/>
    <x v="3"/>
    <x v="1"/>
    <s v="AutoPost 612"/>
    <s v="CAD"/>
    <x v="13"/>
    <n v="493.21"/>
    <m/>
    <n v="493.21"/>
    <s v="N/A"/>
    <x v="1"/>
    <x v="1"/>
  </r>
  <r>
    <s v="GL000613"/>
    <d v="2023-03-15T00:00:00"/>
    <x v="2"/>
    <x v="2"/>
    <n v="1638.5"/>
    <n v="0"/>
    <x v="2"/>
    <x v="0"/>
    <s v="AutoPost 613"/>
    <s v="GBP"/>
    <x v="18"/>
    <n v="-1638.5"/>
    <m/>
    <n v="-1638.5"/>
    <s v="N/A"/>
    <x v="1"/>
    <x v="0"/>
  </r>
  <r>
    <s v="GL000614"/>
    <d v="2023-12-31T00:00:00"/>
    <x v="0"/>
    <x v="0"/>
    <n v="0"/>
    <n v="1848.61"/>
    <x v="1"/>
    <x v="1"/>
    <s v="AutoPost 614"/>
    <s v="GBP"/>
    <x v="6"/>
    <n v="1848.61"/>
    <m/>
    <n v="1848.61"/>
    <s v="N/A"/>
    <x v="1"/>
    <x v="1"/>
  </r>
  <r>
    <s v="GL000615"/>
    <d v="2023-04-06T00:00:00"/>
    <x v="3"/>
    <x v="3"/>
    <n v="436.93"/>
    <n v="0"/>
    <x v="1"/>
    <x v="3"/>
    <s v="AutoPost 615"/>
    <s v="CAD"/>
    <x v="8"/>
    <n v="-436.93"/>
    <m/>
    <n v="-436.93"/>
    <s v="N/A"/>
    <x v="1"/>
    <x v="0"/>
  </r>
  <r>
    <s v="GL000616"/>
    <d v="2024-07-02T00:00:00"/>
    <x v="1"/>
    <x v="1"/>
    <n v="1498.49"/>
    <n v="0"/>
    <x v="1"/>
    <x v="2"/>
    <s v="AutoPost 616"/>
    <s v="USD"/>
    <x v="21"/>
    <n v="-1498.49"/>
    <m/>
    <n v="-1498.49"/>
    <s v="N/A"/>
    <x v="1"/>
    <x v="0"/>
  </r>
  <r>
    <s v="GL000617"/>
    <d v="2025-05-04T00:00:00"/>
    <x v="2"/>
    <x v="2"/>
    <n v="1030.46"/>
    <n v="0"/>
    <x v="2"/>
    <x v="0"/>
    <s v="AutoPost 617"/>
    <s v="USD"/>
    <x v="5"/>
    <n v="-1030.46"/>
    <m/>
    <n v="-1030.46"/>
    <s v="N/A"/>
    <x v="1"/>
    <x v="0"/>
  </r>
  <r>
    <s v="GL000618"/>
    <d v="2025-06-30T00:00:00"/>
    <x v="4"/>
    <x v="4"/>
    <n v="0"/>
    <n v="2665.08"/>
    <x v="4"/>
    <x v="0"/>
    <s v="AutoPost 618"/>
    <s v="CAD"/>
    <x v="19"/>
    <n v="2665.08"/>
    <m/>
    <n v="2665.08"/>
    <s v="N/A"/>
    <x v="1"/>
    <x v="1"/>
  </r>
  <r>
    <s v="GL000619"/>
    <d v="2024-08-05T00:00:00"/>
    <x v="3"/>
    <x v="3"/>
    <n v="416.41"/>
    <n v="0"/>
    <x v="3"/>
    <x v="1"/>
    <s v="AutoPost 619"/>
    <s v="CAD"/>
    <x v="25"/>
    <n v="-416.41"/>
    <m/>
    <n v="-416.41"/>
    <s v="N/A"/>
    <x v="1"/>
    <x v="0"/>
  </r>
  <r>
    <s v="GL000620"/>
    <d v="2025-02-08T00:00:00"/>
    <x v="0"/>
    <x v="0"/>
    <n v="0"/>
    <n v="2058.4"/>
    <x v="2"/>
    <x v="3"/>
    <s v="AutoPost 620"/>
    <s v="GBP"/>
    <x v="28"/>
    <n v="2058.4"/>
    <m/>
    <n v="2058.4"/>
    <s v="N/A"/>
    <x v="1"/>
    <x v="1"/>
  </r>
  <r>
    <s v="GL000621"/>
    <d v="2025-01-12T00:00:00"/>
    <x v="0"/>
    <x v="0"/>
    <n v="0"/>
    <n v="203.81"/>
    <x v="5"/>
    <x v="0"/>
    <s v="AutoPost 621"/>
    <s v="AUD"/>
    <x v="2"/>
    <n v="203.81"/>
    <m/>
    <n v="203.81"/>
    <s v="N/A"/>
    <x v="1"/>
    <x v="1"/>
  </r>
  <r>
    <s v="GL000622"/>
    <d v="2024-10-30T00:00:00"/>
    <x v="3"/>
    <x v="3"/>
    <n v="1876.28"/>
    <n v="0"/>
    <x v="4"/>
    <x v="2"/>
    <s v="AutoPost 622"/>
    <s v="CAD"/>
    <x v="26"/>
    <n v="-1876.28"/>
    <m/>
    <n v="-1876.28"/>
    <s v="N/A"/>
    <x v="1"/>
    <x v="0"/>
  </r>
  <r>
    <s v="GL000623"/>
    <d v="2023-10-03T00:00:00"/>
    <x v="1"/>
    <x v="1"/>
    <n v="1047.55"/>
    <n v="0"/>
    <x v="1"/>
    <x v="2"/>
    <s v="AutoPost 623"/>
    <s v="AUD"/>
    <x v="27"/>
    <n v="-1047.55"/>
    <m/>
    <n v="-1047.55"/>
    <s v="N/A"/>
    <x v="1"/>
    <x v="0"/>
  </r>
  <r>
    <s v="GL000624"/>
    <d v="2023-01-17T00:00:00"/>
    <x v="0"/>
    <x v="0"/>
    <n v="0"/>
    <n v="3567.5"/>
    <x v="4"/>
    <x v="3"/>
    <s v="AutoPost 624"/>
    <s v="EUR"/>
    <x v="14"/>
    <n v="3567.5"/>
    <m/>
    <n v="3567.5"/>
    <s v="N/A"/>
    <x v="1"/>
    <x v="1"/>
  </r>
  <r>
    <s v="GL000625"/>
    <d v="2024-02-16T00:00:00"/>
    <x v="0"/>
    <x v="0"/>
    <n v="0"/>
    <n v="1073.3499999999999"/>
    <x v="1"/>
    <x v="0"/>
    <s v="AutoPost 625"/>
    <s v="CAD"/>
    <x v="11"/>
    <n v="1073.3499999999999"/>
    <m/>
    <n v="1073.3499999999999"/>
    <s v="N/A"/>
    <x v="1"/>
    <x v="1"/>
  </r>
  <r>
    <s v="GL000626"/>
    <d v="2025-02-21T00:00:00"/>
    <x v="2"/>
    <x v="2"/>
    <n v="1340.18"/>
    <n v="0"/>
    <x v="0"/>
    <x v="0"/>
    <s v="AutoPost 626"/>
    <s v="USD"/>
    <x v="28"/>
    <n v="-1340.18"/>
    <m/>
    <n v="-1340.18"/>
    <s v="N/A"/>
    <x v="1"/>
    <x v="0"/>
  </r>
  <r>
    <s v="GL000627"/>
    <d v="2024-03-16T00:00:00"/>
    <x v="4"/>
    <x v="4"/>
    <n v="0"/>
    <n v="2847.98"/>
    <x v="0"/>
    <x v="4"/>
    <s v="AutoPost 627"/>
    <s v="USD"/>
    <x v="16"/>
    <n v="2847.98"/>
    <m/>
    <n v="2847.98"/>
    <s v="N/A"/>
    <x v="1"/>
    <x v="1"/>
  </r>
  <r>
    <s v="GL000628"/>
    <d v="2025-01-24T00:00:00"/>
    <x v="1"/>
    <x v="1"/>
    <n v="1084.3800000000001"/>
    <n v="0"/>
    <x v="5"/>
    <x v="0"/>
    <s v="AutoPost 628"/>
    <s v="GBP"/>
    <x v="2"/>
    <n v="-1084.3800000000001"/>
    <m/>
    <n v="-1084.3800000000001"/>
    <s v="N/A"/>
    <x v="1"/>
    <x v="0"/>
  </r>
  <r>
    <s v="GL000629"/>
    <d v="2025-06-01T00:00:00"/>
    <x v="1"/>
    <x v="1"/>
    <n v="1437.11"/>
    <n v="0"/>
    <x v="4"/>
    <x v="3"/>
    <s v="AutoPost 629"/>
    <s v="USD"/>
    <x v="19"/>
    <n v="-1437.11"/>
    <m/>
    <n v="-1437.11"/>
    <s v="N/A"/>
    <x v="1"/>
    <x v="0"/>
  </r>
  <r>
    <s v="GL000630"/>
    <d v="2024-06-27T00:00:00"/>
    <x v="0"/>
    <x v="0"/>
    <n v="0"/>
    <n v="4116.3900000000003"/>
    <x v="1"/>
    <x v="4"/>
    <s v="AutoPost 630"/>
    <s v="GBP"/>
    <x v="1"/>
    <n v="4116.3900000000003"/>
    <m/>
    <n v="4116.3900000000003"/>
    <s v="N/A"/>
    <x v="1"/>
    <x v="1"/>
  </r>
  <r>
    <s v="GL000631"/>
    <d v="2023-02-22T00:00:00"/>
    <x v="3"/>
    <x v="3"/>
    <n v="1732.79"/>
    <n v="0"/>
    <x v="1"/>
    <x v="2"/>
    <s v="AutoPost 631"/>
    <s v="CAD"/>
    <x v="24"/>
    <n v="-1732.79"/>
    <m/>
    <n v="-1732.79"/>
    <s v="N/A"/>
    <x v="1"/>
    <x v="0"/>
  </r>
  <r>
    <s v="GL000632"/>
    <d v="2024-01-07T00:00:00"/>
    <x v="1"/>
    <x v="1"/>
    <n v="1107.71"/>
    <n v="0"/>
    <x v="5"/>
    <x v="1"/>
    <s v="AutoPost 632"/>
    <s v="GBP"/>
    <x v="20"/>
    <n v="-1107.71"/>
    <m/>
    <n v="-1107.71"/>
    <s v="N/A"/>
    <x v="1"/>
    <x v="0"/>
  </r>
  <r>
    <s v="GL000633"/>
    <d v="2023-08-07T00:00:00"/>
    <x v="4"/>
    <x v="4"/>
    <n v="0"/>
    <n v="303.27"/>
    <x v="1"/>
    <x v="3"/>
    <s v="AutoPost 633"/>
    <s v="AUD"/>
    <x v="4"/>
    <n v="303.27"/>
    <m/>
    <n v="303.27"/>
    <s v="N/A"/>
    <x v="1"/>
    <x v="1"/>
  </r>
  <r>
    <s v="GL000634"/>
    <d v="2023-01-07T00:00:00"/>
    <x v="1"/>
    <x v="1"/>
    <n v="608.84"/>
    <n v="0"/>
    <x v="5"/>
    <x v="4"/>
    <s v="AutoPost 634"/>
    <s v="AUD"/>
    <x v="14"/>
    <n v="-608.84"/>
    <m/>
    <n v="-608.84"/>
    <s v="N/A"/>
    <x v="1"/>
    <x v="0"/>
  </r>
  <r>
    <s v="GL000635"/>
    <d v="2023-06-27T00:00:00"/>
    <x v="2"/>
    <x v="2"/>
    <n v="1438.43"/>
    <n v="0"/>
    <x v="1"/>
    <x v="2"/>
    <s v="AutoPost 635"/>
    <s v="CAD"/>
    <x v="22"/>
    <n v="-1438.43"/>
    <m/>
    <n v="-1438.43"/>
    <s v="N/A"/>
    <x v="1"/>
    <x v="0"/>
  </r>
  <r>
    <s v="GL000636"/>
    <d v="2023-03-04T00:00:00"/>
    <x v="0"/>
    <x v="0"/>
    <n v="0"/>
    <n v="1141.46"/>
    <x v="4"/>
    <x v="4"/>
    <s v="AutoPost 636"/>
    <s v="EUR"/>
    <x v="18"/>
    <n v="1141.46"/>
    <m/>
    <n v="1141.46"/>
    <s v="N/A"/>
    <x v="1"/>
    <x v="1"/>
  </r>
  <r>
    <s v="GL000637"/>
    <d v="2024-08-19T00:00:00"/>
    <x v="2"/>
    <x v="2"/>
    <n v="1263.43"/>
    <n v="0"/>
    <x v="4"/>
    <x v="1"/>
    <s v="AutoPost 637"/>
    <s v="CAD"/>
    <x v="25"/>
    <n v="-1263.43"/>
    <m/>
    <n v="-1263.43"/>
    <s v="N/A"/>
    <x v="1"/>
    <x v="0"/>
  </r>
  <r>
    <s v="GL000638"/>
    <d v="2023-07-14T00:00:00"/>
    <x v="0"/>
    <x v="0"/>
    <n v="0"/>
    <n v="3107.95"/>
    <x v="1"/>
    <x v="0"/>
    <s v="AutoPost 638"/>
    <s v="GBP"/>
    <x v="17"/>
    <n v="3107.95"/>
    <m/>
    <n v="3107.95"/>
    <s v="N/A"/>
    <x v="1"/>
    <x v="1"/>
  </r>
  <r>
    <s v="GL000639"/>
    <d v="2024-10-24T00:00:00"/>
    <x v="1"/>
    <x v="1"/>
    <n v="1600.99"/>
    <n v="0"/>
    <x v="4"/>
    <x v="4"/>
    <s v="AutoPost 639"/>
    <s v="CAD"/>
    <x v="26"/>
    <n v="-1600.99"/>
    <m/>
    <n v="-1600.99"/>
    <s v="N/A"/>
    <x v="1"/>
    <x v="0"/>
  </r>
  <r>
    <s v="GL000640"/>
    <d v="2024-12-06T00:00:00"/>
    <x v="1"/>
    <x v="1"/>
    <n v="563.6"/>
    <n v="0"/>
    <x v="0"/>
    <x v="3"/>
    <s v="AutoPost 640"/>
    <s v="USD"/>
    <x v="23"/>
    <n v="-563.6"/>
    <m/>
    <n v="-563.6"/>
    <s v="N/A"/>
    <x v="1"/>
    <x v="0"/>
  </r>
  <r>
    <s v="GL000641"/>
    <d v="2023-06-19T00:00:00"/>
    <x v="1"/>
    <x v="1"/>
    <n v="961.83"/>
    <n v="0"/>
    <x v="3"/>
    <x v="4"/>
    <s v="AutoPost 641"/>
    <s v="GBP"/>
    <x v="22"/>
    <n v="-961.83"/>
    <m/>
    <n v="-961.83"/>
    <s v="N/A"/>
    <x v="1"/>
    <x v="0"/>
  </r>
  <r>
    <s v="GL000642"/>
    <d v="2025-05-02T00:00:00"/>
    <x v="2"/>
    <x v="2"/>
    <n v="1455.41"/>
    <n v="0"/>
    <x v="4"/>
    <x v="2"/>
    <s v="AutoPost 642"/>
    <s v="USD"/>
    <x v="5"/>
    <n v="-1455.41"/>
    <m/>
    <n v="-1455.41"/>
    <s v="N/A"/>
    <x v="1"/>
    <x v="0"/>
  </r>
  <r>
    <s v="GL000643"/>
    <d v="2023-01-30T00:00:00"/>
    <x v="1"/>
    <x v="1"/>
    <n v="1057.3599999999999"/>
    <n v="0"/>
    <x v="0"/>
    <x v="1"/>
    <s v="AutoPost 643"/>
    <s v="USD"/>
    <x v="14"/>
    <n v="-1057.3599999999999"/>
    <m/>
    <n v="-1057.3599999999999"/>
    <s v="N/A"/>
    <x v="1"/>
    <x v="0"/>
  </r>
  <r>
    <s v="GL000644"/>
    <d v="2024-05-20T00:00:00"/>
    <x v="4"/>
    <x v="4"/>
    <n v="0"/>
    <n v="3358.16"/>
    <x v="1"/>
    <x v="4"/>
    <s v="AutoPost 644"/>
    <s v="EUR"/>
    <x v="0"/>
    <n v="3358.16"/>
    <m/>
    <n v="3358.16"/>
    <s v="N/A"/>
    <x v="1"/>
    <x v="1"/>
  </r>
  <r>
    <s v="GL000645"/>
    <d v="2023-05-09T00:00:00"/>
    <x v="4"/>
    <x v="4"/>
    <n v="0"/>
    <n v="1525.47"/>
    <x v="2"/>
    <x v="3"/>
    <s v="AutoPost 645"/>
    <s v="GBP"/>
    <x v="29"/>
    <n v="1525.47"/>
    <m/>
    <n v="1525.47"/>
    <s v="N/A"/>
    <x v="1"/>
    <x v="1"/>
  </r>
  <r>
    <s v="GL000646"/>
    <d v="2023-03-08T00:00:00"/>
    <x v="3"/>
    <x v="3"/>
    <n v="707.2"/>
    <n v="0"/>
    <x v="4"/>
    <x v="0"/>
    <s v="AutoPost 646"/>
    <s v="EUR"/>
    <x v="18"/>
    <n v="-707.2"/>
    <m/>
    <n v="-707.2"/>
    <s v="N/A"/>
    <x v="1"/>
    <x v="0"/>
  </r>
  <r>
    <s v="GL000647"/>
    <d v="2023-10-28T00:00:00"/>
    <x v="2"/>
    <x v="2"/>
    <n v="1209.72"/>
    <n v="0"/>
    <x v="2"/>
    <x v="2"/>
    <s v="AutoPost 647"/>
    <s v="AUD"/>
    <x v="27"/>
    <n v="-1209.72"/>
    <m/>
    <n v="-1209.72"/>
    <s v="N/A"/>
    <x v="1"/>
    <x v="0"/>
  </r>
  <r>
    <s v="GL000648"/>
    <d v="2024-05-29T00:00:00"/>
    <x v="1"/>
    <x v="1"/>
    <n v="1696.57"/>
    <n v="0"/>
    <x v="0"/>
    <x v="2"/>
    <s v="AutoPost 648"/>
    <s v="GBP"/>
    <x v="0"/>
    <n v="-1696.57"/>
    <m/>
    <n v="-1696.57"/>
    <s v="N/A"/>
    <x v="1"/>
    <x v="0"/>
  </r>
  <r>
    <s v="GL000649"/>
    <d v="2024-02-19T00:00:00"/>
    <x v="0"/>
    <x v="0"/>
    <n v="0"/>
    <n v="2657.38"/>
    <x v="5"/>
    <x v="1"/>
    <s v="AutoPost 649"/>
    <s v="GBP"/>
    <x v="11"/>
    <n v="2657.38"/>
    <m/>
    <n v="2657.38"/>
    <s v="N/A"/>
    <x v="1"/>
    <x v="1"/>
  </r>
  <r>
    <s v="GL000650"/>
    <d v="2025-03-26T00:00:00"/>
    <x v="0"/>
    <x v="0"/>
    <n v="0"/>
    <n v="4294.0600000000004"/>
    <x v="1"/>
    <x v="3"/>
    <s v="AutoPost 650"/>
    <s v="USD"/>
    <x v="13"/>
    <n v="4294.0600000000004"/>
    <m/>
    <n v="4294.0600000000004"/>
    <s v="N/A"/>
    <x v="1"/>
    <x v="1"/>
  </r>
  <r>
    <s v="GL000651"/>
    <d v="2023-11-23T00:00:00"/>
    <x v="0"/>
    <x v="0"/>
    <n v="0"/>
    <n v="451.28"/>
    <x v="4"/>
    <x v="1"/>
    <s v="AutoPost 651"/>
    <s v="USD"/>
    <x v="9"/>
    <n v="451.28"/>
    <m/>
    <n v="451.28"/>
    <s v="N/A"/>
    <x v="1"/>
    <x v="1"/>
  </r>
  <r>
    <s v="GL000652"/>
    <d v="2024-08-23T00:00:00"/>
    <x v="3"/>
    <x v="3"/>
    <n v="1730.45"/>
    <n v="0"/>
    <x v="1"/>
    <x v="3"/>
    <s v="AutoPost 652"/>
    <s v="USD"/>
    <x v="25"/>
    <n v="-1730.45"/>
    <m/>
    <n v="-1730.45"/>
    <s v="N/A"/>
    <x v="1"/>
    <x v="0"/>
  </r>
  <r>
    <s v="GL000653"/>
    <d v="2023-01-01T00:00:00"/>
    <x v="0"/>
    <x v="0"/>
    <n v="0"/>
    <n v="4570.1099999999997"/>
    <x v="4"/>
    <x v="4"/>
    <s v="AutoPost 653"/>
    <s v="USD"/>
    <x v="14"/>
    <n v="4570.1099999999997"/>
    <m/>
    <n v="4570.1099999999997"/>
    <s v="N/A"/>
    <x v="1"/>
    <x v="1"/>
  </r>
  <r>
    <s v="GL000654"/>
    <d v="2024-12-12T00:00:00"/>
    <x v="3"/>
    <x v="3"/>
    <n v="1200.67"/>
    <n v="0"/>
    <x v="5"/>
    <x v="0"/>
    <s v="AutoPost 654"/>
    <s v="CAD"/>
    <x v="23"/>
    <n v="-1200.67"/>
    <m/>
    <n v="-1200.67"/>
    <s v="N/A"/>
    <x v="1"/>
    <x v="0"/>
  </r>
  <r>
    <s v="GL000655"/>
    <d v="2024-04-06T00:00:00"/>
    <x v="1"/>
    <x v="1"/>
    <n v="1429.26"/>
    <n v="0"/>
    <x v="5"/>
    <x v="3"/>
    <s v="AutoPost 655"/>
    <s v="EUR"/>
    <x v="7"/>
    <n v="-1429.26"/>
    <m/>
    <n v="-1429.26"/>
    <s v="N/A"/>
    <x v="1"/>
    <x v="0"/>
  </r>
  <r>
    <s v="GL000656"/>
    <d v="2023-08-05T00:00:00"/>
    <x v="3"/>
    <x v="3"/>
    <n v="1489.09"/>
    <n v="0"/>
    <x v="0"/>
    <x v="2"/>
    <s v="AutoPost 656"/>
    <s v="EUR"/>
    <x v="4"/>
    <n v="-1489.09"/>
    <m/>
    <n v="-1489.09"/>
    <s v="N/A"/>
    <x v="1"/>
    <x v="0"/>
  </r>
  <r>
    <s v="GL000657"/>
    <d v="2024-05-26T00:00:00"/>
    <x v="0"/>
    <x v="0"/>
    <n v="0"/>
    <n v="1528.95"/>
    <x v="3"/>
    <x v="4"/>
    <s v="AutoPost 657"/>
    <s v="CAD"/>
    <x v="0"/>
    <n v="1528.95"/>
    <m/>
    <n v="1528.95"/>
    <s v="N/A"/>
    <x v="1"/>
    <x v="1"/>
  </r>
  <r>
    <s v="GL000658"/>
    <d v="2024-11-24T00:00:00"/>
    <x v="4"/>
    <x v="4"/>
    <n v="0"/>
    <n v="4139.3100000000004"/>
    <x v="1"/>
    <x v="1"/>
    <s v="AutoPost 658"/>
    <s v="CAD"/>
    <x v="10"/>
    <n v="4139.3100000000004"/>
    <m/>
    <n v="4139.3100000000004"/>
    <s v="N/A"/>
    <x v="1"/>
    <x v="1"/>
  </r>
  <r>
    <s v="GL000659"/>
    <d v="2024-06-20T00:00:00"/>
    <x v="2"/>
    <x v="2"/>
    <n v="1781.01"/>
    <n v="0"/>
    <x v="0"/>
    <x v="4"/>
    <s v="AutoPost 659"/>
    <s v="CAD"/>
    <x v="1"/>
    <n v="-1781.01"/>
    <m/>
    <n v="-1781.01"/>
    <s v="N/A"/>
    <x v="1"/>
    <x v="0"/>
  </r>
  <r>
    <s v="GL000660"/>
    <d v="2023-09-19T00:00:00"/>
    <x v="1"/>
    <x v="1"/>
    <n v="1659.6"/>
    <n v="0"/>
    <x v="1"/>
    <x v="3"/>
    <s v="AutoPost 660"/>
    <s v="GBP"/>
    <x v="3"/>
    <n v="-1659.6"/>
    <m/>
    <n v="-1659.6"/>
    <s v="N/A"/>
    <x v="1"/>
    <x v="0"/>
  </r>
  <r>
    <s v="GL000661"/>
    <d v="2025-04-30T00:00:00"/>
    <x v="2"/>
    <x v="2"/>
    <n v="1220.3"/>
    <n v="0"/>
    <x v="2"/>
    <x v="1"/>
    <s v="AutoPost 661"/>
    <s v="USD"/>
    <x v="12"/>
    <n v="-1220.3"/>
    <m/>
    <n v="-1220.3"/>
    <s v="N/A"/>
    <x v="1"/>
    <x v="0"/>
  </r>
  <r>
    <s v="GL000662"/>
    <d v="2024-10-04T00:00:00"/>
    <x v="1"/>
    <x v="1"/>
    <n v="1327.71"/>
    <n v="0"/>
    <x v="3"/>
    <x v="3"/>
    <s v="AutoPost 662"/>
    <s v="EUR"/>
    <x v="26"/>
    <n v="-1327.71"/>
    <m/>
    <n v="-1327.71"/>
    <s v="N/A"/>
    <x v="1"/>
    <x v="0"/>
  </r>
  <r>
    <s v="GL000663"/>
    <d v="2024-12-05T00:00:00"/>
    <x v="1"/>
    <x v="1"/>
    <n v="1760.57"/>
    <n v="0"/>
    <x v="3"/>
    <x v="1"/>
    <s v="AutoPost 663"/>
    <s v="GBP"/>
    <x v="23"/>
    <n v="-1760.57"/>
    <m/>
    <n v="-1760.57"/>
    <s v="N/A"/>
    <x v="1"/>
    <x v="0"/>
  </r>
  <r>
    <s v="GL000664"/>
    <d v="2024-03-16T00:00:00"/>
    <x v="2"/>
    <x v="2"/>
    <n v="832.19"/>
    <n v="0"/>
    <x v="2"/>
    <x v="0"/>
    <s v="AutoPost 664"/>
    <s v="AUD"/>
    <x v="16"/>
    <n v="-832.19"/>
    <m/>
    <n v="-832.19"/>
    <s v="N/A"/>
    <x v="1"/>
    <x v="0"/>
  </r>
  <r>
    <s v="GL000665"/>
    <d v="2023-01-25T00:00:00"/>
    <x v="1"/>
    <x v="1"/>
    <n v="243.79"/>
    <n v="0"/>
    <x v="1"/>
    <x v="2"/>
    <s v="AutoPost 665"/>
    <s v="CAD"/>
    <x v="14"/>
    <n v="-243.79"/>
    <m/>
    <n v="-243.79"/>
    <s v="N/A"/>
    <x v="1"/>
    <x v="0"/>
  </r>
  <r>
    <s v="GL000666"/>
    <d v="2025-04-23T00:00:00"/>
    <x v="3"/>
    <x v="3"/>
    <n v="560.62"/>
    <n v="0"/>
    <x v="0"/>
    <x v="1"/>
    <s v="AutoPost 666"/>
    <s v="AUD"/>
    <x v="12"/>
    <n v="-560.62"/>
    <m/>
    <n v="-560.62"/>
    <s v="N/A"/>
    <x v="1"/>
    <x v="0"/>
  </r>
  <r>
    <s v="GL000667"/>
    <d v="2023-10-25T00:00:00"/>
    <x v="4"/>
    <x v="4"/>
    <n v="0"/>
    <n v="4106.57"/>
    <x v="3"/>
    <x v="0"/>
    <s v="AutoPost 667"/>
    <s v="GBP"/>
    <x v="27"/>
    <n v="4106.57"/>
    <m/>
    <n v="4106.57"/>
    <s v="N/A"/>
    <x v="1"/>
    <x v="1"/>
  </r>
  <r>
    <s v="GL000668"/>
    <d v="2025-03-08T00:00:00"/>
    <x v="3"/>
    <x v="3"/>
    <n v="873.19"/>
    <n v="0"/>
    <x v="2"/>
    <x v="1"/>
    <s v="AutoPost 668"/>
    <s v="GBP"/>
    <x v="13"/>
    <n v="-873.19"/>
    <m/>
    <n v="-873.19"/>
    <s v="N/A"/>
    <x v="1"/>
    <x v="0"/>
  </r>
  <r>
    <s v="GL000669"/>
    <d v="2023-10-24T00:00:00"/>
    <x v="4"/>
    <x v="4"/>
    <n v="0"/>
    <n v="541.23"/>
    <x v="3"/>
    <x v="2"/>
    <s v="AutoPost 669"/>
    <s v="CAD"/>
    <x v="27"/>
    <n v="541.23"/>
    <m/>
    <n v="541.23"/>
    <s v="N/A"/>
    <x v="1"/>
    <x v="1"/>
  </r>
  <r>
    <s v="GL000670"/>
    <d v="2024-04-20T00:00:00"/>
    <x v="1"/>
    <x v="1"/>
    <n v="793.98"/>
    <n v="0"/>
    <x v="2"/>
    <x v="3"/>
    <s v="AutoPost 670"/>
    <s v="EUR"/>
    <x v="7"/>
    <n v="-793.98"/>
    <m/>
    <n v="-793.98"/>
    <s v="N/A"/>
    <x v="1"/>
    <x v="0"/>
  </r>
  <r>
    <s v="GL000671"/>
    <d v="2023-06-22T00:00:00"/>
    <x v="3"/>
    <x v="3"/>
    <n v="644.58000000000004"/>
    <n v="0"/>
    <x v="5"/>
    <x v="2"/>
    <s v="AutoPost 671"/>
    <s v="USD"/>
    <x v="22"/>
    <n v="-644.58000000000004"/>
    <m/>
    <n v="-644.58000000000004"/>
    <s v="N/A"/>
    <x v="1"/>
    <x v="0"/>
  </r>
  <r>
    <s v="GL000672"/>
    <d v="2023-02-12T00:00:00"/>
    <x v="3"/>
    <x v="3"/>
    <n v="222.19"/>
    <n v="0"/>
    <x v="3"/>
    <x v="3"/>
    <s v="AutoPost 672"/>
    <s v="GBP"/>
    <x v="24"/>
    <n v="-222.19"/>
    <m/>
    <n v="-222.19"/>
    <s v="N/A"/>
    <x v="1"/>
    <x v="0"/>
  </r>
  <r>
    <s v="GL000673"/>
    <d v="2024-03-30T00:00:00"/>
    <x v="2"/>
    <x v="2"/>
    <n v="296.98"/>
    <n v="0"/>
    <x v="5"/>
    <x v="4"/>
    <s v="AutoPost 673"/>
    <s v="AUD"/>
    <x v="16"/>
    <n v="-296.98"/>
    <m/>
    <n v="-296.98"/>
    <s v="N/A"/>
    <x v="1"/>
    <x v="0"/>
  </r>
  <r>
    <s v="GL000674"/>
    <d v="2024-04-26T00:00:00"/>
    <x v="3"/>
    <x v="3"/>
    <n v="1919.89"/>
    <n v="0"/>
    <x v="0"/>
    <x v="3"/>
    <s v="AutoPost 674"/>
    <s v="CAD"/>
    <x v="7"/>
    <n v="-1919.89"/>
    <m/>
    <n v="-1919.89"/>
    <s v="N/A"/>
    <x v="1"/>
    <x v="0"/>
  </r>
  <r>
    <s v="GL000675"/>
    <d v="2024-06-24T00:00:00"/>
    <x v="4"/>
    <x v="4"/>
    <n v="0"/>
    <n v="3948.96"/>
    <x v="3"/>
    <x v="3"/>
    <s v="AutoPost 675"/>
    <s v="EUR"/>
    <x v="1"/>
    <n v="3948.96"/>
    <m/>
    <n v="3948.96"/>
    <s v="N/A"/>
    <x v="1"/>
    <x v="1"/>
  </r>
  <r>
    <s v="GL000676"/>
    <d v="2023-08-27T00:00:00"/>
    <x v="0"/>
    <x v="0"/>
    <n v="0"/>
    <n v="1952.91"/>
    <x v="4"/>
    <x v="0"/>
    <s v="AutoPost 676"/>
    <s v="EUR"/>
    <x v="4"/>
    <n v="1952.91"/>
    <m/>
    <n v="1952.91"/>
    <s v="N/A"/>
    <x v="1"/>
    <x v="1"/>
  </r>
  <r>
    <s v="GL000677"/>
    <d v="2023-12-18T00:00:00"/>
    <x v="0"/>
    <x v="0"/>
    <n v="0"/>
    <n v="4819.25"/>
    <x v="5"/>
    <x v="0"/>
    <s v="AutoPost 677"/>
    <s v="USD"/>
    <x v="6"/>
    <n v="4819.25"/>
    <m/>
    <n v="4819.25"/>
    <s v="N/A"/>
    <x v="1"/>
    <x v="1"/>
  </r>
  <r>
    <s v="GL000678"/>
    <d v="2023-05-15T00:00:00"/>
    <x v="2"/>
    <x v="2"/>
    <n v="385.69"/>
    <n v="0"/>
    <x v="3"/>
    <x v="4"/>
    <s v="AutoPost 678"/>
    <s v="AUD"/>
    <x v="29"/>
    <n v="-385.69"/>
    <m/>
    <n v="-385.69"/>
    <s v="N/A"/>
    <x v="1"/>
    <x v="0"/>
  </r>
  <r>
    <s v="GL000679"/>
    <d v="2023-01-23T00:00:00"/>
    <x v="3"/>
    <x v="3"/>
    <n v="269.3"/>
    <n v="0"/>
    <x v="4"/>
    <x v="4"/>
    <s v="AutoPost 679"/>
    <s v="EUR"/>
    <x v="14"/>
    <n v="-269.3"/>
    <m/>
    <n v="-269.3"/>
    <s v="N/A"/>
    <x v="1"/>
    <x v="0"/>
  </r>
  <r>
    <s v="GL000680"/>
    <d v="2024-07-31T00:00:00"/>
    <x v="4"/>
    <x v="4"/>
    <n v="0"/>
    <n v="4910.29"/>
    <x v="0"/>
    <x v="4"/>
    <s v="AutoPost 680"/>
    <s v="GBP"/>
    <x v="21"/>
    <n v="4910.29"/>
    <m/>
    <n v="4910.29"/>
    <s v="N/A"/>
    <x v="1"/>
    <x v="1"/>
  </r>
  <r>
    <s v="GL000681"/>
    <d v="2024-04-15T00:00:00"/>
    <x v="4"/>
    <x v="4"/>
    <n v="0"/>
    <n v="2866.16"/>
    <x v="4"/>
    <x v="3"/>
    <s v="AutoPost 681"/>
    <s v="AUD"/>
    <x v="7"/>
    <n v="2866.16"/>
    <m/>
    <n v="2866.16"/>
    <s v="N/A"/>
    <x v="1"/>
    <x v="1"/>
  </r>
  <r>
    <s v="GL000682"/>
    <d v="2025-06-24T00:00:00"/>
    <x v="3"/>
    <x v="3"/>
    <n v="151.68"/>
    <n v="0"/>
    <x v="2"/>
    <x v="3"/>
    <s v="AutoPost 682"/>
    <s v="AUD"/>
    <x v="19"/>
    <n v="-151.68"/>
    <m/>
    <n v="-151.68"/>
    <s v="N/A"/>
    <x v="1"/>
    <x v="0"/>
  </r>
  <r>
    <s v="GL000683"/>
    <d v="2023-08-11T00:00:00"/>
    <x v="4"/>
    <x v="4"/>
    <n v="0"/>
    <n v="1246.53"/>
    <x v="2"/>
    <x v="2"/>
    <s v="AutoPost 683"/>
    <s v="USD"/>
    <x v="4"/>
    <n v="1246.53"/>
    <m/>
    <n v="1246.53"/>
    <s v="N/A"/>
    <x v="1"/>
    <x v="1"/>
  </r>
  <r>
    <s v="GL000684"/>
    <d v="2024-12-20T00:00:00"/>
    <x v="2"/>
    <x v="2"/>
    <n v="1724.65"/>
    <n v="0"/>
    <x v="4"/>
    <x v="0"/>
    <s v="AutoPost 684"/>
    <s v="GBP"/>
    <x v="23"/>
    <n v="-1724.65"/>
    <m/>
    <n v="-1724.65"/>
    <s v="N/A"/>
    <x v="1"/>
    <x v="0"/>
  </r>
  <r>
    <s v="GL000685"/>
    <d v="2025-02-28T00:00:00"/>
    <x v="3"/>
    <x v="3"/>
    <n v="1411.99"/>
    <n v="0"/>
    <x v="0"/>
    <x v="3"/>
    <s v="AutoPost 685"/>
    <s v="USD"/>
    <x v="28"/>
    <n v="-1411.99"/>
    <m/>
    <n v="-1411.99"/>
    <s v="N/A"/>
    <x v="1"/>
    <x v="0"/>
  </r>
  <r>
    <s v="GL000686"/>
    <d v="2024-01-08T00:00:00"/>
    <x v="3"/>
    <x v="3"/>
    <n v="753.12"/>
    <n v="0"/>
    <x v="4"/>
    <x v="2"/>
    <s v="AutoPost 686"/>
    <s v="USD"/>
    <x v="20"/>
    <n v="-753.12"/>
    <m/>
    <n v="-753.12"/>
    <s v="N/A"/>
    <x v="1"/>
    <x v="0"/>
  </r>
  <r>
    <s v="GL000687"/>
    <d v="2024-11-17T00:00:00"/>
    <x v="0"/>
    <x v="0"/>
    <n v="0"/>
    <n v="3744.19"/>
    <x v="4"/>
    <x v="4"/>
    <s v="AutoPost 687"/>
    <s v="EUR"/>
    <x v="10"/>
    <n v="3744.19"/>
    <m/>
    <n v="3744.19"/>
    <s v="N/A"/>
    <x v="1"/>
    <x v="1"/>
  </r>
  <r>
    <s v="GL000688"/>
    <d v="2024-03-14T00:00:00"/>
    <x v="1"/>
    <x v="1"/>
    <n v="906.55"/>
    <n v="0"/>
    <x v="0"/>
    <x v="3"/>
    <s v="AutoPost 688"/>
    <s v="CAD"/>
    <x v="16"/>
    <n v="-906.55"/>
    <m/>
    <n v="-906.55"/>
    <s v="N/A"/>
    <x v="1"/>
    <x v="0"/>
  </r>
  <r>
    <s v="GL000689"/>
    <d v="2023-02-25T00:00:00"/>
    <x v="3"/>
    <x v="3"/>
    <n v="215.69"/>
    <n v="0"/>
    <x v="2"/>
    <x v="1"/>
    <s v="AutoPost 689"/>
    <s v="AUD"/>
    <x v="24"/>
    <n v="-215.69"/>
    <m/>
    <n v="-215.69"/>
    <s v="N/A"/>
    <x v="1"/>
    <x v="0"/>
  </r>
  <r>
    <s v="GL000690"/>
    <d v="2024-12-05T00:00:00"/>
    <x v="1"/>
    <x v="1"/>
    <n v="1478.7"/>
    <n v="0"/>
    <x v="1"/>
    <x v="4"/>
    <s v="AutoPost 690"/>
    <s v="AUD"/>
    <x v="23"/>
    <n v="-1478.7"/>
    <m/>
    <n v="-1478.7"/>
    <s v="N/A"/>
    <x v="1"/>
    <x v="0"/>
  </r>
  <r>
    <s v="GL000691"/>
    <d v="2025-03-17T00:00:00"/>
    <x v="0"/>
    <x v="0"/>
    <n v="0"/>
    <n v="3502.79"/>
    <x v="5"/>
    <x v="0"/>
    <s v="AutoPost 691"/>
    <s v="GBP"/>
    <x v="13"/>
    <n v="3502.79"/>
    <m/>
    <n v="3502.79"/>
    <s v="N/A"/>
    <x v="1"/>
    <x v="1"/>
  </r>
  <r>
    <s v="GL000692"/>
    <d v="2024-03-16T00:00:00"/>
    <x v="0"/>
    <x v="0"/>
    <n v="0"/>
    <n v="2828.86"/>
    <x v="0"/>
    <x v="0"/>
    <s v="AutoPost 692"/>
    <s v="USD"/>
    <x v="16"/>
    <n v="2828.86"/>
    <m/>
    <n v="2828.86"/>
    <s v="N/A"/>
    <x v="1"/>
    <x v="1"/>
  </r>
  <r>
    <s v="GL000693"/>
    <d v="2023-04-09T00:00:00"/>
    <x v="2"/>
    <x v="2"/>
    <n v="130.63999999999999"/>
    <n v="0"/>
    <x v="4"/>
    <x v="0"/>
    <s v="AutoPost 693"/>
    <s v="EUR"/>
    <x v="8"/>
    <n v="-130.63999999999999"/>
    <m/>
    <n v="-130.63999999999999"/>
    <s v="N/A"/>
    <x v="1"/>
    <x v="0"/>
  </r>
  <r>
    <s v="GL000694"/>
    <d v="2024-05-11T00:00:00"/>
    <x v="2"/>
    <x v="2"/>
    <n v="1824.18"/>
    <n v="0"/>
    <x v="2"/>
    <x v="1"/>
    <s v="AutoPost 694"/>
    <s v="CAD"/>
    <x v="0"/>
    <n v="-1824.18"/>
    <m/>
    <n v="-1824.18"/>
    <s v="N/A"/>
    <x v="1"/>
    <x v="0"/>
  </r>
  <r>
    <s v="GL000695"/>
    <d v="2024-12-08T00:00:00"/>
    <x v="4"/>
    <x v="4"/>
    <n v="0"/>
    <n v="2401.06"/>
    <x v="0"/>
    <x v="0"/>
    <s v="AutoPost 695"/>
    <s v="EUR"/>
    <x v="23"/>
    <n v="2401.06"/>
    <m/>
    <n v="2401.06"/>
    <s v="N/A"/>
    <x v="1"/>
    <x v="1"/>
  </r>
  <r>
    <s v="GL000696"/>
    <d v="2023-10-27T00:00:00"/>
    <x v="4"/>
    <x v="4"/>
    <n v="0"/>
    <n v="3086.33"/>
    <x v="1"/>
    <x v="2"/>
    <s v="AutoPost 696"/>
    <s v="EUR"/>
    <x v="27"/>
    <n v="3086.33"/>
    <m/>
    <n v="3086.33"/>
    <s v="N/A"/>
    <x v="1"/>
    <x v="1"/>
  </r>
  <r>
    <s v="GL000697"/>
    <d v="2025-01-24T00:00:00"/>
    <x v="1"/>
    <x v="1"/>
    <n v="1546.69"/>
    <n v="0"/>
    <x v="1"/>
    <x v="3"/>
    <s v="AutoPost 697"/>
    <s v="GBP"/>
    <x v="2"/>
    <n v="-1546.69"/>
    <m/>
    <n v="-1546.69"/>
    <s v="N/A"/>
    <x v="1"/>
    <x v="0"/>
  </r>
  <r>
    <s v="GL000698"/>
    <d v="2024-03-18T00:00:00"/>
    <x v="4"/>
    <x v="4"/>
    <n v="0"/>
    <n v="2135.0700000000002"/>
    <x v="2"/>
    <x v="1"/>
    <s v="AutoPost 698"/>
    <s v="USD"/>
    <x v="16"/>
    <n v="2135.0700000000002"/>
    <m/>
    <n v="2135.0700000000002"/>
    <s v="N/A"/>
    <x v="1"/>
    <x v="1"/>
  </r>
  <r>
    <s v="GL000699"/>
    <d v="2023-04-14T00:00:00"/>
    <x v="0"/>
    <x v="0"/>
    <n v="0"/>
    <n v="337.27"/>
    <x v="4"/>
    <x v="3"/>
    <s v="AutoPost 699"/>
    <s v="EUR"/>
    <x v="8"/>
    <n v="337.27"/>
    <m/>
    <n v="337.27"/>
    <s v="N/A"/>
    <x v="1"/>
    <x v="1"/>
  </r>
  <r>
    <s v="GL000700"/>
    <d v="2023-03-03T00:00:00"/>
    <x v="4"/>
    <x v="4"/>
    <n v="0"/>
    <n v="4145.3100000000004"/>
    <x v="3"/>
    <x v="4"/>
    <s v="AutoPost 700"/>
    <s v="GBP"/>
    <x v="18"/>
    <n v="4145.3100000000004"/>
    <m/>
    <n v="4145.3100000000004"/>
    <s v="N/A"/>
    <x v="1"/>
    <x v="1"/>
  </r>
  <r>
    <s v="GL000701"/>
    <d v="2023-11-19T00:00:00"/>
    <x v="3"/>
    <x v="3"/>
    <n v="322.43"/>
    <n v="0"/>
    <x v="4"/>
    <x v="3"/>
    <s v="AutoPost 701"/>
    <s v="CAD"/>
    <x v="9"/>
    <n v="-322.43"/>
    <m/>
    <n v="-322.43"/>
    <s v="N/A"/>
    <x v="1"/>
    <x v="0"/>
  </r>
  <r>
    <s v="GL000702"/>
    <d v="2024-07-01T00:00:00"/>
    <x v="2"/>
    <x v="2"/>
    <n v="1350.68"/>
    <n v="0"/>
    <x v="0"/>
    <x v="3"/>
    <s v="AutoPost 702"/>
    <s v="USD"/>
    <x v="21"/>
    <n v="-1350.68"/>
    <m/>
    <n v="-1350.68"/>
    <s v="N/A"/>
    <x v="1"/>
    <x v="0"/>
  </r>
  <r>
    <s v="GL000703"/>
    <d v="2023-12-04T00:00:00"/>
    <x v="2"/>
    <x v="2"/>
    <n v="1038.71"/>
    <n v="0"/>
    <x v="2"/>
    <x v="1"/>
    <s v="AutoPost 703"/>
    <s v="EUR"/>
    <x v="6"/>
    <n v="-1038.71"/>
    <m/>
    <n v="-1038.71"/>
    <s v="N/A"/>
    <x v="1"/>
    <x v="0"/>
  </r>
  <r>
    <s v="GL000704"/>
    <d v="2025-01-15T00:00:00"/>
    <x v="1"/>
    <x v="1"/>
    <n v="1455.61"/>
    <n v="0"/>
    <x v="2"/>
    <x v="0"/>
    <s v="AutoPost 704"/>
    <s v="EUR"/>
    <x v="2"/>
    <n v="-1455.61"/>
    <m/>
    <n v="-1455.61"/>
    <s v="N/A"/>
    <x v="1"/>
    <x v="0"/>
  </r>
  <r>
    <s v="GL000705"/>
    <d v="2024-01-12T00:00:00"/>
    <x v="2"/>
    <x v="2"/>
    <n v="1723.07"/>
    <n v="0"/>
    <x v="5"/>
    <x v="4"/>
    <s v="AutoPost 705"/>
    <s v="GBP"/>
    <x v="20"/>
    <n v="-1723.07"/>
    <m/>
    <n v="-1723.07"/>
    <s v="N/A"/>
    <x v="1"/>
    <x v="0"/>
  </r>
  <r>
    <s v="GL000706"/>
    <d v="2023-12-22T00:00:00"/>
    <x v="4"/>
    <x v="4"/>
    <n v="0"/>
    <n v="965.55"/>
    <x v="0"/>
    <x v="1"/>
    <s v="AutoPost 706"/>
    <s v="EUR"/>
    <x v="6"/>
    <n v="965.55"/>
    <m/>
    <n v="965.55"/>
    <s v="N/A"/>
    <x v="1"/>
    <x v="1"/>
  </r>
  <r>
    <s v="GL000707"/>
    <d v="2024-12-30T00:00:00"/>
    <x v="4"/>
    <x v="4"/>
    <n v="0"/>
    <n v="1927.89"/>
    <x v="1"/>
    <x v="0"/>
    <s v="AutoPost 707"/>
    <s v="GBP"/>
    <x v="23"/>
    <n v="1927.89"/>
    <m/>
    <n v="1927.89"/>
    <s v="N/A"/>
    <x v="1"/>
    <x v="1"/>
  </r>
  <r>
    <s v="GL000708"/>
    <d v="2025-06-19T00:00:00"/>
    <x v="3"/>
    <x v="3"/>
    <n v="1789.3"/>
    <n v="0"/>
    <x v="3"/>
    <x v="4"/>
    <s v="AutoPost 708"/>
    <s v="EUR"/>
    <x v="19"/>
    <n v="-1789.3"/>
    <m/>
    <n v="-1789.3"/>
    <s v="N/A"/>
    <x v="1"/>
    <x v="0"/>
  </r>
  <r>
    <s v="GL000709"/>
    <d v="2024-03-11T00:00:00"/>
    <x v="4"/>
    <x v="4"/>
    <n v="0"/>
    <n v="1155.8499999999999"/>
    <x v="4"/>
    <x v="4"/>
    <s v="AutoPost 709"/>
    <s v="CAD"/>
    <x v="16"/>
    <n v="1155.8499999999999"/>
    <m/>
    <n v="1155.8499999999999"/>
    <s v="N/A"/>
    <x v="1"/>
    <x v="1"/>
  </r>
  <r>
    <s v="GL000710"/>
    <d v="2023-05-22T00:00:00"/>
    <x v="0"/>
    <x v="0"/>
    <n v="0"/>
    <n v="1701.37"/>
    <x v="3"/>
    <x v="2"/>
    <s v="AutoPost 710"/>
    <s v="USD"/>
    <x v="29"/>
    <n v="1701.37"/>
    <m/>
    <n v="1701.37"/>
    <s v="N/A"/>
    <x v="1"/>
    <x v="1"/>
  </r>
  <r>
    <s v="GL000711"/>
    <d v="2025-05-26T00:00:00"/>
    <x v="3"/>
    <x v="3"/>
    <n v="706.44"/>
    <n v="0"/>
    <x v="1"/>
    <x v="2"/>
    <s v="AutoPost 711"/>
    <s v="USD"/>
    <x v="5"/>
    <n v="-706.44"/>
    <m/>
    <n v="-706.44"/>
    <s v="N/A"/>
    <x v="1"/>
    <x v="0"/>
  </r>
  <r>
    <s v="GL000712"/>
    <d v="2024-10-23T00:00:00"/>
    <x v="0"/>
    <x v="0"/>
    <n v="0"/>
    <n v="734.04"/>
    <x v="0"/>
    <x v="4"/>
    <s v="AutoPost 712"/>
    <s v="AUD"/>
    <x v="26"/>
    <n v="734.04"/>
    <m/>
    <n v="734.04"/>
    <s v="N/A"/>
    <x v="1"/>
    <x v="1"/>
  </r>
  <r>
    <s v="GL000713"/>
    <d v="2025-04-05T00:00:00"/>
    <x v="3"/>
    <x v="3"/>
    <n v="1551.77"/>
    <n v="0"/>
    <x v="0"/>
    <x v="2"/>
    <s v="AutoPost 713"/>
    <s v="AUD"/>
    <x v="12"/>
    <n v="-1551.77"/>
    <m/>
    <n v="-1551.77"/>
    <s v="N/A"/>
    <x v="1"/>
    <x v="0"/>
  </r>
  <r>
    <s v="GL000714"/>
    <d v="2024-03-17T00:00:00"/>
    <x v="2"/>
    <x v="2"/>
    <n v="176.54"/>
    <n v="0"/>
    <x v="5"/>
    <x v="3"/>
    <s v="AutoPost 714"/>
    <s v="EUR"/>
    <x v="16"/>
    <n v="-176.54"/>
    <m/>
    <n v="-176.54"/>
    <s v="N/A"/>
    <x v="1"/>
    <x v="0"/>
  </r>
  <r>
    <s v="GL000715"/>
    <d v="2023-10-23T00:00:00"/>
    <x v="4"/>
    <x v="4"/>
    <n v="0"/>
    <n v="1019.92"/>
    <x v="2"/>
    <x v="1"/>
    <s v="AutoPost 715"/>
    <s v="AUD"/>
    <x v="27"/>
    <n v="1019.92"/>
    <m/>
    <n v="1019.92"/>
    <s v="N/A"/>
    <x v="1"/>
    <x v="1"/>
  </r>
  <r>
    <s v="GL000716"/>
    <d v="2024-07-03T00:00:00"/>
    <x v="2"/>
    <x v="2"/>
    <n v="1858.28"/>
    <n v="0"/>
    <x v="5"/>
    <x v="2"/>
    <s v="AutoPost 716"/>
    <s v="USD"/>
    <x v="21"/>
    <n v="-1858.28"/>
    <m/>
    <n v="-1858.28"/>
    <s v="N/A"/>
    <x v="1"/>
    <x v="0"/>
  </r>
  <r>
    <s v="GL000717"/>
    <d v="2025-03-02T00:00:00"/>
    <x v="2"/>
    <x v="2"/>
    <n v="682.74"/>
    <n v="0"/>
    <x v="0"/>
    <x v="3"/>
    <s v="AutoPost 717"/>
    <s v="USD"/>
    <x v="13"/>
    <n v="-682.74"/>
    <m/>
    <n v="-682.74"/>
    <s v="N/A"/>
    <x v="1"/>
    <x v="0"/>
  </r>
  <r>
    <s v="GL000718"/>
    <d v="2025-02-01T00:00:00"/>
    <x v="2"/>
    <x v="2"/>
    <n v="958.28"/>
    <n v="0"/>
    <x v="3"/>
    <x v="0"/>
    <s v="AutoPost 718"/>
    <s v="USD"/>
    <x v="28"/>
    <n v="-958.28"/>
    <m/>
    <n v="-958.28"/>
    <s v="N/A"/>
    <x v="1"/>
    <x v="0"/>
  </r>
  <r>
    <s v="GL000719"/>
    <d v="2024-12-15T00:00:00"/>
    <x v="4"/>
    <x v="4"/>
    <n v="0"/>
    <n v="3448.25"/>
    <x v="4"/>
    <x v="4"/>
    <s v="AutoPost 719"/>
    <s v="USD"/>
    <x v="23"/>
    <n v="3448.25"/>
    <m/>
    <n v="3448.25"/>
    <s v="N/A"/>
    <x v="1"/>
    <x v="1"/>
  </r>
  <r>
    <s v="GL000720"/>
    <d v="2025-02-12T00:00:00"/>
    <x v="1"/>
    <x v="1"/>
    <n v="863.44"/>
    <n v="0"/>
    <x v="3"/>
    <x v="3"/>
    <s v="AutoPost 720"/>
    <s v="USD"/>
    <x v="28"/>
    <n v="-863.44"/>
    <m/>
    <n v="-863.44"/>
    <s v="N/A"/>
    <x v="1"/>
    <x v="0"/>
  </r>
  <r>
    <s v="GL000721"/>
    <d v="2023-03-02T00:00:00"/>
    <x v="2"/>
    <x v="2"/>
    <n v="1764.03"/>
    <n v="0"/>
    <x v="1"/>
    <x v="0"/>
    <s v="AutoPost 721"/>
    <s v="AUD"/>
    <x v="18"/>
    <n v="-1764.03"/>
    <m/>
    <n v="-1764.03"/>
    <s v="N/A"/>
    <x v="1"/>
    <x v="0"/>
  </r>
  <r>
    <s v="GL000722"/>
    <d v="2024-12-06T00:00:00"/>
    <x v="3"/>
    <x v="3"/>
    <n v="1182.72"/>
    <n v="0"/>
    <x v="4"/>
    <x v="4"/>
    <s v="AutoPost 722"/>
    <s v="EUR"/>
    <x v="23"/>
    <n v="-1182.72"/>
    <m/>
    <n v="-1182.72"/>
    <s v="N/A"/>
    <x v="1"/>
    <x v="0"/>
  </r>
  <r>
    <s v="GL000723"/>
    <d v="2025-04-09T00:00:00"/>
    <x v="2"/>
    <x v="2"/>
    <n v="1094.9100000000001"/>
    <n v="0"/>
    <x v="1"/>
    <x v="2"/>
    <s v="AutoPost 723"/>
    <s v="GBP"/>
    <x v="12"/>
    <n v="-1094.9100000000001"/>
    <m/>
    <n v="-1094.9100000000001"/>
    <s v="N/A"/>
    <x v="1"/>
    <x v="0"/>
  </r>
  <r>
    <s v="GL000724"/>
    <d v="2025-06-13T00:00:00"/>
    <x v="3"/>
    <x v="3"/>
    <n v="889.16"/>
    <n v="0"/>
    <x v="1"/>
    <x v="4"/>
    <s v="AutoPost 724"/>
    <s v="GBP"/>
    <x v="19"/>
    <n v="-889.16"/>
    <m/>
    <n v="-889.16"/>
    <s v="N/A"/>
    <x v="1"/>
    <x v="0"/>
  </r>
  <r>
    <s v="GL000725"/>
    <d v="2024-05-30T00:00:00"/>
    <x v="1"/>
    <x v="1"/>
    <n v="1474.83"/>
    <n v="0"/>
    <x v="1"/>
    <x v="3"/>
    <s v="AutoPost 725"/>
    <s v="USD"/>
    <x v="0"/>
    <n v="-1474.83"/>
    <m/>
    <n v="-1474.83"/>
    <s v="N/A"/>
    <x v="1"/>
    <x v="0"/>
  </r>
  <r>
    <s v="GL000726"/>
    <d v="2024-02-04T00:00:00"/>
    <x v="1"/>
    <x v="1"/>
    <n v="1846.14"/>
    <n v="0"/>
    <x v="1"/>
    <x v="1"/>
    <s v="AutoPost 726"/>
    <s v="CAD"/>
    <x v="11"/>
    <n v="-1846.14"/>
    <m/>
    <n v="-1846.14"/>
    <s v="N/A"/>
    <x v="1"/>
    <x v="0"/>
  </r>
  <r>
    <s v="GL000727"/>
    <d v="2025-02-16T00:00:00"/>
    <x v="0"/>
    <x v="0"/>
    <n v="0"/>
    <n v="4903.1499999999996"/>
    <x v="2"/>
    <x v="2"/>
    <s v="AutoPost 727"/>
    <s v="AUD"/>
    <x v="28"/>
    <n v="4903.1499999999996"/>
    <m/>
    <n v="4903.1499999999996"/>
    <s v="N/A"/>
    <x v="1"/>
    <x v="1"/>
  </r>
  <r>
    <s v="GL000728"/>
    <d v="2024-11-19T00:00:00"/>
    <x v="0"/>
    <x v="0"/>
    <n v="0"/>
    <n v="2093.2399999999998"/>
    <x v="5"/>
    <x v="4"/>
    <s v="AutoPost 728"/>
    <s v="AUD"/>
    <x v="10"/>
    <n v="2093.2399999999998"/>
    <m/>
    <n v="2093.2399999999998"/>
    <s v="N/A"/>
    <x v="1"/>
    <x v="1"/>
  </r>
  <r>
    <s v="GL000729"/>
    <d v="2024-06-07T00:00:00"/>
    <x v="2"/>
    <x v="2"/>
    <n v="1171.3"/>
    <n v="0"/>
    <x v="0"/>
    <x v="0"/>
    <s v="AutoPost 729"/>
    <s v="CAD"/>
    <x v="1"/>
    <n v="-1171.3"/>
    <m/>
    <n v="-1171.3"/>
    <s v="N/A"/>
    <x v="1"/>
    <x v="0"/>
  </r>
  <r>
    <s v="GL000730"/>
    <d v="2024-09-05T00:00:00"/>
    <x v="3"/>
    <x v="3"/>
    <n v="930.25"/>
    <n v="0"/>
    <x v="2"/>
    <x v="0"/>
    <s v="AutoPost 730"/>
    <s v="GBP"/>
    <x v="15"/>
    <n v="-930.25"/>
    <m/>
    <n v="-930.25"/>
    <s v="N/A"/>
    <x v="1"/>
    <x v="0"/>
  </r>
  <r>
    <s v="GL000731"/>
    <d v="2024-09-08T00:00:00"/>
    <x v="0"/>
    <x v="0"/>
    <n v="0"/>
    <n v="4977.82"/>
    <x v="2"/>
    <x v="2"/>
    <s v="AutoPost 731"/>
    <s v="CAD"/>
    <x v="15"/>
    <n v="4977.82"/>
    <m/>
    <n v="4977.82"/>
    <s v="N/A"/>
    <x v="1"/>
    <x v="1"/>
  </r>
  <r>
    <s v="GL000732"/>
    <d v="2023-06-03T00:00:00"/>
    <x v="3"/>
    <x v="3"/>
    <n v="1937.34"/>
    <n v="0"/>
    <x v="3"/>
    <x v="4"/>
    <s v="AutoPost 732"/>
    <s v="AUD"/>
    <x v="22"/>
    <n v="-1937.34"/>
    <m/>
    <n v="-1937.34"/>
    <s v="N/A"/>
    <x v="1"/>
    <x v="0"/>
  </r>
  <r>
    <s v="GL000733"/>
    <d v="2025-05-17T00:00:00"/>
    <x v="0"/>
    <x v="0"/>
    <n v="0"/>
    <n v="1978.42"/>
    <x v="3"/>
    <x v="4"/>
    <s v="AutoPost 733"/>
    <s v="EUR"/>
    <x v="5"/>
    <n v="1978.42"/>
    <m/>
    <n v="1978.42"/>
    <s v="N/A"/>
    <x v="1"/>
    <x v="1"/>
  </r>
  <r>
    <s v="GL000734"/>
    <d v="2024-06-02T00:00:00"/>
    <x v="2"/>
    <x v="2"/>
    <n v="678.83"/>
    <n v="0"/>
    <x v="4"/>
    <x v="3"/>
    <s v="AutoPost 734"/>
    <s v="AUD"/>
    <x v="1"/>
    <n v="-678.83"/>
    <m/>
    <n v="-678.83"/>
    <s v="N/A"/>
    <x v="1"/>
    <x v="0"/>
  </r>
  <r>
    <s v="GL000735"/>
    <d v="2024-02-22T00:00:00"/>
    <x v="4"/>
    <x v="4"/>
    <n v="0"/>
    <n v="463.02"/>
    <x v="5"/>
    <x v="0"/>
    <s v="AutoPost 735"/>
    <s v="GBP"/>
    <x v="11"/>
    <n v="463.02"/>
    <m/>
    <n v="463.02"/>
    <s v="N/A"/>
    <x v="1"/>
    <x v="1"/>
  </r>
  <r>
    <s v="GL000736"/>
    <d v="2024-04-21T00:00:00"/>
    <x v="3"/>
    <x v="3"/>
    <n v="1296.07"/>
    <n v="0"/>
    <x v="1"/>
    <x v="4"/>
    <s v="AutoPost 736"/>
    <s v="AUD"/>
    <x v="7"/>
    <n v="-1296.07"/>
    <m/>
    <n v="-1296.07"/>
    <s v="N/A"/>
    <x v="1"/>
    <x v="0"/>
  </r>
  <r>
    <s v="GL000737"/>
    <d v="2023-12-11T00:00:00"/>
    <x v="4"/>
    <x v="4"/>
    <n v="0"/>
    <n v="3270.5"/>
    <x v="0"/>
    <x v="1"/>
    <s v="AutoPost 737"/>
    <s v="EUR"/>
    <x v="6"/>
    <n v="3270.5"/>
    <m/>
    <n v="3270.5"/>
    <s v="N/A"/>
    <x v="1"/>
    <x v="1"/>
  </r>
  <r>
    <s v="GL000738"/>
    <d v="2024-03-29T00:00:00"/>
    <x v="4"/>
    <x v="4"/>
    <n v="0"/>
    <n v="2188.77"/>
    <x v="4"/>
    <x v="3"/>
    <s v="AutoPost 738"/>
    <s v="CAD"/>
    <x v="16"/>
    <n v="2188.77"/>
    <m/>
    <n v="2188.77"/>
    <s v="N/A"/>
    <x v="1"/>
    <x v="1"/>
  </r>
  <r>
    <s v="GL000739"/>
    <d v="2024-10-04T00:00:00"/>
    <x v="1"/>
    <x v="1"/>
    <n v="655.77"/>
    <n v="0"/>
    <x v="1"/>
    <x v="4"/>
    <s v="AutoPost 739"/>
    <s v="AUD"/>
    <x v="26"/>
    <n v="-655.77"/>
    <m/>
    <n v="-655.77"/>
    <s v="N/A"/>
    <x v="1"/>
    <x v="0"/>
  </r>
  <r>
    <s v="GL000740"/>
    <d v="2024-08-20T00:00:00"/>
    <x v="2"/>
    <x v="2"/>
    <n v="407.27"/>
    <n v="0"/>
    <x v="4"/>
    <x v="3"/>
    <s v="AutoPost 740"/>
    <s v="GBP"/>
    <x v="25"/>
    <n v="-407.27"/>
    <m/>
    <n v="-407.27"/>
    <s v="N/A"/>
    <x v="1"/>
    <x v="0"/>
  </r>
  <r>
    <s v="GL000741"/>
    <d v="2023-12-13T00:00:00"/>
    <x v="3"/>
    <x v="3"/>
    <n v="744.16"/>
    <n v="0"/>
    <x v="1"/>
    <x v="0"/>
    <s v="AutoPost 741"/>
    <s v="GBP"/>
    <x v="6"/>
    <n v="-744.16"/>
    <m/>
    <n v="-744.16"/>
    <s v="N/A"/>
    <x v="1"/>
    <x v="0"/>
  </r>
  <r>
    <s v="GL000742"/>
    <d v="2023-08-01T00:00:00"/>
    <x v="4"/>
    <x v="4"/>
    <n v="0"/>
    <n v="4474.66"/>
    <x v="1"/>
    <x v="1"/>
    <s v="AutoPost 742"/>
    <s v="GBP"/>
    <x v="4"/>
    <n v="4474.66"/>
    <m/>
    <n v="4474.66"/>
    <s v="N/A"/>
    <x v="1"/>
    <x v="1"/>
  </r>
  <r>
    <s v="GL000743"/>
    <d v="2025-04-07T00:00:00"/>
    <x v="1"/>
    <x v="1"/>
    <n v="75.27"/>
    <n v="0"/>
    <x v="5"/>
    <x v="2"/>
    <s v="AutoPost 743"/>
    <s v="EUR"/>
    <x v="12"/>
    <n v="-75.27"/>
    <m/>
    <n v="-75.27"/>
    <s v="N/A"/>
    <x v="1"/>
    <x v="0"/>
  </r>
  <r>
    <s v="GL000744"/>
    <d v="2025-01-06T00:00:00"/>
    <x v="1"/>
    <x v="1"/>
    <n v="1164.26"/>
    <n v="0"/>
    <x v="1"/>
    <x v="2"/>
    <s v="AutoPost 744"/>
    <s v="EUR"/>
    <x v="2"/>
    <n v="-1164.26"/>
    <m/>
    <n v="-1164.26"/>
    <s v="N/A"/>
    <x v="1"/>
    <x v="0"/>
  </r>
  <r>
    <s v="GL000745"/>
    <d v="2023-03-03T00:00:00"/>
    <x v="1"/>
    <x v="1"/>
    <n v="937.56"/>
    <n v="0"/>
    <x v="0"/>
    <x v="4"/>
    <s v="AutoPost 745"/>
    <s v="AUD"/>
    <x v="18"/>
    <n v="-937.56"/>
    <m/>
    <n v="-937.56"/>
    <s v="N/A"/>
    <x v="1"/>
    <x v="0"/>
  </r>
  <r>
    <s v="GL000746"/>
    <d v="2024-10-13T00:00:00"/>
    <x v="4"/>
    <x v="4"/>
    <n v="0"/>
    <n v="4164.95"/>
    <x v="0"/>
    <x v="1"/>
    <s v="AutoPost 746"/>
    <s v="GBP"/>
    <x v="26"/>
    <n v="4164.95"/>
    <m/>
    <n v="4164.95"/>
    <s v="N/A"/>
    <x v="1"/>
    <x v="1"/>
  </r>
  <r>
    <s v="GL000747"/>
    <d v="2023-01-23T00:00:00"/>
    <x v="0"/>
    <x v="0"/>
    <n v="0"/>
    <n v="2820.1"/>
    <x v="4"/>
    <x v="3"/>
    <s v="AutoPost 747"/>
    <s v="GBP"/>
    <x v="14"/>
    <n v="2820.1"/>
    <m/>
    <n v="2820.1"/>
    <s v="N/A"/>
    <x v="1"/>
    <x v="1"/>
  </r>
  <r>
    <s v="GL000748"/>
    <d v="2023-04-03T00:00:00"/>
    <x v="0"/>
    <x v="0"/>
    <n v="0"/>
    <n v="2983.93"/>
    <x v="2"/>
    <x v="0"/>
    <s v="AutoPost 748"/>
    <s v="AUD"/>
    <x v="8"/>
    <n v="2983.93"/>
    <m/>
    <n v="2983.93"/>
    <s v="N/A"/>
    <x v="1"/>
    <x v="1"/>
  </r>
  <r>
    <s v="GL000749"/>
    <d v="2024-02-28T00:00:00"/>
    <x v="1"/>
    <x v="1"/>
    <n v="319.47000000000003"/>
    <n v="0"/>
    <x v="2"/>
    <x v="4"/>
    <s v="AutoPost 749"/>
    <s v="GBP"/>
    <x v="11"/>
    <n v="-319.47000000000003"/>
    <m/>
    <n v="-319.47000000000003"/>
    <s v="N/A"/>
    <x v="1"/>
    <x v="0"/>
  </r>
  <r>
    <s v="GL000750"/>
    <d v="2023-12-08T00:00:00"/>
    <x v="0"/>
    <x v="0"/>
    <n v="0"/>
    <n v="1222.08"/>
    <x v="1"/>
    <x v="0"/>
    <s v="AutoPost 750"/>
    <s v="USD"/>
    <x v="6"/>
    <n v="1222.08"/>
    <m/>
    <n v="1222.08"/>
    <s v="N/A"/>
    <x v="1"/>
    <x v="1"/>
  </r>
  <r>
    <s v="GL000751"/>
    <d v="2023-08-23T00:00:00"/>
    <x v="3"/>
    <x v="3"/>
    <n v="199.77"/>
    <n v="0"/>
    <x v="5"/>
    <x v="1"/>
    <s v="AutoPost 751"/>
    <s v="AUD"/>
    <x v="4"/>
    <n v="-199.77"/>
    <m/>
    <n v="-199.77"/>
    <s v="N/A"/>
    <x v="1"/>
    <x v="0"/>
  </r>
  <r>
    <s v="GL000752"/>
    <d v="2023-01-31T00:00:00"/>
    <x v="0"/>
    <x v="0"/>
    <n v="0"/>
    <n v="4349.28"/>
    <x v="1"/>
    <x v="1"/>
    <s v="AutoPost 752"/>
    <s v="AUD"/>
    <x v="14"/>
    <n v="4349.28"/>
    <m/>
    <n v="4349.28"/>
    <s v="N/A"/>
    <x v="1"/>
    <x v="1"/>
  </r>
  <r>
    <s v="GL000753"/>
    <d v="2025-02-14T00:00:00"/>
    <x v="3"/>
    <x v="3"/>
    <n v="1496.23"/>
    <n v="0"/>
    <x v="2"/>
    <x v="4"/>
    <s v="AutoPost 753"/>
    <s v="EUR"/>
    <x v="28"/>
    <n v="-1496.23"/>
    <m/>
    <n v="-1496.23"/>
    <s v="N/A"/>
    <x v="1"/>
    <x v="0"/>
  </r>
  <r>
    <s v="GL000754"/>
    <d v="2025-02-22T00:00:00"/>
    <x v="4"/>
    <x v="4"/>
    <n v="0"/>
    <n v="324.7"/>
    <x v="0"/>
    <x v="1"/>
    <s v="AutoPost 754"/>
    <s v="EUR"/>
    <x v="28"/>
    <n v="324.7"/>
    <m/>
    <n v="324.7"/>
    <s v="N/A"/>
    <x v="1"/>
    <x v="1"/>
  </r>
  <r>
    <s v="GL000755"/>
    <d v="2023-01-21T00:00:00"/>
    <x v="1"/>
    <x v="1"/>
    <n v="1504.62"/>
    <n v="0"/>
    <x v="0"/>
    <x v="3"/>
    <s v="AutoPost 755"/>
    <s v="USD"/>
    <x v="14"/>
    <n v="-1504.62"/>
    <m/>
    <n v="-1504.62"/>
    <s v="N/A"/>
    <x v="1"/>
    <x v="0"/>
  </r>
  <r>
    <s v="GL000756"/>
    <d v="2025-03-24T00:00:00"/>
    <x v="4"/>
    <x v="4"/>
    <n v="0"/>
    <n v="2507.58"/>
    <x v="5"/>
    <x v="1"/>
    <s v="AutoPost 756"/>
    <s v="AUD"/>
    <x v="13"/>
    <n v="2507.58"/>
    <m/>
    <n v="2507.58"/>
    <s v="N/A"/>
    <x v="1"/>
    <x v="1"/>
  </r>
  <r>
    <s v="GL000757"/>
    <d v="2023-10-03T00:00:00"/>
    <x v="3"/>
    <x v="3"/>
    <n v="837.65"/>
    <n v="0"/>
    <x v="1"/>
    <x v="3"/>
    <s v="AutoPost 757"/>
    <s v="EUR"/>
    <x v="27"/>
    <n v="-837.65"/>
    <m/>
    <n v="-837.65"/>
    <s v="N/A"/>
    <x v="1"/>
    <x v="0"/>
  </r>
  <r>
    <s v="GL000758"/>
    <d v="2024-08-29T00:00:00"/>
    <x v="2"/>
    <x v="2"/>
    <n v="787.73"/>
    <n v="0"/>
    <x v="0"/>
    <x v="1"/>
    <s v="AutoPost 758"/>
    <s v="USD"/>
    <x v="25"/>
    <n v="-787.73"/>
    <m/>
    <n v="-787.73"/>
    <s v="N/A"/>
    <x v="1"/>
    <x v="0"/>
  </r>
  <r>
    <s v="GL000759"/>
    <d v="2024-11-13T00:00:00"/>
    <x v="2"/>
    <x v="2"/>
    <n v="910.72"/>
    <n v="0"/>
    <x v="3"/>
    <x v="0"/>
    <s v="AutoPost 759"/>
    <s v="AUD"/>
    <x v="10"/>
    <n v="-910.72"/>
    <m/>
    <n v="-910.72"/>
    <s v="N/A"/>
    <x v="1"/>
    <x v="0"/>
  </r>
  <r>
    <s v="GL000760"/>
    <d v="2023-01-03T00:00:00"/>
    <x v="3"/>
    <x v="3"/>
    <n v="1362.52"/>
    <n v="0"/>
    <x v="3"/>
    <x v="0"/>
    <s v="AutoPost 760"/>
    <s v="USD"/>
    <x v="14"/>
    <n v="-1362.52"/>
    <m/>
    <n v="-1362.52"/>
    <s v="N/A"/>
    <x v="1"/>
    <x v="0"/>
  </r>
  <r>
    <s v="GL000761"/>
    <d v="2025-01-04T00:00:00"/>
    <x v="1"/>
    <x v="1"/>
    <n v="1261.48"/>
    <n v="0"/>
    <x v="3"/>
    <x v="1"/>
    <s v="AutoPost 761"/>
    <s v="USD"/>
    <x v="2"/>
    <n v="-1261.48"/>
    <m/>
    <n v="-1261.48"/>
    <s v="N/A"/>
    <x v="1"/>
    <x v="0"/>
  </r>
  <r>
    <s v="GL000762"/>
    <d v="2025-06-15T00:00:00"/>
    <x v="4"/>
    <x v="4"/>
    <n v="0"/>
    <n v="3519.33"/>
    <x v="4"/>
    <x v="2"/>
    <s v="AutoPost 762"/>
    <s v="GBP"/>
    <x v="19"/>
    <n v="3519.33"/>
    <m/>
    <n v="3519.33"/>
    <s v="N/A"/>
    <x v="1"/>
    <x v="1"/>
  </r>
  <r>
    <s v="GL000763"/>
    <d v="2025-02-18T00:00:00"/>
    <x v="1"/>
    <x v="1"/>
    <n v="1425.68"/>
    <n v="0"/>
    <x v="2"/>
    <x v="1"/>
    <s v="AutoPost 763"/>
    <s v="USD"/>
    <x v="28"/>
    <n v="-1425.68"/>
    <m/>
    <n v="-1425.68"/>
    <s v="N/A"/>
    <x v="1"/>
    <x v="0"/>
  </r>
  <r>
    <s v="GL000764"/>
    <d v="2024-07-19T00:00:00"/>
    <x v="4"/>
    <x v="4"/>
    <n v="0"/>
    <n v="4831.59"/>
    <x v="5"/>
    <x v="4"/>
    <s v="AutoPost 764"/>
    <s v="CAD"/>
    <x v="21"/>
    <n v="4831.59"/>
    <m/>
    <n v="4831.59"/>
    <s v="N/A"/>
    <x v="1"/>
    <x v="1"/>
  </r>
  <r>
    <s v="GL000765"/>
    <d v="2024-06-01T00:00:00"/>
    <x v="4"/>
    <x v="4"/>
    <n v="0"/>
    <n v="3282.7"/>
    <x v="4"/>
    <x v="0"/>
    <s v="AutoPost 765"/>
    <s v="AUD"/>
    <x v="1"/>
    <n v="3282.7"/>
    <m/>
    <n v="3282.7"/>
    <s v="N/A"/>
    <x v="1"/>
    <x v="1"/>
  </r>
  <r>
    <s v="GL000766"/>
    <d v="2025-05-23T00:00:00"/>
    <x v="1"/>
    <x v="1"/>
    <n v="1789.76"/>
    <n v="0"/>
    <x v="2"/>
    <x v="2"/>
    <s v="AutoPost 766"/>
    <s v="AUD"/>
    <x v="5"/>
    <n v="-1789.76"/>
    <m/>
    <n v="-1789.76"/>
    <s v="N/A"/>
    <x v="1"/>
    <x v="0"/>
  </r>
  <r>
    <s v="GL000767"/>
    <d v="2023-03-07T00:00:00"/>
    <x v="1"/>
    <x v="1"/>
    <n v="1557.62"/>
    <n v="0"/>
    <x v="4"/>
    <x v="3"/>
    <s v="AutoPost 767"/>
    <s v="EUR"/>
    <x v="18"/>
    <n v="-1557.62"/>
    <m/>
    <n v="-1557.62"/>
    <s v="N/A"/>
    <x v="1"/>
    <x v="0"/>
  </r>
  <r>
    <s v="GL000768"/>
    <d v="2025-03-04T00:00:00"/>
    <x v="0"/>
    <x v="0"/>
    <n v="0"/>
    <n v="4262.2299999999996"/>
    <x v="5"/>
    <x v="1"/>
    <s v="AutoPost 768"/>
    <s v="EUR"/>
    <x v="13"/>
    <n v="4262.2299999999996"/>
    <m/>
    <n v="4262.2299999999996"/>
    <s v="N/A"/>
    <x v="1"/>
    <x v="1"/>
  </r>
  <r>
    <s v="GL000769"/>
    <d v="2024-06-02T00:00:00"/>
    <x v="1"/>
    <x v="1"/>
    <n v="1754.04"/>
    <n v="0"/>
    <x v="3"/>
    <x v="3"/>
    <s v="AutoPost 769"/>
    <s v="EUR"/>
    <x v="1"/>
    <n v="-1754.04"/>
    <m/>
    <n v="-1754.04"/>
    <s v="N/A"/>
    <x v="1"/>
    <x v="0"/>
  </r>
  <r>
    <s v="GL000770"/>
    <d v="2024-11-28T00:00:00"/>
    <x v="3"/>
    <x v="3"/>
    <n v="604.27"/>
    <n v="0"/>
    <x v="5"/>
    <x v="3"/>
    <s v="AutoPost 770"/>
    <s v="EUR"/>
    <x v="10"/>
    <n v="-604.27"/>
    <m/>
    <n v="-604.27"/>
    <s v="N/A"/>
    <x v="1"/>
    <x v="0"/>
  </r>
  <r>
    <s v="GL000771"/>
    <d v="2024-10-06T00:00:00"/>
    <x v="3"/>
    <x v="3"/>
    <n v="788.46"/>
    <n v="0"/>
    <x v="4"/>
    <x v="3"/>
    <s v="AutoPost 771"/>
    <s v="CAD"/>
    <x v="26"/>
    <n v="-788.46"/>
    <m/>
    <n v="-788.46"/>
    <s v="N/A"/>
    <x v="1"/>
    <x v="0"/>
  </r>
  <r>
    <s v="GL000772"/>
    <d v="2023-08-28T00:00:00"/>
    <x v="0"/>
    <x v="0"/>
    <n v="0"/>
    <n v="1493.92"/>
    <x v="1"/>
    <x v="1"/>
    <s v="AutoPost 772"/>
    <s v="USD"/>
    <x v="4"/>
    <n v="1493.92"/>
    <m/>
    <n v="1493.92"/>
    <s v="N/A"/>
    <x v="1"/>
    <x v="1"/>
  </r>
  <r>
    <s v="GL000773"/>
    <d v="2024-05-11T00:00:00"/>
    <x v="1"/>
    <x v="1"/>
    <n v="588.44000000000005"/>
    <n v="0"/>
    <x v="3"/>
    <x v="1"/>
    <s v="AutoPost 773"/>
    <s v="CAD"/>
    <x v="0"/>
    <n v="-588.44000000000005"/>
    <m/>
    <n v="-588.44000000000005"/>
    <s v="N/A"/>
    <x v="1"/>
    <x v="0"/>
  </r>
  <r>
    <s v="GL000774"/>
    <d v="2024-09-03T00:00:00"/>
    <x v="1"/>
    <x v="1"/>
    <n v="1078.52"/>
    <n v="0"/>
    <x v="3"/>
    <x v="1"/>
    <s v="AutoPost 774"/>
    <s v="AUD"/>
    <x v="15"/>
    <n v="-1078.52"/>
    <m/>
    <n v="-1078.52"/>
    <s v="N/A"/>
    <x v="1"/>
    <x v="0"/>
  </r>
  <r>
    <s v="GL000775"/>
    <d v="2024-04-18T00:00:00"/>
    <x v="4"/>
    <x v="4"/>
    <n v="0"/>
    <n v="4324.54"/>
    <x v="2"/>
    <x v="0"/>
    <s v="AutoPost 775"/>
    <s v="EUR"/>
    <x v="7"/>
    <n v="4324.54"/>
    <m/>
    <n v="4324.54"/>
    <s v="N/A"/>
    <x v="1"/>
    <x v="1"/>
  </r>
  <r>
    <s v="GL000776"/>
    <d v="2024-06-29T00:00:00"/>
    <x v="4"/>
    <x v="4"/>
    <n v="0"/>
    <n v="2300.21"/>
    <x v="4"/>
    <x v="1"/>
    <s v="AutoPost 776"/>
    <s v="GBP"/>
    <x v="1"/>
    <n v="2300.21"/>
    <m/>
    <n v="2300.21"/>
    <s v="N/A"/>
    <x v="1"/>
    <x v="1"/>
  </r>
  <r>
    <s v="GL000777"/>
    <d v="2023-09-01T00:00:00"/>
    <x v="2"/>
    <x v="2"/>
    <n v="446.19"/>
    <n v="0"/>
    <x v="5"/>
    <x v="3"/>
    <s v="AutoPost 777"/>
    <s v="GBP"/>
    <x v="3"/>
    <n v="-446.19"/>
    <m/>
    <n v="-446.19"/>
    <s v="N/A"/>
    <x v="1"/>
    <x v="0"/>
  </r>
  <r>
    <s v="GL000778"/>
    <d v="2024-03-16T00:00:00"/>
    <x v="0"/>
    <x v="0"/>
    <n v="0"/>
    <n v="1518.24"/>
    <x v="3"/>
    <x v="3"/>
    <s v="AutoPost 778"/>
    <s v="AUD"/>
    <x v="16"/>
    <n v="1518.24"/>
    <m/>
    <n v="1518.24"/>
    <s v="N/A"/>
    <x v="1"/>
    <x v="1"/>
  </r>
  <r>
    <s v="GL000779"/>
    <d v="2024-04-04T00:00:00"/>
    <x v="2"/>
    <x v="2"/>
    <n v="1385.02"/>
    <n v="0"/>
    <x v="3"/>
    <x v="3"/>
    <s v="AutoPost 779"/>
    <s v="AUD"/>
    <x v="7"/>
    <n v="-1385.02"/>
    <m/>
    <n v="-1385.02"/>
    <s v="N/A"/>
    <x v="1"/>
    <x v="0"/>
  </r>
  <r>
    <s v="GL000780"/>
    <d v="2024-06-03T00:00:00"/>
    <x v="2"/>
    <x v="2"/>
    <n v="1887.31"/>
    <n v="0"/>
    <x v="3"/>
    <x v="0"/>
    <s v="AutoPost 780"/>
    <s v="GBP"/>
    <x v="1"/>
    <n v="-1887.31"/>
    <m/>
    <n v="-1887.31"/>
    <s v="N/A"/>
    <x v="1"/>
    <x v="0"/>
  </r>
  <r>
    <s v="GL000781"/>
    <d v="2024-08-24T00:00:00"/>
    <x v="0"/>
    <x v="0"/>
    <n v="0"/>
    <n v="4476.07"/>
    <x v="5"/>
    <x v="3"/>
    <s v="AutoPost 781"/>
    <s v="AUD"/>
    <x v="25"/>
    <n v="4476.07"/>
    <m/>
    <n v="4476.07"/>
    <s v="N/A"/>
    <x v="1"/>
    <x v="1"/>
  </r>
  <r>
    <s v="GL000782"/>
    <d v="2024-05-09T00:00:00"/>
    <x v="2"/>
    <x v="2"/>
    <n v="170.41"/>
    <n v="0"/>
    <x v="5"/>
    <x v="3"/>
    <s v="AutoPost 782"/>
    <s v="USD"/>
    <x v="0"/>
    <n v="-170.41"/>
    <m/>
    <n v="-170.41"/>
    <s v="N/A"/>
    <x v="1"/>
    <x v="0"/>
  </r>
  <r>
    <s v="GL000783"/>
    <d v="2023-03-31T00:00:00"/>
    <x v="3"/>
    <x v="3"/>
    <n v="1650.02"/>
    <n v="0"/>
    <x v="5"/>
    <x v="2"/>
    <s v="AutoPost 783"/>
    <s v="GBP"/>
    <x v="18"/>
    <n v="-1650.02"/>
    <m/>
    <n v="-1650.02"/>
    <s v="N/A"/>
    <x v="1"/>
    <x v="0"/>
  </r>
  <r>
    <s v="GL000784"/>
    <d v="2025-06-18T00:00:00"/>
    <x v="4"/>
    <x v="4"/>
    <n v="0"/>
    <n v="3235.44"/>
    <x v="0"/>
    <x v="0"/>
    <s v="AutoPost 784"/>
    <s v="AUD"/>
    <x v="19"/>
    <n v="3235.44"/>
    <m/>
    <n v="3235.44"/>
    <s v="N/A"/>
    <x v="1"/>
    <x v="1"/>
  </r>
  <r>
    <s v="GL000785"/>
    <d v="2024-01-21T00:00:00"/>
    <x v="1"/>
    <x v="1"/>
    <n v="459.65"/>
    <n v="0"/>
    <x v="0"/>
    <x v="0"/>
    <s v="AutoPost 785"/>
    <s v="CAD"/>
    <x v="20"/>
    <n v="-459.65"/>
    <m/>
    <n v="-459.65"/>
    <s v="N/A"/>
    <x v="1"/>
    <x v="0"/>
  </r>
  <r>
    <s v="GL000786"/>
    <d v="2023-10-27T00:00:00"/>
    <x v="3"/>
    <x v="3"/>
    <n v="882.11"/>
    <n v="0"/>
    <x v="5"/>
    <x v="3"/>
    <s v="AutoPost 786"/>
    <s v="CAD"/>
    <x v="27"/>
    <n v="-882.11"/>
    <m/>
    <n v="-882.11"/>
    <s v="N/A"/>
    <x v="1"/>
    <x v="0"/>
  </r>
  <r>
    <s v="GL000787"/>
    <d v="2024-11-01T00:00:00"/>
    <x v="2"/>
    <x v="2"/>
    <n v="1023.17"/>
    <n v="0"/>
    <x v="5"/>
    <x v="3"/>
    <s v="AutoPost 787"/>
    <s v="GBP"/>
    <x v="10"/>
    <n v="-1023.17"/>
    <m/>
    <n v="-1023.17"/>
    <s v="N/A"/>
    <x v="1"/>
    <x v="0"/>
  </r>
  <r>
    <s v="GL000788"/>
    <d v="2024-03-27T00:00:00"/>
    <x v="3"/>
    <x v="3"/>
    <n v="510.05"/>
    <n v="0"/>
    <x v="3"/>
    <x v="0"/>
    <s v="AutoPost 788"/>
    <s v="CAD"/>
    <x v="16"/>
    <n v="-510.05"/>
    <m/>
    <n v="-510.05"/>
    <s v="N/A"/>
    <x v="1"/>
    <x v="0"/>
  </r>
  <r>
    <s v="GL000789"/>
    <d v="2023-03-23T00:00:00"/>
    <x v="4"/>
    <x v="4"/>
    <n v="0"/>
    <n v="3848.25"/>
    <x v="0"/>
    <x v="1"/>
    <s v="AutoPost 789"/>
    <s v="AUD"/>
    <x v="18"/>
    <n v="3848.25"/>
    <m/>
    <n v="3848.25"/>
    <s v="N/A"/>
    <x v="1"/>
    <x v="1"/>
  </r>
  <r>
    <s v="GL000790"/>
    <d v="2024-04-07T00:00:00"/>
    <x v="1"/>
    <x v="1"/>
    <n v="315.25"/>
    <n v="0"/>
    <x v="3"/>
    <x v="3"/>
    <s v="AutoPost 790"/>
    <s v="AUD"/>
    <x v="7"/>
    <n v="-315.25"/>
    <m/>
    <n v="-315.25"/>
    <s v="N/A"/>
    <x v="1"/>
    <x v="0"/>
  </r>
  <r>
    <s v="GL000791"/>
    <d v="2024-04-03T00:00:00"/>
    <x v="4"/>
    <x v="4"/>
    <n v="0"/>
    <n v="4030.96"/>
    <x v="5"/>
    <x v="1"/>
    <s v="AutoPost 791"/>
    <s v="USD"/>
    <x v="7"/>
    <n v="4030.96"/>
    <m/>
    <n v="4030.96"/>
    <s v="N/A"/>
    <x v="1"/>
    <x v="1"/>
  </r>
  <r>
    <s v="GL000792"/>
    <d v="2023-02-08T00:00:00"/>
    <x v="0"/>
    <x v="0"/>
    <n v="0"/>
    <n v="1965.39"/>
    <x v="3"/>
    <x v="1"/>
    <s v="AutoPost 792"/>
    <s v="CAD"/>
    <x v="24"/>
    <n v="1965.39"/>
    <m/>
    <n v="1965.39"/>
    <s v="N/A"/>
    <x v="1"/>
    <x v="1"/>
  </r>
  <r>
    <s v="GL000793"/>
    <d v="2024-08-12T00:00:00"/>
    <x v="4"/>
    <x v="4"/>
    <n v="0"/>
    <n v="3170.84"/>
    <x v="4"/>
    <x v="4"/>
    <s v="AutoPost 793"/>
    <s v="USD"/>
    <x v="25"/>
    <n v="3170.84"/>
    <m/>
    <n v="3170.84"/>
    <s v="N/A"/>
    <x v="1"/>
    <x v="1"/>
  </r>
  <r>
    <s v="GL000794"/>
    <d v="2024-04-15T00:00:00"/>
    <x v="4"/>
    <x v="4"/>
    <n v="0"/>
    <n v="3010.78"/>
    <x v="3"/>
    <x v="1"/>
    <s v="AutoPost 794"/>
    <s v="USD"/>
    <x v="7"/>
    <n v="3010.78"/>
    <m/>
    <n v="3010.78"/>
    <s v="N/A"/>
    <x v="1"/>
    <x v="1"/>
  </r>
  <r>
    <s v="GL000795"/>
    <d v="2025-03-31T00:00:00"/>
    <x v="2"/>
    <x v="2"/>
    <n v="1953.3"/>
    <n v="0"/>
    <x v="4"/>
    <x v="1"/>
    <s v="AutoPost 795"/>
    <s v="CAD"/>
    <x v="13"/>
    <n v="-1953.3"/>
    <m/>
    <n v="-1953.3"/>
    <s v="N/A"/>
    <x v="1"/>
    <x v="0"/>
  </r>
  <r>
    <s v="GL000796"/>
    <d v="2024-07-21T00:00:00"/>
    <x v="3"/>
    <x v="3"/>
    <n v="1420.92"/>
    <n v="0"/>
    <x v="4"/>
    <x v="0"/>
    <s v="AutoPost 796"/>
    <s v="AUD"/>
    <x v="21"/>
    <n v="-1420.92"/>
    <m/>
    <n v="-1420.92"/>
    <s v="N/A"/>
    <x v="1"/>
    <x v="0"/>
  </r>
  <r>
    <s v="GL000797"/>
    <d v="2024-01-03T00:00:00"/>
    <x v="2"/>
    <x v="2"/>
    <n v="203.96"/>
    <n v="0"/>
    <x v="5"/>
    <x v="2"/>
    <s v="AutoPost 797"/>
    <s v="USD"/>
    <x v="20"/>
    <n v="-203.96"/>
    <m/>
    <n v="-203.96"/>
    <s v="N/A"/>
    <x v="1"/>
    <x v="0"/>
  </r>
  <r>
    <s v="GL000798"/>
    <d v="2023-06-05T00:00:00"/>
    <x v="4"/>
    <x v="4"/>
    <n v="0"/>
    <n v="2860.2"/>
    <x v="3"/>
    <x v="1"/>
    <s v="AutoPost 798"/>
    <s v="CAD"/>
    <x v="22"/>
    <n v="2860.2"/>
    <m/>
    <n v="2860.2"/>
    <s v="N/A"/>
    <x v="1"/>
    <x v="1"/>
  </r>
  <r>
    <s v="GL000799"/>
    <d v="2023-08-21T00:00:00"/>
    <x v="3"/>
    <x v="3"/>
    <n v="1363.92"/>
    <n v="0"/>
    <x v="5"/>
    <x v="1"/>
    <s v="AutoPost 799"/>
    <s v="CAD"/>
    <x v="4"/>
    <n v="-1363.92"/>
    <m/>
    <n v="-1363.92"/>
    <s v="N/A"/>
    <x v="1"/>
    <x v="0"/>
  </r>
  <r>
    <s v="GL000800"/>
    <d v="2024-01-12T00:00:00"/>
    <x v="0"/>
    <x v="0"/>
    <n v="0"/>
    <n v="4449.82"/>
    <x v="3"/>
    <x v="1"/>
    <s v="AutoPost 800"/>
    <s v="CAD"/>
    <x v="20"/>
    <n v="4449.82"/>
    <m/>
    <n v="4449.82"/>
    <s v="N/A"/>
    <x v="1"/>
    <x v="1"/>
  </r>
  <r>
    <s v="GL000801"/>
    <d v="2023-05-10T00:00:00"/>
    <x v="3"/>
    <x v="3"/>
    <n v="256.63"/>
    <n v="0"/>
    <x v="3"/>
    <x v="3"/>
    <s v="AutoPost 801"/>
    <s v="AUD"/>
    <x v="29"/>
    <n v="-256.63"/>
    <m/>
    <n v="-256.63"/>
    <s v="N/A"/>
    <x v="1"/>
    <x v="0"/>
  </r>
  <r>
    <s v="GL000802"/>
    <d v="2024-07-31T00:00:00"/>
    <x v="0"/>
    <x v="0"/>
    <n v="0"/>
    <n v="303.74"/>
    <x v="0"/>
    <x v="3"/>
    <s v="AutoPost 802"/>
    <s v="EUR"/>
    <x v="21"/>
    <n v="303.74"/>
    <m/>
    <n v="303.74"/>
    <s v="N/A"/>
    <x v="1"/>
    <x v="1"/>
  </r>
  <r>
    <s v="GL000803"/>
    <d v="2024-11-04T00:00:00"/>
    <x v="1"/>
    <x v="1"/>
    <n v="1181.69"/>
    <n v="0"/>
    <x v="0"/>
    <x v="4"/>
    <s v="AutoPost 803"/>
    <s v="GBP"/>
    <x v="10"/>
    <n v="-1181.69"/>
    <m/>
    <n v="-1181.69"/>
    <s v="N/A"/>
    <x v="1"/>
    <x v="0"/>
  </r>
  <r>
    <s v="GL000804"/>
    <d v="2023-10-01T00:00:00"/>
    <x v="4"/>
    <x v="4"/>
    <n v="0"/>
    <n v="2568.02"/>
    <x v="5"/>
    <x v="0"/>
    <s v="AutoPost 804"/>
    <s v="AUD"/>
    <x v="27"/>
    <n v="2568.02"/>
    <m/>
    <n v="2568.02"/>
    <s v="N/A"/>
    <x v="1"/>
    <x v="1"/>
  </r>
  <r>
    <s v="GL000805"/>
    <d v="2023-10-10T00:00:00"/>
    <x v="1"/>
    <x v="1"/>
    <n v="1567.28"/>
    <n v="0"/>
    <x v="3"/>
    <x v="4"/>
    <s v="AutoPost 805"/>
    <s v="AUD"/>
    <x v="27"/>
    <n v="-1567.28"/>
    <m/>
    <n v="-1567.28"/>
    <s v="N/A"/>
    <x v="1"/>
    <x v="0"/>
  </r>
  <r>
    <s v="GL000806"/>
    <d v="2025-04-25T00:00:00"/>
    <x v="4"/>
    <x v="4"/>
    <n v="0"/>
    <n v="1614.33"/>
    <x v="0"/>
    <x v="3"/>
    <s v="AutoPost 806"/>
    <s v="GBP"/>
    <x v="12"/>
    <n v="1614.33"/>
    <m/>
    <n v="1614.33"/>
    <s v="N/A"/>
    <x v="1"/>
    <x v="1"/>
  </r>
  <r>
    <s v="GL000807"/>
    <d v="2024-07-12T00:00:00"/>
    <x v="2"/>
    <x v="2"/>
    <n v="335.31"/>
    <n v="0"/>
    <x v="0"/>
    <x v="0"/>
    <s v="AutoPost 807"/>
    <s v="GBP"/>
    <x v="21"/>
    <n v="-335.31"/>
    <m/>
    <n v="-335.31"/>
    <s v="N/A"/>
    <x v="1"/>
    <x v="0"/>
  </r>
  <r>
    <s v="GL000808"/>
    <d v="2025-06-24T00:00:00"/>
    <x v="3"/>
    <x v="3"/>
    <n v="1491.54"/>
    <n v="0"/>
    <x v="3"/>
    <x v="4"/>
    <s v="AutoPost 808"/>
    <s v="USD"/>
    <x v="19"/>
    <n v="-1491.54"/>
    <m/>
    <n v="-1491.54"/>
    <s v="N/A"/>
    <x v="1"/>
    <x v="0"/>
  </r>
  <r>
    <s v="GL000809"/>
    <d v="2025-02-11T00:00:00"/>
    <x v="4"/>
    <x v="4"/>
    <n v="0"/>
    <n v="2809.76"/>
    <x v="4"/>
    <x v="1"/>
    <s v="AutoPost 809"/>
    <s v="USD"/>
    <x v="28"/>
    <n v="2809.76"/>
    <m/>
    <n v="2809.76"/>
    <s v="N/A"/>
    <x v="1"/>
    <x v="1"/>
  </r>
  <r>
    <s v="GL000810"/>
    <d v="2023-10-30T00:00:00"/>
    <x v="0"/>
    <x v="0"/>
    <n v="0"/>
    <n v="460.23"/>
    <x v="2"/>
    <x v="3"/>
    <s v="AutoPost 810"/>
    <s v="USD"/>
    <x v="27"/>
    <n v="460.23"/>
    <m/>
    <n v="460.23"/>
    <s v="N/A"/>
    <x v="1"/>
    <x v="1"/>
  </r>
  <r>
    <s v="GL000811"/>
    <d v="2023-09-12T00:00:00"/>
    <x v="4"/>
    <x v="4"/>
    <n v="0"/>
    <n v="2788.91"/>
    <x v="5"/>
    <x v="3"/>
    <s v="AutoPost 811"/>
    <s v="GBP"/>
    <x v="3"/>
    <n v="2788.91"/>
    <m/>
    <n v="2788.91"/>
    <s v="N/A"/>
    <x v="1"/>
    <x v="1"/>
  </r>
  <r>
    <s v="GL000812"/>
    <d v="2025-04-28T00:00:00"/>
    <x v="2"/>
    <x v="2"/>
    <n v="695.92"/>
    <n v="0"/>
    <x v="1"/>
    <x v="2"/>
    <s v="AutoPost 812"/>
    <s v="GBP"/>
    <x v="12"/>
    <n v="-695.92"/>
    <m/>
    <n v="-695.92"/>
    <s v="N/A"/>
    <x v="1"/>
    <x v="0"/>
  </r>
  <r>
    <s v="GL000813"/>
    <d v="2025-04-17T00:00:00"/>
    <x v="3"/>
    <x v="3"/>
    <n v="1845.75"/>
    <n v="0"/>
    <x v="0"/>
    <x v="3"/>
    <s v="AutoPost 813"/>
    <s v="GBP"/>
    <x v="12"/>
    <n v="-1845.75"/>
    <m/>
    <n v="-1845.75"/>
    <s v="N/A"/>
    <x v="1"/>
    <x v="0"/>
  </r>
  <r>
    <s v="GL000814"/>
    <d v="2025-01-30T00:00:00"/>
    <x v="1"/>
    <x v="1"/>
    <n v="892.42"/>
    <n v="0"/>
    <x v="4"/>
    <x v="0"/>
    <s v="AutoPost 814"/>
    <s v="CAD"/>
    <x v="2"/>
    <n v="-892.42"/>
    <m/>
    <n v="-892.42"/>
    <s v="N/A"/>
    <x v="1"/>
    <x v="0"/>
  </r>
  <r>
    <s v="GL000815"/>
    <d v="2023-09-01T00:00:00"/>
    <x v="3"/>
    <x v="3"/>
    <n v="1024.68"/>
    <n v="0"/>
    <x v="1"/>
    <x v="0"/>
    <s v="AutoPost 815"/>
    <s v="GBP"/>
    <x v="3"/>
    <n v="-1024.68"/>
    <m/>
    <n v="-1024.68"/>
    <s v="N/A"/>
    <x v="1"/>
    <x v="0"/>
  </r>
  <r>
    <s v="GL000816"/>
    <d v="2023-11-01T00:00:00"/>
    <x v="2"/>
    <x v="2"/>
    <n v="927.04"/>
    <n v="0"/>
    <x v="3"/>
    <x v="3"/>
    <s v="AutoPost 816"/>
    <s v="CAD"/>
    <x v="9"/>
    <n v="-927.04"/>
    <m/>
    <n v="-927.04"/>
    <s v="N/A"/>
    <x v="1"/>
    <x v="0"/>
  </r>
  <r>
    <s v="GL000817"/>
    <d v="2024-03-25T00:00:00"/>
    <x v="0"/>
    <x v="0"/>
    <n v="0"/>
    <n v="3540.18"/>
    <x v="3"/>
    <x v="0"/>
    <s v="AutoPost 817"/>
    <s v="CAD"/>
    <x v="16"/>
    <n v="3540.18"/>
    <m/>
    <n v="3540.18"/>
    <s v="N/A"/>
    <x v="1"/>
    <x v="1"/>
  </r>
  <r>
    <s v="GL000818"/>
    <d v="2024-12-09T00:00:00"/>
    <x v="4"/>
    <x v="4"/>
    <n v="0"/>
    <n v="4254.72"/>
    <x v="2"/>
    <x v="0"/>
    <s v="AutoPost 818"/>
    <s v="GBP"/>
    <x v="23"/>
    <n v="4254.72"/>
    <m/>
    <n v="4254.72"/>
    <s v="N/A"/>
    <x v="1"/>
    <x v="1"/>
  </r>
  <r>
    <s v="GL000819"/>
    <d v="2023-10-12T00:00:00"/>
    <x v="3"/>
    <x v="3"/>
    <n v="1013.65"/>
    <n v="0"/>
    <x v="0"/>
    <x v="3"/>
    <s v="AutoPost 819"/>
    <s v="AUD"/>
    <x v="27"/>
    <n v="-1013.65"/>
    <m/>
    <n v="-1013.65"/>
    <s v="N/A"/>
    <x v="1"/>
    <x v="0"/>
  </r>
  <r>
    <s v="GL000820"/>
    <d v="2023-05-21T00:00:00"/>
    <x v="4"/>
    <x v="4"/>
    <n v="0"/>
    <n v="2994.63"/>
    <x v="2"/>
    <x v="3"/>
    <s v="AutoPost 820"/>
    <s v="USD"/>
    <x v="29"/>
    <n v="2994.63"/>
    <m/>
    <n v="2994.63"/>
    <s v="N/A"/>
    <x v="1"/>
    <x v="1"/>
  </r>
  <r>
    <s v="GL000821"/>
    <d v="2023-09-18T00:00:00"/>
    <x v="0"/>
    <x v="0"/>
    <n v="0"/>
    <n v="4094.14"/>
    <x v="4"/>
    <x v="0"/>
    <s v="AutoPost 821"/>
    <s v="USD"/>
    <x v="3"/>
    <n v="4094.14"/>
    <m/>
    <n v="4094.14"/>
    <s v="N/A"/>
    <x v="1"/>
    <x v="1"/>
  </r>
  <r>
    <s v="GL000822"/>
    <d v="2023-09-05T00:00:00"/>
    <x v="2"/>
    <x v="2"/>
    <n v="784.89"/>
    <n v="0"/>
    <x v="1"/>
    <x v="1"/>
    <s v="AutoPost 822"/>
    <s v="AUD"/>
    <x v="3"/>
    <n v="-784.89"/>
    <m/>
    <n v="-784.89"/>
    <s v="N/A"/>
    <x v="1"/>
    <x v="0"/>
  </r>
  <r>
    <s v="GL000823"/>
    <d v="2025-02-21T00:00:00"/>
    <x v="1"/>
    <x v="1"/>
    <n v="219.41"/>
    <n v="0"/>
    <x v="2"/>
    <x v="0"/>
    <s v="AutoPost 823"/>
    <s v="AUD"/>
    <x v="28"/>
    <n v="-219.41"/>
    <m/>
    <n v="-219.41"/>
    <s v="N/A"/>
    <x v="1"/>
    <x v="0"/>
  </r>
  <r>
    <s v="GL000824"/>
    <d v="2024-09-16T00:00:00"/>
    <x v="0"/>
    <x v="0"/>
    <n v="0"/>
    <n v="1558.82"/>
    <x v="4"/>
    <x v="3"/>
    <s v="AutoPost 824"/>
    <s v="EUR"/>
    <x v="15"/>
    <n v="1558.82"/>
    <m/>
    <n v="1558.82"/>
    <s v="N/A"/>
    <x v="1"/>
    <x v="1"/>
  </r>
  <r>
    <s v="GL000825"/>
    <d v="2025-02-11T00:00:00"/>
    <x v="2"/>
    <x v="2"/>
    <n v="723.9"/>
    <n v="0"/>
    <x v="2"/>
    <x v="2"/>
    <s v="AutoPost 825"/>
    <s v="CAD"/>
    <x v="28"/>
    <n v="-723.9"/>
    <m/>
    <n v="-723.9"/>
    <s v="N/A"/>
    <x v="1"/>
    <x v="0"/>
  </r>
  <r>
    <s v="GL000826"/>
    <d v="2024-11-17T00:00:00"/>
    <x v="4"/>
    <x v="4"/>
    <n v="0"/>
    <n v="2447.66"/>
    <x v="5"/>
    <x v="1"/>
    <s v="AutoPost 826"/>
    <s v="AUD"/>
    <x v="10"/>
    <n v="2447.66"/>
    <m/>
    <n v="2447.66"/>
    <s v="N/A"/>
    <x v="1"/>
    <x v="1"/>
  </r>
  <r>
    <s v="GL000827"/>
    <d v="2023-03-31T00:00:00"/>
    <x v="0"/>
    <x v="0"/>
    <n v="0"/>
    <n v="1067.43"/>
    <x v="5"/>
    <x v="0"/>
    <s v="AutoPost 827"/>
    <s v="EUR"/>
    <x v="18"/>
    <n v="1067.43"/>
    <m/>
    <n v="1067.43"/>
    <s v="N/A"/>
    <x v="1"/>
    <x v="1"/>
  </r>
  <r>
    <s v="GL000828"/>
    <d v="2023-05-22T00:00:00"/>
    <x v="3"/>
    <x v="3"/>
    <n v="977.48"/>
    <n v="0"/>
    <x v="1"/>
    <x v="3"/>
    <s v="AutoPost 828"/>
    <s v="AUD"/>
    <x v="29"/>
    <n v="-977.48"/>
    <m/>
    <n v="-977.48"/>
    <s v="N/A"/>
    <x v="1"/>
    <x v="0"/>
  </r>
  <r>
    <s v="GL000829"/>
    <d v="2025-03-14T00:00:00"/>
    <x v="2"/>
    <x v="2"/>
    <n v="1331.39"/>
    <n v="0"/>
    <x v="0"/>
    <x v="0"/>
    <s v="AutoPost 829"/>
    <s v="USD"/>
    <x v="13"/>
    <n v="-1331.39"/>
    <m/>
    <n v="-1331.39"/>
    <s v="N/A"/>
    <x v="1"/>
    <x v="0"/>
  </r>
  <r>
    <s v="GL000830"/>
    <d v="2023-04-01T00:00:00"/>
    <x v="4"/>
    <x v="4"/>
    <n v="0"/>
    <n v="4756.54"/>
    <x v="1"/>
    <x v="2"/>
    <s v="AutoPost 830"/>
    <s v="EUR"/>
    <x v="8"/>
    <n v="4756.54"/>
    <m/>
    <n v="4756.54"/>
    <s v="N/A"/>
    <x v="1"/>
    <x v="1"/>
  </r>
  <r>
    <s v="GL000831"/>
    <d v="2023-07-27T00:00:00"/>
    <x v="1"/>
    <x v="1"/>
    <n v="543"/>
    <n v="0"/>
    <x v="2"/>
    <x v="1"/>
    <s v="AutoPost 831"/>
    <s v="USD"/>
    <x v="17"/>
    <n v="-543"/>
    <m/>
    <n v="-543"/>
    <s v="N/A"/>
    <x v="1"/>
    <x v="0"/>
  </r>
  <r>
    <s v="GL000832"/>
    <d v="2025-01-27T00:00:00"/>
    <x v="3"/>
    <x v="3"/>
    <n v="635.02"/>
    <n v="0"/>
    <x v="3"/>
    <x v="2"/>
    <s v="AutoPost 832"/>
    <s v="CAD"/>
    <x v="2"/>
    <n v="-635.02"/>
    <m/>
    <n v="-635.02"/>
    <s v="N/A"/>
    <x v="1"/>
    <x v="0"/>
  </r>
  <r>
    <s v="GL000833"/>
    <d v="2024-02-20T00:00:00"/>
    <x v="2"/>
    <x v="2"/>
    <n v="1114.53"/>
    <n v="0"/>
    <x v="3"/>
    <x v="1"/>
    <s v="AutoPost 833"/>
    <s v="AUD"/>
    <x v="11"/>
    <n v="-1114.53"/>
    <m/>
    <n v="-1114.53"/>
    <s v="N/A"/>
    <x v="1"/>
    <x v="0"/>
  </r>
  <r>
    <s v="GL000834"/>
    <d v="2024-11-30T00:00:00"/>
    <x v="0"/>
    <x v="0"/>
    <n v="0"/>
    <n v="1484.62"/>
    <x v="3"/>
    <x v="3"/>
    <s v="AutoPost 834"/>
    <s v="GBP"/>
    <x v="10"/>
    <n v="1484.62"/>
    <m/>
    <n v="1484.62"/>
    <s v="N/A"/>
    <x v="1"/>
    <x v="1"/>
  </r>
  <r>
    <s v="GL000835"/>
    <d v="2024-08-01T00:00:00"/>
    <x v="2"/>
    <x v="2"/>
    <n v="742.51"/>
    <n v="0"/>
    <x v="4"/>
    <x v="2"/>
    <s v="AutoPost 835"/>
    <s v="GBP"/>
    <x v="25"/>
    <n v="-742.51"/>
    <m/>
    <n v="-742.51"/>
    <s v="N/A"/>
    <x v="1"/>
    <x v="0"/>
  </r>
  <r>
    <s v="GL000836"/>
    <d v="2024-06-22T00:00:00"/>
    <x v="0"/>
    <x v="0"/>
    <n v="0"/>
    <n v="3933.89"/>
    <x v="1"/>
    <x v="3"/>
    <s v="AutoPost 836"/>
    <s v="CAD"/>
    <x v="1"/>
    <n v="3933.89"/>
    <m/>
    <n v="3933.89"/>
    <s v="N/A"/>
    <x v="1"/>
    <x v="1"/>
  </r>
  <r>
    <s v="GL000837"/>
    <d v="2024-03-19T00:00:00"/>
    <x v="4"/>
    <x v="4"/>
    <n v="0"/>
    <n v="4092.61"/>
    <x v="5"/>
    <x v="2"/>
    <s v="AutoPost 837"/>
    <s v="EUR"/>
    <x v="16"/>
    <n v="4092.61"/>
    <m/>
    <n v="4092.61"/>
    <s v="N/A"/>
    <x v="1"/>
    <x v="1"/>
  </r>
  <r>
    <s v="GL000838"/>
    <d v="2023-09-29T00:00:00"/>
    <x v="4"/>
    <x v="4"/>
    <n v="0"/>
    <n v="4772.83"/>
    <x v="3"/>
    <x v="2"/>
    <s v="AutoPost 838"/>
    <s v="USD"/>
    <x v="3"/>
    <n v="4772.83"/>
    <m/>
    <n v="4772.83"/>
    <s v="N/A"/>
    <x v="1"/>
    <x v="1"/>
  </r>
  <r>
    <s v="GL000839"/>
    <d v="2025-06-28T00:00:00"/>
    <x v="3"/>
    <x v="3"/>
    <n v="1965.5"/>
    <n v="0"/>
    <x v="3"/>
    <x v="2"/>
    <s v="AutoPost 839"/>
    <s v="USD"/>
    <x v="19"/>
    <n v="-1965.5"/>
    <m/>
    <n v="-1965.5"/>
    <s v="N/A"/>
    <x v="1"/>
    <x v="0"/>
  </r>
  <r>
    <s v="GL000840"/>
    <d v="2024-07-25T00:00:00"/>
    <x v="2"/>
    <x v="2"/>
    <n v="1386.65"/>
    <n v="0"/>
    <x v="4"/>
    <x v="1"/>
    <s v="AutoPost 840"/>
    <s v="USD"/>
    <x v="21"/>
    <n v="-1386.65"/>
    <m/>
    <n v="-1386.65"/>
    <s v="N/A"/>
    <x v="1"/>
    <x v="0"/>
  </r>
  <r>
    <s v="GL000841"/>
    <d v="2023-05-06T00:00:00"/>
    <x v="4"/>
    <x v="4"/>
    <n v="0"/>
    <n v="872.06"/>
    <x v="1"/>
    <x v="0"/>
    <s v="AutoPost 841"/>
    <s v="GBP"/>
    <x v="29"/>
    <n v="872.06"/>
    <m/>
    <n v="872.06"/>
    <s v="N/A"/>
    <x v="1"/>
    <x v="1"/>
  </r>
  <r>
    <s v="GL000842"/>
    <d v="2024-10-09T00:00:00"/>
    <x v="3"/>
    <x v="3"/>
    <n v="1801.16"/>
    <n v="0"/>
    <x v="5"/>
    <x v="4"/>
    <s v="AutoPost 842"/>
    <s v="EUR"/>
    <x v="26"/>
    <n v="-1801.16"/>
    <m/>
    <n v="-1801.16"/>
    <s v="N/A"/>
    <x v="1"/>
    <x v="0"/>
  </r>
  <r>
    <s v="GL000843"/>
    <d v="2023-06-05T00:00:00"/>
    <x v="3"/>
    <x v="3"/>
    <n v="1990.94"/>
    <n v="0"/>
    <x v="3"/>
    <x v="4"/>
    <s v="AutoPost 843"/>
    <s v="AUD"/>
    <x v="22"/>
    <n v="-1990.94"/>
    <m/>
    <n v="-1990.94"/>
    <s v="N/A"/>
    <x v="1"/>
    <x v="0"/>
  </r>
  <r>
    <s v="GL000844"/>
    <d v="2024-09-03T00:00:00"/>
    <x v="0"/>
    <x v="0"/>
    <n v="0"/>
    <n v="1372.78"/>
    <x v="1"/>
    <x v="2"/>
    <s v="AutoPost 844"/>
    <s v="AUD"/>
    <x v="15"/>
    <n v="1372.78"/>
    <m/>
    <n v="1372.78"/>
    <s v="N/A"/>
    <x v="1"/>
    <x v="1"/>
  </r>
  <r>
    <s v="GL000845"/>
    <d v="2024-09-17T00:00:00"/>
    <x v="1"/>
    <x v="1"/>
    <n v="1600.28"/>
    <n v="0"/>
    <x v="1"/>
    <x v="2"/>
    <s v="AutoPost 845"/>
    <s v="USD"/>
    <x v="15"/>
    <n v="-1600.28"/>
    <m/>
    <n v="-1600.28"/>
    <s v="N/A"/>
    <x v="1"/>
    <x v="0"/>
  </r>
  <r>
    <s v="GL000846"/>
    <d v="2024-05-07T00:00:00"/>
    <x v="3"/>
    <x v="3"/>
    <n v="618.05999999999995"/>
    <n v="0"/>
    <x v="4"/>
    <x v="0"/>
    <s v="AutoPost 846"/>
    <s v="CAD"/>
    <x v="0"/>
    <n v="-618.05999999999995"/>
    <m/>
    <n v="-618.05999999999995"/>
    <s v="N/A"/>
    <x v="1"/>
    <x v="0"/>
  </r>
  <r>
    <s v="GL000847"/>
    <d v="2024-05-04T00:00:00"/>
    <x v="0"/>
    <x v="0"/>
    <n v="0"/>
    <n v="3150.6"/>
    <x v="3"/>
    <x v="3"/>
    <s v="AutoPost 847"/>
    <s v="USD"/>
    <x v="0"/>
    <n v="3150.6"/>
    <m/>
    <n v="3150.6"/>
    <s v="N/A"/>
    <x v="1"/>
    <x v="1"/>
  </r>
  <r>
    <s v="GL000848"/>
    <d v="2025-04-07T00:00:00"/>
    <x v="2"/>
    <x v="2"/>
    <n v="1288.25"/>
    <n v="0"/>
    <x v="2"/>
    <x v="1"/>
    <s v="AutoPost 848"/>
    <s v="EUR"/>
    <x v="12"/>
    <n v="-1288.25"/>
    <m/>
    <n v="-1288.25"/>
    <s v="N/A"/>
    <x v="1"/>
    <x v="0"/>
  </r>
  <r>
    <s v="GL000849"/>
    <d v="2024-07-22T00:00:00"/>
    <x v="3"/>
    <x v="3"/>
    <n v="1629.27"/>
    <n v="0"/>
    <x v="5"/>
    <x v="3"/>
    <s v="AutoPost 849"/>
    <s v="CAD"/>
    <x v="21"/>
    <n v="-1629.27"/>
    <m/>
    <n v="-1629.27"/>
    <s v="N/A"/>
    <x v="1"/>
    <x v="0"/>
  </r>
  <r>
    <s v="GL000850"/>
    <d v="2025-01-30T00:00:00"/>
    <x v="1"/>
    <x v="1"/>
    <n v="436.4"/>
    <n v="0"/>
    <x v="0"/>
    <x v="4"/>
    <s v="AutoPost 850"/>
    <s v="USD"/>
    <x v="2"/>
    <n v="-436.4"/>
    <m/>
    <n v="-436.4"/>
    <s v="N/A"/>
    <x v="1"/>
    <x v="0"/>
  </r>
  <r>
    <s v="GL000851"/>
    <d v="2023-11-11T00:00:00"/>
    <x v="3"/>
    <x v="3"/>
    <n v="186.27"/>
    <n v="0"/>
    <x v="1"/>
    <x v="2"/>
    <s v="AutoPost 851"/>
    <s v="AUD"/>
    <x v="9"/>
    <n v="-186.27"/>
    <m/>
    <n v="-186.27"/>
    <s v="N/A"/>
    <x v="1"/>
    <x v="0"/>
  </r>
  <r>
    <s v="GL000852"/>
    <d v="2023-10-19T00:00:00"/>
    <x v="0"/>
    <x v="0"/>
    <n v="0"/>
    <n v="3025.08"/>
    <x v="3"/>
    <x v="4"/>
    <s v="AutoPost 852"/>
    <s v="AUD"/>
    <x v="27"/>
    <n v="3025.08"/>
    <m/>
    <n v="3025.08"/>
    <s v="N/A"/>
    <x v="1"/>
    <x v="1"/>
  </r>
  <r>
    <s v="GL000853"/>
    <d v="2023-01-17T00:00:00"/>
    <x v="1"/>
    <x v="1"/>
    <n v="793.16"/>
    <n v="0"/>
    <x v="4"/>
    <x v="3"/>
    <s v="AutoPost 853"/>
    <s v="USD"/>
    <x v="14"/>
    <n v="-793.16"/>
    <m/>
    <n v="-793.16"/>
    <s v="N/A"/>
    <x v="1"/>
    <x v="0"/>
  </r>
  <r>
    <s v="GL000854"/>
    <d v="2023-04-17T00:00:00"/>
    <x v="3"/>
    <x v="3"/>
    <n v="1753.87"/>
    <n v="0"/>
    <x v="5"/>
    <x v="2"/>
    <s v="AutoPost 854"/>
    <s v="AUD"/>
    <x v="8"/>
    <n v="-1753.87"/>
    <m/>
    <n v="-1753.87"/>
    <s v="N/A"/>
    <x v="1"/>
    <x v="0"/>
  </r>
  <r>
    <s v="GL000855"/>
    <d v="2024-06-05T00:00:00"/>
    <x v="0"/>
    <x v="0"/>
    <n v="0"/>
    <n v="915.77"/>
    <x v="0"/>
    <x v="1"/>
    <s v="AutoPost 855"/>
    <s v="AUD"/>
    <x v="1"/>
    <n v="915.77"/>
    <m/>
    <n v="915.77"/>
    <s v="N/A"/>
    <x v="1"/>
    <x v="1"/>
  </r>
  <r>
    <s v="GL000856"/>
    <d v="2023-04-22T00:00:00"/>
    <x v="1"/>
    <x v="1"/>
    <n v="1083.5899999999999"/>
    <n v="0"/>
    <x v="0"/>
    <x v="1"/>
    <s v="AutoPost 856"/>
    <s v="USD"/>
    <x v="8"/>
    <n v="-1083.5899999999999"/>
    <m/>
    <n v="-1083.5899999999999"/>
    <s v="N/A"/>
    <x v="1"/>
    <x v="0"/>
  </r>
  <r>
    <s v="GL000857"/>
    <d v="2025-05-02T00:00:00"/>
    <x v="4"/>
    <x v="4"/>
    <n v="0"/>
    <n v="889.07"/>
    <x v="0"/>
    <x v="3"/>
    <s v="AutoPost 857"/>
    <s v="EUR"/>
    <x v="5"/>
    <n v="889.07"/>
    <m/>
    <n v="889.07"/>
    <s v="N/A"/>
    <x v="1"/>
    <x v="1"/>
  </r>
  <r>
    <s v="GL000858"/>
    <d v="2024-04-25T00:00:00"/>
    <x v="2"/>
    <x v="2"/>
    <n v="1620.36"/>
    <n v="0"/>
    <x v="0"/>
    <x v="2"/>
    <s v="AutoPost 858"/>
    <s v="EUR"/>
    <x v="7"/>
    <n v="-1620.36"/>
    <m/>
    <n v="-1620.36"/>
    <s v="N/A"/>
    <x v="1"/>
    <x v="0"/>
  </r>
  <r>
    <s v="GL000859"/>
    <d v="2025-05-30T00:00:00"/>
    <x v="0"/>
    <x v="0"/>
    <n v="0"/>
    <n v="549.91999999999996"/>
    <x v="4"/>
    <x v="1"/>
    <s v="AutoPost 859"/>
    <s v="GBP"/>
    <x v="5"/>
    <n v="549.91999999999996"/>
    <m/>
    <n v="549.91999999999996"/>
    <s v="N/A"/>
    <x v="1"/>
    <x v="1"/>
  </r>
  <r>
    <s v="GL000860"/>
    <d v="2025-04-22T00:00:00"/>
    <x v="4"/>
    <x v="4"/>
    <n v="0"/>
    <n v="4103.1000000000004"/>
    <x v="2"/>
    <x v="2"/>
    <s v="AutoPost 860"/>
    <s v="USD"/>
    <x v="12"/>
    <n v="4103.1000000000004"/>
    <m/>
    <n v="4103.1000000000004"/>
    <s v="N/A"/>
    <x v="1"/>
    <x v="1"/>
  </r>
  <r>
    <s v="GL000861"/>
    <d v="2024-05-31T00:00:00"/>
    <x v="3"/>
    <x v="3"/>
    <n v="316.45"/>
    <n v="0"/>
    <x v="4"/>
    <x v="3"/>
    <s v="AutoPost 861"/>
    <s v="USD"/>
    <x v="0"/>
    <n v="-316.45"/>
    <m/>
    <n v="-316.45"/>
    <s v="N/A"/>
    <x v="1"/>
    <x v="0"/>
  </r>
  <r>
    <s v="GL000862"/>
    <d v="2024-04-05T00:00:00"/>
    <x v="2"/>
    <x v="2"/>
    <n v="1384.87"/>
    <n v="0"/>
    <x v="1"/>
    <x v="3"/>
    <s v="AutoPost 862"/>
    <s v="AUD"/>
    <x v="7"/>
    <n v="-1384.87"/>
    <m/>
    <n v="-1384.87"/>
    <s v="N/A"/>
    <x v="1"/>
    <x v="0"/>
  </r>
  <r>
    <s v="GL000863"/>
    <d v="2024-06-03T00:00:00"/>
    <x v="2"/>
    <x v="2"/>
    <n v="932.11"/>
    <n v="0"/>
    <x v="2"/>
    <x v="0"/>
    <s v="AutoPost 863"/>
    <s v="GBP"/>
    <x v="1"/>
    <n v="-932.11"/>
    <m/>
    <n v="-932.11"/>
    <s v="N/A"/>
    <x v="1"/>
    <x v="0"/>
  </r>
  <r>
    <s v="GL000864"/>
    <d v="2024-07-18T00:00:00"/>
    <x v="0"/>
    <x v="0"/>
    <n v="0"/>
    <n v="2355.54"/>
    <x v="5"/>
    <x v="2"/>
    <s v="AutoPost 864"/>
    <s v="CAD"/>
    <x v="21"/>
    <n v="2355.54"/>
    <m/>
    <n v="2355.54"/>
    <s v="N/A"/>
    <x v="1"/>
    <x v="1"/>
  </r>
  <r>
    <s v="GL000865"/>
    <d v="2024-08-26T00:00:00"/>
    <x v="1"/>
    <x v="1"/>
    <n v="1327.52"/>
    <n v="0"/>
    <x v="5"/>
    <x v="2"/>
    <s v="AutoPost 865"/>
    <s v="USD"/>
    <x v="25"/>
    <n v="-1327.52"/>
    <m/>
    <n v="-1327.52"/>
    <s v="N/A"/>
    <x v="1"/>
    <x v="0"/>
  </r>
  <r>
    <s v="GL000866"/>
    <d v="2023-04-28T00:00:00"/>
    <x v="2"/>
    <x v="2"/>
    <n v="77.790000000000006"/>
    <n v="0"/>
    <x v="3"/>
    <x v="3"/>
    <s v="AutoPost 866"/>
    <s v="USD"/>
    <x v="8"/>
    <n v="-77.790000000000006"/>
    <m/>
    <n v="-77.790000000000006"/>
    <s v="N/A"/>
    <x v="1"/>
    <x v="0"/>
  </r>
  <r>
    <s v="GL000867"/>
    <d v="2025-04-09T00:00:00"/>
    <x v="0"/>
    <x v="0"/>
    <n v="0"/>
    <n v="2100.39"/>
    <x v="2"/>
    <x v="2"/>
    <s v="AutoPost 867"/>
    <s v="GBP"/>
    <x v="12"/>
    <n v="2100.39"/>
    <m/>
    <n v="2100.39"/>
    <s v="N/A"/>
    <x v="1"/>
    <x v="1"/>
  </r>
  <r>
    <s v="GL000868"/>
    <d v="2024-09-21T00:00:00"/>
    <x v="3"/>
    <x v="3"/>
    <n v="882.8"/>
    <n v="0"/>
    <x v="5"/>
    <x v="2"/>
    <s v="AutoPost 868"/>
    <s v="AUD"/>
    <x v="15"/>
    <n v="-882.8"/>
    <m/>
    <n v="-882.8"/>
    <s v="N/A"/>
    <x v="1"/>
    <x v="0"/>
  </r>
  <r>
    <s v="GL000869"/>
    <d v="2023-07-30T00:00:00"/>
    <x v="4"/>
    <x v="4"/>
    <n v="0"/>
    <n v="3194.96"/>
    <x v="4"/>
    <x v="0"/>
    <s v="AutoPost 869"/>
    <s v="USD"/>
    <x v="17"/>
    <n v="3194.96"/>
    <m/>
    <n v="3194.96"/>
    <s v="N/A"/>
    <x v="1"/>
    <x v="1"/>
  </r>
  <r>
    <s v="GL000870"/>
    <d v="2025-01-05T00:00:00"/>
    <x v="2"/>
    <x v="2"/>
    <n v="981.76"/>
    <n v="0"/>
    <x v="4"/>
    <x v="3"/>
    <s v="AutoPost 870"/>
    <s v="EUR"/>
    <x v="2"/>
    <n v="-981.76"/>
    <m/>
    <n v="-981.76"/>
    <s v="N/A"/>
    <x v="1"/>
    <x v="0"/>
  </r>
  <r>
    <s v="GL000871"/>
    <d v="2023-06-03T00:00:00"/>
    <x v="4"/>
    <x v="4"/>
    <n v="0"/>
    <n v="1322.78"/>
    <x v="1"/>
    <x v="3"/>
    <s v="AutoPost 871"/>
    <s v="USD"/>
    <x v="22"/>
    <n v="1322.78"/>
    <m/>
    <n v="1322.78"/>
    <s v="N/A"/>
    <x v="1"/>
    <x v="1"/>
  </r>
  <r>
    <s v="GL000872"/>
    <d v="2024-01-09T00:00:00"/>
    <x v="2"/>
    <x v="2"/>
    <n v="508.47"/>
    <n v="0"/>
    <x v="2"/>
    <x v="0"/>
    <s v="AutoPost 872"/>
    <s v="USD"/>
    <x v="20"/>
    <n v="-508.47"/>
    <m/>
    <n v="-508.47"/>
    <s v="N/A"/>
    <x v="1"/>
    <x v="0"/>
  </r>
  <r>
    <s v="GL000873"/>
    <d v="2025-04-24T00:00:00"/>
    <x v="2"/>
    <x v="2"/>
    <n v="1587.23"/>
    <n v="0"/>
    <x v="4"/>
    <x v="3"/>
    <s v="AutoPost 873"/>
    <s v="AUD"/>
    <x v="12"/>
    <n v="-1587.23"/>
    <m/>
    <n v="-1587.23"/>
    <s v="N/A"/>
    <x v="1"/>
    <x v="0"/>
  </r>
  <r>
    <s v="GL000874"/>
    <d v="2025-01-21T00:00:00"/>
    <x v="0"/>
    <x v="0"/>
    <n v="0"/>
    <n v="2067.5700000000002"/>
    <x v="4"/>
    <x v="4"/>
    <s v="AutoPost 874"/>
    <s v="GBP"/>
    <x v="2"/>
    <n v="2067.5700000000002"/>
    <m/>
    <n v="2067.5700000000002"/>
    <s v="N/A"/>
    <x v="1"/>
    <x v="1"/>
  </r>
  <r>
    <s v="GL000875"/>
    <d v="2023-07-31T00:00:00"/>
    <x v="0"/>
    <x v="0"/>
    <n v="0"/>
    <n v="1379.98"/>
    <x v="3"/>
    <x v="2"/>
    <s v="AutoPost 875"/>
    <s v="CAD"/>
    <x v="17"/>
    <n v="1379.98"/>
    <m/>
    <n v="1379.98"/>
    <s v="N/A"/>
    <x v="1"/>
    <x v="1"/>
  </r>
  <r>
    <s v="GL000876"/>
    <d v="2024-11-30T00:00:00"/>
    <x v="4"/>
    <x v="4"/>
    <n v="0"/>
    <n v="4346.96"/>
    <x v="4"/>
    <x v="2"/>
    <s v="AutoPost 876"/>
    <s v="CAD"/>
    <x v="10"/>
    <n v="4346.96"/>
    <m/>
    <n v="4346.96"/>
    <s v="N/A"/>
    <x v="1"/>
    <x v="1"/>
  </r>
  <r>
    <s v="GL000877"/>
    <d v="2023-06-18T00:00:00"/>
    <x v="0"/>
    <x v="0"/>
    <n v="0"/>
    <n v="525.34"/>
    <x v="1"/>
    <x v="3"/>
    <s v="AutoPost 877"/>
    <s v="GBP"/>
    <x v="22"/>
    <n v="525.34"/>
    <m/>
    <n v="525.34"/>
    <s v="N/A"/>
    <x v="1"/>
    <x v="1"/>
  </r>
  <r>
    <s v="GL000878"/>
    <d v="2023-12-10T00:00:00"/>
    <x v="3"/>
    <x v="3"/>
    <n v="275.32"/>
    <n v="0"/>
    <x v="1"/>
    <x v="3"/>
    <s v="AutoPost 878"/>
    <s v="USD"/>
    <x v="6"/>
    <n v="-275.32"/>
    <m/>
    <n v="-275.32"/>
    <s v="N/A"/>
    <x v="1"/>
    <x v="0"/>
  </r>
  <r>
    <s v="GL000879"/>
    <d v="2024-07-02T00:00:00"/>
    <x v="2"/>
    <x v="2"/>
    <n v="1408.29"/>
    <n v="0"/>
    <x v="0"/>
    <x v="1"/>
    <s v="AutoPost 879"/>
    <s v="CAD"/>
    <x v="21"/>
    <n v="-1408.29"/>
    <m/>
    <n v="-1408.29"/>
    <s v="N/A"/>
    <x v="1"/>
    <x v="0"/>
  </r>
  <r>
    <s v="GL000880"/>
    <d v="2024-07-06T00:00:00"/>
    <x v="4"/>
    <x v="4"/>
    <n v="0"/>
    <n v="2640.87"/>
    <x v="2"/>
    <x v="0"/>
    <s v="AutoPost 880"/>
    <s v="USD"/>
    <x v="21"/>
    <n v="2640.87"/>
    <m/>
    <n v="2640.87"/>
    <s v="N/A"/>
    <x v="1"/>
    <x v="1"/>
  </r>
  <r>
    <s v="GL000881"/>
    <d v="2025-04-07T00:00:00"/>
    <x v="0"/>
    <x v="0"/>
    <n v="0"/>
    <n v="2978.56"/>
    <x v="5"/>
    <x v="3"/>
    <s v="AutoPost 881"/>
    <s v="GBP"/>
    <x v="12"/>
    <n v="2978.56"/>
    <m/>
    <n v="2978.56"/>
    <s v="N/A"/>
    <x v="1"/>
    <x v="1"/>
  </r>
  <r>
    <s v="GL000882"/>
    <d v="2023-12-22T00:00:00"/>
    <x v="3"/>
    <x v="3"/>
    <n v="100.56"/>
    <n v="0"/>
    <x v="1"/>
    <x v="0"/>
    <s v="AutoPost 882"/>
    <s v="CAD"/>
    <x v="6"/>
    <n v="-100.56"/>
    <m/>
    <n v="-100.56"/>
    <s v="N/A"/>
    <x v="1"/>
    <x v="0"/>
  </r>
  <r>
    <s v="GL000883"/>
    <d v="2024-02-01T00:00:00"/>
    <x v="3"/>
    <x v="3"/>
    <n v="581.4"/>
    <n v="0"/>
    <x v="2"/>
    <x v="2"/>
    <s v="AutoPost 883"/>
    <s v="AUD"/>
    <x v="11"/>
    <n v="-581.4"/>
    <m/>
    <n v="-581.4"/>
    <s v="N/A"/>
    <x v="1"/>
    <x v="0"/>
  </r>
  <r>
    <s v="GL000884"/>
    <d v="2023-01-24T00:00:00"/>
    <x v="2"/>
    <x v="2"/>
    <n v="176.17"/>
    <n v="0"/>
    <x v="0"/>
    <x v="4"/>
    <s v="AutoPost 884"/>
    <s v="USD"/>
    <x v="14"/>
    <n v="-176.17"/>
    <m/>
    <n v="-176.17"/>
    <s v="N/A"/>
    <x v="1"/>
    <x v="0"/>
  </r>
  <r>
    <s v="GL000885"/>
    <d v="2023-02-09T00:00:00"/>
    <x v="3"/>
    <x v="3"/>
    <n v="482.67"/>
    <n v="0"/>
    <x v="2"/>
    <x v="4"/>
    <s v="AutoPost 885"/>
    <s v="USD"/>
    <x v="24"/>
    <n v="-482.67"/>
    <m/>
    <n v="-482.67"/>
    <s v="N/A"/>
    <x v="1"/>
    <x v="0"/>
  </r>
  <r>
    <s v="GL000886"/>
    <d v="2024-10-07T00:00:00"/>
    <x v="2"/>
    <x v="2"/>
    <n v="1072.33"/>
    <n v="0"/>
    <x v="5"/>
    <x v="4"/>
    <s v="AutoPost 886"/>
    <s v="GBP"/>
    <x v="26"/>
    <n v="-1072.33"/>
    <m/>
    <n v="-1072.33"/>
    <s v="N/A"/>
    <x v="1"/>
    <x v="0"/>
  </r>
  <r>
    <s v="GL000887"/>
    <d v="2024-06-25T00:00:00"/>
    <x v="0"/>
    <x v="0"/>
    <n v="0"/>
    <n v="1700.49"/>
    <x v="4"/>
    <x v="4"/>
    <s v="AutoPost 887"/>
    <s v="EUR"/>
    <x v="1"/>
    <n v="1700.49"/>
    <m/>
    <n v="1700.49"/>
    <s v="N/A"/>
    <x v="1"/>
    <x v="1"/>
  </r>
  <r>
    <s v="GL000888"/>
    <d v="2024-10-09T00:00:00"/>
    <x v="3"/>
    <x v="3"/>
    <n v="1915.1"/>
    <n v="0"/>
    <x v="2"/>
    <x v="4"/>
    <s v="AutoPost 888"/>
    <s v="EUR"/>
    <x v="26"/>
    <n v="-1915.1"/>
    <m/>
    <n v="-1915.1"/>
    <s v="N/A"/>
    <x v="1"/>
    <x v="0"/>
  </r>
  <r>
    <s v="GL000889"/>
    <d v="2025-06-13T00:00:00"/>
    <x v="1"/>
    <x v="1"/>
    <n v="1632.24"/>
    <n v="0"/>
    <x v="5"/>
    <x v="2"/>
    <s v="AutoPost 889"/>
    <s v="CAD"/>
    <x v="19"/>
    <n v="-1632.24"/>
    <m/>
    <n v="-1632.24"/>
    <s v="N/A"/>
    <x v="1"/>
    <x v="0"/>
  </r>
  <r>
    <s v="GL000890"/>
    <d v="2025-03-02T00:00:00"/>
    <x v="4"/>
    <x v="4"/>
    <n v="0"/>
    <n v="2334.77"/>
    <x v="1"/>
    <x v="4"/>
    <s v="AutoPost 890"/>
    <s v="GBP"/>
    <x v="13"/>
    <n v="2334.77"/>
    <m/>
    <n v="2334.77"/>
    <s v="N/A"/>
    <x v="1"/>
    <x v="1"/>
  </r>
  <r>
    <s v="GL000891"/>
    <d v="2023-05-22T00:00:00"/>
    <x v="0"/>
    <x v="0"/>
    <n v="0"/>
    <n v="2655.46"/>
    <x v="0"/>
    <x v="0"/>
    <s v="AutoPost 891"/>
    <s v="CAD"/>
    <x v="29"/>
    <n v="2655.46"/>
    <m/>
    <n v="2655.46"/>
    <s v="N/A"/>
    <x v="1"/>
    <x v="1"/>
  </r>
  <r>
    <s v="GL000892"/>
    <d v="2023-12-28T00:00:00"/>
    <x v="0"/>
    <x v="0"/>
    <n v="0"/>
    <n v="4082.31"/>
    <x v="2"/>
    <x v="3"/>
    <s v="AutoPost 892"/>
    <s v="USD"/>
    <x v="6"/>
    <n v="4082.31"/>
    <m/>
    <n v="4082.31"/>
    <s v="N/A"/>
    <x v="1"/>
    <x v="1"/>
  </r>
  <r>
    <s v="GL000893"/>
    <d v="2023-12-20T00:00:00"/>
    <x v="3"/>
    <x v="3"/>
    <n v="1204.8499999999999"/>
    <n v="0"/>
    <x v="2"/>
    <x v="1"/>
    <s v="AutoPost 893"/>
    <s v="CAD"/>
    <x v="6"/>
    <n v="-1204.8499999999999"/>
    <m/>
    <n v="-1204.8499999999999"/>
    <s v="N/A"/>
    <x v="1"/>
    <x v="0"/>
  </r>
  <r>
    <s v="GL000894"/>
    <d v="2024-12-22T00:00:00"/>
    <x v="0"/>
    <x v="0"/>
    <n v="0"/>
    <n v="4496.12"/>
    <x v="1"/>
    <x v="1"/>
    <s v="AutoPost 894"/>
    <s v="EUR"/>
    <x v="23"/>
    <n v="4496.12"/>
    <m/>
    <n v="4496.12"/>
    <s v="N/A"/>
    <x v="1"/>
    <x v="1"/>
  </r>
  <r>
    <s v="GL000895"/>
    <d v="2025-01-22T00:00:00"/>
    <x v="4"/>
    <x v="4"/>
    <n v="0"/>
    <n v="2776.15"/>
    <x v="2"/>
    <x v="4"/>
    <s v="AutoPost 895"/>
    <s v="EUR"/>
    <x v="2"/>
    <n v="2776.15"/>
    <m/>
    <n v="2776.15"/>
    <s v="N/A"/>
    <x v="1"/>
    <x v="1"/>
  </r>
  <r>
    <s v="GL000896"/>
    <d v="2023-04-30T00:00:00"/>
    <x v="4"/>
    <x v="4"/>
    <n v="0"/>
    <n v="3598.62"/>
    <x v="4"/>
    <x v="2"/>
    <s v="AutoPost 896"/>
    <s v="EUR"/>
    <x v="8"/>
    <n v="3598.62"/>
    <m/>
    <n v="3598.62"/>
    <s v="N/A"/>
    <x v="1"/>
    <x v="1"/>
  </r>
  <r>
    <s v="GL000897"/>
    <d v="2024-07-17T00:00:00"/>
    <x v="3"/>
    <x v="3"/>
    <n v="1433.77"/>
    <n v="0"/>
    <x v="0"/>
    <x v="0"/>
    <s v="AutoPost 897"/>
    <s v="EUR"/>
    <x v="21"/>
    <n v="-1433.77"/>
    <m/>
    <n v="-1433.77"/>
    <s v="N/A"/>
    <x v="1"/>
    <x v="0"/>
  </r>
  <r>
    <s v="GL000898"/>
    <d v="2024-05-23T00:00:00"/>
    <x v="3"/>
    <x v="3"/>
    <n v="244.58"/>
    <n v="0"/>
    <x v="0"/>
    <x v="2"/>
    <s v="AutoPost 898"/>
    <s v="AUD"/>
    <x v="0"/>
    <n v="-244.58"/>
    <m/>
    <n v="-244.58"/>
    <s v="N/A"/>
    <x v="1"/>
    <x v="0"/>
  </r>
  <r>
    <s v="GL000899"/>
    <d v="2023-01-08T00:00:00"/>
    <x v="2"/>
    <x v="2"/>
    <n v="958.53"/>
    <n v="0"/>
    <x v="5"/>
    <x v="1"/>
    <s v="AutoPost 899"/>
    <s v="AUD"/>
    <x v="14"/>
    <n v="-958.53"/>
    <m/>
    <n v="-958.53"/>
    <s v="N/A"/>
    <x v="1"/>
    <x v="0"/>
  </r>
  <r>
    <s v="GL000900"/>
    <d v="2023-07-08T00:00:00"/>
    <x v="2"/>
    <x v="2"/>
    <n v="1312.28"/>
    <n v="0"/>
    <x v="2"/>
    <x v="0"/>
    <s v="AutoPost 900"/>
    <s v="GBP"/>
    <x v="17"/>
    <n v="-1312.28"/>
    <m/>
    <n v="-1312.28"/>
    <s v="N/A"/>
    <x v="1"/>
    <x v="0"/>
  </r>
  <r>
    <s v="GL000901"/>
    <d v="2023-03-12T00:00:00"/>
    <x v="0"/>
    <x v="0"/>
    <n v="0"/>
    <n v="4549.33"/>
    <x v="5"/>
    <x v="0"/>
    <s v="AutoPost 901"/>
    <s v="GBP"/>
    <x v="18"/>
    <n v="4549.33"/>
    <m/>
    <n v="4549.33"/>
    <s v="N/A"/>
    <x v="1"/>
    <x v="1"/>
  </r>
  <r>
    <s v="GL000902"/>
    <d v="2024-12-17T00:00:00"/>
    <x v="2"/>
    <x v="2"/>
    <n v="1965.36"/>
    <n v="0"/>
    <x v="2"/>
    <x v="3"/>
    <s v="AutoPost 902"/>
    <s v="CAD"/>
    <x v="23"/>
    <n v="-1965.36"/>
    <m/>
    <n v="-1965.36"/>
    <s v="N/A"/>
    <x v="1"/>
    <x v="0"/>
  </r>
  <r>
    <s v="GL000903"/>
    <d v="2023-08-21T00:00:00"/>
    <x v="3"/>
    <x v="3"/>
    <n v="769.49"/>
    <n v="0"/>
    <x v="2"/>
    <x v="4"/>
    <s v="AutoPost 903"/>
    <s v="GBP"/>
    <x v="4"/>
    <n v="-769.49"/>
    <m/>
    <n v="-769.49"/>
    <s v="N/A"/>
    <x v="1"/>
    <x v="0"/>
  </r>
  <r>
    <s v="GL000904"/>
    <d v="2024-11-05T00:00:00"/>
    <x v="1"/>
    <x v="1"/>
    <n v="743.08"/>
    <n v="0"/>
    <x v="4"/>
    <x v="2"/>
    <s v="AutoPost 904"/>
    <s v="GBP"/>
    <x v="10"/>
    <n v="-743.08"/>
    <m/>
    <n v="-743.08"/>
    <s v="N/A"/>
    <x v="1"/>
    <x v="0"/>
  </r>
  <r>
    <s v="GL000905"/>
    <d v="2023-08-07T00:00:00"/>
    <x v="2"/>
    <x v="2"/>
    <n v="586.1"/>
    <n v="0"/>
    <x v="5"/>
    <x v="4"/>
    <s v="AutoPost 905"/>
    <s v="CAD"/>
    <x v="4"/>
    <n v="-586.1"/>
    <m/>
    <n v="-586.1"/>
    <s v="N/A"/>
    <x v="1"/>
    <x v="0"/>
  </r>
  <r>
    <s v="GL000906"/>
    <d v="2025-06-22T00:00:00"/>
    <x v="2"/>
    <x v="2"/>
    <n v="1912.35"/>
    <n v="0"/>
    <x v="0"/>
    <x v="0"/>
    <s v="AutoPost 906"/>
    <s v="USD"/>
    <x v="19"/>
    <n v="-1912.35"/>
    <m/>
    <n v="-1912.35"/>
    <s v="N/A"/>
    <x v="1"/>
    <x v="0"/>
  </r>
  <r>
    <s v="GL000907"/>
    <d v="2023-05-08T00:00:00"/>
    <x v="2"/>
    <x v="2"/>
    <n v="819.96"/>
    <n v="0"/>
    <x v="3"/>
    <x v="1"/>
    <s v="AutoPost 907"/>
    <s v="USD"/>
    <x v="29"/>
    <n v="-819.96"/>
    <m/>
    <n v="-819.96"/>
    <s v="N/A"/>
    <x v="1"/>
    <x v="0"/>
  </r>
  <r>
    <s v="GL000908"/>
    <d v="2025-03-02T00:00:00"/>
    <x v="1"/>
    <x v="1"/>
    <n v="1880.1"/>
    <n v="0"/>
    <x v="2"/>
    <x v="1"/>
    <s v="AutoPost 908"/>
    <s v="AUD"/>
    <x v="13"/>
    <n v="-1880.1"/>
    <m/>
    <n v="-1880.1"/>
    <s v="N/A"/>
    <x v="1"/>
    <x v="0"/>
  </r>
  <r>
    <s v="GL000909"/>
    <d v="2025-04-07T00:00:00"/>
    <x v="2"/>
    <x v="2"/>
    <n v="1255.8499999999999"/>
    <n v="0"/>
    <x v="2"/>
    <x v="4"/>
    <s v="AutoPost 909"/>
    <s v="EUR"/>
    <x v="12"/>
    <n v="-1255.8499999999999"/>
    <m/>
    <n v="-1255.8499999999999"/>
    <s v="N/A"/>
    <x v="1"/>
    <x v="0"/>
  </r>
  <r>
    <s v="GL000910"/>
    <d v="2023-01-28T00:00:00"/>
    <x v="4"/>
    <x v="4"/>
    <n v="0"/>
    <n v="3738.97"/>
    <x v="5"/>
    <x v="3"/>
    <s v="AutoPost 910"/>
    <s v="CAD"/>
    <x v="14"/>
    <n v="3738.97"/>
    <m/>
    <n v="3738.97"/>
    <s v="N/A"/>
    <x v="1"/>
    <x v="1"/>
  </r>
  <r>
    <s v="GL000911"/>
    <d v="2025-05-15T00:00:00"/>
    <x v="1"/>
    <x v="1"/>
    <n v="50.19"/>
    <n v="0"/>
    <x v="4"/>
    <x v="1"/>
    <s v="AutoPost 911"/>
    <s v="EUR"/>
    <x v="5"/>
    <n v="-50.19"/>
    <m/>
    <n v="-50.19"/>
    <s v="N/A"/>
    <x v="1"/>
    <x v="0"/>
  </r>
  <r>
    <s v="GL000912"/>
    <d v="2024-09-14T00:00:00"/>
    <x v="3"/>
    <x v="3"/>
    <n v="608.52"/>
    <n v="0"/>
    <x v="0"/>
    <x v="1"/>
    <s v="AutoPost 912"/>
    <s v="EUR"/>
    <x v="15"/>
    <n v="-608.52"/>
    <m/>
    <n v="-608.52"/>
    <s v="N/A"/>
    <x v="1"/>
    <x v="0"/>
  </r>
  <r>
    <s v="GL000913"/>
    <d v="2024-09-25T00:00:00"/>
    <x v="3"/>
    <x v="3"/>
    <n v="287.52"/>
    <n v="0"/>
    <x v="4"/>
    <x v="4"/>
    <s v="AutoPost 913"/>
    <s v="USD"/>
    <x v="15"/>
    <n v="-287.52"/>
    <m/>
    <n v="-287.52"/>
    <s v="N/A"/>
    <x v="1"/>
    <x v="0"/>
  </r>
  <r>
    <s v="GL000914"/>
    <d v="2023-12-28T00:00:00"/>
    <x v="2"/>
    <x v="2"/>
    <n v="1749.98"/>
    <n v="0"/>
    <x v="4"/>
    <x v="2"/>
    <s v="AutoPost 914"/>
    <s v="CAD"/>
    <x v="6"/>
    <n v="-1749.98"/>
    <m/>
    <n v="-1749.98"/>
    <s v="N/A"/>
    <x v="1"/>
    <x v="0"/>
  </r>
  <r>
    <s v="GL000915"/>
    <d v="2024-12-24T00:00:00"/>
    <x v="1"/>
    <x v="1"/>
    <n v="221.12"/>
    <n v="0"/>
    <x v="3"/>
    <x v="1"/>
    <s v="AutoPost 915"/>
    <s v="AUD"/>
    <x v="23"/>
    <n v="-221.12"/>
    <m/>
    <n v="-221.12"/>
    <s v="N/A"/>
    <x v="1"/>
    <x v="0"/>
  </r>
  <r>
    <s v="GL000916"/>
    <d v="2024-10-29T00:00:00"/>
    <x v="1"/>
    <x v="1"/>
    <n v="1012.53"/>
    <n v="0"/>
    <x v="1"/>
    <x v="2"/>
    <s v="AutoPost 916"/>
    <s v="CAD"/>
    <x v="26"/>
    <n v="-1012.53"/>
    <m/>
    <n v="-1012.53"/>
    <s v="N/A"/>
    <x v="1"/>
    <x v="0"/>
  </r>
  <r>
    <s v="GL000917"/>
    <d v="2023-07-27T00:00:00"/>
    <x v="4"/>
    <x v="4"/>
    <n v="0"/>
    <n v="542.16999999999996"/>
    <x v="5"/>
    <x v="1"/>
    <s v="AutoPost 917"/>
    <s v="GBP"/>
    <x v="17"/>
    <n v="542.16999999999996"/>
    <m/>
    <n v="542.16999999999996"/>
    <s v="N/A"/>
    <x v="1"/>
    <x v="1"/>
  </r>
  <r>
    <s v="GL000918"/>
    <d v="2025-03-23T00:00:00"/>
    <x v="3"/>
    <x v="3"/>
    <n v="580.21"/>
    <n v="0"/>
    <x v="0"/>
    <x v="4"/>
    <s v="AutoPost 918"/>
    <s v="EUR"/>
    <x v="13"/>
    <n v="-580.21"/>
    <m/>
    <n v="-580.21"/>
    <s v="N/A"/>
    <x v="1"/>
    <x v="0"/>
  </r>
  <r>
    <s v="GL000919"/>
    <d v="2023-01-04T00:00:00"/>
    <x v="3"/>
    <x v="3"/>
    <n v="739.56"/>
    <n v="0"/>
    <x v="4"/>
    <x v="2"/>
    <s v="AutoPost 919"/>
    <s v="AUD"/>
    <x v="14"/>
    <n v="-739.56"/>
    <m/>
    <n v="-739.56"/>
    <s v="N/A"/>
    <x v="1"/>
    <x v="0"/>
  </r>
  <r>
    <s v="GL000920"/>
    <d v="2024-11-08T00:00:00"/>
    <x v="1"/>
    <x v="1"/>
    <n v="1657.23"/>
    <n v="0"/>
    <x v="0"/>
    <x v="3"/>
    <s v="AutoPost 920"/>
    <s v="AUD"/>
    <x v="10"/>
    <n v="-1657.23"/>
    <m/>
    <n v="-1657.23"/>
    <s v="N/A"/>
    <x v="1"/>
    <x v="0"/>
  </r>
  <r>
    <s v="GL000921"/>
    <d v="2024-05-28T00:00:00"/>
    <x v="2"/>
    <x v="2"/>
    <n v="1181.06"/>
    <n v="0"/>
    <x v="0"/>
    <x v="2"/>
    <s v="AutoPost 921"/>
    <s v="CAD"/>
    <x v="0"/>
    <n v="-1181.06"/>
    <m/>
    <n v="-1181.06"/>
    <s v="N/A"/>
    <x v="1"/>
    <x v="0"/>
  </r>
  <r>
    <s v="GL000922"/>
    <d v="2024-02-10T00:00:00"/>
    <x v="3"/>
    <x v="3"/>
    <n v="944.72"/>
    <n v="0"/>
    <x v="2"/>
    <x v="4"/>
    <s v="AutoPost 922"/>
    <s v="EUR"/>
    <x v="11"/>
    <n v="-944.72"/>
    <m/>
    <n v="-944.72"/>
    <s v="N/A"/>
    <x v="1"/>
    <x v="0"/>
  </r>
  <r>
    <s v="GL000923"/>
    <d v="2024-02-23T00:00:00"/>
    <x v="0"/>
    <x v="0"/>
    <n v="0"/>
    <n v="3496.47"/>
    <x v="3"/>
    <x v="3"/>
    <s v="AutoPost 923"/>
    <s v="USD"/>
    <x v="11"/>
    <n v="3496.47"/>
    <m/>
    <n v="3496.47"/>
    <s v="N/A"/>
    <x v="1"/>
    <x v="1"/>
  </r>
  <r>
    <s v="GL000924"/>
    <d v="2024-03-22T00:00:00"/>
    <x v="0"/>
    <x v="0"/>
    <n v="0"/>
    <n v="389.32"/>
    <x v="2"/>
    <x v="0"/>
    <s v="AutoPost 924"/>
    <s v="USD"/>
    <x v="16"/>
    <n v="389.32"/>
    <m/>
    <n v="389.32"/>
    <s v="N/A"/>
    <x v="1"/>
    <x v="1"/>
  </r>
  <r>
    <s v="GL000925"/>
    <d v="2024-02-04T00:00:00"/>
    <x v="4"/>
    <x v="4"/>
    <n v="0"/>
    <n v="2071.73"/>
    <x v="4"/>
    <x v="0"/>
    <s v="AutoPost 925"/>
    <s v="GBP"/>
    <x v="11"/>
    <n v="2071.73"/>
    <m/>
    <n v="2071.73"/>
    <s v="N/A"/>
    <x v="1"/>
    <x v="1"/>
  </r>
  <r>
    <s v="GL000926"/>
    <d v="2024-08-31T00:00:00"/>
    <x v="1"/>
    <x v="1"/>
    <n v="1719.48"/>
    <n v="0"/>
    <x v="1"/>
    <x v="3"/>
    <s v="AutoPost 926"/>
    <s v="CAD"/>
    <x v="25"/>
    <n v="-1719.48"/>
    <m/>
    <n v="-1719.48"/>
    <s v="N/A"/>
    <x v="1"/>
    <x v="0"/>
  </r>
  <r>
    <s v="GL000927"/>
    <d v="2025-02-15T00:00:00"/>
    <x v="2"/>
    <x v="2"/>
    <n v="260.58"/>
    <n v="0"/>
    <x v="3"/>
    <x v="2"/>
    <s v="AutoPost 927"/>
    <s v="GBP"/>
    <x v="28"/>
    <n v="-260.58"/>
    <m/>
    <n v="-260.58"/>
    <s v="N/A"/>
    <x v="1"/>
    <x v="0"/>
  </r>
  <r>
    <s v="GL000928"/>
    <d v="2023-01-25T00:00:00"/>
    <x v="3"/>
    <x v="3"/>
    <n v="79.59"/>
    <n v="0"/>
    <x v="0"/>
    <x v="1"/>
    <s v="AutoPost 928"/>
    <s v="USD"/>
    <x v="14"/>
    <n v="-79.59"/>
    <m/>
    <n v="-79.59"/>
    <s v="N/A"/>
    <x v="1"/>
    <x v="0"/>
  </r>
  <r>
    <s v="GL000929"/>
    <d v="2024-06-02T00:00:00"/>
    <x v="4"/>
    <x v="4"/>
    <n v="0"/>
    <n v="2860.93"/>
    <x v="2"/>
    <x v="4"/>
    <s v="AutoPost 929"/>
    <s v="CAD"/>
    <x v="1"/>
    <n v="2860.93"/>
    <m/>
    <n v="2860.93"/>
    <s v="N/A"/>
    <x v="1"/>
    <x v="1"/>
  </r>
  <r>
    <s v="GL000930"/>
    <d v="2024-08-21T00:00:00"/>
    <x v="4"/>
    <x v="4"/>
    <n v="0"/>
    <n v="4074.77"/>
    <x v="3"/>
    <x v="1"/>
    <s v="AutoPost 930"/>
    <s v="EUR"/>
    <x v="25"/>
    <n v="4074.77"/>
    <m/>
    <n v="4074.77"/>
    <s v="N/A"/>
    <x v="1"/>
    <x v="1"/>
  </r>
  <r>
    <s v="GL000931"/>
    <d v="2025-01-26T00:00:00"/>
    <x v="4"/>
    <x v="4"/>
    <n v="0"/>
    <n v="4702.84"/>
    <x v="4"/>
    <x v="3"/>
    <s v="AutoPost 931"/>
    <s v="GBP"/>
    <x v="2"/>
    <n v="4702.84"/>
    <m/>
    <n v="4702.84"/>
    <s v="N/A"/>
    <x v="1"/>
    <x v="1"/>
  </r>
  <r>
    <s v="GL000932"/>
    <d v="2023-11-12T00:00:00"/>
    <x v="3"/>
    <x v="3"/>
    <n v="920.32"/>
    <n v="0"/>
    <x v="2"/>
    <x v="0"/>
    <s v="AutoPost 932"/>
    <s v="EUR"/>
    <x v="9"/>
    <n v="-920.32"/>
    <m/>
    <n v="-920.32"/>
    <s v="N/A"/>
    <x v="1"/>
    <x v="0"/>
  </r>
  <r>
    <s v="GL000933"/>
    <d v="2023-08-26T00:00:00"/>
    <x v="4"/>
    <x v="4"/>
    <n v="0"/>
    <n v="1564.55"/>
    <x v="2"/>
    <x v="4"/>
    <s v="AutoPost 933"/>
    <s v="CAD"/>
    <x v="4"/>
    <n v="1564.55"/>
    <m/>
    <n v="1564.55"/>
    <s v="N/A"/>
    <x v="1"/>
    <x v="1"/>
  </r>
  <r>
    <s v="GL000934"/>
    <d v="2024-05-13T00:00:00"/>
    <x v="4"/>
    <x v="4"/>
    <n v="0"/>
    <n v="2984.56"/>
    <x v="5"/>
    <x v="2"/>
    <s v="AutoPost 934"/>
    <s v="AUD"/>
    <x v="0"/>
    <n v="2984.56"/>
    <m/>
    <n v="2984.56"/>
    <s v="N/A"/>
    <x v="1"/>
    <x v="1"/>
  </r>
  <r>
    <s v="GL000935"/>
    <d v="2024-04-17T00:00:00"/>
    <x v="4"/>
    <x v="4"/>
    <n v="0"/>
    <n v="4352.6000000000004"/>
    <x v="1"/>
    <x v="4"/>
    <s v="AutoPost 935"/>
    <s v="CAD"/>
    <x v="7"/>
    <n v="4352.6000000000004"/>
    <m/>
    <n v="4352.6000000000004"/>
    <s v="N/A"/>
    <x v="1"/>
    <x v="1"/>
  </r>
  <r>
    <s v="GL000936"/>
    <d v="2024-12-24T00:00:00"/>
    <x v="4"/>
    <x v="4"/>
    <n v="0"/>
    <n v="1861.57"/>
    <x v="5"/>
    <x v="0"/>
    <s v="AutoPost 936"/>
    <s v="USD"/>
    <x v="23"/>
    <n v="1861.57"/>
    <m/>
    <n v="1861.57"/>
    <s v="N/A"/>
    <x v="1"/>
    <x v="1"/>
  </r>
  <r>
    <s v="GL000937"/>
    <d v="2023-03-22T00:00:00"/>
    <x v="4"/>
    <x v="4"/>
    <n v="0"/>
    <n v="1431.79"/>
    <x v="1"/>
    <x v="1"/>
    <s v="AutoPost 937"/>
    <s v="CAD"/>
    <x v="18"/>
    <n v="1431.79"/>
    <m/>
    <n v="1431.79"/>
    <s v="N/A"/>
    <x v="1"/>
    <x v="1"/>
  </r>
  <r>
    <s v="GL000938"/>
    <d v="2025-04-04T00:00:00"/>
    <x v="4"/>
    <x v="4"/>
    <n v="0"/>
    <n v="3515.1"/>
    <x v="1"/>
    <x v="0"/>
    <s v="AutoPost 938"/>
    <s v="AUD"/>
    <x v="12"/>
    <n v="3515.1"/>
    <m/>
    <n v="3515.1"/>
    <s v="N/A"/>
    <x v="1"/>
    <x v="1"/>
  </r>
  <r>
    <s v="GL000939"/>
    <d v="2023-07-09T00:00:00"/>
    <x v="1"/>
    <x v="1"/>
    <n v="547.15"/>
    <n v="0"/>
    <x v="0"/>
    <x v="0"/>
    <s v="AutoPost 939"/>
    <s v="EUR"/>
    <x v="17"/>
    <n v="-547.15"/>
    <m/>
    <n v="-547.15"/>
    <s v="N/A"/>
    <x v="1"/>
    <x v="0"/>
  </r>
  <r>
    <s v="GL000940"/>
    <d v="2023-11-18T00:00:00"/>
    <x v="0"/>
    <x v="0"/>
    <n v="0"/>
    <n v="2941.46"/>
    <x v="1"/>
    <x v="4"/>
    <s v="AutoPost 940"/>
    <s v="AUD"/>
    <x v="9"/>
    <n v="2941.46"/>
    <m/>
    <n v="2941.46"/>
    <s v="N/A"/>
    <x v="1"/>
    <x v="1"/>
  </r>
  <r>
    <s v="GL000941"/>
    <d v="2024-04-26T00:00:00"/>
    <x v="2"/>
    <x v="2"/>
    <n v="1900.12"/>
    <n v="0"/>
    <x v="5"/>
    <x v="1"/>
    <s v="AutoPost 941"/>
    <s v="USD"/>
    <x v="7"/>
    <n v="-1900.12"/>
    <m/>
    <n v="-1900.12"/>
    <s v="N/A"/>
    <x v="1"/>
    <x v="0"/>
  </r>
  <r>
    <s v="GL000942"/>
    <d v="2023-03-21T00:00:00"/>
    <x v="4"/>
    <x v="4"/>
    <n v="0"/>
    <n v="1951.17"/>
    <x v="0"/>
    <x v="2"/>
    <s v="AutoPost 942"/>
    <s v="AUD"/>
    <x v="18"/>
    <n v="1951.17"/>
    <m/>
    <n v="1951.17"/>
    <s v="N/A"/>
    <x v="1"/>
    <x v="1"/>
  </r>
  <r>
    <s v="GL000943"/>
    <d v="2025-04-14T00:00:00"/>
    <x v="1"/>
    <x v="1"/>
    <n v="1649.25"/>
    <n v="0"/>
    <x v="4"/>
    <x v="3"/>
    <s v="AutoPost 943"/>
    <s v="CAD"/>
    <x v="12"/>
    <n v="-1649.25"/>
    <m/>
    <n v="-1649.25"/>
    <s v="N/A"/>
    <x v="1"/>
    <x v="0"/>
  </r>
  <r>
    <s v="GL000944"/>
    <d v="2024-12-16T00:00:00"/>
    <x v="2"/>
    <x v="2"/>
    <n v="770.2"/>
    <n v="0"/>
    <x v="2"/>
    <x v="3"/>
    <s v="AutoPost 944"/>
    <s v="AUD"/>
    <x v="23"/>
    <n v="-770.2"/>
    <m/>
    <n v="-770.2"/>
    <s v="N/A"/>
    <x v="1"/>
    <x v="0"/>
  </r>
  <r>
    <s v="GL000945"/>
    <d v="2024-05-28T00:00:00"/>
    <x v="2"/>
    <x v="2"/>
    <n v="202.11"/>
    <n v="0"/>
    <x v="1"/>
    <x v="1"/>
    <s v="AutoPost 945"/>
    <s v="AUD"/>
    <x v="0"/>
    <n v="-202.11"/>
    <m/>
    <n v="-202.11"/>
    <s v="N/A"/>
    <x v="1"/>
    <x v="0"/>
  </r>
  <r>
    <s v="GL000946"/>
    <d v="2024-02-21T00:00:00"/>
    <x v="2"/>
    <x v="2"/>
    <n v="1844.72"/>
    <n v="0"/>
    <x v="3"/>
    <x v="0"/>
    <s v="AutoPost 946"/>
    <s v="CAD"/>
    <x v="11"/>
    <n v="-1844.72"/>
    <m/>
    <n v="-1844.72"/>
    <s v="N/A"/>
    <x v="1"/>
    <x v="0"/>
  </r>
  <r>
    <s v="GL000947"/>
    <d v="2023-01-20T00:00:00"/>
    <x v="4"/>
    <x v="4"/>
    <n v="0"/>
    <n v="1995.59"/>
    <x v="4"/>
    <x v="1"/>
    <s v="AutoPost 947"/>
    <s v="EUR"/>
    <x v="14"/>
    <n v="1995.59"/>
    <m/>
    <n v="1995.59"/>
    <s v="N/A"/>
    <x v="1"/>
    <x v="1"/>
  </r>
  <r>
    <s v="GL000948"/>
    <d v="2023-09-26T00:00:00"/>
    <x v="1"/>
    <x v="1"/>
    <n v="1875.24"/>
    <n v="0"/>
    <x v="1"/>
    <x v="0"/>
    <s v="AutoPost 948"/>
    <s v="USD"/>
    <x v="3"/>
    <n v="-1875.24"/>
    <m/>
    <n v="-1875.24"/>
    <s v="N/A"/>
    <x v="1"/>
    <x v="0"/>
  </r>
  <r>
    <s v="GL000949"/>
    <d v="2025-01-28T00:00:00"/>
    <x v="3"/>
    <x v="3"/>
    <n v="80.59"/>
    <n v="0"/>
    <x v="0"/>
    <x v="2"/>
    <s v="AutoPost 949"/>
    <s v="GBP"/>
    <x v="2"/>
    <n v="-80.59"/>
    <m/>
    <n v="-80.59"/>
    <s v="N/A"/>
    <x v="1"/>
    <x v="0"/>
  </r>
  <r>
    <s v="GL000950"/>
    <d v="2023-07-24T00:00:00"/>
    <x v="3"/>
    <x v="3"/>
    <n v="445.11"/>
    <n v="0"/>
    <x v="2"/>
    <x v="1"/>
    <s v="AutoPost 950"/>
    <s v="AUD"/>
    <x v="17"/>
    <n v="-445.11"/>
    <m/>
    <n v="-445.11"/>
    <s v="N/A"/>
    <x v="1"/>
    <x v="0"/>
  </r>
  <r>
    <s v="GL000951"/>
    <d v="2024-05-12T00:00:00"/>
    <x v="4"/>
    <x v="4"/>
    <n v="0"/>
    <n v="2882.01"/>
    <x v="3"/>
    <x v="0"/>
    <s v="AutoPost 951"/>
    <s v="USD"/>
    <x v="0"/>
    <n v="2882.01"/>
    <m/>
    <n v="2882.01"/>
    <s v="N/A"/>
    <x v="1"/>
    <x v="1"/>
  </r>
  <r>
    <s v="GL000952"/>
    <d v="2023-04-18T00:00:00"/>
    <x v="1"/>
    <x v="1"/>
    <n v="788.01"/>
    <n v="0"/>
    <x v="1"/>
    <x v="3"/>
    <s v="AutoPost 952"/>
    <s v="GBP"/>
    <x v="8"/>
    <n v="-788.01"/>
    <m/>
    <n v="-788.01"/>
    <s v="N/A"/>
    <x v="1"/>
    <x v="0"/>
  </r>
  <r>
    <s v="GL000953"/>
    <d v="2023-06-21T00:00:00"/>
    <x v="4"/>
    <x v="4"/>
    <n v="0"/>
    <n v="1052.22"/>
    <x v="2"/>
    <x v="3"/>
    <s v="AutoPost 953"/>
    <s v="CAD"/>
    <x v="22"/>
    <n v="1052.22"/>
    <m/>
    <n v="1052.22"/>
    <s v="N/A"/>
    <x v="1"/>
    <x v="1"/>
  </r>
  <r>
    <s v="GL000954"/>
    <d v="2023-04-17T00:00:00"/>
    <x v="4"/>
    <x v="4"/>
    <n v="0"/>
    <n v="583.57000000000005"/>
    <x v="0"/>
    <x v="1"/>
    <s v="AutoPost 954"/>
    <s v="USD"/>
    <x v="8"/>
    <n v="583.57000000000005"/>
    <m/>
    <n v="583.57000000000005"/>
    <s v="N/A"/>
    <x v="1"/>
    <x v="1"/>
  </r>
  <r>
    <s v="GL000955"/>
    <d v="2025-02-25T00:00:00"/>
    <x v="1"/>
    <x v="1"/>
    <n v="1472.38"/>
    <n v="0"/>
    <x v="1"/>
    <x v="1"/>
    <s v="AutoPost 955"/>
    <s v="USD"/>
    <x v="28"/>
    <n v="-1472.38"/>
    <m/>
    <n v="-1472.38"/>
    <s v="N/A"/>
    <x v="1"/>
    <x v="0"/>
  </r>
  <r>
    <s v="GL000956"/>
    <d v="2023-09-27T00:00:00"/>
    <x v="1"/>
    <x v="1"/>
    <n v="1444.24"/>
    <n v="0"/>
    <x v="4"/>
    <x v="1"/>
    <s v="AutoPost 956"/>
    <s v="GBP"/>
    <x v="3"/>
    <n v="-1444.24"/>
    <m/>
    <n v="-1444.24"/>
    <s v="N/A"/>
    <x v="1"/>
    <x v="0"/>
  </r>
  <r>
    <s v="GL000957"/>
    <d v="2025-06-04T00:00:00"/>
    <x v="2"/>
    <x v="2"/>
    <n v="746.97"/>
    <n v="0"/>
    <x v="5"/>
    <x v="4"/>
    <s v="AutoPost 957"/>
    <s v="USD"/>
    <x v="19"/>
    <n v="-746.97"/>
    <m/>
    <n v="-746.97"/>
    <s v="N/A"/>
    <x v="1"/>
    <x v="0"/>
  </r>
  <r>
    <s v="GL000958"/>
    <d v="2024-07-13T00:00:00"/>
    <x v="3"/>
    <x v="3"/>
    <n v="1912.71"/>
    <n v="0"/>
    <x v="5"/>
    <x v="3"/>
    <s v="AutoPost 958"/>
    <s v="AUD"/>
    <x v="21"/>
    <n v="-1912.71"/>
    <m/>
    <n v="-1912.71"/>
    <s v="N/A"/>
    <x v="1"/>
    <x v="0"/>
  </r>
  <r>
    <s v="GL000959"/>
    <d v="2023-07-29T00:00:00"/>
    <x v="2"/>
    <x v="2"/>
    <n v="1714.13"/>
    <n v="0"/>
    <x v="0"/>
    <x v="0"/>
    <s v="AutoPost 959"/>
    <s v="CAD"/>
    <x v="17"/>
    <n v="-1714.13"/>
    <m/>
    <n v="-1714.13"/>
    <s v="N/A"/>
    <x v="1"/>
    <x v="0"/>
  </r>
  <r>
    <s v="GL000960"/>
    <d v="2024-09-16T00:00:00"/>
    <x v="1"/>
    <x v="1"/>
    <n v="996.13"/>
    <n v="0"/>
    <x v="2"/>
    <x v="3"/>
    <s v="AutoPost 960"/>
    <s v="EUR"/>
    <x v="15"/>
    <n v="-996.13"/>
    <m/>
    <n v="-996.13"/>
    <s v="N/A"/>
    <x v="1"/>
    <x v="0"/>
  </r>
  <r>
    <s v="GL000961"/>
    <d v="2024-08-19T00:00:00"/>
    <x v="1"/>
    <x v="1"/>
    <n v="1735.24"/>
    <n v="0"/>
    <x v="0"/>
    <x v="3"/>
    <s v="AutoPost 961"/>
    <s v="CAD"/>
    <x v="25"/>
    <n v="-1735.24"/>
    <m/>
    <n v="-1735.24"/>
    <s v="N/A"/>
    <x v="1"/>
    <x v="0"/>
  </r>
  <r>
    <s v="GL000962"/>
    <d v="2023-01-09T00:00:00"/>
    <x v="2"/>
    <x v="2"/>
    <n v="1782.36"/>
    <n v="0"/>
    <x v="1"/>
    <x v="3"/>
    <s v="AutoPost 962"/>
    <s v="CAD"/>
    <x v="14"/>
    <n v="-1782.36"/>
    <m/>
    <n v="-1782.36"/>
    <s v="N/A"/>
    <x v="1"/>
    <x v="0"/>
  </r>
  <r>
    <s v="GL000963"/>
    <d v="2024-02-19T00:00:00"/>
    <x v="3"/>
    <x v="3"/>
    <n v="288.13"/>
    <n v="0"/>
    <x v="0"/>
    <x v="1"/>
    <s v="AutoPost 963"/>
    <s v="GBP"/>
    <x v="11"/>
    <n v="-288.13"/>
    <m/>
    <n v="-288.13"/>
    <s v="N/A"/>
    <x v="1"/>
    <x v="0"/>
  </r>
  <r>
    <s v="GL000964"/>
    <d v="2024-05-07T00:00:00"/>
    <x v="2"/>
    <x v="2"/>
    <n v="760.63"/>
    <n v="0"/>
    <x v="4"/>
    <x v="4"/>
    <s v="AutoPost 964"/>
    <s v="EUR"/>
    <x v="0"/>
    <n v="-760.63"/>
    <m/>
    <n v="-760.63"/>
    <s v="N/A"/>
    <x v="1"/>
    <x v="0"/>
  </r>
  <r>
    <s v="GL000965"/>
    <d v="2023-06-15T00:00:00"/>
    <x v="4"/>
    <x v="4"/>
    <n v="0"/>
    <n v="4555.41"/>
    <x v="5"/>
    <x v="3"/>
    <s v="AutoPost 965"/>
    <s v="GBP"/>
    <x v="22"/>
    <n v="4555.41"/>
    <m/>
    <n v="4555.41"/>
    <s v="N/A"/>
    <x v="1"/>
    <x v="1"/>
  </r>
  <r>
    <s v="GL000966"/>
    <d v="2023-05-03T00:00:00"/>
    <x v="0"/>
    <x v="0"/>
    <n v="0"/>
    <n v="1864.27"/>
    <x v="1"/>
    <x v="0"/>
    <s v="AutoPost 966"/>
    <s v="USD"/>
    <x v="29"/>
    <n v="1864.27"/>
    <m/>
    <n v="1864.27"/>
    <s v="N/A"/>
    <x v="1"/>
    <x v="1"/>
  </r>
  <r>
    <s v="GL000967"/>
    <d v="2025-02-02T00:00:00"/>
    <x v="4"/>
    <x v="4"/>
    <n v="0"/>
    <n v="705.16"/>
    <x v="2"/>
    <x v="3"/>
    <s v="AutoPost 967"/>
    <s v="USD"/>
    <x v="28"/>
    <n v="705.16"/>
    <m/>
    <n v="705.16"/>
    <s v="N/A"/>
    <x v="1"/>
    <x v="1"/>
  </r>
  <r>
    <s v="GL000968"/>
    <d v="2023-07-31T00:00:00"/>
    <x v="0"/>
    <x v="0"/>
    <n v="0"/>
    <n v="2558.2800000000002"/>
    <x v="1"/>
    <x v="0"/>
    <s v="AutoPost 968"/>
    <s v="CAD"/>
    <x v="17"/>
    <n v="2558.2800000000002"/>
    <m/>
    <n v="2558.2800000000002"/>
    <s v="N/A"/>
    <x v="1"/>
    <x v="1"/>
  </r>
  <r>
    <s v="GL000969"/>
    <d v="2023-01-20T00:00:00"/>
    <x v="4"/>
    <x v="4"/>
    <n v="0"/>
    <n v="583.33000000000004"/>
    <x v="3"/>
    <x v="1"/>
    <s v="AutoPost 969"/>
    <s v="AUD"/>
    <x v="14"/>
    <n v="583.33000000000004"/>
    <m/>
    <n v="583.33000000000004"/>
    <s v="N/A"/>
    <x v="1"/>
    <x v="1"/>
  </r>
  <r>
    <s v="GL000970"/>
    <d v="2024-12-03T00:00:00"/>
    <x v="4"/>
    <x v="4"/>
    <n v="0"/>
    <n v="2126.6999999999998"/>
    <x v="1"/>
    <x v="2"/>
    <s v="AutoPost 970"/>
    <s v="USD"/>
    <x v="23"/>
    <n v="2126.6999999999998"/>
    <m/>
    <n v="2126.6999999999998"/>
    <s v="N/A"/>
    <x v="1"/>
    <x v="1"/>
  </r>
  <r>
    <s v="GL000971"/>
    <d v="2025-01-01T00:00:00"/>
    <x v="2"/>
    <x v="2"/>
    <n v="409.25"/>
    <n v="0"/>
    <x v="5"/>
    <x v="4"/>
    <s v="AutoPost 971"/>
    <s v="CAD"/>
    <x v="2"/>
    <n v="-409.25"/>
    <m/>
    <n v="-409.25"/>
    <s v="N/A"/>
    <x v="1"/>
    <x v="0"/>
  </r>
  <r>
    <s v="GL000972"/>
    <d v="2024-04-21T00:00:00"/>
    <x v="4"/>
    <x v="4"/>
    <n v="0"/>
    <n v="546.70000000000005"/>
    <x v="0"/>
    <x v="4"/>
    <s v="AutoPost 972"/>
    <s v="EUR"/>
    <x v="7"/>
    <n v="546.70000000000005"/>
    <m/>
    <n v="546.70000000000005"/>
    <s v="N/A"/>
    <x v="1"/>
    <x v="1"/>
  </r>
  <r>
    <s v="GL000973"/>
    <d v="2025-03-06T00:00:00"/>
    <x v="3"/>
    <x v="3"/>
    <n v="1708.86"/>
    <n v="0"/>
    <x v="1"/>
    <x v="3"/>
    <s v="AutoPost 973"/>
    <s v="CAD"/>
    <x v="13"/>
    <n v="-1708.86"/>
    <m/>
    <n v="-1708.86"/>
    <s v="N/A"/>
    <x v="1"/>
    <x v="0"/>
  </r>
  <r>
    <s v="GL000974"/>
    <d v="2023-07-19T00:00:00"/>
    <x v="1"/>
    <x v="1"/>
    <n v="1155.1300000000001"/>
    <n v="0"/>
    <x v="5"/>
    <x v="2"/>
    <s v="AutoPost 974"/>
    <s v="GBP"/>
    <x v="17"/>
    <n v="-1155.1300000000001"/>
    <m/>
    <n v="-1155.1300000000001"/>
    <s v="N/A"/>
    <x v="1"/>
    <x v="0"/>
  </r>
  <r>
    <s v="GL000975"/>
    <d v="2024-10-10T00:00:00"/>
    <x v="3"/>
    <x v="3"/>
    <n v="906.36"/>
    <n v="0"/>
    <x v="2"/>
    <x v="1"/>
    <s v="AutoPost 975"/>
    <s v="AUD"/>
    <x v="26"/>
    <n v="-906.36"/>
    <m/>
    <n v="-906.36"/>
    <s v="N/A"/>
    <x v="1"/>
    <x v="0"/>
  </r>
  <r>
    <s v="GL000976"/>
    <d v="2024-02-27T00:00:00"/>
    <x v="0"/>
    <x v="0"/>
    <n v="0"/>
    <n v="1026.19"/>
    <x v="3"/>
    <x v="1"/>
    <s v="AutoPost 976"/>
    <s v="AUD"/>
    <x v="11"/>
    <n v="1026.19"/>
    <m/>
    <n v="1026.19"/>
    <s v="N/A"/>
    <x v="1"/>
    <x v="1"/>
  </r>
  <r>
    <s v="GL000977"/>
    <d v="2024-09-05T00:00:00"/>
    <x v="3"/>
    <x v="3"/>
    <n v="1571.91"/>
    <n v="0"/>
    <x v="2"/>
    <x v="4"/>
    <s v="AutoPost 977"/>
    <s v="CAD"/>
    <x v="15"/>
    <n v="-1571.91"/>
    <m/>
    <n v="-1571.91"/>
    <s v="N/A"/>
    <x v="1"/>
    <x v="0"/>
  </r>
  <r>
    <s v="GL000978"/>
    <d v="2025-05-22T00:00:00"/>
    <x v="0"/>
    <x v="0"/>
    <n v="0"/>
    <n v="504.44"/>
    <x v="5"/>
    <x v="1"/>
    <s v="AutoPost 978"/>
    <s v="USD"/>
    <x v="5"/>
    <n v="504.44"/>
    <m/>
    <n v="504.44"/>
    <s v="N/A"/>
    <x v="1"/>
    <x v="1"/>
  </r>
  <r>
    <s v="GL000979"/>
    <d v="2025-01-27T00:00:00"/>
    <x v="0"/>
    <x v="0"/>
    <n v="0"/>
    <n v="2486.2199999999998"/>
    <x v="2"/>
    <x v="4"/>
    <s v="AutoPost 979"/>
    <s v="GBP"/>
    <x v="2"/>
    <n v="2486.2199999999998"/>
    <m/>
    <n v="2486.2199999999998"/>
    <s v="N/A"/>
    <x v="1"/>
    <x v="1"/>
  </r>
  <r>
    <s v="GL000980"/>
    <d v="2025-02-17T00:00:00"/>
    <x v="3"/>
    <x v="3"/>
    <n v="397.17"/>
    <n v="0"/>
    <x v="4"/>
    <x v="3"/>
    <s v="AutoPost 980"/>
    <s v="EUR"/>
    <x v="28"/>
    <n v="-397.17"/>
    <m/>
    <n v="-397.17"/>
    <s v="N/A"/>
    <x v="1"/>
    <x v="0"/>
  </r>
  <r>
    <s v="GL000981"/>
    <d v="2024-08-30T00:00:00"/>
    <x v="3"/>
    <x v="3"/>
    <n v="1558.38"/>
    <n v="0"/>
    <x v="4"/>
    <x v="3"/>
    <s v="AutoPost 981"/>
    <s v="GBP"/>
    <x v="25"/>
    <n v="-1558.38"/>
    <m/>
    <n v="-1558.38"/>
    <s v="N/A"/>
    <x v="1"/>
    <x v="0"/>
  </r>
  <r>
    <s v="GL000982"/>
    <d v="2023-12-10T00:00:00"/>
    <x v="0"/>
    <x v="0"/>
    <n v="0"/>
    <n v="1902.31"/>
    <x v="3"/>
    <x v="2"/>
    <s v="AutoPost 982"/>
    <s v="USD"/>
    <x v="6"/>
    <n v="1902.31"/>
    <m/>
    <n v="1902.31"/>
    <s v="N/A"/>
    <x v="1"/>
    <x v="1"/>
  </r>
  <r>
    <s v="GL000983"/>
    <d v="2024-11-08T00:00:00"/>
    <x v="2"/>
    <x v="2"/>
    <n v="330.31"/>
    <n v="0"/>
    <x v="3"/>
    <x v="2"/>
    <s v="AutoPost 983"/>
    <s v="EUR"/>
    <x v="10"/>
    <n v="-330.31"/>
    <m/>
    <n v="-330.31"/>
    <s v="N/A"/>
    <x v="1"/>
    <x v="0"/>
  </r>
  <r>
    <s v="GL000984"/>
    <d v="2024-07-29T00:00:00"/>
    <x v="4"/>
    <x v="4"/>
    <n v="0"/>
    <n v="369.23"/>
    <x v="5"/>
    <x v="1"/>
    <s v="AutoPost 984"/>
    <s v="AUD"/>
    <x v="21"/>
    <n v="369.23"/>
    <m/>
    <n v="369.23"/>
    <s v="N/A"/>
    <x v="1"/>
    <x v="1"/>
  </r>
  <r>
    <s v="GL000985"/>
    <d v="2023-07-23T00:00:00"/>
    <x v="4"/>
    <x v="4"/>
    <n v="0"/>
    <n v="2516.86"/>
    <x v="1"/>
    <x v="3"/>
    <s v="AutoPost 985"/>
    <s v="EUR"/>
    <x v="17"/>
    <n v="2516.86"/>
    <m/>
    <n v="2516.86"/>
    <s v="N/A"/>
    <x v="1"/>
    <x v="1"/>
  </r>
  <r>
    <s v="GL000986"/>
    <d v="2025-04-22T00:00:00"/>
    <x v="4"/>
    <x v="4"/>
    <n v="0"/>
    <n v="2267.1999999999998"/>
    <x v="4"/>
    <x v="1"/>
    <s v="AutoPost 986"/>
    <s v="AUD"/>
    <x v="12"/>
    <n v="2267.1999999999998"/>
    <m/>
    <n v="2267.1999999999998"/>
    <s v="N/A"/>
    <x v="1"/>
    <x v="1"/>
  </r>
  <r>
    <s v="GL000987"/>
    <d v="2024-10-07T00:00:00"/>
    <x v="1"/>
    <x v="1"/>
    <n v="270.42"/>
    <n v="0"/>
    <x v="2"/>
    <x v="0"/>
    <s v="AutoPost 987"/>
    <s v="CAD"/>
    <x v="26"/>
    <n v="-270.42"/>
    <m/>
    <n v="-270.42"/>
    <s v="N/A"/>
    <x v="1"/>
    <x v="0"/>
  </r>
  <r>
    <s v="GL000988"/>
    <d v="2024-10-22T00:00:00"/>
    <x v="0"/>
    <x v="0"/>
    <n v="0"/>
    <n v="1807.47"/>
    <x v="4"/>
    <x v="3"/>
    <s v="AutoPost 988"/>
    <s v="USD"/>
    <x v="26"/>
    <n v="1807.47"/>
    <m/>
    <n v="1807.47"/>
    <s v="N/A"/>
    <x v="1"/>
    <x v="1"/>
  </r>
  <r>
    <s v="GL000989"/>
    <d v="2025-03-07T00:00:00"/>
    <x v="1"/>
    <x v="1"/>
    <n v="1404.46"/>
    <n v="0"/>
    <x v="2"/>
    <x v="1"/>
    <s v="AutoPost 989"/>
    <s v="CAD"/>
    <x v="13"/>
    <n v="-1404.46"/>
    <m/>
    <n v="-1404.46"/>
    <s v="N/A"/>
    <x v="1"/>
    <x v="0"/>
  </r>
  <r>
    <s v="GL000990"/>
    <d v="2025-01-10T00:00:00"/>
    <x v="2"/>
    <x v="2"/>
    <n v="1628.38"/>
    <n v="0"/>
    <x v="5"/>
    <x v="0"/>
    <s v="AutoPost 990"/>
    <s v="CAD"/>
    <x v="2"/>
    <n v="-1628.38"/>
    <m/>
    <n v="-1628.38"/>
    <s v="N/A"/>
    <x v="1"/>
    <x v="0"/>
  </r>
  <r>
    <s v="GL000991"/>
    <d v="2023-07-25T00:00:00"/>
    <x v="3"/>
    <x v="3"/>
    <n v="1593.21"/>
    <n v="0"/>
    <x v="1"/>
    <x v="3"/>
    <s v="AutoPost 991"/>
    <s v="EUR"/>
    <x v="17"/>
    <n v="-1593.21"/>
    <m/>
    <n v="-1593.21"/>
    <s v="N/A"/>
    <x v="1"/>
    <x v="0"/>
  </r>
  <r>
    <s v="GL000992"/>
    <d v="2023-12-15T00:00:00"/>
    <x v="0"/>
    <x v="0"/>
    <n v="0"/>
    <n v="3100.79"/>
    <x v="4"/>
    <x v="3"/>
    <s v="AutoPost 992"/>
    <s v="CAD"/>
    <x v="6"/>
    <n v="3100.79"/>
    <m/>
    <n v="3100.79"/>
    <s v="N/A"/>
    <x v="1"/>
    <x v="1"/>
  </r>
  <r>
    <s v="GL000993"/>
    <d v="2023-07-20T00:00:00"/>
    <x v="1"/>
    <x v="1"/>
    <n v="759.38"/>
    <n v="0"/>
    <x v="0"/>
    <x v="4"/>
    <s v="AutoPost 993"/>
    <s v="AUD"/>
    <x v="17"/>
    <n v="-759.38"/>
    <m/>
    <n v="-759.38"/>
    <s v="N/A"/>
    <x v="1"/>
    <x v="0"/>
  </r>
  <r>
    <s v="GL000994"/>
    <d v="2024-12-29T00:00:00"/>
    <x v="2"/>
    <x v="2"/>
    <n v="818.52"/>
    <n v="0"/>
    <x v="0"/>
    <x v="0"/>
    <s v="AutoPost 994"/>
    <s v="GBP"/>
    <x v="23"/>
    <n v="-818.52"/>
    <m/>
    <n v="-818.52"/>
    <s v="N/A"/>
    <x v="1"/>
    <x v="0"/>
  </r>
  <r>
    <s v="GL000995"/>
    <d v="2023-02-01T00:00:00"/>
    <x v="2"/>
    <x v="2"/>
    <n v="1003.28"/>
    <n v="0"/>
    <x v="0"/>
    <x v="3"/>
    <s v="AutoPost 995"/>
    <s v="AUD"/>
    <x v="24"/>
    <n v="-1003.28"/>
    <m/>
    <n v="-1003.28"/>
    <s v="N/A"/>
    <x v="1"/>
    <x v="0"/>
  </r>
  <r>
    <s v="GL000996"/>
    <d v="2024-03-26T00:00:00"/>
    <x v="4"/>
    <x v="4"/>
    <n v="0"/>
    <n v="3683.5"/>
    <x v="4"/>
    <x v="4"/>
    <s v="AutoPost 996"/>
    <s v="USD"/>
    <x v="16"/>
    <n v="3683.5"/>
    <m/>
    <n v="3683.5"/>
    <s v="N/A"/>
    <x v="1"/>
    <x v="1"/>
  </r>
  <r>
    <s v="GL000997"/>
    <d v="2025-03-09T00:00:00"/>
    <x v="3"/>
    <x v="3"/>
    <n v="1336.12"/>
    <n v="0"/>
    <x v="0"/>
    <x v="4"/>
    <s v="AutoPost 997"/>
    <s v="CAD"/>
    <x v="13"/>
    <n v="-1336.12"/>
    <m/>
    <n v="-1336.12"/>
    <s v="N/A"/>
    <x v="1"/>
    <x v="0"/>
  </r>
  <r>
    <s v="GL000998"/>
    <d v="2024-07-17T00:00:00"/>
    <x v="0"/>
    <x v="0"/>
    <n v="0"/>
    <n v="142.47999999999999"/>
    <x v="4"/>
    <x v="4"/>
    <s v="AutoPost 998"/>
    <s v="GBP"/>
    <x v="21"/>
    <n v="142.47999999999999"/>
    <m/>
    <n v="142.47999999999999"/>
    <s v="N/A"/>
    <x v="1"/>
    <x v="1"/>
  </r>
  <r>
    <s v="GL000999"/>
    <d v="2025-05-20T00:00:00"/>
    <x v="2"/>
    <x v="2"/>
    <n v="225.03"/>
    <n v="0"/>
    <x v="0"/>
    <x v="4"/>
    <s v="AutoPost 999"/>
    <s v="CAD"/>
    <x v="5"/>
    <n v="-225.03"/>
    <m/>
    <n v="-225.03"/>
    <s v="N/A"/>
    <x v="1"/>
    <x v="0"/>
  </r>
  <r>
    <s v="GL001000"/>
    <d v="2025-02-13T00:00:00"/>
    <x v="1"/>
    <x v="1"/>
    <n v="1959.72"/>
    <n v="0"/>
    <x v="0"/>
    <x v="3"/>
    <s v="AutoPost 1000"/>
    <s v="AUD"/>
    <x v="28"/>
    <n v="-1959.72"/>
    <m/>
    <n v="-1959.72"/>
    <s v="N/A"/>
    <x v="1"/>
    <x v="0"/>
  </r>
  <r>
    <s v="GL001001"/>
    <d v="2024-08-24T00:00:00"/>
    <x v="2"/>
    <x v="2"/>
    <n v="459.97"/>
    <n v="0"/>
    <x v="0"/>
    <x v="4"/>
    <s v="AutoPost 1001"/>
    <s v="USD"/>
    <x v="25"/>
    <n v="-459.97"/>
    <m/>
    <n v="-459.97"/>
    <s v="N/A"/>
    <x v="1"/>
    <x v="0"/>
  </r>
  <r>
    <s v="GL001002"/>
    <d v="2024-05-08T00:00:00"/>
    <x v="0"/>
    <x v="0"/>
    <n v="0"/>
    <n v="1518.16"/>
    <x v="2"/>
    <x v="0"/>
    <s v="AutoPost 1002"/>
    <s v="USD"/>
    <x v="0"/>
    <n v="1518.16"/>
    <m/>
    <n v="1518.16"/>
    <s v="N/A"/>
    <x v="1"/>
    <x v="1"/>
  </r>
  <r>
    <s v="GL001003"/>
    <d v="2024-06-28T00:00:00"/>
    <x v="2"/>
    <x v="2"/>
    <n v="1278.1199999999999"/>
    <n v="0"/>
    <x v="5"/>
    <x v="0"/>
    <s v="AutoPost 1003"/>
    <s v="EUR"/>
    <x v="1"/>
    <n v="-1278.1199999999999"/>
    <m/>
    <n v="-1278.1199999999999"/>
    <s v="N/A"/>
    <x v="1"/>
    <x v="0"/>
  </r>
  <r>
    <s v="GL001004"/>
    <d v="2024-04-28T00:00:00"/>
    <x v="1"/>
    <x v="1"/>
    <n v="1956.42"/>
    <n v="0"/>
    <x v="0"/>
    <x v="4"/>
    <s v="AutoPost 1004"/>
    <s v="EUR"/>
    <x v="7"/>
    <n v="-1956.42"/>
    <m/>
    <n v="-1956.42"/>
    <s v="N/A"/>
    <x v="1"/>
    <x v="0"/>
  </r>
  <r>
    <s v="GL001005"/>
    <d v="2024-06-02T00:00:00"/>
    <x v="3"/>
    <x v="3"/>
    <n v="1816.11"/>
    <n v="0"/>
    <x v="2"/>
    <x v="2"/>
    <s v="AutoPost 1005"/>
    <s v="GBP"/>
    <x v="1"/>
    <n v="-1816.11"/>
    <m/>
    <n v="-1816.11"/>
    <s v="N/A"/>
    <x v="1"/>
    <x v="0"/>
  </r>
  <r>
    <s v="GL001006"/>
    <d v="2024-11-19T00:00:00"/>
    <x v="1"/>
    <x v="1"/>
    <n v="1309.5"/>
    <n v="0"/>
    <x v="4"/>
    <x v="1"/>
    <s v="AutoPost 1006"/>
    <s v="EUR"/>
    <x v="10"/>
    <n v="-1309.5"/>
    <m/>
    <n v="-1309.5"/>
    <s v="N/A"/>
    <x v="1"/>
    <x v="0"/>
  </r>
  <r>
    <s v="GL001007"/>
    <d v="2023-06-24T00:00:00"/>
    <x v="1"/>
    <x v="1"/>
    <n v="316.43"/>
    <n v="0"/>
    <x v="2"/>
    <x v="4"/>
    <s v="AutoPost 1007"/>
    <s v="EUR"/>
    <x v="22"/>
    <n v="-316.43"/>
    <m/>
    <n v="-316.43"/>
    <s v="N/A"/>
    <x v="1"/>
    <x v="0"/>
  </r>
  <r>
    <s v="GL001008"/>
    <d v="2024-04-25T00:00:00"/>
    <x v="0"/>
    <x v="0"/>
    <n v="0"/>
    <n v="4239.59"/>
    <x v="0"/>
    <x v="4"/>
    <s v="AutoPost 1008"/>
    <s v="EUR"/>
    <x v="7"/>
    <n v="4239.59"/>
    <m/>
    <n v="4239.59"/>
    <s v="N/A"/>
    <x v="1"/>
    <x v="1"/>
  </r>
  <r>
    <s v="GL001009"/>
    <d v="2024-11-11T00:00:00"/>
    <x v="1"/>
    <x v="1"/>
    <n v="497.55"/>
    <n v="0"/>
    <x v="0"/>
    <x v="1"/>
    <s v="AutoPost 1009"/>
    <s v="GBP"/>
    <x v="10"/>
    <n v="-497.55"/>
    <m/>
    <n v="-497.55"/>
    <s v="N/A"/>
    <x v="1"/>
    <x v="0"/>
  </r>
  <r>
    <s v="GL001010"/>
    <d v="2025-03-13T00:00:00"/>
    <x v="2"/>
    <x v="2"/>
    <n v="1978.21"/>
    <n v="0"/>
    <x v="1"/>
    <x v="0"/>
    <s v="AutoPost 1010"/>
    <s v="USD"/>
    <x v="13"/>
    <n v="-1978.21"/>
    <m/>
    <n v="-1978.21"/>
    <s v="N/A"/>
    <x v="1"/>
    <x v="0"/>
  </r>
  <r>
    <s v="GL001011"/>
    <d v="2023-05-09T00:00:00"/>
    <x v="1"/>
    <x v="1"/>
    <n v="1691.11"/>
    <n v="0"/>
    <x v="2"/>
    <x v="1"/>
    <s v="AutoPost 1011"/>
    <s v="GBP"/>
    <x v="29"/>
    <n v="-1691.11"/>
    <m/>
    <n v="-1691.11"/>
    <s v="N/A"/>
    <x v="1"/>
    <x v="0"/>
  </r>
  <r>
    <s v="GL001012"/>
    <d v="2023-12-22T00:00:00"/>
    <x v="0"/>
    <x v="0"/>
    <n v="0"/>
    <n v="3238.48"/>
    <x v="0"/>
    <x v="1"/>
    <s v="AutoPost 1012"/>
    <s v="GBP"/>
    <x v="6"/>
    <n v="3238.48"/>
    <m/>
    <n v="3238.48"/>
    <s v="N/A"/>
    <x v="1"/>
    <x v="1"/>
  </r>
  <r>
    <s v="GL001013"/>
    <d v="2023-01-29T00:00:00"/>
    <x v="4"/>
    <x v="4"/>
    <n v="0"/>
    <n v="2318.9699999999998"/>
    <x v="5"/>
    <x v="0"/>
    <s v="AutoPost 1013"/>
    <s v="AUD"/>
    <x v="14"/>
    <n v="2318.9699999999998"/>
    <m/>
    <n v="2318.9699999999998"/>
    <s v="N/A"/>
    <x v="1"/>
    <x v="1"/>
  </r>
  <r>
    <s v="GL001014"/>
    <d v="2023-11-25T00:00:00"/>
    <x v="1"/>
    <x v="1"/>
    <n v="683.66"/>
    <n v="0"/>
    <x v="1"/>
    <x v="3"/>
    <s v="AutoPost 1014"/>
    <s v="AUD"/>
    <x v="9"/>
    <n v="-683.66"/>
    <m/>
    <n v="-683.66"/>
    <s v="N/A"/>
    <x v="1"/>
    <x v="0"/>
  </r>
  <r>
    <s v="GL001015"/>
    <d v="2023-06-10T00:00:00"/>
    <x v="2"/>
    <x v="2"/>
    <n v="1309.76"/>
    <n v="0"/>
    <x v="1"/>
    <x v="0"/>
    <s v="AutoPost 1015"/>
    <s v="AUD"/>
    <x v="22"/>
    <n v="-1309.76"/>
    <m/>
    <n v="-1309.76"/>
    <s v="N/A"/>
    <x v="1"/>
    <x v="0"/>
  </r>
  <r>
    <s v="GL001016"/>
    <d v="2023-04-01T00:00:00"/>
    <x v="2"/>
    <x v="2"/>
    <n v="988.94"/>
    <n v="0"/>
    <x v="5"/>
    <x v="3"/>
    <s v="AutoPost 1016"/>
    <s v="USD"/>
    <x v="8"/>
    <n v="-988.94"/>
    <m/>
    <n v="-988.94"/>
    <s v="N/A"/>
    <x v="1"/>
    <x v="0"/>
  </r>
  <r>
    <s v="GL001017"/>
    <d v="2024-12-16T00:00:00"/>
    <x v="0"/>
    <x v="0"/>
    <n v="0"/>
    <n v="3981.75"/>
    <x v="4"/>
    <x v="2"/>
    <s v="AutoPost 1017"/>
    <s v="AUD"/>
    <x v="23"/>
    <n v="3981.75"/>
    <m/>
    <n v="3981.75"/>
    <s v="N/A"/>
    <x v="1"/>
    <x v="1"/>
  </r>
  <r>
    <s v="GL001018"/>
    <d v="2025-01-12T00:00:00"/>
    <x v="4"/>
    <x v="4"/>
    <n v="0"/>
    <n v="4727.49"/>
    <x v="4"/>
    <x v="1"/>
    <s v="AutoPost 1018"/>
    <s v="USD"/>
    <x v="2"/>
    <n v="4727.49"/>
    <m/>
    <n v="4727.49"/>
    <s v="N/A"/>
    <x v="1"/>
    <x v="1"/>
  </r>
  <r>
    <s v="GL001019"/>
    <d v="2023-10-27T00:00:00"/>
    <x v="0"/>
    <x v="0"/>
    <n v="0"/>
    <n v="4557.5600000000004"/>
    <x v="3"/>
    <x v="3"/>
    <s v="AutoPost 1019"/>
    <s v="CAD"/>
    <x v="27"/>
    <n v="4557.5600000000004"/>
    <m/>
    <n v="4557.5600000000004"/>
    <s v="N/A"/>
    <x v="1"/>
    <x v="1"/>
  </r>
  <r>
    <s v="GL001020"/>
    <d v="2024-09-05T00:00:00"/>
    <x v="1"/>
    <x v="1"/>
    <n v="402.15"/>
    <n v="0"/>
    <x v="5"/>
    <x v="0"/>
    <s v="AutoPost 1020"/>
    <s v="EUR"/>
    <x v="15"/>
    <n v="-402.15"/>
    <m/>
    <n v="-402.15"/>
    <s v="N/A"/>
    <x v="1"/>
    <x v="0"/>
  </r>
  <r>
    <s v="GL001021"/>
    <d v="2025-06-03T00:00:00"/>
    <x v="0"/>
    <x v="0"/>
    <n v="0"/>
    <n v="1210.2"/>
    <x v="1"/>
    <x v="0"/>
    <s v="AutoPost 1021"/>
    <s v="USD"/>
    <x v="19"/>
    <n v="1210.2"/>
    <m/>
    <n v="1210.2"/>
    <s v="N/A"/>
    <x v="1"/>
    <x v="1"/>
  </r>
  <r>
    <s v="GL001022"/>
    <d v="2023-01-23T00:00:00"/>
    <x v="0"/>
    <x v="0"/>
    <n v="0"/>
    <n v="256.32"/>
    <x v="0"/>
    <x v="0"/>
    <s v="AutoPost 1022"/>
    <s v="CAD"/>
    <x v="14"/>
    <n v="256.32"/>
    <m/>
    <n v="256.32"/>
    <s v="N/A"/>
    <x v="1"/>
    <x v="1"/>
  </r>
  <r>
    <s v="GL001023"/>
    <d v="2024-10-19T00:00:00"/>
    <x v="1"/>
    <x v="1"/>
    <n v="1493.77"/>
    <n v="0"/>
    <x v="1"/>
    <x v="3"/>
    <s v="AutoPost 1023"/>
    <s v="CAD"/>
    <x v="26"/>
    <n v="-1493.77"/>
    <m/>
    <n v="-1493.77"/>
    <s v="N/A"/>
    <x v="1"/>
    <x v="0"/>
  </r>
  <r>
    <s v="GL001024"/>
    <d v="2024-02-10T00:00:00"/>
    <x v="2"/>
    <x v="2"/>
    <n v="1946.64"/>
    <n v="0"/>
    <x v="4"/>
    <x v="2"/>
    <s v="AutoPost 1024"/>
    <s v="CAD"/>
    <x v="11"/>
    <n v="-1946.64"/>
    <m/>
    <n v="-1946.64"/>
    <s v="N/A"/>
    <x v="1"/>
    <x v="0"/>
  </r>
  <r>
    <s v="GL001025"/>
    <d v="2023-01-17T00:00:00"/>
    <x v="4"/>
    <x v="4"/>
    <n v="0"/>
    <n v="3890.34"/>
    <x v="5"/>
    <x v="1"/>
    <s v="AutoPost 1025"/>
    <s v="AUD"/>
    <x v="14"/>
    <n v="3890.34"/>
    <m/>
    <n v="3890.34"/>
    <s v="N/A"/>
    <x v="1"/>
    <x v="1"/>
  </r>
  <r>
    <s v="GL001026"/>
    <d v="2024-04-24T00:00:00"/>
    <x v="3"/>
    <x v="3"/>
    <n v="1085.95"/>
    <n v="0"/>
    <x v="0"/>
    <x v="3"/>
    <s v="AutoPost 1026"/>
    <s v="AUD"/>
    <x v="7"/>
    <n v="-1085.95"/>
    <m/>
    <n v="-1085.95"/>
    <s v="N/A"/>
    <x v="1"/>
    <x v="0"/>
  </r>
  <r>
    <s v="GL001027"/>
    <d v="2025-03-05T00:00:00"/>
    <x v="2"/>
    <x v="2"/>
    <n v="1425.4"/>
    <n v="0"/>
    <x v="1"/>
    <x v="1"/>
    <s v="AutoPost 1027"/>
    <s v="AUD"/>
    <x v="13"/>
    <n v="-1425.4"/>
    <m/>
    <n v="-1425.4"/>
    <s v="N/A"/>
    <x v="1"/>
    <x v="0"/>
  </r>
  <r>
    <s v="GL001028"/>
    <d v="2024-08-06T00:00:00"/>
    <x v="3"/>
    <x v="3"/>
    <n v="910.93"/>
    <n v="0"/>
    <x v="3"/>
    <x v="1"/>
    <s v="AutoPost 1028"/>
    <s v="GBP"/>
    <x v="25"/>
    <n v="-910.93"/>
    <m/>
    <n v="-910.93"/>
    <s v="N/A"/>
    <x v="1"/>
    <x v="0"/>
  </r>
  <r>
    <s v="GL001029"/>
    <d v="2024-10-09T00:00:00"/>
    <x v="2"/>
    <x v="2"/>
    <n v="973.12"/>
    <n v="0"/>
    <x v="2"/>
    <x v="4"/>
    <s v="AutoPost 1029"/>
    <s v="GBP"/>
    <x v="26"/>
    <n v="-973.12"/>
    <m/>
    <n v="-973.12"/>
    <s v="N/A"/>
    <x v="1"/>
    <x v="0"/>
  </r>
  <r>
    <s v="GL001030"/>
    <d v="2023-11-25T00:00:00"/>
    <x v="4"/>
    <x v="4"/>
    <n v="0"/>
    <n v="3221.92"/>
    <x v="0"/>
    <x v="2"/>
    <s v="AutoPost 1030"/>
    <s v="USD"/>
    <x v="9"/>
    <n v="3221.92"/>
    <m/>
    <n v="3221.92"/>
    <s v="N/A"/>
    <x v="1"/>
    <x v="1"/>
  </r>
  <r>
    <s v="GL001031"/>
    <d v="2024-07-26T00:00:00"/>
    <x v="4"/>
    <x v="4"/>
    <n v="0"/>
    <n v="4508.8599999999997"/>
    <x v="2"/>
    <x v="1"/>
    <s v="AutoPost 1031"/>
    <s v="CAD"/>
    <x v="21"/>
    <n v="4508.8599999999997"/>
    <m/>
    <n v="4508.8599999999997"/>
    <s v="N/A"/>
    <x v="1"/>
    <x v="1"/>
  </r>
  <r>
    <s v="GL001032"/>
    <d v="2023-02-13T00:00:00"/>
    <x v="4"/>
    <x v="4"/>
    <n v="0"/>
    <n v="882.66"/>
    <x v="3"/>
    <x v="2"/>
    <s v="AutoPost 1032"/>
    <s v="USD"/>
    <x v="24"/>
    <n v="882.66"/>
    <m/>
    <n v="882.66"/>
    <s v="N/A"/>
    <x v="1"/>
    <x v="1"/>
  </r>
  <r>
    <s v="GL001033"/>
    <d v="2024-03-19T00:00:00"/>
    <x v="2"/>
    <x v="2"/>
    <n v="432.35"/>
    <n v="0"/>
    <x v="2"/>
    <x v="1"/>
    <s v="AutoPost 1033"/>
    <s v="CAD"/>
    <x v="16"/>
    <n v="-432.35"/>
    <m/>
    <n v="-432.35"/>
    <s v="N/A"/>
    <x v="1"/>
    <x v="0"/>
  </r>
  <r>
    <s v="GL001034"/>
    <d v="2023-05-04T00:00:00"/>
    <x v="0"/>
    <x v="0"/>
    <n v="0"/>
    <n v="1578.7"/>
    <x v="3"/>
    <x v="4"/>
    <s v="AutoPost 1034"/>
    <s v="USD"/>
    <x v="29"/>
    <n v="1578.7"/>
    <m/>
    <n v="1578.7"/>
    <s v="N/A"/>
    <x v="1"/>
    <x v="1"/>
  </r>
  <r>
    <s v="GL001035"/>
    <d v="2023-07-10T00:00:00"/>
    <x v="2"/>
    <x v="2"/>
    <n v="880.83"/>
    <n v="0"/>
    <x v="3"/>
    <x v="0"/>
    <s v="AutoPost 1035"/>
    <s v="GBP"/>
    <x v="17"/>
    <n v="-880.83"/>
    <m/>
    <n v="-880.83"/>
    <s v="N/A"/>
    <x v="1"/>
    <x v="0"/>
  </r>
  <r>
    <s v="GL001036"/>
    <d v="2024-04-10T00:00:00"/>
    <x v="0"/>
    <x v="0"/>
    <n v="0"/>
    <n v="1378.62"/>
    <x v="2"/>
    <x v="0"/>
    <s v="AutoPost 1036"/>
    <s v="AUD"/>
    <x v="7"/>
    <n v="1378.62"/>
    <m/>
    <n v="1378.62"/>
    <s v="N/A"/>
    <x v="1"/>
    <x v="1"/>
  </r>
  <r>
    <s v="GL001037"/>
    <d v="2024-03-20T00:00:00"/>
    <x v="0"/>
    <x v="0"/>
    <n v="0"/>
    <n v="1884.23"/>
    <x v="5"/>
    <x v="0"/>
    <s v="AutoPost 1037"/>
    <s v="USD"/>
    <x v="16"/>
    <n v="1884.23"/>
    <m/>
    <n v="1884.23"/>
    <s v="N/A"/>
    <x v="1"/>
    <x v="1"/>
  </r>
  <r>
    <s v="GL001038"/>
    <d v="2024-05-17T00:00:00"/>
    <x v="1"/>
    <x v="1"/>
    <n v="398.06"/>
    <n v="0"/>
    <x v="4"/>
    <x v="3"/>
    <s v="AutoPost 1038"/>
    <s v="GBP"/>
    <x v="0"/>
    <n v="-398.06"/>
    <m/>
    <n v="-398.06"/>
    <s v="N/A"/>
    <x v="1"/>
    <x v="0"/>
  </r>
  <r>
    <s v="GL001039"/>
    <d v="2023-06-16T00:00:00"/>
    <x v="2"/>
    <x v="2"/>
    <n v="1030.76"/>
    <n v="0"/>
    <x v="2"/>
    <x v="0"/>
    <s v="AutoPost 1039"/>
    <s v="EUR"/>
    <x v="22"/>
    <n v="-1030.76"/>
    <m/>
    <n v="-1030.76"/>
    <s v="N/A"/>
    <x v="1"/>
    <x v="0"/>
  </r>
  <r>
    <s v="GL001040"/>
    <d v="2023-09-26T00:00:00"/>
    <x v="3"/>
    <x v="3"/>
    <n v="1713"/>
    <n v="0"/>
    <x v="4"/>
    <x v="3"/>
    <s v="AutoPost 1040"/>
    <s v="AUD"/>
    <x v="3"/>
    <n v="-1713"/>
    <m/>
    <n v="-1713"/>
    <s v="N/A"/>
    <x v="1"/>
    <x v="0"/>
  </r>
  <r>
    <s v="GL001041"/>
    <d v="2024-10-08T00:00:00"/>
    <x v="0"/>
    <x v="0"/>
    <n v="0"/>
    <n v="3214.89"/>
    <x v="2"/>
    <x v="0"/>
    <s v="AutoPost 1041"/>
    <s v="AUD"/>
    <x v="26"/>
    <n v="3214.89"/>
    <m/>
    <n v="3214.89"/>
    <s v="N/A"/>
    <x v="1"/>
    <x v="1"/>
  </r>
  <r>
    <s v="GL001042"/>
    <d v="2024-03-13T00:00:00"/>
    <x v="0"/>
    <x v="0"/>
    <n v="0"/>
    <n v="284.06"/>
    <x v="5"/>
    <x v="0"/>
    <s v="AutoPost 1042"/>
    <s v="AUD"/>
    <x v="16"/>
    <n v="284.06"/>
    <m/>
    <n v="284.06"/>
    <s v="N/A"/>
    <x v="1"/>
    <x v="1"/>
  </r>
  <r>
    <s v="GL001043"/>
    <d v="2023-11-06T00:00:00"/>
    <x v="4"/>
    <x v="4"/>
    <n v="0"/>
    <n v="3835.49"/>
    <x v="0"/>
    <x v="1"/>
    <s v="AutoPost 1043"/>
    <s v="GBP"/>
    <x v="9"/>
    <n v="3835.49"/>
    <m/>
    <n v="3835.49"/>
    <s v="N/A"/>
    <x v="1"/>
    <x v="1"/>
  </r>
  <r>
    <s v="GL001044"/>
    <d v="2023-08-03T00:00:00"/>
    <x v="1"/>
    <x v="1"/>
    <n v="357.85"/>
    <n v="0"/>
    <x v="1"/>
    <x v="2"/>
    <s v="AutoPost 1044"/>
    <s v="GBP"/>
    <x v="4"/>
    <n v="-357.85"/>
    <m/>
    <n v="-357.85"/>
    <s v="N/A"/>
    <x v="1"/>
    <x v="0"/>
  </r>
  <r>
    <s v="GL001045"/>
    <d v="2023-05-06T00:00:00"/>
    <x v="4"/>
    <x v="4"/>
    <n v="0"/>
    <n v="1435.58"/>
    <x v="3"/>
    <x v="3"/>
    <s v="AutoPost 1045"/>
    <s v="GBP"/>
    <x v="29"/>
    <n v="1435.58"/>
    <m/>
    <n v="1435.58"/>
    <s v="N/A"/>
    <x v="1"/>
    <x v="1"/>
  </r>
  <r>
    <s v="GL001046"/>
    <d v="2023-07-01T00:00:00"/>
    <x v="1"/>
    <x v="1"/>
    <n v="163.47999999999999"/>
    <n v="0"/>
    <x v="5"/>
    <x v="3"/>
    <s v="AutoPost 1046"/>
    <s v="AUD"/>
    <x v="17"/>
    <n v="-163.47999999999999"/>
    <m/>
    <n v="-163.47999999999999"/>
    <s v="N/A"/>
    <x v="1"/>
    <x v="0"/>
  </r>
  <r>
    <s v="GL001047"/>
    <d v="2024-07-05T00:00:00"/>
    <x v="3"/>
    <x v="3"/>
    <n v="1586.3"/>
    <n v="0"/>
    <x v="5"/>
    <x v="2"/>
    <s v="AutoPost 1047"/>
    <s v="CAD"/>
    <x v="21"/>
    <n v="-1586.3"/>
    <m/>
    <n v="-1586.3"/>
    <s v="N/A"/>
    <x v="1"/>
    <x v="0"/>
  </r>
  <r>
    <s v="GL001048"/>
    <d v="2023-05-13T00:00:00"/>
    <x v="4"/>
    <x v="4"/>
    <n v="0"/>
    <n v="1071.1300000000001"/>
    <x v="1"/>
    <x v="3"/>
    <s v="AutoPost 1048"/>
    <s v="USD"/>
    <x v="29"/>
    <n v="1071.1300000000001"/>
    <m/>
    <n v="1071.1300000000001"/>
    <s v="N/A"/>
    <x v="1"/>
    <x v="1"/>
  </r>
  <r>
    <s v="GL001049"/>
    <d v="2024-08-04T00:00:00"/>
    <x v="3"/>
    <x v="3"/>
    <n v="1888.6"/>
    <n v="0"/>
    <x v="4"/>
    <x v="3"/>
    <s v="AutoPost 1049"/>
    <s v="EUR"/>
    <x v="25"/>
    <n v="-1888.6"/>
    <m/>
    <n v="-1888.6"/>
    <s v="N/A"/>
    <x v="1"/>
    <x v="0"/>
  </r>
  <r>
    <s v="GL001050"/>
    <d v="2023-11-14T00:00:00"/>
    <x v="2"/>
    <x v="2"/>
    <n v="1396.76"/>
    <n v="0"/>
    <x v="1"/>
    <x v="3"/>
    <s v="AutoPost 1050"/>
    <s v="USD"/>
    <x v="9"/>
    <n v="-1396.76"/>
    <m/>
    <n v="-1396.76"/>
    <s v="N/A"/>
    <x v="1"/>
    <x v="0"/>
  </r>
  <r>
    <s v="GL001051"/>
    <d v="2023-02-11T00:00:00"/>
    <x v="0"/>
    <x v="0"/>
    <n v="0"/>
    <n v="458.3"/>
    <x v="4"/>
    <x v="4"/>
    <s v="AutoPost 1051"/>
    <s v="EUR"/>
    <x v="24"/>
    <n v="458.3"/>
    <m/>
    <n v="458.3"/>
    <s v="N/A"/>
    <x v="1"/>
    <x v="1"/>
  </r>
  <r>
    <s v="GL001052"/>
    <d v="2025-06-05T00:00:00"/>
    <x v="2"/>
    <x v="2"/>
    <n v="1873.98"/>
    <n v="0"/>
    <x v="2"/>
    <x v="0"/>
    <s v="AutoPost 1052"/>
    <s v="CAD"/>
    <x v="19"/>
    <n v="-1873.98"/>
    <m/>
    <n v="-1873.98"/>
    <s v="N/A"/>
    <x v="1"/>
    <x v="0"/>
  </r>
  <r>
    <s v="GL001053"/>
    <d v="2024-06-16T00:00:00"/>
    <x v="4"/>
    <x v="4"/>
    <n v="0"/>
    <n v="550.03"/>
    <x v="2"/>
    <x v="4"/>
    <s v="AutoPost 1053"/>
    <s v="AUD"/>
    <x v="1"/>
    <n v="550.03"/>
    <m/>
    <n v="550.03"/>
    <s v="N/A"/>
    <x v="1"/>
    <x v="1"/>
  </r>
  <r>
    <s v="GL001054"/>
    <d v="2023-08-06T00:00:00"/>
    <x v="3"/>
    <x v="3"/>
    <n v="1300.8599999999999"/>
    <n v="0"/>
    <x v="5"/>
    <x v="1"/>
    <s v="AutoPost 1054"/>
    <s v="EUR"/>
    <x v="4"/>
    <n v="-1300.8599999999999"/>
    <m/>
    <n v="-1300.8599999999999"/>
    <s v="N/A"/>
    <x v="1"/>
    <x v="0"/>
  </r>
  <r>
    <s v="GL001055"/>
    <d v="2023-11-24T00:00:00"/>
    <x v="2"/>
    <x v="2"/>
    <n v="509.12"/>
    <n v="0"/>
    <x v="5"/>
    <x v="1"/>
    <s v="AutoPost 1055"/>
    <s v="CAD"/>
    <x v="9"/>
    <n v="-509.12"/>
    <m/>
    <n v="-509.12"/>
    <s v="N/A"/>
    <x v="1"/>
    <x v="0"/>
  </r>
  <r>
    <s v="GL001056"/>
    <d v="2025-05-05T00:00:00"/>
    <x v="2"/>
    <x v="2"/>
    <n v="1328.19"/>
    <n v="0"/>
    <x v="4"/>
    <x v="0"/>
    <s v="AutoPost 1056"/>
    <s v="CAD"/>
    <x v="5"/>
    <n v="-1328.19"/>
    <m/>
    <n v="-1328.19"/>
    <s v="N/A"/>
    <x v="1"/>
    <x v="0"/>
  </r>
  <r>
    <s v="GL001057"/>
    <d v="2024-09-24T00:00:00"/>
    <x v="0"/>
    <x v="0"/>
    <n v="0"/>
    <n v="2455.5100000000002"/>
    <x v="0"/>
    <x v="0"/>
    <s v="AutoPost 1057"/>
    <s v="AUD"/>
    <x v="15"/>
    <n v="2455.5100000000002"/>
    <m/>
    <n v="2455.5100000000002"/>
    <s v="N/A"/>
    <x v="1"/>
    <x v="1"/>
  </r>
  <r>
    <s v="GL001058"/>
    <d v="2025-05-14T00:00:00"/>
    <x v="0"/>
    <x v="0"/>
    <n v="0"/>
    <n v="723.85"/>
    <x v="5"/>
    <x v="0"/>
    <s v="AutoPost 1058"/>
    <s v="USD"/>
    <x v="5"/>
    <n v="723.85"/>
    <m/>
    <n v="723.85"/>
    <s v="N/A"/>
    <x v="1"/>
    <x v="1"/>
  </r>
  <r>
    <s v="GL001059"/>
    <d v="2023-12-27T00:00:00"/>
    <x v="4"/>
    <x v="4"/>
    <n v="0"/>
    <n v="544.42999999999995"/>
    <x v="1"/>
    <x v="0"/>
    <s v="AutoPost 1059"/>
    <s v="CAD"/>
    <x v="6"/>
    <n v="544.42999999999995"/>
    <m/>
    <n v="544.42999999999995"/>
    <s v="N/A"/>
    <x v="1"/>
    <x v="1"/>
  </r>
  <r>
    <s v="GL001060"/>
    <d v="2023-09-06T00:00:00"/>
    <x v="1"/>
    <x v="1"/>
    <n v="1812.2"/>
    <n v="0"/>
    <x v="1"/>
    <x v="4"/>
    <s v="AutoPost 1060"/>
    <s v="GBP"/>
    <x v="3"/>
    <n v="-1812.2"/>
    <m/>
    <n v="-1812.2"/>
    <s v="N/A"/>
    <x v="1"/>
    <x v="0"/>
  </r>
  <r>
    <s v="GL001061"/>
    <d v="2023-11-12T00:00:00"/>
    <x v="3"/>
    <x v="3"/>
    <n v="1323.46"/>
    <n v="0"/>
    <x v="2"/>
    <x v="4"/>
    <s v="AutoPost 1061"/>
    <s v="GBP"/>
    <x v="9"/>
    <n v="-1323.46"/>
    <m/>
    <n v="-1323.46"/>
    <s v="N/A"/>
    <x v="1"/>
    <x v="0"/>
  </r>
  <r>
    <s v="GL001062"/>
    <d v="2024-01-24T00:00:00"/>
    <x v="1"/>
    <x v="1"/>
    <n v="254.62"/>
    <n v="0"/>
    <x v="0"/>
    <x v="1"/>
    <s v="AutoPost 1062"/>
    <s v="USD"/>
    <x v="20"/>
    <n v="-254.62"/>
    <m/>
    <n v="-254.62"/>
    <s v="N/A"/>
    <x v="1"/>
    <x v="0"/>
  </r>
  <r>
    <s v="GL001063"/>
    <d v="2024-10-02T00:00:00"/>
    <x v="3"/>
    <x v="3"/>
    <n v="1198.8900000000001"/>
    <n v="0"/>
    <x v="5"/>
    <x v="1"/>
    <s v="AutoPost 1063"/>
    <s v="GBP"/>
    <x v="26"/>
    <n v="-1198.8900000000001"/>
    <m/>
    <n v="-1198.8900000000001"/>
    <s v="N/A"/>
    <x v="1"/>
    <x v="0"/>
  </r>
  <r>
    <s v="GL001064"/>
    <d v="2024-06-19T00:00:00"/>
    <x v="3"/>
    <x v="3"/>
    <n v="556.48"/>
    <n v="0"/>
    <x v="3"/>
    <x v="4"/>
    <s v="AutoPost 1064"/>
    <s v="GBP"/>
    <x v="1"/>
    <n v="-556.48"/>
    <m/>
    <n v="-556.48"/>
    <s v="N/A"/>
    <x v="1"/>
    <x v="0"/>
  </r>
  <r>
    <s v="GL001065"/>
    <d v="2023-06-26T00:00:00"/>
    <x v="4"/>
    <x v="4"/>
    <n v="0"/>
    <n v="3204.3"/>
    <x v="5"/>
    <x v="4"/>
    <s v="AutoPost 1065"/>
    <s v="CAD"/>
    <x v="22"/>
    <n v="3204.3"/>
    <m/>
    <n v="3204.3"/>
    <s v="N/A"/>
    <x v="1"/>
    <x v="1"/>
  </r>
  <r>
    <s v="GL001066"/>
    <d v="2025-06-19T00:00:00"/>
    <x v="2"/>
    <x v="2"/>
    <n v="322.5"/>
    <n v="0"/>
    <x v="1"/>
    <x v="4"/>
    <s v="AutoPost 1066"/>
    <s v="EUR"/>
    <x v="19"/>
    <n v="-322.5"/>
    <m/>
    <n v="-322.5"/>
    <s v="N/A"/>
    <x v="1"/>
    <x v="0"/>
  </r>
  <r>
    <s v="GL001067"/>
    <d v="2023-04-17T00:00:00"/>
    <x v="2"/>
    <x v="2"/>
    <n v="916.19"/>
    <n v="0"/>
    <x v="5"/>
    <x v="3"/>
    <s v="AutoPost 1067"/>
    <s v="GBP"/>
    <x v="8"/>
    <n v="-916.19"/>
    <m/>
    <n v="-916.19"/>
    <s v="N/A"/>
    <x v="1"/>
    <x v="0"/>
  </r>
  <r>
    <s v="GL001068"/>
    <d v="2025-04-09T00:00:00"/>
    <x v="3"/>
    <x v="3"/>
    <n v="202.58"/>
    <n v="0"/>
    <x v="5"/>
    <x v="3"/>
    <s v="AutoPost 1068"/>
    <s v="AUD"/>
    <x v="12"/>
    <n v="-202.58"/>
    <m/>
    <n v="-202.58"/>
    <s v="N/A"/>
    <x v="1"/>
    <x v="0"/>
  </r>
  <r>
    <s v="GL001069"/>
    <d v="2024-12-07T00:00:00"/>
    <x v="0"/>
    <x v="0"/>
    <n v="0"/>
    <n v="4558.3900000000003"/>
    <x v="4"/>
    <x v="2"/>
    <s v="AutoPost 1069"/>
    <s v="EUR"/>
    <x v="23"/>
    <n v="4558.3900000000003"/>
    <m/>
    <n v="4558.3900000000003"/>
    <s v="N/A"/>
    <x v="1"/>
    <x v="1"/>
  </r>
  <r>
    <s v="GL001070"/>
    <d v="2023-04-02T00:00:00"/>
    <x v="2"/>
    <x v="2"/>
    <n v="962.74"/>
    <n v="0"/>
    <x v="1"/>
    <x v="4"/>
    <s v="AutoPost 1070"/>
    <s v="USD"/>
    <x v="8"/>
    <n v="-962.74"/>
    <m/>
    <n v="-962.74"/>
    <s v="N/A"/>
    <x v="1"/>
    <x v="0"/>
  </r>
  <r>
    <s v="GL001071"/>
    <d v="2024-04-07T00:00:00"/>
    <x v="2"/>
    <x v="2"/>
    <n v="996.08"/>
    <n v="0"/>
    <x v="1"/>
    <x v="4"/>
    <s v="AutoPost 1071"/>
    <s v="EUR"/>
    <x v="7"/>
    <n v="-996.08"/>
    <m/>
    <n v="-996.08"/>
    <s v="N/A"/>
    <x v="1"/>
    <x v="0"/>
  </r>
  <r>
    <s v="GL001072"/>
    <d v="2025-01-23T00:00:00"/>
    <x v="2"/>
    <x v="2"/>
    <n v="1399.67"/>
    <n v="0"/>
    <x v="4"/>
    <x v="4"/>
    <s v="AutoPost 1072"/>
    <s v="CAD"/>
    <x v="2"/>
    <n v="-1399.67"/>
    <m/>
    <n v="-1399.67"/>
    <s v="N/A"/>
    <x v="1"/>
    <x v="0"/>
  </r>
  <r>
    <s v="GL001073"/>
    <d v="2023-10-14T00:00:00"/>
    <x v="4"/>
    <x v="4"/>
    <n v="0"/>
    <n v="1644.76"/>
    <x v="1"/>
    <x v="0"/>
    <s v="AutoPost 1073"/>
    <s v="CAD"/>
    <x v="27"/>
    <n v="1644.76"/>
    <m/>
    <n v="1644.76"/>
    <s v="N/A"/>
    <x v="1"/>
    <x v="1"/>
  </r>
  <r>
    <s v="GL001074"/>
    <d v="2024-03-09T00:00:00"/>
    <x v="1"/>
    <x v="1"/>
    <n v="1049.23"/>
    <n v="0"/>
    <x v="0"/>
    <x v="0"/>
    <s v="AutoPost 1074"/>
    <s v="AUD"/>
    <x v="16"/>
    <n v="-1049.23"/>
    <m/>
    <n v="-1049.23"/>
    <s v="N/A"/>
    <x v="1"/>
    <x v="0"/>
  </r>
  <r>
    <s v="GL001075"/>
    <d v="2023-05-26T00:00:00"/>
    <x v="1"/>
    <x v="1"/>
    <n v="1655.29"/>
    <n v="0"/>
    <x v="1"/>
    <x v="0"/>
    <s v="AutoPost 1075"/>
    <s v="USD"/>
    <x v="29"/>
    <n v="-1655.29"/>
    <m/>
    <n v="-1655.29"/>
    <s v="N/A"/>
    <x v="1"/>
    <x v="0"/>
  </r>
  <r>
    <s v="GL001076"/>
    <d v="2024-12-30T00:00:00"/>
    <x v="3"/>
    <x v="3"/>
    <n v="1402.31"/>
    <n v="0"/>
    <x v="5"/>
    <x v="4"/>
    <s v="AutoPost 1076"/>
    <s v="EUR"/>
    <x v="23"/>
    <n v="-1402.31"/>
    <m/>
    <n v="-1402.31"/>
    <s v="N/A"/>
    <x v="1"/>
    <x v="0"/>
  </r>
  <r>
    <s v="GL001077"/>
    <d v="2023-07-27T00:00:00"/>
    <x v="3"/>
    <x v="3"/>
    <n v="833.9"/>
    <n v="0"/>
    <x v="0"/>
    <x v="2"/>
    <s v="AutoPost 1077"/>
    <s v="EUR"/>
    <x v="17"/>
    <n v="-833.9"/>
    <m/>
    <n v="-833.9"/>
    <s v="N/A"/>
    <x v="1"/>
    <x v="0"/>
  </r>
  <r>
    <s v="GL001078"/>
    <d v="2023-04-16T00:00:00"/>
    <x v="0"/>
    <x v="0"/>
    <n v="0"/>
    <n v="3759.18"/>
    <x v="3"/>
    <x v="0"/>
    <s v="AutoPost 1078"/>
    <s v="CAD"/>
    <x v="8"/>
    <n v="3759.18"/>
    <m/>
    <n v="3759.18"/>
    <s v="N/A"/>
    <x v="1"/>
    <x v="1"/>
  </r>
  <r>
    <s v="GL001079"/>
    <d v="2024-06-27T00:00:00"/>
    <x v="2"/>
    <x v="2"/>
    <n v="67.150000000000006"/>
    <n v="0"/>
    <x v="3"/>
    <x v="1"/>
    <s v="AutoPost 1079"/>
    <s v="USD"/>
    <x v="1"/>
    <n v="-67.150000000000006"/>
    <m/>
    <n v="-67.150000000000006"/>
    <s v="N/A"/>
    <x v="1"/>
    <x v="0"/>
  </r>
  <r>
    <s v="GL001080"/>
    <d v="2023-02-11T00:00:00"/>
    <x v="1"/>
    <x v="1"/>
    <n v="1138.3599999999999"/>
    <n v="0"/>
    <x v="5"/>
    <x v="2"/>
    <s v="AutoPost 1080"/>
    <s v="CAD"/>
    <x v="24"/>
    <n v="-1138.3599999999999"/>
    <m/>
    <n v="-1138.3599999999999"/>
    <s v="N/A"/>
    <x v="1"/>
    <x v="0"/>
  </r>
  <r>
    <s v="GL001081"/>
    <d v="2023-05-20T00:00:00"/>
    <x v="2"/>
    <x v="2"/>
    <n v="1356.38"/>
    <n v="0"/>
    <x v="4"/>
    <x v="3"/>
    <s v="AutoPost 1081"/>
    <s v="CAD"/>
    <x v="29"/>
    <n v="-1356.38"/>
    <m/>
    <n v="-1356.38"/>
    <s v="N/A"/>
    <x v="1"/>
    <x v="0"/>
  </r>
  <r>
    <s v="GL001082"/>
    <d v="2025-03-05T00:00:00"/>
    <x v="3"/>
    <x v="3"/>
    <n v="1770.21"/>
    <n v="0"/>
    <x v="0"/>
    <x v="3"/>
    <s v="AutoPost 1082"/>
    <s v="GBP"/>
    <x v="13"/>
    <n v="-1770.21"/>
    <m/>
    <n v="-1770.21"/>
    <s v="N/A"/>
    <x v="1"/>
    <x v="0"/>
  </r>
  <r>
    <s v="GL001083"/>
    <d v="2025-02-28T00:00:00"/>
    <x v="1"/>
    <x v="1"/>
    <n v="1240.48"/>
    <n v="0"/>
    <x v="3"/>
    <x v="1"/>
    <s v="AutoPost 1083"/>
    <s v="EUR"/>
    <x v="28"/>
    <n v="-1240.48"/>
    <m/>
    <n v="-1240.48"/>
    <s v="N/A"/>
    <x v="1"/>
    <x v="0"/>
  </r>
  <r>
    <s v="GL001084"/>
    <d v="2025-04-05T00:00:00"/>
    <x v="3"/>
    <x v="3"/>
    <n v="1870.74"/>
    <n v="0"/>
    <x v="1"/>
    <x v="3"/>
    <s v="AutoPost 1084"/>
    <s v="AUD"/>
    <x v="12"/>
    <n v="-1870.74"/>
    <m/>
    <n v="-1870.74"/>
    <s v="N/A"/>
    <x v="1"/>
    <x v="0"/>
  </r>
  <r>
    <s v="GL001085"/>
    <d v="2024-12-02T00:00:00"/>
    <x v="3"/>
    <x v="3"/>
    <n v="1295.49"/>
    <n v="0"/>
    <x v="0"/>
    <x v="3"/>
    <s v="AutoPost 1085"/>
    <s v="GBP"/>
    <x v="23"/>
    <n v="-1295.49"/>
    <m/>
    <n v="-1295.49"/>
    <s v="N/A"/>
    <x v="1"/>
    <x v="0"/>
  </r>
  <r>
    <s v="GL001086"/>
    <d v="2025-06-19T00:00:00"/>
    <x v="3"/>
    <x v="3"/>
    <n v="403.44"/>
    <n v="0"/>
    <x v="3"/>
    <x v="4"/>
    <s v="AutoPost 1086"/>
    <s v="EUR"/>
    <x v="19"/>
    <n v="-403.44"/>
    <m/>
    <n v="-403.44"/>
    <s v="N/A"/>
    <x v="1"/>
    <x v="0"/>
  </r>
  <r>
    <s v="GL001087"/>
    <d v="2023-10-16T00:00:00"/>
    <x v="4"/>
    <x v="4"/>
    <n v="0"/>
    <n v="298.58"/>
    <x v="2"/>
    <x v="1"/>
    <s v="AutoPost 1087"/>
    <s v="AUD"/>
    <x v="27"/>
    <n v="298.58"/>
    <m/>
    <n v="298.58"/>
    <s v="N/A"/>
    <x v="1"/>
    <x v="1"/>
  </r>
  <r>
    <s v="GL001088"/>
    <d v="2024-01-23T00:00:00"/>
    <x v="4"/>
    <x v="4"/>
    <n v="0"/>
    <n v="2967.77"/>
    <x v="5"/>
    <x v="0"/>
    <s v="AutoPost 1088"/>
    <s v="GBP"/>
    <x v="20"/>
    <n v="2967.77"/>
    <m/>
    <n v="2967.77"/>
    <s v="N/A"/>
    <x v="1"/>
    <x v="1"/>
  </r>
  <r>
    <s v="GL001089"/>
    <d v="2023-02-01T00:00:00"/>
    <x v="4"/>
    <x v="4"/>
    <n v="0"/>
    <n v="322.85000000000002"/>
    <x v="5"/>
    <x v="2"/>
    <s v="AutoPost 1089"/>
    <s v="USD"/>
    <x v="24"/>
    <n v="322.85000000000002"/>
    <m/>
    <n v="322.85000000000002"/>
    <s v="N/A"/>
    <x v="1"/>
    <x v="1"/>
  </r>
  <r>
    <s v="GL001090"/>
    <d v="2023-04-09T00:00:00"/>
    <x v="3"/>
    <x v="3"/>
    <n v="1178.57"/>
    <n v="0"/>
    <x v="2"/>
    <x v="4"/>
    <s v="AutoPost 1090"/>
    <s v="CAD"/>
    <x v="8"/>
    <n v="-1178.57"/>
    <m/>
    <n v="-1178.57"/>
    <s v="N/A"/>
    <x v="1"/>
    <x v="0"/>
  </r>
  <r>
    <s v="GL001091"/>
    <d v="2024-06-11T00:00:00"/>
    <x v="3"/>
    <x v="3"/>
    <n v="572.52"/>
    <n v="0"/>
    <x v="5"/>
    <x v="3"/>
    <s v="AutoPost 1091"/>
    <s v="USD"/>
    <x v="1"/>
    <n v="-572.52"/>
    <m/>
    <n v="-572.52"/>
    <s v="N/A"/>
    <x v="1"/>
    <x v="0"/>
  </r>
  <r>
    <s v="GL001092"/>
    <d v="2023-10-29T00:00:00"/>
    <x v="0"/>
    <x v="0"/>
    <n v="0"/>
    <n v="1038.25"/>
    <x v="3"/>
    <x v="2"/>
    <s v="AutoPost 1092"/>
    <s v="GBP"/>
    <x v="27"/>
    <n v="1038.25"/>
    <m/>
    <n v="1038.25"/>
    <s v="N/A"/>
    <x v="1"/>
    <x v="1"/>
  </r>
  <r>
    <s v="GL001093"/>
    <d v="2023-02-25T00:00:00"/>
    <x v="3"/>
    <x v="3"/>
    <n v="54.75"/>
    <n v="0"/>
    <x v="1"/>
    <x v="1"/>
    <s v="AutoPost 1093"/>
    <s v="GBP"/>
    <x v="24"/>
    <n v="-54.75"/>
    <m/>
    <n v="-54.75"/>
    <s v="N/A"/>
    <x v="1"/>
    <x v="0"/>
  </r>
  <r>
    <s v="GL001094"/>
    <d v="2024-04-19T00:00:00"/>
    <x v="3"/>
    <x v="3"/>
    <n v="229.78"/>
    <n v="0"/>
    <x v="3"/>
    <x v="1"/>
    <s v="AutoPost 1094"/>
    <s v="USD"/>
    <x v="7"/>
    <n v="-229.78"/>
    <m/>
    <n v="-229.78"/>
    <s v="N/A"/>
    <x v="1"/>
    <x v="0"/>
  </r>
  <r>
    <s v="GL001095"/>
    <d v="2024-07-24T00:00:00"/>
    <x v="3"/>
    <x v="3"/>
    <n v="1195.8599999999999"/>
    <n v="0"/>
    <x v="5"/>
    <x v="1"/>
    <s v="AutoPost 1095"/>
    <s v="CAD"/>
    <x v="21"/>
    <n v="-1195.8599999999999"/>
    <m/>
    <n v="-1195.8599999999999"/>
    <s v="N/A"/>
    <x v="1"/>
    <x v="0"/>
  </r>
  <r>
    <s v="GL001096"/>
    <d v="2025-04-18T00:00:00"/>
    <x v="0"/>
    <x v="0"/>
    <n v="0"/>
    <n v="183.89"/>
    <x v="3"/>
    <x v="3"/>
    <s v="AutoPost 1096"/>
    <s v="AUD"/>
    <x v="12"/>
    <n v="183.89"/>
    <m/>
    <n v="183.89"/>
    <s v="N/A"/>
    <x v="1"/>
    <x v="1"/>
  </r>
  <r>
    <s v="GL001097"/>
    <d v="2025-02-20T00:00:00"/>
    <x v="3"/>
    <x v="3"/>
    <n v="786.38"/>
    <n v="0"/>
    <x v="4"/>
    <x v="3"/>
    <s v="AutoPost 1097"/>
    <s v="CAD"/>
    <x v="28"/>
    <n v="-786.38"/>
    <m/>
    <n v="-786.38"/>
    <s v="N/A"/>
    <x v="1"/>
    <x v="0"/>
  </r>
  <r>
    <s v="GL001098"/>
    <d v="2025-06-01T00:00:00"/>
    <x v="3"/>
    <x v="3"/>
    <n v="352.55"/>
    <n v="0"/>
    <x v="2"/>
    <x v="3"/>
    <s v="AutoPost 1098"/>
    <s v="EUR"/>
    <x v="19"/>
    <n v="-352.55"/>
    <m/>
    <n v="-352.55"/>
    <s v="N/A"/>
    <x v="1"/>
    <x v="0"/>
  </r>
  <r>
    <s v="GL001099"/>
    <d v="2023-06-17T00:00:00"/>
    <x v="2"/>
    <x v="2"/>
    <n v="1814.7"/>
    <n v="0"/>
    <x v="2"/>
    <x v="4"/>
    <s v="AutoPost 1099"/>
    <s v="USD"/>
    <x v="22"/>
    <n v="-1814.7"/>
    <m/>
    <n v="-1814.7"/>
    <s v="N/A"/>
    <x v="1"/>
    <x v="0"/>
  </r>
  <r>
    <s v="GL001100"/>
    <d v="2023-09-13T00:00:00"/>
    <x v="0"/>
    <x v="0"/>
    <n v="0"/>
    <n v="4099.41"/>
    <x v="3"/>
    <x v="0"/>
    <s v="AutoPost 1100"/>
    <s v="USD"/>
    <x v="3"/>
    <n v="4099.41"/>
    <m/>
    <n v="4099.41"/>
    <s v="N/A"/>
    <x v="1"/>
    <x v="1"/>
  </r>
  <r>
    <s v="GL001101"/>
    <d v="2025-05-16T00:00:00"/>
    <x v="0"/>
    <x v="0"/>
    <n v="0"/>
    <n v="1953.74"/>
    <x v="5"/>
    <x v="1"/>
    <s v="AutoPost 1101"/>
    <s v="GBP"/>
    <x v="5"/>
    <n v="1953.74"/>
    <m/>
    <n v="1953.74"/>
    <s v="N/A"/>
    <x v="1"/>
    <x v="1"/>
  </r>
  <r>
    <s v="GL001102"/>
    <d v="2024-01-28T00:00:00"/>
    <x v="1"/>
    <x v="1"/>
    <n v="242.28"/>
    <n v="0"/>
    <x v="4"/>
    <x v="2"/>
    <s v="AutoPost 1102"/>
    <s v="USD"/>
    <x v="20"/>
    <n v="-242.28"/>
    <m/>
    <n v="-242.28"/>
    <s v="N/A"/>
    <x v="1"/>
    <x v="0"/>
  </r>
  <r>
    <s v="GL001103"/>
    <d v="2024-05-22T00:00:00"/>
    <x v="4"/>
    <x v="4"/>
    <n v="0"/>
    <n v="3335.43"/>
    <x v="5"/>
    <x v="3"/>
    <s v="AutoPost 1103"/>
    <s v="USD"/>
    <x v="0"/>
    <n v="3335.43"/>
    <m/>
    <n v="3335.43"/>
    <s v="N/A"/>
    <x v="1"/>
    <x v="1"/>
  </r>
  <r>
    <s v="GL001104"/>
    <d v="2023-08-29T00:00:00"/>
    <x v="3"/>
    <x v="3"/>
    <n v="831.33"/>
    <n v="0"/>
    <x v="5"/>
    <x v="3"/>
    <s v="AutoPost 1104"/>
    <s v="CAD"/>
    <x v="4"/>
    <n v="-831.33"/>
    <m/>
    <n v="-831.33"/>
    <s v="N/A"/>
    <x v="1"/>
    <x v="0"/>
  </r>
  <r>
    <s v="GL001105"/>
    <d v="2024-02-22T00:00:00"/>
    <x v="0"/>
    <x v="0"/>
    <n v="0"/>
    <n v="406.59"/>
    <x v="0"/>
    <x v="4"/>
    <s v="AutoPost 1105"/>
    <s v="EUR"/>
    <x v="11"/>
    <n v="406.59"/>
    <m/>
    <n v="406.59"/>
    <s v="N/A"/>
    <x v="1"/>
    <x v="1"/>
  </r>
  <r>
    <s v="GL001106"/>
    <d v="2024-02-03T00:00:00"/>
    <x v="2"/>
    <x v="2"/>
    <n v="1813.03"/>
    <n v="0"/>
    <x v="4"/>
    <x v="4"/>
    <s v="AutoPost 1106"/>
    <s v="EUR"/>
    <x v="11"/>
    <n v="-1813.03"/>
    <m/>
    <n v="-1813.03"/>
    <s v="N/A"/>
    <x v="1"/>
    <x v="0"/>
  </r>
  <r>
    <s v="GL001107"/>
    <d v="2024-02-16T00:00:00"/>
    <x v="0"/>
    <x v="0"/>
    <n v="0"/>
    <n v="2019.11"/>
    <x v="1"/>
    <x v="1"/>
    <s v="AutoPost 1107"/>
    <s v="AUD"/>
    <x v="11"/>
    <n v="2019.11"/>
    <m/>
    <n v="2019.11"/>
    <s v="N/A"/>
    <x v="1"/>
    <x v="1"/>
  </r>
  <r>
    <s v="GL001108"/>
    <d v="2024-03-08T00:00:00"/>
    <x v="2"/>
    <x v="2"/>
    <n v="1278.3800000000001"/>
    <n v="0"/>
    <x v="1"/>
    <x v="3"/>
    <s v="AutoPost 1108"/>
    <s v="EUR"/>
    <x v="16"/>
    <n v="-1278.3800000000001"/>
    <m/>
    <n v="-1278.3800000000001"/>
    <s v="N/A"/>
    <x v="1"/>
    <x v="0"/>
  </r>
  <r>
    <s v="GL001109"/>
    <d v="2023-04-07T00:00:00"/>
    <x v="0"/>
    <x v="0"/>
    <n v="0"/>
    <n v="2058.58"/>
    <x v="4"/>
    <x v="1"/>
    <s v="AutoPost 1109"/>
    <s v="CAD"/>
    <x v="8"/>
    <n v="2058.58"/>
    <m/>
    <n v="2058.58"/>
    <s v="N/A"/>
    <x v="1"/>
    <x v="1"/>
  </r>
  <r>
    <s v="GL001110"/>
    <d v="2024-08-28T00:00:00"/>
    <x v="2"/>
    <x v="2"/>
    <n v="1453.63"/>
    <n v="0"/>
    <x v="0"/>
    <x v="2"/>
    <s v="AutoPost 1110"/>
    <s v="AUD"/>
    <x v="25"/>
    <n v="-1453.63"/>
    <m/>
    <n v="-1453.63"/>
    <s v="N/A"/>
    <x v="1"/>
    <x v="0"/>
  </r>
  <r>
    <s v="GL001111"/>
    <d v="2023-09-04T00:00:00"/>
    <x v="0"/>
    <x v="0"/>
    <n v="0"/>
    <n v="2233.0500000000002"/>
    <x v="4"/>
    <x v="1"/>
    <s v="AutoPost 1111"/>
    <s v="AUD"/>
    <x v="3"/>
    <n v="2233.0500000000002"/>
    <m/>
    <n v="2233.0500000000002"/>
    <s v="N/A"/>
    <x v="1"/>
    <x v="1"/>
  </r>
  <r>
    <s v="GL001112"/>
    <d v="2023-09-22T00:00:00"/>
    <x v="3"/>
    <x v="3"/>
    <n v="836.69"/>
    <n v="0"/>
    <x v="0"/>
    <x v="1"/>
    <s v="AutoPost 1112"/>
    <s v="AUD"/>
    <x v="3"/>
    <n v="-836.69"/>
    <m/>
    <n v="-836.69"/>
    <s v="N/A"/>
    <x v="1"/>
    <x v="0"/>
  </r>
  <r>
    <s v="GL001113"/>
    <d v="2023-01-02T00:00:00"/>
    <x v="0"/>
    <x v="0"/>
    <n v="0"/>
    <n v="2173.0100000000002"/>
    <x v="3"/>
    <x v="3"/>
    <s v="AutoPost 1113"/>
    <s v="GBP"/>
    <x v="14"/>
    <n v="2173.0100000000002"/>
    <m/>
    <n v="2173.0100000000002"/>
    <s v="N/A"/>
    <x v="1"/>
    <x v="1"/>
  </r>
  <r>
    <s v="GL001114"/>
    <d v="2024-02-12T00:00:00"/>
    <x v="0"/>
    <x v="0"/>
    <n v="0"/>
    <n v="3592.24"/>
    <x v="4"/>
    <x v="2"/>
    <s v="AutoPost 1114"/>
    <s v="AUD"/>
    <x v="11"/>
    <n v="3592.24"/>
    <m/>
    <n v="3592.24"/>
    <s v="N/A"/>
    <x v="1"/>
    <x v="1"/>
  </r>
  <r>
    <s v="GL001115"/>
    <d v="2024-09-16T00:00:00"/>
    <x v="3"/>
    <x v="3"/>
    <n v="412.97"/>
    <n v="0"/>
    <x v="5"/>
    <x v="2"/>
    <s v="AutoPost 1115"/>
    <s v="AUD"/>
    <x v="15"/>
    <n v="-412.97"/>
    <m/>
    <n v="-412.97"/>
    <s v="N/A"/>
    <x v="1"/>
    <x v="0"/>
  </r>
  <r>
    <s v="GL001116"/>
    <d v="2024-03-19T00:00:00"/>
    <x v="2"/>
    <x v="2"/>
    <n v="732.61"/>
    <n v="0"/>
    <x v="4"/>
    <x v="1"/>
    <s v="AutoPost 1116"/>
    <s v="AUD"/>
    <x v="16"/>
    <n v="-732.61"/>
    <m/>
    <n v="-732.61"/>
    <s v="N/A"/>
    <x v="1"/>
    <x v="0"/>
  </r>
  <r>
    <s v="GL001117"/>
    <d v="2023-10-20T00:00:00"/>
    <x v="4"/>
    <x v="4"/>
    <n v="0"/>
    <n v="2538.6999999999998"/>
    <x v="0"/>
    <x v="4"/>
    <s v="AutoPost 1117"/>
    <s v="GBP"/>
    <x v="27"/>
    <n v="2538.6999999999998"/>
    <m/>
    <n v="2538.6999999999998"/>
    <s v="N/A"/>
    <x v="1"/>
    <x v="1"/>
  </r>
  <r>
    <s v="GL001118"/>
    <d v="2024-09-04T00:00:00"/>
    <x v="3"/>
    <x v="3"/>
    <n v="436.55"/>
    <n v="0"/>
    <x v="0"/>
    <x v="1"/>
    <s v="AutoPost 1118"/>
    <s v="GBP"/>
    <x v="15"/>
    <n v="-436.55"/>
    <m/>
    <n v="-436.55"/>
    <s v="N/A"/>
    <x v="1"/>
    <x v="0"/>
  </r>
  <r>
    <s v="GL001119"/>
    <d v="2023-07-28T00:00:00"/>
    <x v="3"/>
    <x v="3"/>
    <n v="1687.08"/>
    <n v="0"/>
    <x v="5"/>
    <x v="3"/>
    <s v="AutoPost 1119"/>
    <s v="CAD"/>
    <x v="17"/>
    <n v="-1687.08"/>
    <m/>
    <n v="-1687.08"/>
    <s v="N/A"/>
    <x v="1"/>
    <x v="0"/>
  </r>
  <r>
    <s v="GL001120"/>
    <d v="2024-02-20T00:00:00"/>
    <x v="1"/>
    <x v="1"/>
    <n v="1337.28"/>
    <n v="0"/>
    <x v="1"/>
    <x v="2"/>
    <s v="AutoPost 1120"/>
    <s v="GBP"/>
    <x v="11"/>
    <n v="-1337.28"/>
    <m/>
    <n v="-1337.28"/>
    <s v="N/A"/>
    <x v="1"/>
    <x v="0"/>
  </r>
  <r>
    <s v="GL001121"/>
    <d v="2025-02-24T00:00:00"/>
    <x v="4"/>
    <x v="4"/>
    <n v="0"/>
    <n v="2049.4499999999998"/>
    <x v="4"/>
    <x v="1"/>
    <s v="AutoPost 1121"/>
    <s v="CAD"/>
    <x v="28"/>
    <n v="2049.4499999999998"/>
    <m/>
    <n v="2049.4499999999998"/>
    <s v="N/A"/>
    <x v="1"/>
    <x v="1"/>
  </r>
  <r>
    <s v="GL001122"/>
    <d v="2023-07-15T00:00:00"/>
    <x v="4"/>
    <x v="4"/>
    <n v="0"/>
    <n v="760.5"/>
    <x v="3"/>
    <x v="2"/>
    <s v="AutoPost 1122"/>
    <s v="CAD"/>
    <x v="17"/>
    <n v="760.5"/>
    <m/>
    <n v="760.5"/>
    <s v="N/A"/>
    <x v="1"/>
    <x v="1"/>
  </r>
  <r>
    <s v="GL001123"/>
    <d v="2024-10-17T00:00:00"/>
    <x v="2"/>
    <x v="2"/>
    <n v="239.34"/>
    <n v="0"/>
    <x v="1"/>
    <x v="4"/>
    <s v="AutoPost 1123"/>
    <s v="GBP"/>
    <x v="26"/>
    <n v="-239.34"/>
    <m/>
    <n v="-239.34"/>
    <s v="N/A"/>
    <x v="1"/>
    <x v="0"/>
  </r>
  <r>
    <s v="GL001124"/>
    <d v="2025-03-06T00:00:00"/>
    <x v="2"/>
    <x v="2"/>
    <n v="882.43"/>
    <n v="0"/>
    <x v="0"/>
    <x v="0"/>
    <s v="AutoPost 1124"/>
    <s v="EUR"/>
    <x v="13"/>
    <n v="-882.43"/>
    <m/>
    <n v="-882.43"/>
    <s v="N/A"/>
    <x v="1"/>
    <x v="0"/>
  </r>
  <r>
    <s v="GL001125"/>
    <d v="2024-06-08T00:00:00"/>
    <x v="4"/>
    <x v="4"/>
    <n v="0"/>
    <n v="4016.46"/>
    <x v="4"/>
    <x v="1"/>
    <s v="AutoPost 1125"/>
    <s v="EUR"/>
    <x v="1"/>
    <n v="4016.46"/>
    <m/>
    <n v="4016.46"/>
    <s v="N/A"/>
    <x v="1"/>
    <x v="1"/>
  </r>
  <r>
    <s v="GL001126"/>
    <d v="2023-04-11T00:00:00"/>
    <x v="2"/>
    <x v="2"/>
    <n v="1217.1199999999999"/>
    <n v="0"/>
    <x v="4"/>
    <x v="0"/>
    <s v="AutoPost 1126"/>
    <s v="AUD"/>
    <x v="8"/>
    <n v="-1217.1199999999999"/>
    <m/>
    <n v="-1217.1199999999999"/>
    <s v="N/A"/>
    <x v="1"/>
    <x v="0"/>
  </r>
  <r>
    <s v="GL001127"/>
    <d v="2024-10-05T00:00:00"/>
    <x v="0"/>
    <x v="0"/>
    <n v="0"/>
    <n v="396.28"/>
    <x v="0"/>
    <x v="3"/>
    <s v="AutoPost 1127"/>
    <s v="AUD"/>
    <x v="26"/>
    <n v="396.28"/>
    <m/>
    <n v="396.28"/>
    <s v="N/A"/>
    <x v="1"/>
    <x v="1"/>
  </r>
  <r>
    <s v="GL001128"/>
    <d v="2023-05-14T00:00:00"/>
    <x v="3"/>
    <x v="3"/>
    <n v="682.65"/>
    <n v="0"/>
    <x v="0"/>
    <x v="2"/>
    <s v="AutoPost 1128"/>
    <s v="GBP"/>
    <x v="29"/>
    <n v="-682.65"/>
    <m/>
    <n v="-682.65"/>
    <s v="N/A"/>
    <x v="1"/>
    <x v="0"/>
  </r>
  <r>
    <s v="GL001129"/>
    <d v="2023-04-23T00:00:00"/>
    <x v="1"/>
    <x v="1"/>
    <n v="959.31"/>
    <n v="0"/>
    <x v="0"/>
    <x v="1"/>
    <s v="AutoPost 1129"/>
    <s v="GBP"/>
    <x v="8"/>
    <n v="-959.31"/>
    <m/>
    <n v="-959.31"/>
    <s v="N/A"/>
    <x v="1"/>
    <x v="0"/>
  </r>
  <r>
    <s v="GL001130"/>
    <d v="2024-03-20T00:00:00"/>
    <x v="2"/>
    <x v="2"/>
    <n v="431.95"/>
    <n v="0"/>
    <x v="3"/>
    <x v="2"/>
    <s v="AutoPost 1130"/>
    <s v="USD"/>
    <x v="16"/>
    <n v="-431.95"/>
    <m/>
    <n v="-431.95"/>
    <s v="N/A"/>
    <x v="1"/>
    <x v="0"/>
  </r>
  <r>
    <s v="GL001131"/>
    <d v="2025-06-09T00:00:00"/>
    <x v="1"/>
    <x v="1"/>
    <n v="274.33"/>
    <n v="0"/>
    <x v="4"/>
    <x v="2"/>
    <s v="AutoPost 1131"/>
    <s v="CAD"/>
    <x v="19"/>
    <n v="-274.33"/>
    <m/>
    <n v="-274.33"/>
    <s v="N/A"/>
    <x v="1"/>
    <x v="0"/>
  </r>
  <r>
    <s v="GL001132"/>
    <d v="2024-09-09T00:00:00"/>
    <x v="0"/>
    <x v="0"/>
    <n v="0"/>
    <n v="4439.8900000000003"/>
    <x v="0"/>
    <x v="2"/>
    <s v="AutoPost 1132"/>
    <s v="EUR"/>
    <x v="15"/>
    <n v="4439.8900000000003"/>
    <m/>
    <n v="4439.8900000000003"/>
    <s v="N/A"/>
    <x v="1"/>
    <x v="1"/>
  </r>
  <r>
    <s v="GL001133"/>
    <d v="2024-07-17T00:00:00"/>
    <x v="4"/>
    <x v="4"/>
    <n v="0"/>
    <n v="1093.95"/>
    <x v="4"/>
    <x v="4"/>
    <s v="AutoPost 1133"/>
    <s v="USD"/>
    <x v="21"/>
    <n v="1093.95"/>
    <m/>
    <n v="1093.95"/>
    <s v="N/A"/>
    <x v="1"/>
    <x v="1"/>
  </r>
  <r>
    <s v="GL001134"/>
    <d v="2024-11-18T00:00:00"/>
    <x v="1"/>
    <x v="1"/>
    <n v="900.67"/>
    <n v="0"/>
    <x v="3"/>
    <x v="3"/>
    <s v="AutoPost 1134"/>
    <s v="AUD"/>
    <x v="10"/>
    <n v="-900.67"/>
    <m/>
    <n v="-900.67"/>
    <s v="N/A"/>
    <x v="1"/>
    <x v="0"/>
  </r>
  <r>
    <s v="GL001135"/>
    <d v="2023-11-12T00:00:00"/>
    <x v="0"/>
    <x v="0"/>
    <n v="0"/>
    <n v="2284.31"/>
    <x v="2"/>
    <x v="0"/>
    <s v="AutoPost 1135"/>
    <s v="AUD"/>
    <x v="9"/>
    <n v="2284.31"/>
    <m/>
    <n v="2284.31"/>
    <s v="N/A"/>
    <x v="1"/>
    <x v="1"/>
  </r>
  <r>
    <s v="GL001136"/>
    <d v="2023-12-20T00:00:00"/>
    <x v="1"/>
    <x v="1"/>
    <n v="1994.11"/>
    <n v="0"/>
    <x v="5"/>
    <x v="2"/>
    <s v="AutoPost 1136"/>
    <s v="AUD"/>
    <x v="6"/>
    <n v="-1994.11"/>
    <m/>
    <n v="-1994.11"/>
    <s v="N/A"/>
    <x v="1"/>
    <x v="0"/>
  </r>
  <r>
    <s v="GL001137"/>
    <d v="2023-06-06T00:00:00"/>
    <x v="1"/>
    <x v="1"/>
    <n v="286.3"/>
    <n v="0"/>
    <x v="3"/>
    <x v="3"/>
    <s v="AutoPost 1137"/>
    <s v="CAD"/>
    <x v="22"/>
    <n v="-286.3"/>
    <m/>
    <n v="-286.3"/>
    <s v="N/A"/>
    <x v="1"/>
    <x v="0"/>
  </r>
  <r>
    <s v="GL001138"/>
    <d v="2023-01-27T00:00:00"/>
    <x v="2"/>
    <x v="2"/>
    <n v="1069.23"/>
    <n v="0"/>
    <x v="5"/>
    <x v="2"/>
    <s v="AutoPost 1138"/>
    <s v="CAD"/>
    <x v="14"/>
    <n v="-1069.23"/>
    <m/>
    <n v="-1069.23"/>
    <s v="N/A"/>
    <x v="1"/>
    <x v="0"/>
  </r>
  <r>
    <s v="GL001139"/>
    <d v="2024-09-12T00:00:00"/>
    <x v="2"/>
    <x v="2"/>
    <n v="901.69"/>
    <n v="0"/>
    <x v="1"/>
    <x v="0"/>
    <s v="AutoPost 1139"/>
    <s v="AUD"/>
    <x v="15"/>
    <n v="-901.69"/>
    <m/>
    <n v="-901.69"/>
    <s v="N/A"/>
    <x v="1"/>
    <x v="0"/>
  </r>
  <r>
    <s v="GL001140"/>
    <d v="2023-11-21T00:00:00"/>
    <x v="2"/>
    <x v="2"/>
    <n v="1692.4"/>
    <n v="0"/>
    <x v="2"/>
    <x v="3"/>
    <s v="AutoPost 1140"/>
    <s v="CAD"/>
    <x v="9"/>
    <n v="-1692.4"/>
    <m/>
    <n v="-1692.4"/>
    <s v="N/A"/>
    <x v="1"/>
    <x v="0"/>
  </r>
  <r>
    <s v="GL001141"/>
    <d v="2024-07-31T00:00:00"/>
    <x v="4"/>
    <x v="4"/>
    <n v="0"/>
    <n v="4894.3999999999996"/>
    <x v="0"/>
    <x v="0"/>
    <s v="AutoPost 1141"/>
    <s v="USD"/>
    <x v="21"/>
    <n v="4894.3999999999996"/>
    <m/>
    <n v="4894.3999999999996"/>
    <s v="N/A"/>
    <x v="1"/>
    <x v="1"/>
  </r>
  <r>
    <s v="GL001142"/>
    <d v="2023-12-30T00:00:00"/>
    <x v="1"/>
    <x v="1"/>
    <n v="535.66999999999996"/>
    <n v="0"/>
    <x v="0"/>
    <x v="0"/>
    <s v="AutoPost 1142"/>
    <s v="CAD"/>
    <x v="6"/>
    <n v="-535.66999999999996"/>
    <m/>
    <n v="-535.66999999999996"/>
    <s v="N/A"/>
    <x v="1"/>
    <x v="0"/>
  </r>
  <r>
    <s v="GL001143"/>
    <d v="2024-08-08T00:00:00"/>
    <x v="2"/>
    <x v="2"/>
    <n v="1153.45"/>
    <n v="0"/>
    <x v="5"/>
    <x v="2"/>
    <s v="AutoPost 1143"/>
    <s v="GBP"/>
    <x v="25"/>
    <n v="-1153.45"/>
    <m/>
    <n v="-1153.45"/>
    <s v="N/A"/>
    <x v="1"/>
    <x v="0"/>
  </r>
  <r>
    <s v="GL001144"/>
    <d v="2023-08-01T00:00:00"/>
    <x v="4"/>
    <x v="4"/>
    <n v="0"/>
    <n v="2523.88"/>
    <x v="1"/>
    <x v="1"/>
    <s v="AutoPost 1144"/>
    <s v="AUD"/>
    <x v="4"/>
    <n v="2523.88"/>
    <m/>
    <n v="2523.88"/>
    <s v="N/A"/>
    <x v="1"/>
    <x v="1"/>
  </r>
  <r>
    <s v="GL001145"/>
    <d v="2023-10-17T00:00:00"/>
    <x v="2"/>
    <x v="2"/>
    <n v="621.37"/>
    <n v="0"/>
    <x v="3"/>
    <x v="1"/>
    <s v="AutoPost 1145"/>
    <s v="EUR"/>
    <x v="27"/>
    <n v="-621.37"/>
    <m/>
    <n v="-621.37"/>
    <s v="N/A"/>
    <x v="1"/>
    <x v="0"/>
  </r>
  <r>
    <s v="GL001146"/>
    <d v="2025-01-24T00:00:00"/>
    <x v="3"/>
    <x v="3"/>
    <n v="991.7"/>
    <n v="0"/>
    <x v="1"/>
    <x v="0"/>
    <s v="AutoPost 1146"/>
    <s v="EUR"/>
    <x v="2"/>
    <n v="-991.7"/>
    <m/>
    <n v="-991.7"/>
    <s v="N/A"/>
    <x v="1"/>
    <x v="0"/>
  </r>
  <r>
    <s v="GL001147"/>
    <d v="2025-05-23T00:00:00"/>
    <x v="2"/>
    <x v="2"/>
    <n v="1727.08"/>
    <n v="0"/>
    <x v="2"/>
    <x v="1"/>
    <s v="AutoPost 1147"/>
    <s v="AUD"/>
    <x v="5"/>
    <n v="-1727.08"/>
    <m/>
    <n v="-1727.08"/>
    <s v="N/A"/>
    <x v="1"/>
    <x v="0"/>
  </r>
  <r>
    <s v="GL001148"/>
    <d v="2023-11-06T00:00:00"/>
    <x v="2"/>
    <x v="2"/>
    <n v="1518.91"/>
    <n v="0"/>
    <x v="0"/>
    <x v="4"/>
    <s v="AutoPost 1148"/>
    <s v="AUD"/>
    <x v="9"/>
    <n v="-1518.91"/>
    <m/>
    <n v="-1518.91"/>
    <s v="N/A"/>
    <x v="1"/>
    <x v="0"/>
  </r>
  <r>
    <s v="GL001149"/>
    <d v="2024-02-16T00:00:00"/>
    <x v="0"/>
    <x v="0"/>
    <n v="0"/>
    <n v="1266.3499999999999"/>
    <x v="5"/>
    <x v="1"/>
    <s v="AutoPost 1149"/>
    <s v="CAD"/>
    <x v="11"/>
    <n v="1266.3499999999999"/>
    <m/>
    <n v="1266.3499999999999"/>
    <s v="N/A"/>
    <x v="1"/>
    <x v="1"/>
  </r>
  <r>
    <s v="GL001150"/>
    <d v="2024-12-28T00:00:00"/>
    <x v="0"/>
    <x v="0"/>
    <n v="0"/>
    <n v="3886.29"/>
    <x v="2"/>
    <x v="1"/>
    <s v="AutoPost 1150"/>
    <s v="GBP"/>
    <x v="23"/>
    <n v="3886.29"/>
    <m/>
    <n v="3886.29"/>
    <s v="N/A"/>
    <x v="1"/>
    <x v="1"/>
  </r>
  <r>
    <s v="GL001151"/>
    <d v="2023-02-05T00:00:00"/>
    <x v="2"/>
    <x v="2"/>
    <n v="584.9"/>
    <n v="0"/>
    <x v="2"/>
    <x v="2"/>
    <s v="AutoPost 1151"/>
    <s v="EUR"/>
    <x v="24"/>
    <n v="-584.9"/>
    <m/>
    <n v="-584.9"/>
    <s v="N/A"/>
    <x v="1"/>
    <x v="0"/>
  </r>
  <r>
    <s v="GL001152"/>
    <d v="2024-02-10T00:00:00"/>
    <x v="1"/>
    <x v="1"/>
    <n v="1212.48"/>
    <n v="0"/>
    <x v="4"/>
    <x v="1"/>
    <s v="AutoPost 1152"/>
    <s v="EUR"/>
    <x v="11"/>
    <n v="-1212.48"/>
    <m/>
    <n v="-1212.48"/>
    <s v="N/A"/>
    <x v="1"/>
    <x v="0"/>
  </r>
  <r>
    <s v="GL001153"/>
    <d v="2024-04-23T00:00:00"/>
    <x v="2"/>
    <x v="2"/>
    <n v="1084.73"/>
    <n v="0"/>
    <x v="0"/>
    <x v="4"/>
    <s v="AutoPost 1153"/>
    <s v="CAD"/>
    <x v="7"/>
    <n v="-1084.73"/>
    <m/>
    <n v="-1084.73"/>
    <s v="N/A"/>
    <x v="1"/>
    <x v="0"/>
  </r>
  <r>
    <s v="GL001154"/>
    <d v="2023-12-14T00:00:00"/>
    <x v="2"/>
    <x v="2"/>
    <n v="1218.47"/>
    <n v="0"/>
    <x v="1"/>
    <x v="3"/>
    <s v="AutoPost 1154"/>
    <s v="GBP"/>
    <x v="6"/>
    <n v="-1218.47"/>
    <m/>
    <n v="-1218.47"/>
    <s v="N/A"/>
    <x v="1"/>
    <x v="0"/>
  </r>
  <r>
    <s v="GL001155"/>
    <d v="2024-03-19T00:00:00"/>
    <x v="2"/>
    <x v="2"/>
    <n v="134.03"/>
    <n v="0"/>
    <x v="4"/>
    <x v="0"/>
    <s v="AutoPost 1155"/>
    <s v="CAD"/>
    <x v="16"/>
    <n v="-134.03"/>
    <m/>
    <n v="-134.03"/>
    <s v="N/A"/>
    <x v="1"/>
    <x v="0"/>
  </r>
  <r>
    <s v="GL001156"/>
    <d v="2023-05-11T00:00:00"/>
    <x v="3"/>
    <x v="3"/>
    <n v="1961.58"/>
    <n v="0"/>
    <x v="4"/>
    <x v="1"/>
    <s v="AutoPost 1156"/>
    <s v="USD"/>
    <x v="29"/>
    <n v="-1961.58"/>
    <m/>
    <n v="-1961.58"/>
    <s v="N/A"/>
    <x v="1"/>
    <x v="0"/>
  </r>
  <r>
    <s v="GL001157"/>
    <d v="2023-01-27T00:00:00"/>
    <x v="2"/>
    <x v="2"/>
    <n v="320.36"/>
    <n v="0"/>
    <x v="5"/>
    <x v="3"/>
    <s v="AutoPost 1157"/>
    <s v="USD"/>
    <x v="14"/>
    <n v="-320.36"/>
    <m/>
    <n v="-320.36"/>
    <s v="N/A"/>
    <x v="1"/>
    <x v="0"/>
  </r>
  <r>
    <s v="GL001158"/>
    <d v="2024-09-06T00:00:00"/>
    <x v="3"/>
    <x v="3"/>
    <n v="727.24"/>
    <n v="0"/>
    <x v="3"/>
    <x v="4"/>
    <s v="AutoPost 1158"/>
    <s v="EUR"/>
    <x v="15"/>
    <n v="-727.24"/>
    <m/>
    <n v="-727.24"/>
    <s v="N/A"/>
    <x v="1"/>
    <x v="0"/>
  </r>
  <r>
    <s v="GL001159"/>
    <d v="2023-04-14T00:00:00"/>
    <x v="1"/>
    <x v="1"/>
    <n v="334.7"/>
    <n v="0"/>
    <x v="5"/>
    <x v="2"/>
    <s v="AutoPost 1159"/>
    <s v="EUR"/>
    <x v="8"/>
    <n v="-334.7"/>
    <m/>
    <n v="-334.7"/>
    <s v="N/A"/>
    <x v="1"/>
    <x v="0"/>
  </r>
  <r>
    <s v="GL001160"/>
    <d v="2023-04-05T00:00:00"/>
    <x v="2"/>
    <x v="2"/>
    <n v="620.16999999999996"/>
    <n v="0"/>
    <x v="0"/>
    <x v="3"/>
    <s v="AutoPost 1160"/>
    <s v="AUD"/>
    <x v="8"/>
    <n v="-620.16999999999996"/>
    <m/>
    <n v="-620.16999999999996"/>
    <s v="N/A"/>
    <x v="1"/>
    <x v="0"/>
  </r>
  <r>
    <s v="GL001161"/>
    <d v="2024-07-02T00:00:00"/>
    <x v="4"/>
    <x v="4"/>
    <n v="0"/>
    <n v="2933.41"/>
    <x v="0"/>
    <x v="0"/>
    <s v="AutoPost 1161"/>
    <s v="GBP"/>
    <x v="21"/>
    <n v="2933.41"/>
    <m/>
    <n v="2933.41"/>
    <s v="N/A"/>
    <x v="1"/>
    <x v="1"/>
  </r>
  <r>
    <s v="GL001162"/>
    <d v="2023-06-16T00:00:00"/>
    <x v="4"/>
    <x v="4"/>
    <n v="0"/>
    <n v="2103.91"/>
    <x v="0"/>
    <x v="2"/>
    <s v="AutoPost 1162"/>
    <s v="CAD"/>
    <x v="22"/>
    <n v="2103.91"/>
    <m/>
    <n v="2103.91"/>
    <s v="N/A"/>
    <x v="1"/>
    <x v="1"/>
  </r>
  <r>
    <s v="GL001163"/>
    <d v="2023-07-14T00:00:00"/>
    <x v="2"/>
    <x v="2"/>
    <n v="626.96"/>
    <n v="0"/>
    <x v="5"/>
    <x v="4"/>
    <s v="AutoPost 1163"/>
    <s v="GBP"/>
    <x v="17"/>
    <n v="-626.96"/>
    <m/>
    <n v="-626.96"/>
    <s v="N/A"/>
    <x v="1"/>
    <x v="0"/>
  </r>
  <r>
    <s v="GL001164"/>
    <d v="2024-07-07T00:00:00"/>
    <x v="0"/>
    <x v="0"/>
    <n v="0"/>
    <n v="3001.97"/>
    <x v="2"/>
    <x v="3"/>
    <s v="AutoPost 1164"/>
    <s v="USD"/>
    <x v="21"/>
    <n v="3001.97"/>
    <m/>
    <n v="3001.97"/>
    <s v="N/A"/>
    <x v="1"/>
    <x v="1"/>
  </r>
  <r>
    <s v="GL001165"/>
    <d v="2025-01-11T00:00:00"/>
    <x v="1"/>
    <x v="1"/>
    <n v="1130.18"/>
    <n v="0"/>
    <x v="5"/>
    <x v="3"/>
    <s v="AutoPost 1165"/>
    <s v="GBP"/>
    <x v="2"/>
    <n v="-1130.18"/>
    <m/>
    <n v="-1130.18"/>
    <s v="N/A"/>
    <x v="1"/>
    <x v="0"/>
  </r>
  <r>
    <s v="GL001166"/>
    <d v="2023-12-01T00:00:00"/>
    <x v="3"/>
    <x v="3"/>
    <n v="1772.72"/>
    <n v="0"/>
    <x v="3"/>
    <x v="0"/>
    <s v="AutoPost 1166"/>
    <s v="CAD"/>
    <x v="6"/>
    <n v="-1772.72"/>
    <m/>
    <n v="-1772.72"/>
    <s v="N/A"/>
    <x v="1"/>
    <x v="0"/>
  </r>
  <r>
    <s v="GL001167"/>
    <d v="2024-02-10T00:00:00"/>
    <x v="3"/>
    <x v="3"/>
    <n v="152.83000000000001"/>
    <n v="0"/>
    <x v="0"/>
    <x v="3"/>
    <s v="AutoPost 1167"/>
    <s v="CAD"/>
    <x v="11"/>
    <n v="-152.83000000000001"/>
    <m/>
    <n v="-152.83000000000001"/>
    <s v="N/A"/>
    <x v="1"/>
    <x v="0"/>
  </r>
  <r>
    <s v="GL001168"/>
    <d v="2023-01-02T00:00:00"/>
    <x v="1"/>
    <x v="1"/>
    <n v="954.94"/>
    <n v="0"/>
    <x v="1"/>
    <x v="3"/>
    <s v="AutoPost 1168"/>
    <s v="EUR"/>
    <x v="14"/>
    <n v="-954.94"/>
    <m/>
    <n v="-954.94"/>
    <s v="N/A"/>
    <x v="1"/>
    <x v="0"/>
  </r>
  <r>
    <s v="GL001169"/>
    <d v="2025-06-18T00:00:00"/>
    <x v="4"/>
    <x v="4"/>
    <n v="0"/>
    <n v="4418.1899999999996"/>
    <x v="2"/>
    <x v="2"/>
    <s v="AutoPost 1169"/>
    <s v="CAD"/>
    <x v="19"/>
    <n v="4418.1899999999996"/>
    <m/>
    <n v="4418.1899999999996"/>
    <s v="N/A"/>
    <x v="1"/>
    <x v="1"/>
  </r>
  <r>
    <s v="GL001170"/>
    <d v="2024-03-12T00:00:00"/>
    <x v="3"/>
    <x v="3"/>
    <n v="1814.27"/>
    <n v="0"/>
    <x v="0"/>
    <x v="4"/>
    <s v="AutoPost 1170"/>
    <s v="USD"/>
    <x v="16"/>
    <n v="-1814.27"/>
    <m/>
    <n v="-1814.27"/>
    <s v="N/A"/>
    <x v="1"/>
    <x v="0"/>
  </r>
  <r>
    <s v="GL001171"/>
    <d v="2024-04-26T00:00:00"/>
    <x v="0"/>
    <x v="0"/>
    <n v="0"/>
    <n v="815.4"/>
    <x v="5"/>
    <x v="4"/>
    <s v="AutoPost 1171"/>
    <s v="EUR"/>
    <x v="7"/>
    <n v="815.4"/>
    <m/>
    <n v="815.4"/>
    <s v="N/A"/>
    <x v="1"/>
    <x v="1"/>
  </r>
  <r>
    <s v="GL001172"/>
    <d v="2024-08-09T00:00:00"/>
    <x v="1"/>
    <x v="1"/>
    <n v="290.05"/>
    <n v="0"/>
    <x v="3"/>
    <x v="2"/>
    <s v="AutoPost 1172"/>
    <s v="CAD"/>
    <x v="25"/>
    <n v="-290.05"/>
    <m/>
    <n v="-290.05"/>
    <s v="N/A"/>
    <x v="1"/>
    <x v="0"/>
  </r>
  <r>
    <s v="GL001173"/>
    <d v="2025-05-04T00:00:00"/>
    <x v="2"/>
    <x v="2"/>
    <n v="1726.68"/>
    <n v="0"/>
    <x v="4"/>
    <x v="1"/>
    <s v="AutoPost 1173"/>
    <s v="AUD"/>
    <x v="5"/>
    <n v="-1726.68"/>
    <m/>
    <n v="-1726.68"/>
    <s v="N/A"/>
    <x v="1"/>
    <x v="0"/>
  </r>
  <r>
    <s v="GL001174"/>
    <d v="2025-04-25T00:00:00"/>
    <x v="4"/>
    <x v="4"/>
    <n v="0"/>
    <n v="2724.33"/>
    <x v="4"/>
    <x v="0"/>
    <s v="AutoPost 1174"/>
    <s v="GBP"/>
    <x v="12"/>
    <n v="2724.33"/>
    <m/>
    <n v="2724.33"/>
    <s v="N/A"/>
    <x v="1"/>
    <x v="1"/>
  </r>
  <r>
    <s v="GL001175"/>
    <d v="2023-04-02T00:00:00"/>
    <x v="4"/>
    <x v="4"/>
    <n v="0"/>
    <n v="517.76"/>
    <x v="3"/>
    <x v="4"/>
    <s v="AutoPost 1175"/>
    <s v="CAD"/>
    <x v="8"/>
    <n v="517.76"/>
    <m/>
    <n v="517.76"/>
    <s v="N/A"/>
    <x v="1"/>
    <x v="1"/>
  </r>
  <r>
    <s v="GL001176"/>
    <d v="2023-08-17T00:00:00"/>
    <x v="3"/>
    <x v="3"/>
    <n v="1718.84"/>
    <n v="0"/>
    <x v="2"/>
    <x v="3"/>
    <s v="AutoPost 1176"/>
    <s v="AUD"/>
    <x v="4"/>
    <n v="-1718.84"/>
    <m/>
    <n v="-1718.84"/>
    <s v="N/A"/>
    <x v="1"/>
    <x v="0"/>
  </r>
  <r>
    <s v="GL001177"/>
    <d v="2024-06-04T00:00:00"/>
    <x v="0"/>
    <x v="0"/>
    <n v="0"/>
    <n v="3902.53"/>
    <x v="2"/>
    <x v="0"/>
    <s v="AutoPost 1177"/>
    <s v="USD"/>
    <x v="1"/>
    <n v="3902.53"/>
    <m/>
    <n v="3902.53"/>
    <s v="N/A"/>
    <x v="1"/>
    <x v="1"/>
  </r>
  <r>
    <s v="GL001178"/>
    <d v="2023-11-14T00:00:00"/>
    <x v="1"/>
    <x v="1"/>
    <n v="820.59"/>
    <n v="0"/>
    <x v="5"/>
    <x v="4"/>
    <s v="AutoPost 1178"/>
    <s v="EUR"/>
    <x v="9"/>
    <n v="-820.59"/>
    <m/>
    <n v="-820.59"/>
    <s v="N/A"/>
    <x v="1"/>
    <x v="0"/>
  </r>
  <r>
    <s v="GL001179"/>
    <d v="2024-09-06T00:00:00"/>
    <x v="2"/>
    <x v="2"/>
    <n v="933.21"/>
    <n v="0"/>
    <x v="2"/>
    <x v="4"/>
    <s v="AutoPost 1179"/>
    <s v="AUD"/>
    <x v="15"/>
    <n v="-933.21"/>
    <m/>
    <n v="-933.21"/>
    <s v="N/A"/>
    <x v="1"/>
    <x v="0"/>
  </r>
  <r>
    <s v="GL001180"/>
    <d v="2024-03-30T00:00:00"/>
    <x v="4"/>
    <x v="4"/>
    <n v="0"/>
    <n v="581.76"/>
    <x v="2"/>
    <x v="2"/>
    <s v="AutoPost 1180"/>
    <s v="CAD"/>
    <x v="16"/>
    <n v="581.76"/>
    <m/>
    <n v="581.76"/>
    <s v="N/A"/>
    <x v="1"/>
    <x v="1"/>
  </r>
  <r>
    <s v="GL001181"/>
    <d v="2023-04-14T00:00:00"/>
    <x v="0"/>
    <x v="0"/>
    <n v="0"/>
    <n v="2858.3"/>
    <x v="1"/>
    <x v="4"/>
    <s v="AutoPost 1181"/>
    <s v="GBP"/>
    <x v="8"/>
    <n v="2858.3"/>
    <m/>
    <n v="2858.3"/>
    <s v="N/A"/>
    <x v="1"/>
    <x v="1"/>
  </r>
  <r>
    <s v="GL001182"/>
    <d v="2024-01-08T00:00:00"/>
    <x v="4"/>
    <x v="4"/>
    <n v="0"/>
    <n v="1469.73"/>
    <x v="3"/>
    <x v="0"/>
    <s v="AutoPost 1182"/>
    <s v="AUD"/>
    <x v="20"/>
    <n v="1469.73"/>
    <m/>
    <n v="1469.73"/>
    <s v="N/A"/>
    <x v="1"/>
    <x v="1"/>
  </r>
  <r>
    <s v="GL001183"/>
    <d v="2024-06-14T00:00:00"/>
    <x v="0"/>
    <x v="0"/>
    <n v="0"/>
    <n v="4440.72"/>
    <x v="0"/>
    <x v="3"/>
    <s v="AutoPost 1183"/>
    <s v="GBP"/>
    <x v="1"/>
    <n v="4440.72"/>
    <m/>
    <n v="4440.72"/>
    <s v="N/A"/>
    <x v="1"/>
    <x v="1"/>
  </r>
  <r>
    <s v="GL001184"/>
    <d v="2025-03-25T00:00:00"/>
    <x v="3"/>
    <x v="3"/>
    <n v="1972.41"/>
    <n v="0"/>
    <x v="4"/>
    <x v="2"/>
    <s v="AutoPost 1184"/>
    <s v="EUR"/>
    <x v="13"/>
    <n v="-1972.41"/>
    <m/>
    <n v="-1972.41"/>
    <s v="N/A"/>
    <x v="1"/>
    <x v="0"/>
  </r>
  <r>
    <s v="GL001185"/>
    <d v="2024-02-06T00:00:00"/>
    <x v="4"/>
    <x v="4"/>
    <n v="0"/>
    <n v="841.52"/>
    <x v="1"/>
    <x v="4"/>
    <s v="AutoPost 1185"/>
    <s v="EUR"/>
    <x v="11"/>
    <n v="841.52"/>
    <m/>
    <n v="841.52"/>
    <s v="N/A"/>
    <x v="1"/>
    <x v="1"/>
  </r>
  <r>
    <s v="GL001186"/>
    <d v="2023-06-06T00:00:00"/>
    <x v="2"/>
    <x v="2"/>
    <n v="316.14999999999998"/>
    <n v="0"/>
    <x v="3"/>
    <x v="4"/>
    <s v="AutoPost 1186"/>
    <s v="CAD"/>
    <x v="22"/>
    <n v="-316.14999999999998"/>
    <m/>
    <n v="-316.14999999999998"/>
    <s v="N/A"/>
    <x v="1"/>
    <x v="0"/>
  </r>
  <r>
    <s v="GL001187"/>
    <d v="2024-01-01T00:00:00"/>
    <x v="3"/>
    <x v="3"/>
    <n v="475.92"/>
    <n v="0"/>
    <x v="5"/>
    <x v="4"/>
    <s v="AutoPost 1187"/>
    <s v="AUD"/>
    <x v="20"/>
    <n v="-475.92"/>
    <m/>
    <n v="-475.92"/>
    <s v="N/A"/>
    <x v="1"/>
    <x v="0"/>
  </r>
  <r>
    <s v="GL001188"/>
    <d v="2024-01-03T00:00:00"/>
    <x v="2"/>
    <x v="2"/>
    <n v="1283.6099999999999"/>
    <n v="0"/>
    <x v="1"/>
    <x v="2"/>
    <s v="AutoPost 1188"/>
    <s v="GBP"/>
    <x v="20"/>
    <n v="-1283.6099999999999"/>
    <m/>
    <n v="-1283.6099999999999"/>
    <s v="N/A"/>
    <x v="1"/>
    <x v="0"/>
  </r>
  <r>
    <s v="GL001189"/>
    <d v="2024-01-05T00:00:00"/>
    <x v="0"/>
    <x v="0"/>
    <n v="0"/>
    <n v="242.31"/>
    <x v="1"/>
    <x v="4"/>
    <s v="AutoPost 1189"/>
    <s v="CAD"/>
    <x v="20"/>
    <n v="242.31"/>
    <m/>
    <n v="242.31"/>
    <s v="N/A"/>
    <x v="1"/>
    <x v="1"/>
  </r>
  <r>
    <s v="GL001190"/>
    <d v="2024-03-20T00:00:00"/>
    <x v="1"/>
    <x v="1"/>
    <n v="309.44"/>
    <n v="0"/>
    <x v="1"/>
    <x v="3"/>
    <s v="AutoPost 1190"/>
    <s v="EUR"/>
    <x v="16"/>
    <n v="-309.44"/>
    <m/>
    <n v="-309.44"/>
    <s v="N/A"/>
    <x v="1"/>
    <x v="0"/>
  </r>
  <r>
    <s v="GL001191"/>
    <d v="2025-01-26T00:00:00"/>
    <x v="2"/>
    <x v="2"/>
    <n v="1158.3800000000001"/>
    <n v="0"/>
    <x v="0"/>
    <x v="0"/>
    <s v="AutoPost 1191"/>
    <s v="GBP"/>
    <x v="2"/>
    <n v="-1158.3800000000001"/>
    <m/>
    <n v="-1158.3800000000001"/>
    <s v="N/A"/>
    <x v="1"/>
    <x v="0"/>
  </r>
  <r>
    <s v="GL001192"/>
    <d v="2023-03-05T00:00:00"/>
    <x v="4"/>
    <x v="4"/>
    <n v="0"/>
    <n v="1546.54"/>
    <x v="0"/>
    <x v="3"/>
    <s v="AutoPost 1192"/>
    <s v="USD"/>
    <x v="18"/>
    <n v="1546.54"/>
    <m/>
    <n v="1546.54"/>
    <s v="N/A"/>
    <x v="1"/>
    <x v="1"/>
  </r>
  <r>
    <s v="GL001193"/>
    <d v="2023-03-26T00:00:00"/>
    <x v="4"/>
    <x v="4"/>
    <n v="0"/>
    <n v="4731.97"/>
    <x v="0"/>
    <x v="1"/>
    <s v="AutoPost 1193"/>
    <s v="USD"/>
    <x v="18"/>
    <n v="4731.97"/>
    <m/>
    <n v="4731.97"/>
    <s v="N/A"/>
    <x v="1"/>
    <x v="1"/>
  </r>
  <r>
    <s v="GL001194"/>
    <d v="2024-03-01T00:00:00"/>
    <x v="2"/>
    <x v="2"/>
    <n v="825.81"/>
    <n v="0"/>
    <x v="2"/>
    <x v="4"/>
    <s v="AutoPost 1194"/>
    <s v="USD"/>
    <x v="16"/>
    <n v="-825.81"/>
    <m/>
    <n v="-825.81"/>
    <s v="N/A"/>
    <x v="1"/>
    <x v="0"/>
  </r>
  <r>
    <s v="GL001195"/>
    <d v="2024-06-09T00:00:00"/>
    <x v="3"/>
    <x v="3"/>
    <n v="811.62"/>
    <n v="0"/>
    <x v="1"/>
    <x v="1"/>
    <s v="AutoPost 1195"/>
    <s v="CAD"/>
    <x v="1"/>
    <n v="-811.62"/>
    <m/>
    <n v="-811.62"/>
    <s v="N/A"/>
    <x v="1"/>
    <x v="0"/>
  </r>
  <r>
    <s v="GL001196"/>
    <d v="2024-05-23T00:00:00"/>
    <x v="2"/>
    <x v="2"/>
    <n v="1792.82"/>
    <n v="0"/>
    <x v="1"/>
    <x v="0"/>
    <s v="AutoPost 1196"/>
    <s v="USD"/>
    <x v="0"/>
    <n v="-1792.82"/>
    <m/>
    <n v="-1792.82"/>
    <s v="N/A"/>
    <x v="1"/>
    <x v="0"/>
  </r>
  <r>
    <s v="GL001197"/>
    <d v="2024-09-30T00:00:00"/>
    <x v="4"/>
    <x v="4"/>
    <n v="0"/>
    <n v="2374.8200000000002"/>
    <x v="1"/>
    <x v="1"/>
    <s v="AutoPost 1197"/>
    <s v="USD"/>
    <x v="15"/>
    <n v="2374.8200000000002"/>
    <m/>
    <n v="2374.8200000000002"/>
    <s v="N/A"/>
    <x v="1"/>
    <x v="1"/>
  </r>
  <r>
    <s v="GL001198"/>
    <d v="2024-05-28T00:00:00"/>
    <x v="0"/>
    <x v="0"/>
    <n v="0"/>
    <n v="383.06"/>
    <x v="3"/>
    <x v="4"/>
    <s v="AutoPost 1198"/>
    <s v="GBP"/>
    <x v="0"/>
    <n v="383.06"/>
    <m/>
    <n v="383.06"/>
    <s v="N/A"/>
    <x v="1"/>
    <x v="1"/>
  </r>
  <r>
    <s v="GL001199"/>
    <d v="2024-07-23T00:00:00"/>
    <x v="4"/>
    <x v="4"/>
    <n v="0"/>
    <n v="3219.96"/>
    <x v="4"/>
    <x v="4"/>
    <s v="AutoPost 1199"/>
    <s v="EUR"/>
    <x v="21"/>
    <n v="3219.96"/>
    <m/>
    <n v="3219.96"/>
    <s v="N/A"/>
    <x v="1"/>
    <x v="1"/>
  </r>
  <r>
    <s v="GL001200"/>
    <d v="2023-03-19T00:00:00"/>
    <x v="0"/>
    <x v="0"/>
    <n v="0"/>
    <n v="1105.3800000000001"/>
    <x v="0"/>
    <x v="1"/>
    <s v="AutoPost 1200"/>
    <s v="AUD"/>
    <x v="18"/>
    <n v="1105.3800000000001"/>
    <m/>
    <n v="1105.3800000000001"/>
    <s v="N/A"/>
    <x v="1"/>
    <x v="1"/>
  </r>
  <r>
    <s v="GL001201"/>
    <d v="2024-07-29T00:00:00"/>
    <x v="3"/>
    <x v="3"/>
    <n v="600.28"/>
    <n v="0"/>
    <x v="2"/>
    <x v="4"/>
    <s v="AutoPost 1201"/>
    <s v="CAD"/>
    <x v="21"/>
    <n v="-600.28"/>
    <m/>
    <n v="-600.28"/>
    <s v="N/A"/>
    <x v="1"/>
    <x v="0"/>
  </r>
  <r>
    <s v="GL001202"/>
    <d v="2024-09-21T00:00:00"/>
    <x v="4"/>
    <x v="4"/>
    <n v="0"/>
    <n v="1634.89"/>
    <x v="4"/>
    <x v="4"/>
    <s v="AutoPost 1202"/>
    <s v="AUD"/>
    <x v="15"/>
    <n v="1634.89"/>
    <m/>
    <n v="1634.89"/>
    <s v="N/A"/>
    <x v="1"/>
    <x v="1"/>
  </r>
  <r>
    <s v="GL001203"/>
    <d v="2024-08-25T00:00:00"/>
    <x v="4"/>
    <x v="4"/>
    <n v="0"/>
    <n v="2484.3000000000002"/>
    <x v="1"/>
    <x v="0"/>
    <s v="AutoPost 1203"/>
    <s v="CAD"/>
    <x v="25"/>
    <n v="2484.3000000000002"/>
    <m/>
    <n v="2484.3000000000002"/>
    <s v="N/A"/>
    <x v="1"/>
    <x v="1"/>
  </r>
  <r>
    <s v="GL001204"/>
    <d v="2025-03-17T00:00:00"/>
    <x v="0"/>
    <x v="0"/>
    <n v="0"/>
    <n v="2824.53"/>
    <x v="4"/>
    <x v="0"/>
    <s v="AutoPost 1204"/>
    <s v="GBP"/>
    <x v="13"/>
    <n v="2824.53"/>
    <m/>
    <n v="2824.53"/>
    <s v="N/A"/>
    <x v="1"/>
    <x v="1"/>
  </r>
  <r>
    <s v="GL001205"/>
    <d v="2024-12-01T00:00:00"/>
    <x v="2"/>
    <x v="2"/>
    <n v="269.73"/>
    <n v="0"/>
    <x v="1"/>
    <x v="1"/>
    <s v="AutoPost 1205"/>
    <s v="AUD"/>
    <x v="23"/>
    <n v="-269.73"/>
    <m/>
    <n v="-269.73"/>
    <s v="N/A"/>
    <x v="1"/>
    <x v="0"/>
  </r>
  <r>
    <s v="GL001206"/>
    <d v="2024-04-28T00:00:00"/>
    <x v="3"/>
    <x v="3"/>
    <n v="500.85"/>
    <n v="0"/>
    <x v="3"/>
    <x v="2"/>
    <s v="AutoPost 1206"/>
    <s v="USD"/>
    <x v="7"/>
    <n v="-500.85"/>
    <m/>
    <n v="-500.85"/>
    <s v="N/A"/>
    <x v="1"/>
    <x v="0"/>
  </r>
  <r>
    <s v="GL001207"/>
    <d v="2023-10-21T00:00:00"/>
    <x v="4"/>
    <x v="4"/>
    <n v="0"/>
    <n v="2600.9699999999998"/>
    <x v="2"/>
    <x v="1"/>
    <s v="AutoPost 1207"/>
    <s v="GBP"/>
    <x v="27"/>
    <n v="2600.9699999999998"/>
    <m/>
    <n v="2600.9699999999998"/>
    <s v="N/A"/>
    <x v="1"/>
    <x v="1"/>
  </r>
  <r>
    <s v="GL001208"/>
    <d v="2023-05-22T00:00:00"/>
    <x v="1"/>
    <x v="1"/>
    <n v="1457.86"/>
    <n v="0"/>
    <x v="0"/>
    <x v="0"/>
    <s v="AutoPost 1208"/>
    <s v="GBP"/>
    <x v="29"/>
    <n v="-1457.86"/>
    <m/>
    <n v="-1457.86"/>
    <s v="N/A"/>
    <x v="1"/>
    <x v="0"/>
  </r>
  <r>
    <s v="GL001209"/>
    <d v="2024-07-03T00:00:00"/>
    <x v="0"/>
    <x v="0"/>
    <n v="0"/>
    <n v="1378.84"/>
    <x v="4"/>
    <x v="2"/>
    <s v="AutoPost 1209"/>
    <s v="AUD"/>
    <x v="21"/>
    <n v="1378.84"/>
    <m/>
    <n v="1378.84"/>
    <s v="N/A"/>
    <x v="1"/>
    <x v="1"/>
  </r>
  <r>
    <s v="GL001210"/>
    <d v="2024-09-26T00:00:00"/>
    <x v="3"/>
    <x v="3"/>
    <n v="1891.86"/>
    <n v="0"/>
    <x v="4"/>
    <x v="2"/>
    <s v="AutoPost 1210"/>
    <s v="AUD"/>
    <x v="15"/>
    <n v="-1891.86"/>
    <m/>
    <n v="-1891.86"/>
    <s v="N/A"/>
    <x v="1"/>
    <x v="0"/>
  </r>
  <r>
    <s v="GL001211"/>
    <d v="2023-08-05T00:00:00"/>
    <x v="0"/>
    <x v="0"/>
    <n v="0"/>
    <n v="1330.12"/>
    <x v="3"/>
    <x v="2"/>
    <s v="AutoPost 1211"/>
    <s v="AUD"/>
    <x v="4"/>
    <n v="1330.12"/>
    <m/>
    <n v="1330.12"/>
    <s v="N/A"/>
    <x v="1"/>
    <x v="1"/>
  </r>
  <r>
    <s v="GL001212"/>
    <d v="2024-08-20T00:00:00"/>
    <x v="4"/>
    <x v="4"/>
    <n v="0"/>
    <n v="695.86"/>
    <x v="2"/>
    <x v="4"/>
    <s v="AutoPost 1212"/>
    <s v="AUD"/>
    <x v="25"/>
    <n v="695.86"/>
    <m/>
    <n v="695.86"/>
    <s v="N/A"/>
    <x v="1"/>
    <x v="1"/>
  </r>
  <r>
    <s v="GL001213"/>
    <d v="2025-02-04T00:00:00"/>
    <x v="3"/>
    <x v="3"/>
    <n v="1628.31"/>
    <n v="0"/>
    <x v="5"/>
    <x v="3"/>
    <s v="AutoPost 1213"/>
    <s v="GBP"/>
    <x v="28"/>
    <n v="-1628.31"/>
    <m/>
    <n v="-1628.31"/>
    <s v="N/A"/>
    <x v="1"/>
    <x v="0"/>
  </r>
  <r>
    <s v="GL001214"/>
    <d v="2023-05-18T00:00:00"/>
    <x v="0"/>
    <x v="0"/>
    <n v="0"/>
    <n v="4939.1400000000003"/>
    <x v="3"/>
    <x v="0"/>
    <s v="AutoPost 1214"/>
    <s v="GBP"/>
    <x v="29"/>
    <n v="4939.1400000000003"/>
    <m/>
    <n v="4939.1400000000003"/>
    <s v="N/A"/>
    <x v="1"/>
    <x v="1"/>
  </r>
  <r>
    <s v="GL001215"/>
    <d v="2023-05-20T00:00:00"/>
    <x v="3"/>
    <x v="3"/>
    <n v="1884.45"/>
    <n v="0"/>
    <x v="0"/>
    <x v="2"/>
    <s v="AutoPost 1215"/>
    <s v="AUD"/>
    <x v="29"/>
    <n v="-1884.45"/>
    <m/>
    <n v="-1884.45"/>
    <s v="N/A"/>
    <x v="1"/>
    <x v="0"/>
  </r>
  <r>
    <s v="GL001216"/>
    <d v="2024-08-11T00:00:00"/>
    <x v="4"/>
    <x v="4"/>
    <n v="0"/>
    <n v="2294.84"/>
    <x v="2"/>
    <x v="4"/>
    <s v="AutoPost 1216"/>
    <s v="USD"/>
    <x v="25"/>
    <n v="2294.84"/>
    <m/>
    <n v="2294.84"/>
    <s v="N/A"/>
    <x v="1"/>
    <x v="1"/>
  </r>
  <r>
    <s v="GL001217"/>
    <d v="2025-02-19T00:00:00"/>
    <x v="2"/>
    <x v="2"/>
    <n v="701.24"/>
    <n v="0"/>
    <x v="0"/>
    <x v="2"/>
    <s v="AutoPost 1217"/>
    <s v="USD"/>
    <x v="28"/>
    <n v="-701.24"/>
    <m/>
    <n v="-701.24"/>
    <s v="N/A"/>
    <x v="1"/>
    <x v="0"/>
  </r>
  <r>
    <s v="GL001218"/>
    <d v="2024-01-06T00:00:00"/>
    <x v="0"/>
    <x v="0"/>
    <n v="0"/>
    <n v="1406.7"/>
    <x v="0"/>
    <x v="3"/>
    <s v="AutoPost 1218"/>
    <s v="EUR"/>
    <x v="20"/>
    <n v="1406.7"/>
    <m/>
    <n v="1406.7"/>
    <s v="N/A"/>
    <x v="1"/>
    <x v="1"/>
  </r>
  <r>
    <s v="GL001219"/>
    <d v="2024-06-09T00:00:00"/>
    <x v="2"/>
    <x v="2"/>
    <n v="187.59"/>
    <n v="0"/>
    <x v="2"/>
    <x v="4"/>
    <s v="AutoPost 1219"/>
    <s v="EUR"/>
    <x v="1"/>
    <n v="-187.59"/>
    <m/>
    <n v="-187.59"/>
    <s v="N/A"/>
    <x v="1"/>
    <x v="0"/>
  </r>
  <r>
    <s v="GL001220"/>
    <d v="2023-06-14T00:00:00"/>
    <x v="0"/>
    <x v="0"/>
    <n v="0"/>
    <n v="1358.12"/>
    <x v="4"/>
    <x v="1"/>
    <s v="AutoPost 1220"/>
    <s v="USD"/>
    <x v="22"/>
    <n v="1358.12"/>
    <m/>
    <n v="1358.12"/>
    <s v="N/A"/>
    <x v="1"/>
    <x v="1"/>
  </r>
  <r>
    <s v="GL001221"/>
    <d v="2025-05-15T00:00:00"/>
    <x v="1"/>
    <x v="1"/>
    <n v="695.83"/>
    <n v="0"/>
    <x v="5"/>
    <x v="2"/>
    <s v="AutoPost 1221"/>
    <s v="CAD"/>
    <x v="5"/>
    <n v="-695.83"/>
    <m/>
    <n v="-695.83"/>
    <s v="N/A"/>
    <x v="1"/>
    <x v="0"/>
  </r>
  <r>
    <s v="GL001222"/>
    <d v="2024-08-23T00:00:00"/>
    <x v="3"/>
    <x v="3"/>
    <n v="200.78"/>
    <n v="0"/>
    <x v="5"/>
    <x v="2"/>
    <s v="AutoPost 1222"/>
    <s v="CAD"/>
    <x v="25"/>
    <n v="-200.78"/>
    <m/>
    <n v="-200.78"/>
    <s v="N/A"/>
    <x v="1"/>
    <x v="0"/>
  </r>
  <r>
    <s v="GL001223"/>
    <d v="2023-09-25T00:00:00"/>
    <x v="0"/>
    <x v="0"/>
    <n v="0"/>
    <n v="2848.57"/>
    <x v="3"/>
    <x v="1"/>
    <s v="AutoPost 1223"/>
    <s v="AUD"/>
    <x v="3"/>
    <n v="2848.57"/>
    <m/>
    <n v="2848.57"/>
    <s v="N/A"/>
    <x v="1"/>
    <x v="1"/>
  </r>
  <r>
    <s v="GL001224"/>
    <d v="2023-05-23T00:00:00"/>
    <x v="1"/>
    <x v="1"/>
    <n v="185.51"/>
    <n v="0"/>
    <x v="0"/>
    <x v="2"/>
    <s v="AutoPost 1224"/>
    <s v="GBP"/>
    <x v="29"/>
    <n v="-185.51"/>
    <m/>
    <n v="-185.51"/>
    <s v="N/A"/>
    <x v="1"/>
    <x v="0"/>
  </r>
  <r>
    <s v="GL001225"/>
    <d v="2024-01-07T00:00:00"/>
    <x v="2"/>
    <x v="2"/>
    <n v="935.9"/>
    <n v="0"/>
    <x v="2"/>
    <x v="0"/>
    <s v="AutoPost 1225"/>
    <s v="CAD"/>
    <x v="20"/>
    <n v="-935.9"/>
    <m/>
    <n v="-935.9"/>
    <s v="N/A"/>
    <x v="1"/>
    <x v="0"/>
  </r>
  <r>
    <s v="GL001226"/>
    <d v="2024-07-25T00:00:00"/>
    <x v="1"/>
    <x v="1"/>
    <n v="1358.9"/>
    <n v="0"/>
    <x v="3"/>
    <x v="1"/>
    <s v="AutoPost 1226"/>
    <s v="USD"/>
    <x v="21"/>
    <n v="-1358.9"/>
    <m/>
    <n v="-1358.9"/>
    <s v="N/A"/>
    <x v="1"/>
    <x v="0"/>
  </r>
  <r>
    <s v="GL001227"/>
    <d v="2025-02-02T00:00:00"/>
    <x v="1"/>
    <x v="1"/>
    <n v="1242.6500000000001"/>
    <n v="0"/>
    <x v="4"/>
    <x v="3"/>
    <s v="AutoPost 1227"/>
    <s v="USD"/>
    <x v="28"/>
    <n v="-1242.6500000000001"/>
    <m/>
    <n v="-1242.6500000000001"/>
    <s v="N/A"/>
    <x v="1"/>
    <x v="0"/>
  </r>
  <r>
    <s v="GL001228"/>
    <d v="2024-07-16T00:00:00"/>
    <x v="4"/>
    <x v="4"/>
    <n v="0"/>
    <n v="1524.63"/>
    <x v="5"/>
    <x v="3"/>
    <s v="AutoPost 1228"/>
    <s v="CAD"/>
    <x v="21"/>
    <n v="1524.63"/>
    <m/>
    <n v="1524.63"/>
    <s v="N/A"/>
    <x v="1"/>
    <x v="1"/>
  </r>
  <r>
    <s v="GL001229"/>
    <d v="2025-03-19T00:00:00"/>
    <x v="4"/>
    <x v="4"/>
    <n v="0"/>
    <n v="1391.91"/>
    <x v="2"/>
    <x v="3"/>
    <s v="AutoPost 1229"/>
    <s v="USD"/>
    <x v="13"/>
    <n v="1391.91"/>
    <m/>
    <n v="1391.91"/>
    <s v="N/A"/>
    <x v="1"/>
    <x v="1"/>
  </r>
  <r>
    <s v="GL001230"/>
    <d v="2024-10-01T00:00:00"/>
    <x v="0"/>
    <x v="0"/>
    <n v="0"/>
    <n v="3506.68"/>
    <x v="5"/>
    <x v="3"/>
    <s v="AutoPost 1230"/>
    <s v="CAD"/>
    <x v="26"/>
    <n v="3506.68"/>
    <m/>
    <n v="3506.68"/>
    <s v="N/A"/>
    <x v="1"/>
    <x v="1"/>
  </r>
  <r>
    <s v="GL001231"/>
    <d v="2024-08-13T00:00:00"/>
    <x v="1"/>
    <x v="1"/>
    <n v="1331.89"/>
    <n v="0"/>
    <x v="4"/>
    <x v="2"/>
    <s v="AutoPost 1231"/>
    <s v="GBP"/>
    <x v="25"/>
    <n v="-1331.89"/>
    <m/>
    <n v="-1331.89"/>
    <s v="N/A"/>
    <x v="1"/>
    <x v="0"/>
  </r>
  <r>
    <s v="GL001232"/>
    <d v="2023-06-07T00:00:00"/>
    <x v="1"/>
    <x v="1"/>
    <n v="674.31"/>
    <n v="0"/>
    <x v="1"/>
    <x v="0"/>
    <s v="AutoPost 1232"/>
    <s v="GBP"/>
    <x v="22"/>
    <n v="-674.31"/>
    <m/>
    <n v="-674.31"/>
    <s v="N/A"/>
    <x v="1"/>
    <x v="0"/>
  </r>
  <r>
    <s v="GL001233"/>
    <d v="2024-04-12T00:00:00"/>
    <x v="0"/>
    <x v="0"/>
    <n v="0"/>
    <n v="2570.4299999999998"/>
    <x v="2"/>
    <x v="4"/>
    <s v="AutoPost 1233"/>
    <s v="EUR"/>
    <x v="7"/>
    <n v="2570.4299999999998"/>
    <m/>
    <n v="2570.4299999999998"/>
    <s v="N/A"/>
    <x v="1"/>
    <x v="1"/>
  </r>
  <r>
    <s v="GL001234"/>
    <d v="2025-03-17T00:00:00"/>
    <x v="4"/>
    <x v="4"/>
    <n v="0"/>
    <n v="1312.61"/>
    <x v="5"/>
    <x v="3"/>
    <s v="AutoPost 1234"/>
    <s v="CAD"/>
    <x v="13"/>
    <n v="1312.61"/>
    <m/>
    <n v="1312.61"/>
    <s v="N/A"/>
    <x v="1"/>
    <x v="1"/>
  </r>
  <r>
    <s v="GL001235"/>
    <d v="2024-01-26T00:00:00"/>
    <x v="1"/>
    <x v="1"/>
    <n v="1101.82"/>
    <n v="0"/>
    <x v="1"/>
    <x v="1"/>
    <s v="AutoPost 1235"/>
    <s v="GBP"/>
    <x v="20"/>
    <n v="-1101.82"/>
    <m/>
    <n v="-1101.82"/>
    <s v="N/A"/>
    <x v="1"/>
    <x v="0"/>
  </r>
  <r>
    <s v="GL001236"/>
    <d v="2024-06-15T00:00:00"/>
    <x v="0"/>
    <x v="0"/>
    <n v="0"/>
    <n v="143.81"/>
    <x v="5"/>
    <x v="2"/>
    <s v="AutoPost 1236"/>
    <s v="CAD"/>
    <x v="1"/>
    <n v="143.81"/>
    <m/>
    <n v="143.81"/>
    <s v="N/A"/>
    <x v="1"/>
    <x v="1"/>
  </r>
  <r>
    <s v="GL001237"/>
    <d v="2024-11-14T00:00:00"/>
    <x v="0"/>
    <x v="0"/>
    <n v="0"/>
    <n v="838.04"/>
    <x v="1"/>
    <x v="0"/>
    <s v="AutoPost 1237"/>
    <s v="AUD"/>
    <x v="10"/>
    <n v="838.04"/>
    <m/>
    <n v="838.04"/>
    <s v="N/A"/>
    <x v="1"/>
    <x v="1"/>
  </r>
  <r>
    <s v="GL001238"/>
    <d v="2024-03-05T00:00:00"/>
    <x v="2"/>
    <x v="2"/>
    <n v="1626.01"/>
    <n v="0"/>
    <x v="2"/>
    <x v="4"/>
    <s v="AutoPost 1238"/>
    <s v="CAD"/>
    <x v="16"/>
    <n v="-1626.01"/>
    <m/>
    <n v="-1626.01"/>
    <s v="N/A"/>
    <x v="1"/>
    <x v="0"/>
  </r>
  <r>
    <s v="GL001239"/>
    <d v="2023-09-28T00:00:00"/>
    <x v="1"/>
    <x v="1"/>
    <n v="1394.34"/>
    <n v="0"/>
    <x v="2"/>
    <x v="3"/>
    <s v="AutoPost 1239"/>
    <s v="EUR"/>
    <x v="3"/>
    <n v="-1394.34"/>
    <m/>
    <n v="-1394.34"/>
    <s v="N/A"/>
    <x v="1"/>
    <x v="0"/>
  </r>
  <r>
    <s v="GL001240"/>
    <d v="2025-05-12T00:00:00"/>
    <x v="4"/>
    <x v="4"/>
    <n v="0"/>
    <n v="1022.63"/>
    <x v="0"/>
    <x v="4"/>
    <s v="AutoPost 1240"/>
    <s v="CAD"/>
    <x v="5"/>
    <n v="1022.63"/>
    <m/>
    <n v="1022.63"/>
    <s v="N/A"/>
    <x v="1"/>
    <x v="1"/>
  </r>
  <r>
    <s v="GL001241"/>
    <d v="2023-04-15T00:00:00"/>
    <x v="3"/>
    <x v="3"/>
    <n v="1757.53"/>
    <n v="0"/>
    <x v="5"/>
    <x v="4"/>
    <s v="AutoPost 1241"/>
    <s v="GBP"/>
    <x v="8"/>
    <n v="-1757.53"/>
    <m/>
    <n v="-1757.53"/>
    <s v="N/A"/>
    <x v="1"/>
    <x v="0"/>
  </r>
  <r>
    <s v="GL001242"/>
    <d v="2025-05-20T00:00:00"/>
    <x v="0"/>
    <x v="0"/>
    <n v="0"/>
    <n v="1866.82"/>
    <x v="2"/>
    <x v="0"/>
    <s v="AutoPost 1242"/>
    <s v="AUD"/>
    <x v="5"/>
    <n v="1866.82"/>
    <m/>
    <n v="1866.82"/>
    <s v="N/A"/>
    <x v="1"/>
    <x v="1"/>
  </r>
  <r>
    <s v="GL001243"/>
    <d v="2025-04-20T00:00:00"/>
    <x v="2"/>
    <x v="2"/>
    <n v="1791.42"/>
    <n v="0"/>
    <x v="3"/>
    <x v="4"/>
    <s v="AutoPost 1243"/>
    <s v="EUR"/>
    <x v="12"/>
    <n v="-1791.42"/>
    <m/>
    <n v="-1791.42"/>
    <s v="N/A"/>
    <x v="1"/>
    <x v="0"/>
  </r>
  <r>
    <s v="GL001244"/>
    <d v="2024-07-03T00:00:00"/>
    <x v="2"/>
    <x v="2"/>
    <n v="1809.92"/>
    <n v="0"/>
    <x v="1"/>
    <x v="4"/>
    <s v="AutoPost 1244"/>
    <s v="EUR"/>
    <x v="21"/>
    <n v="-1809.92"/>
    <m/>
    <n v="-1809.92"/>
    <s v="N/A"/>
    <x v="1"/>
    <x v="0"/>
  </r>
  <r>
    <s v="GL001245"/>
    <d v="2025-05-25T00:00:00"/>
    <x v="4"/>
    <x v="4"/>
    <n v="0"/>
    <n v="212.06"/>
    <x v="0"/>
    <x v="0"/>
    <s v="AutoPost 1245"/>
    <s v="AUD"/>
    <x v="5"/>
    <n v="212.06"/>
    <m/>
    <n v="212.06"/>
    <s v="N/A"/>
    <x v="1"/>
    <x v="1"/>
  </r>
  <r>
    <s v="GL001246"/>
    <d v="2023-12-21T00:00:00"/>
    <x v="2"/>
    <x v="2"/>
    <n v="227.05"/>
    <n v="0"/>
    <x v="1"/>
    <x v="3"/>
    <s v="AutoPost 1246"/>
    <s v="AUD"/>
    <x v="6"/>
    <n v="-227.05"/>
    <m/>
    <n v="-227.05"/>
    <s v="N/A"/>
    <x v="1"/>
    <x v="0"/>
  </r>
  <r>
    <s v="GL001247"/>
    <d v="2024-05-12T00:00:00"/>
    <x v="0"/>
    <x v="0"/>
    <n v="0"/>
    <n v="3603.35"/>
    <x v="0"/>
    <x v="2"/>
    <s v="AutoPost 1247"/>
    <s v="GBP"/>
    <x v="0"/>
    <n v="3603.35"/>
    <m/>
    <n v="3603.35"/>
    <s v="N/A"/>
    <x v="1"/>
    <x v="1"/>
  </r>
  <r>
    <s v="GL001248"/>
    <d v="2024-04-29T00:00:00"/>
    <x v="1"/>
    <x v="1"/>
    <n v="185.67"/>
    <n v="0"/>
    <x v="4"/>
    <x v="1"/>
    <s v="AutoPost 1248"/>
    <s v="EUR"/>
    <x v="7"/>
    <n v="-185.67"/>
    <m/>
    <n v="-185.67"/>
    <s v="N/A"/>
    <x v="1"/>
    <x v="0"/>
  </r>
  <r>
    <s v="GL001249"/>
    <d v="2024-06-06T00:00:00"/>
    <x v="4"/>
    <x v="4"/>
    <n v="0"/>
    <n v="4699.12"/>
    <x v="3"/>
    <x v="3"/>
    <s v="AutoPost 1249"/>
    <s v="EUR"/>
    <x v="1"/>
    <n v="4699.12"/>
    <m/>
    <n v="4699.12"/>
    <s v="N/A"/>
    <x v="1"/>
    <x v="1"/>
  </r>
  <r>
    <s v="GL001250"/>
    <d v="2024-04-30T00:00:00"/>
    <x v="3"/>
    <x v="3"/>
    <n v="1352.97"/>
    <n v="0"/>
    <x v="3"/>
    <x v="0"/>
    <s v="AutoPost 1250"/>
    <s v="CAD"/>
    <x v="7"/>
    <n v="-1352.97"/>
    <m/>
    <n v="-1352.97"/>
    <s v="N/A"/>
    <x v="1"/>
    <x v="0"/>
  </r>
  <r>
    <s v="GL001251"/>
    <d v="2024-11-02T00:00:00"/>
    <x v="1"/>
    <x v="1"/>
    <n v="936.7"/>
    <n v="0"/>
    <x v="4"/>
    <x v="4"/>
    <s v="AutoPost 1251"/>
    <s v="CAD"/>
    <x v="10"/>
    <n v="-936.7"/>
    <m/>
    <n v="-936.7"/>
    <s v="N/A"/>
    <x v="1"/>
    <x v="0"/>
  </r>
  <r>
    <s v="GL001252"/>
    <d v="2024-07-10T00:00:00"/>
    <x v="0"/>
    <x v="0"/>
    <n v="0"/>
    <n v="3050.31"/>
    <x v="4"/>
    <x v="2"/>
    <s v="AutoPost 1252"/>
    <s v="AUD"/>
    <x v="21"/>
    <n v="3050.31"/>
    <m/>
    <n v="3050.31"/>
    <s v="N/A"/>
    <x v="1"/>
    <x v="1"/>
  </r>
  <r>
    <s v="GL001253"/>
    <d v="2024-04-13T00:00:00"/>
    <x v="2"/>
    <x v="2"/>
    <n v="574.09"/>
    <n v="0"/>
    <x v="3"/>
    <x v="3"/>
    <s v="AutoPost 1253"/>
    <s v="EUR"/>
    <x v="7"/>
    <n v="-574.09"/>
    <m/>
    <n v="-574.09"/>
    <s v="N/A"/>
    <x v="1"/>
    <x v="0"/>
  </r>
  <r>
    <s v="GL001254"/>
    <d v="2023-06-19T00:00:00"/>
    <x v="0"/>
    <x v="0"/>
    <n v="0"/>
    <n v="3214.18"/>
    <x v="4"/>
    <x v="4"/>
    <s v="AutoPost 1254"/>
    <s v="GBP"/>
    <x v="22"/>
    <n v="3214.18"/>
    <m/>
    <n v="3214.18"/>
    <s v="N/A"/>
    <x v="1"/>
    <x v="1"/>
  </r>
  <r>
    <s v="GL001255"/>
    <d v="2023-05-08T00:00:00"/>
    <x v="3"/>
    <x v="3"/>
    <n v="1415.06"/>
    <n v="0"/>
    <x v="5"/>
    <x v="0"/>
    <s v="AutoPost 1255"/>
    <s v="AUD"/>
    <x v="29"/>
    <n v="-1415.06"/>
    <m/>
    <n v="-1415.06"/>
    <s v="N/A"/>
    <x v="1"/>
    <x v="0"/>
  </r>
  <r>
    <s v="GL001256"/>
    <d v="2023-11-23T00:00:00"/>
    <x v="0"/>
    <x v="0"/>
    <n v="0"/>
    <n v="3142.85"/>
    <x v="3"/>
    <x v="4"/>
    <s v="AutoPost 1256"/>
    <s v="EUR"/>
    <x v="9"/>
    <n v="3142.85"/>
    <m/>
    <n v="3142.85"/>
    <s v="N/A"/>
    <x v="1"/>
    <x v="1"/>
  </r>
  <r>
    <s v="GL001257"/>
    <d v="2023-05-04T00:00:00"/>
    <x v="2"/>
    <x v="2"/>
    <n v="981.35"/>
    <n v="0"/>
    <x v="3"/>
    <x v="3"/>
    <s v="AutoPost 1257"/>
    <s v="CAD"/>
    <x v="29"/>
    <n v="-981.35"/>
    <m/>
    <n v="-981.35"/>
    <s v="N/A"/>
    <x v="1"/>
    <x v="0"/>
  </r>
  <r>
    <s v="GL001258"/>
    <d v="2025-05-04T00:00:00"/>
    <x v="0"/>
    <x v="0"/>
    <n v="0"/>
    <n v="2967.52"/>
    <x v="0"/>
    <x v="3"/>
    <s v="AutoPost 1258"/>
    <s v="AUD"/>
    <x v="5"/>
    <n v="2967.52"/>
    <m/>
    <n v="2967.52"/>
    <s v="N/A"/>
    <x v="1"/>
    <x v="1"/>
  </r>
  <r>
    <s v="GL001259"/>
    <d v="2025-03-29T00:00:00"/>
    <x v="0"/>
    <x v="0"/>
    <n v="0"/>
    <n v="3250.84"/>
    <x v="5"/>
    <x v="0"/>
    <s v="AutoPost 1259"/>
    <s v="GBP"/>
    <x v="13"/>
    <n v="3250.84"/>
    <m/>
    <n v="3250.84"/>
    <s v="N/A"/>
    <x v="1"/>
    <x v="1"/>
  </r>
  <r>
    <s v="GL001260"/>
    <d v="2024-02-16T00:00:00"/>
    <x v="0"/>
    <x v="0"/>
    <n v="0"/>
    <n v="2026.45"/>
    <x v="0"/>
    <x v="2"/>
    <s v="AutoPost 1260"/>
    <s v="EUR"/>
    <x v="11"/>
    <n v="2026.45"/>
    <m/>
    <n v="2026.45"/>
    <s v="N/A"/>
    <x v="1"/>
    <x v="1"/>
  </r>
  <r>
    <s v="GL001261"/>
    <d v="2023-01-02T00:00:00"/>
    <x v="3"/>
    <x v="3"/>
    <n v="1199.5999999999999"/>
    <n v="0"/>
    <x v="2"/>
    <x v="2"/>
    <s v="AutoPost 1261"/>
    <s v="EUR"/>
    <x v="14"/>
    <n v="-1199.5999999999999"/>
    <m/>
    <n v="-1199.5999999999999"/>
    <s v="N/A"/>
    <x v="1"/>
    <x v="0"/>
  </r>
  <r>
    <s v="GL001262"/>
    <d v="2023-01-27T00:00:00"/>
    <x v="1"/>
    <x v="1"/>
    <n v="816.81"/>
    <n v="0"/>
    <x v="1"/>
    <x v="1"/>
    <s v="AutoPost 1262"/>
    <s v="EUR"/>
    <x v="14"/>
    <n v="-816.81"/>
    <m/>
    <n v="-816.81"/>
    <s v="N/A"/>
    <x v="1"/>
    <x v="0"/>
  </r>
  <r>
    <s v="GL001263"/>
    <d v="2024-12-17T00:00:00"/>
    <x v="0"/>
    <x v="0"/>
    <n v="0"/>
    <n v="4074.11"/>
    <x v="1"/>
    <x v="2"/>
    <s v="AutoPost 1263"/>
    <s v="CAD"/>
    <x v="23"/>
    <n v="4074.11"/>
    <m/>
    <n v="4074.11"/>
    <s v="N/A"/>
    <x v="1"/>
    <x v="1"/>
  </r>
  <r>
    <s v="GL001264"/>
    <d v="2025-05-08T00:00:00"/>
    <x v="0"/>
    <x v="0"/>
    <n v="0"/>
    <n v="720.36"/>
    <x v="5"/>
    <x v="2"/>
    <s v="AutoPost 1264"/>
    <s v="CAD"/>
    <x v="5"/>
    <n v="720.36"/>
    <m/>
    <n v="720.36"/>
    <s v="N/A"/>
    <x v="1"/>
    <x v="1"/>
  </r>
  <r>
    <s v="GL001265"/>
    <d v="2025-02-20T00:00:00"/>
    <x v="3"/>
    <x v="3"/>
    <n v="1279.52"/>
    <n v="0"/>
    <x v="2"/>
    <x v="2"/>
    <s v="AutoPost 1265"/>
    <s v="CAD"/>
    <x v="28"/>
    <n v="-1279.52"/>
    <m/>
    <n v="-1279.52"/>
    <s v="N/A"/>
    <x v="1"/>
    <x v="0"/>
  </r>
  <r>
    <s v="GL001266"/>
    <d v="2024-07-19T00:00:00"/>
    <x v="1"/>
    <x v="1"/>
    <n v="1249.06"/>
    <n v="0"/>
    <x v="1"/>
    <x v="3"/>
    <s v="AutoPost 1266"/>
    <s v="CAD"/>
    <x v="21"/>
    <n v="-1249.06"/>
    <m/>
    <n v="-1249.06"/>
    <s v="N/A"/>
    <x v="1"/>
    <x v="0"/>
  </r>
  <r>
    <s v="GL001267"/>
    <d v="2025-03-09T00:00:00"/>
    <x v="4"/>
    <x v="4"/>
    <n v="0"/>
    <n v="4456.47"/>
    <x v="0"/>
    <x v="2"/>
    <s v="AutoPost 1267"/>
    <s v="EUR"/>
    <x v="13"/>
    <n v="4456.47"/>
    <m/>
    <n v="4456.47"/>
    <s v="N/A"/>
    <x v="1"/>
    <x v="1"/>
  </r>
  <r>
    <s v="GL001268"/>
    <d v="2025-06-05T00:00:00"/>
    <x v="0"/>
    <x v="0"/>
    <n v="0"/>
    <n v="3830.15"/>
    <x v="0"/>
    <x v="1"/>
    <s v="AutoPost 1268"/>
    <s v="GBP"/>
    <x v="19"/>
    <n v="3830.15"/>
    <m/>
    <n v="3830.15"/>
    <s v="N/A"/>
    <x v="1"/>
    <x v="1"/>
  </r>
  <r>
    <s v="GL001269"/>
    <d v="2023-08-09T00:00:00"/>
    <x v="4"/>
    <x v="4"/>
    <n v="0"/>
    <n v="4835.12"/>
    <x v="5"/>
    <x v="2"/>
    <s v="AutoPost 1269"/>
    <s v="AUD"/>
    <x v="4"/>
    <n v="4835.12"/>
    <m/>
    <n v="4835.12"/>
    <s v="N/A"/>
    <x v="1"/>
    <x v="1"/>
  </r>
  <r>
    <s v="GL001270"/>
    <d v="2024-08-13T00:00:00"/>
    <x v="1"/>
    <x v="1"/>
    <n v="1165.1300000000001"/>
    <n v="0"/>
    <x v="2"/>
    <x v="1"/>
    <s v="AutoPost 1270"/>
    <s v="AUD"/>
    <x v="25"/>
    <n v="-1165.1300000000001"/>
    <m/>
    <n v="-1165.1300000000001"/>
    <s v="N/A"/>
    <x v="1"/>
    <x v="0"/>
  </r>
  <r>
    <s v="GL001271"/>
    <d v="2024-09-12T00:00:00"/>
    <x v="0"/>
    <x v="0"/>
    <n v="0"/>
    <n v="112.08"/>
    <x v="1"/>
    <x v="4"/>
    <s v="AutoPost 1271"/>
    <s v="USD"/>
    <x v="15"/>
    <n v="112.08"/>
    <m/>
    <n v="112.08"/>
    <s v="N/A"/>
    <x v="1"/>
    <x v="1"/>
  </r>
  <r>
    <s v="GL001272"/>
    <d v="2023-07-19T00:00:00"/>
    <x v="4"/>
    <x v="4"/>
    <n v="0"/>
    <n v="3589.18"/>
    <x v="4"/>
    <x v="1"/>
    <s v="AutoPost 1272"/>
    <s v="AUD"/>
    <x v="17"/>
    <n v="3589.18"/>
    <m/>
    <n v="3589.18"/>
    <s v="N/A"/>
    <x v="1"/>
    <x v="1"/>
  </r>
  <r>
    <s v="GL001273"/>
    <d v="2025-05-07T00:00:00"/>
    <x v="0"/>
    <x v="0"/>
    <n v="0"/>
    <n v="1841.13"/>
    <x v="4"/>
    <x v="2"/>
    <s v="AutoPost 1273"/>
    <s v="CAD"/>
    <x v="5"/>
    <n v="1841.13"/>
    <m/>
    <n v="1841.13"/>
    <s v="N/A"/>
    <x v="1"/>
    <x v="1"/>
  </r>
  <r>
    <s v="GL001274"/>
    <d v="2025-04-23T00:00:00"/>
    <x v="1"/>
    <x v="1"/>
    <n v="1321.13"/>
    <n v="0"/>
    <x v="4"/>
    <x v="1"/>
    <s v="AutoPost 1274"/>
    <s v="GBP"/>
    <x v="12"/>
    <n v="-1321.13"/>
    <m/>
    <n v="-1321.13"/>
    <s v="N/A"/>
    <x v="1"/>
    <x v="0"/>
  </r>
  <r>
    <s v="GL001275"/>
    <d v="2025-02-16T00:00:00"/>
    <x v="3"/>
    <x v="3"/>
    <n v="501.83"/>
    <n v="0"/>
    <x v="5"/>
    <x v="4"/>
    <s v="AutoPost 1275"/>
    <s v="CAD"/>
    <x v="28"/>
    <n v="-501.83"/>
    <m/>
    <n v="-501.83"/>
    <s v="N/A"/>
    <x v="1"/>
    <x v="0"/>
  </r>
  <r>
    <s v="GL001276"/>
    <d v="2023-04-15T00:00:00"/>
    <x v="3"/>
    <x v="3"/>
    <n v="233.68"/>
    <n v="0"/>
    <x v="5"/>
    <x v="2"/>
    <s v="AutoPost 1276"/>
    <s v="EUR"/>
    <x v="8"/>
    <n v="-233.68"/>
    <m/>
    <n v="-233.68"/>
    <s v="N/A"/>
    <x v="1"/>
    <x v="0"/>
  </r>
  <r>
    <s v="GL001277"/>
    <d v="2024-05-11T00:00:00"/>
    <x v="4"/>
    <x v="4"/>
    <n v="0"/>
    <n v="4225.68"/>
    <x v="4"/>
    <x v="4"/>
    <s v="AutoPost 1277"/>
    <s v="AUD"/>
    <x v="0"/>
    <n v="4225.68"/>
    <m/>
    <n v="4225.68"/>
    <s v="N/A"/>
    <x v="1"/>
    <x v="1"/>
  </r>
  <r>
    <s v="GL001278"/>
    <d v="2024-12-17T00:00:00"/>
    <x v="3"/>
    <x v="3"/>
    <n v="315.85000000000002"/>
    <n v="0"/>
    <x v="3"/>
    <x v="3"/>
    <s v="AutoPost 1278"/>
    <s v="USD"/>
    <x v="23"/>
    <n v="-315.85000000000002"/>
    <m/>
    <n v="-315.85000000000002"/>
    <s v="N/A"/>
    <x v="1"/>
    <x v="0"/>
  </r>
  <r>
    <s v="GL001279"/>
    <d v="2024-06-22T00:00:00"/>
    <x v="2"/>
    <x v="2"/>
    <n v="1999.52"/>
    <n v="0"/>
    <x v="5"/>
    <x v="3"/>
    <s v="AutoPost 1279"/>
    <s v="EUR"/>
    <x v="1"/>
    <n v="-1999.52"/>
    <m/>
    <n v="-1999.52"/>
    <s v="N/A"/>
    <x v="1"/>
    <x v="0"/>
  </r>
  <r>
    <s v="GL001280"/>
    <d v="2023-02-10T00:00:00"/>
    <x v="2"/>
    <x v="2"/>
    <n v="770.08"/>
    <n v="0"/>
    <x v="5"/>
    <x v="4"/>
    <s v="AutoPost 1280"/>
    <s v="CAD"/>
    <x v="24"/>
    <n v="-770.08"/>
    <m/>
    <n v="-770.08"/>
    <s v="N/A"/>
    <x v="1"/>
    <x v="0"/>
  </r>
  <r>
    <s v="GL001281"/>
    <d v="2023-12-29T00:00:00"/>
    <x v="4"/>
    <x v="4"/>
    <n v="0"/>
    <n v="4953.53"/>
    <x v="5"/>
    <x v="0"/>
    <s v="AutoPost 1281"/>
    <s v="GBP"/>
    <x v="6"/>
    <n v="4953.53"/>
    <m/>
    <n v="4953.53"/>
    <s v="N/A"/>
    <x v="1"/>
    <x v="1"/>
  </r>
  <r>
    <s v="GL001282"/>
    <d v="2023-04-29T00:00:00"/>
    <x v="4"/>
    <x v="4"/>
    <n v="0"/>
    <n v="1360.16"/>
    <x v="5"/>
    <x v="0"/>
    <s v="AutoPost 1282"/>
    <s v="CAD"/>
    <x v="8"/>
    <n v="1360.16"/>
    <m/>
    <n v="1360.16"/>
    <s v="N/A"/>
    <x v="1"/>
    <x v="1"/>
  </r>
  <r>
    <s v="GL001283"/>
    <d v="2023-12-27T00:00:00"/>
    <x v="1"/>
    <x v="1"/>
    <n v="475.84"/>
    <n v="0"/>
    <x v="1"/>
    <x v="1"/>
    <s v="AutoPost 1283"/>
    <s v="USD"/>
    <x v="6"/>
    <n v="-475.84"/>
    <m/>
    <n v="-475.84"/>
    <s v="N/A"/>
    <x v="1"/>
    <x v="0"/>
  </r>
  <r>
    <s v="GL001284"/>
    <d v="2024-04-23T00:00:00"/>
    <x v="1"/>
    <x v="1"/>
    <n v="1211.1500000000001"/>
    <n v="0"/>
    <x v="5"/>
    <x v="3"/>
    <s v="AutoPost 1284"/>
    <s v="CAD"/>
    <x v="7"/>
    <n v="-1211.1500000000001"/>
    <m/>
    <n v="-1211.1500000000001"/>
    <s v="N/A"/>
    <x v="1"/>
    <x v="0"/>
  </r>
  <r>
    <s v="GL001285"/>
    <d v="2023-04-05T00:00:00"/>
    <x v="4"/>
    <x v="4"/>
    <n v="0"/>
    <n v="2327.23"/>
    <x v="0"/>
    <x v="2"/>
    <s v="AutoPost 1285"/>
    <s v="EUR"/>
    <x v="8"/>
    <n v="2327.23"/>
    <m/>
    <n v="2327.23"/>
    <s v="N/A"/>
    <x v="1"/>
    <x v="1"/>
  </r>
  <r>
    <s v="GL001286"/>
    <d v="2025-06-05T00:00:00"/>
    <x v="2"/>
    <x v="2"/>
    <n v="237.68"/>
    <n v="0"/>
    <x v="5"/>
    <x v="0"/>
    <s v="AutoPost 1286"/>
    <s v="GBP"/>
    <x v="19"/>
    <n v="-237.68"/>
    <m/>
    <n v="-237.68"/>
    <s v="N/A"/>
    <x v="1"/>
    <x v="0"/>
  </r>
  <r>
    <s v="GL001287"/>
    <d v="2024-03-06T00:00:00"/>
    <x v="2"/>
    <x v="2"/>
    <n v="1902.83"/>
    <n v="0"/>
    <x v="5"/>
    <x v="4"/>
    <s v="AutoPost 1287"/>
    <s v="CAD"/>
    <x v="16"/>
    <n v="-1902.83"/>
    <m/>
    <n v="-1902.83"/>
    <s v="N/A"/>
    <x v="1"/>
    <x v="0"/>
  </r>
  <r>
    <s v="GL001288"/>
    <d v="2025-03-08T00:00:00"/>
    <x v="0"/>
    <x v="0"/>
    <n v="0"/>
    <n v="2447.1"/>
    <x v="1"/>
    <x v="2"/>
    <s v="AutoPost 1288"/>
    <s v="AUD"/>
    <x v="13"/>
    <n v="2447.1"/>
    <m/>
    <n v="2447.1"/>
    <s v="N/A"/>
    <x v="1"/>
    <x v="1"/>
  </r>
  <r>
    <s v="GL001289"/>
    <d v="2024-11-24T00:00:00"/>
    <x v="2"/>
    <x v="2"/>
    <n v="520.39"/>
    <n v="0"/>
    <x v="5"/>
    <x v="3"/>
    <s v="AutoPost 1289"/>
    <s v="USD"/>
    <x v="10"/>
    <n v="-520.39"/>
    <m/>
    <n v="-520.39"/>
    <s v="N/A"/>
    <x v="1"/>
    <x v="0"/>
  </r>
  <r>
    <s v="GL001290"/>
    <d v="2024-03-08T00:00:00"/>
    <x v="3"/>
    <x v="3"/>
    <n v="1329.55"/>
    <n v="0"/>
    <x v="4"/>
    <x v="4"/>
    <s v="AutoPost 1290"/>
    <s v="CAD"/>
    <x v="16"/>
    <n v="-1329.55"/>
    <m/>
    <n v="-1329.55"/>
    <s v="N/A"/>
    <x v="1"/>
    <x v="0"/>
  </r>
  <r>
    <s v="GL001291"/>
    <d v="2024-03-03T00:00:00"/>
    <x v="2"/>
    <x v="2"/>
    <n v="1991.48"/>
    <n v="0"/>
    <x v="2"/>
    <x v="2"/>
    <s v="AutoPost 1291"/>
    <s v="GBP"/>
    <x v="16"/>
    <n v="-1991.48"/>
    <m/>
    <n v="-1991.48"/>
    <s v="N/A"/>
    <x v="1"/>
    <x v="0"/>
  </r>
  <r>
    <s v="GL001292"/>
    <d v="2024-12-17T00:00:00"/>
    <x v="1"/>
    <x v="1"/>
    <n v="637.88"/>
    <n v="0"/>
    <x v="0"/>
    <x v="1"/>
    <s v="AutoPost 1292"/>
    <s v="USD"/>
    <x v="23"/>
    <n v="-637.88"/>
    <m/>
    <n v="-637.88"/>
    <s v="N/A"/>
    <x v="1"/>
    <x v="0"/>
  </r>
  <r>
    <s v="GL001293"/>
    <d v="2023-12-14T00:00:00"/>
    <x v="0"/>
    <x v="0"/>
    <n v="0"/>
    <n v="175.56"/>
    <x v="0"/>
    <x v="3"/>
    <s v="AutoPost 1293"/>
    <s v="CAD"/>
    <x v="6"/>
    <n v="175.56"/>
    <m/>
    <n v="175.56"/>
    <s v="N/A"/>
    <x v="1"/>
    <x v="1"/>
  </r>
  <r>
    <s v="GL001294"/>
    <d v="2024-05-31T00:00:00"/>
    <x v="2"/>
    <x v="2"/>
    <n v="282.05"/>
    <n v="0"/>
    <x v="0"/>
    <x v="0"/>
    <s v="AutoPost 1294"/>
    <s v="AUD"/>
    <x v="0"/>
    <n v="-282.05"/>
    <m/>
    <n v="-282.05"/>
    <s v="N/A"/>
    <x v="1"/>
    <x v="0"/>
  </r>
  <r>
    <s v="GL001295"/>
    <d v="2025-05-05T00:00:00"/>
    <x v="2"/>
    <x v="2"/>
    <n v="1993.37"/>
    <n v="0"/>
    <x v="3"/>
    <x v="1"/>
    <s v="AutoPost 1295"/>
    <s v="GBP"/>
    <x v="5"/>
    <n v="-1993.37"/>
    <m/>
    <n v="-1993.37"/>
    <s v="N/A"/>
    <x v="1"/>
    <x v="0"/>
  </r>
  <r>
    <s v="GL001296"/>
    <d v="2024-03-21T00:00:00"/>
    <x v="2"/>
    <x v="2"/>
    <n v="294.74"/>
    <n v="0"/>
    <x v="0"/>
    <x v="3"/>
    <s v="AutoPost 1296"/>
    <s v="AUD"/>
    <x v="16"/>
    <n v="-294.74"/>
    <m/>
    <n v="-294.74"/>
    <s v="N/A"/>
    <x v="1"/>
    <x v="0"/>
  </r>
  <r>
    <s v="GL001297"/>
    <d v="2024-05-06T00:00:00"/>
    <x v="0"/>
    <x v="0"/>
    <n v="0"/>
    <n v="763.55"/>
    <x v="1"/>
    <x v="0"/>
    <s v="AutoPost 1297"/>
    <s v="EUR"/>
    <x v="0"/>
    <n v="763.55"/>
    <m/>
    <n v="763.55"/>
    <s v="N/A"/>
    <x v="1"/>
    <x v="1"/>
  </r>
  <r>
    <s v="GL001298"/>
    <d v="2023-06-26T00:00:00"/>
    <x v="4"/>
    <x v="4"/>
    <n v="0"/>
    <n v="2502.91"/>
    <x v="4"/>
    <x v="3"/>
    <s v="AutoPost 1298"/>
    <s v="GBP"/>
    <x v="22"/>
    <n v="2502.91"/>
    <m/>
    <n v="2502.91"/>
    <s v="N/A"/>
    <x v="1"/>
    <x v="1"/>
  </r>
  <r>
    <s v="GL001299"/>
    <d v="2024-09-15T00:00:00"/>
    <x v="3"/>
    <x v="3"/>
    <n v="468.89"/>
    <n v="0"/>
    <x v="4"/>
    <x v="1"/>
    <s v="AutoPost 1299"/>
    <s v="AUD"/>
    <x v="15"/>
    <n v="-468.89"/>
    <m/>
    <n v="-468.89"/>
    <s v="N/A"/>
    <x v="1"/>
    <x v="0"/>
  </r>
  <r>
    <s v="GL001300"/>
    <d v="2023-08-24T00:00:00"/>
    <x v="2"/>
    <x v="2"/>
    <n v="810.8"/>
    <n v="0"/>
    <x v="3"/>
    <x v="4"/>
    <s v="AutoPost 1300"/>
    <s v="GBP"/>
    <x v="4"/>
    <n v="-810.8"/>
    <m/>
    <n v="-810.8"/>
    <s v="N/A"/>
    <x v="1"/>
    <x v="0"/>
  </r>
  <r>
    <s v="GL001301"/>
    <d v="2024-06-08T00:00:00"/>
    <x v="1"/>
    <x v="1"/>
    <n v="1345.83"/>
    <n v="0"/>
    <x v="2"/>
    <x v="1"/>
    <s v="AutoPost 1301"/>
    <s v="GBP"/>
    <x v="1"/>
    <n v="-1345.83"/>
    <m/>
    <n v="-1345.83"/>
    <s v="N/A"/>
    <x v="1"/>
    <x v="0"/>
  </r>
  <r>
    <s v="GL001302"/>
    <d v="2025-04-30T00:00:00"/>
    <x v="0"/>
    <x v="0"/>
    <n v="0"/>
    <n v="4443.21"/>
    <x v="0"/>
    <x v="0"/>
    <s v="AutoPost 1302"/>
    <s v="AUD"/>
    <x v="12"/>
    <n v="4443.21"/>
    <m/>
    <n v="4443.21"/>
    <s v="N/A"/>
    <x v="1"/>
    <x v="1"/>
  </r>
  <r>
    <s v="GL001303"/>
    <d v="2023-04-24T00:00:00"/>
    <x v="3"/>
    <x v="3"/>
    <n v="780.61"/>
    <n v="0"/>
    <x v="0"/>
    <x v="2"/>
    <s v="AutoPost 1303"/>
    <s v="AUD"/>
    <x v="8"/>
    <n v="-780.61"/>
    <m/>
    <n v="-780.61"/>
    <s v="N/A"/>
    <x v="1"/>
    <x v="0"/>
  </r>
  <r>
    <s v="GL001304"/>
    <d v="2024-01-19T00:00:00"/>
    <x v="4"/>
    <x v="4"/>
    <n v="0"/>
    <n v="2988.59"/>
    <x v="2"/>
    <x v="1"/>
    <s v="AutoPost 1304"/>
    <s v="GBP"/>
    <x v="20"/>
    <n v="2988.59"/>
    <m/>
    <n v="2988.59"/>
    <s v="N/A"/>
    <x v="1"/>
    <x v="1"/>
  </r>
  <r>
    <s v="GL001305"/>
    <d v="2024-10-20T00:00:00"/>
    <x v="3"/>
    <x v="3"/>
    <n v="1463.55"/>
    <n v="0"/>
    <x v="3"/>
    <x v="0"/>
    <s v="AutoPost 1305"/>
    <s v="CAD"/>
    <x v="26"/>
    <n v="-1463.55"/>
    <m/>
    <n v="-1463.55"/>
    <s v="N/A"/>
    <x v="1"/>
    <x v="0"/>
  </r>
  <r>
    <s v="GL001306"/>
    <d v="2024-04-16T00:00:00"/>
    <x v="4"/>
    <x v="4"/>
    <n v="0"/>
    <n v="790.68"/>
    <x v="1"/>
    <x v="0"/>
    <s v="AutoPost 1306"/>
    <s v="GBP"/>
    <x v="7"/>
    <n v="790.68"/>
    <m/>
    <n v="790.68"/>
    <s v="N/A"/>
    <x v="1"/>
    <x v="1"/>
  </r>
  <r>
    <s v="GL001307"/>
    <d v="2023-06-13T00:00:00"/>
    <x v="0"/>
    <x v="0"/>
    <n v="0"/>
    <n v="3083.05"/>
    <x v="0"/>
    <x v="1"/>
    <s v="AutoPost 1307"/>
    <s v="EUR"/>
    <x v="22"/>
    <n v="3083.05"/>
    <m/>
    <n v="3083.05"/>
    <s v="N/A"/>
    <x v="1"/>
    <x v="1"/>
  </r>
  <r>
    <s v="GL001308"/>
    <d v="2024-02-18T00:00:00"/>
    <x v="3"/>
    <x v="3"/>
    <n v="473.43"/>
    <n v="0"/>
    <x v="0"/>
    <x v="3"/>
    <s v="AutoPost 1308"/>
    <s v="AUD"/>
    <x v="11"/>
    <n v="-473.43"/>
    <m/>
    <n v="-473.43"/>
    <s v="N/A"/>
    <x v="1"/>
    <x v="0"/>
  </r>
  <r>
    <s v="GL001309"/>
    <d v="2024-08-27T00:00:00"/>
    <x v="4"/>
    <x v="4"/>
    <n v="0"/>
    <n v="4614.12"/>
    <x v="3"/>
    <x v="1"/>
    <s v="AutoPost 1309"/>
    <s v="EUR"/>
    <x v="25"/>
    <n v="4614.12"/>
    <m/>
    <n v="4614.12"/>
    <s v="N/A"/>
    <x v="1"/>
    <x v="1"/>
  </r>
  <r>
    <s v="GL001310"/>
    <d v="2023-01-09T00:00:00"/>
    <x v="3"/>
    <x v="3"/>
    <n v="1506.71"/>
    <n v="0"/>
    <x v="2"/>
    <x v="1"/>
    <s v="AutoPost 1310"/>
    <s v="CAD"/>
    <x v="14"/>
    <n v="-1506.71"/>
    <m/>
    <n v="-1506.71"/>
    <s v="N/A"/>
    <x v="1"/>
    <x v="0"/>
  </r>
  <r>
    <s v="GL001311"/>
    <d v="2023-01-17T00:00:00"/>
    <x v="2"/>
    <x v="2"/>
    <n v="874.3"/>
    <n v="0"/>
    <x v="0"/>
    <x v="1"/>
    <s v="AutoPost 1311"/>
    <s v="GBP"/>
    <x v="14"/>
    <n v="-874.3"/>
    <m/>
    <n v="-874.3"/>
    <s v="N/A"/>
    <x v="1"/>
    <x v="0"/>
  </r>
  <r>
    <s v="GL001312"/>
    <d v="2023-01-12T00:00:00"/>
    <x v="3"/>
    <x v="3"/>
    <n v="770.81"/>
    <n v="0"/>
    <x v="2"/>
    <x v="4"/>
    <s v="AutoPost 1312"/>
    <s v="USD"/>
    <x v="14"/>
    <n v="-770.81"/>
    <m/>
    <n v="-770.81"/>
    <s v="N/A"/>
    <x v="1"/>
    <x v="0"/>
  </r>
  <r>
    <s v="GL001313"/>
    <d v="2023-08-12T00:00:00"/>
    <x v="1"/>
    <x v="1"/>
    <n v="916.64"/>
    <n v="0"/>
    <x v="2"/>
    <x v="0"/>
    <s v="AutoPost 1313"/>
    <s v="AUD"/>
    <x v="4"/>
    <n v="-916.64"/>
    <m/>
    <n v="-916.64"/>
    <s v="N/A"/>
    <x v="1"/>
    <x v="0"/>
  </r>
  <r>
    <s v="GL001314"/>
    <d v="2025-06-26T00:00:00"/>
    <x v="1"/>
    <x v="1"/>
    <n v="1378.77"/>
    <n v="0"/>
    <x v="4"/>
    <x v="0"/>
    <s v="AutoPost 1314"/>
    <s v="AUD"/>
    <x v="19"/>
    <n v="-1378.77"/>
    <m/>
    <n v="-1378.77"/>
    <s v="N/A"/>
    <x v="1"/>
    <x v="0"/>
  </r>
  <r>
    <s v="GL001315"/>
    <d v="2024-09-09T00:00:00"/>
    <x v="3"/>
    <x v="3"/>
    <n v="1403.4"/>
    <n v="0"/>
    <x v="3"/>
    <x v="1"/>
    <s v="AutoPost 1315"/>
    <s v="AUD"/>
    <x v="15"/>
    <n v="-1403.4"/>
    <m/>
    <n v="-1403.4"/>
    <s v="N/A"/>
    <x v="1"/>
    <x v="0"/>
  </r>
  <r>
    <s v="GL001316"/>
    <d v="2023-07-23T00:00:00"/>
    <x v="1"/>
    <x v="1"/>
    <n v="710.78"/>
    <n v="0"/>
    <x v="4"/>
    <x v="0"/>
    <s v="AutoPost 1316"/>
    <s v="CAD"/>
    <x v="17"/>
    <n v="-710.78"/>
    <m/>
    <n v="-710.78"/>
    <s v="N/A"/>
    <x v="1"/>
    <x v="0"/>
  </r>
  <r>
    <s v="GL001317"/>
    <d v="2025-06-28T00:00:00"/>
    <x v="4"/>
    <x v="4"/>
    <n v="0"/>
    <n v="2077.61"/>
    <x v="0"/>
    <x v="1"/>
    <s v="AutoPost 1317"/>
    <s v="USD"/>
    <x v="19"/>
    <n v="2077.61"/>
    <m/>
    <n v="2077.61"/>
    <s v="N/A"/>
    <x v="1"/>
    <x v="1"/>
  </r>
  <r>
    <s v="GL001318"/>
    <d v="2023-06-29T00:00:00"/>
    <x v="0"/>
    <x v="0"/>
    <n v="0"/>
    <n v="2075.2600000000002"/>
    <x v="1"/>
    <x v="0"/>
    <s v="AutoPost 1318"/>
    <s v="USD"/>
    <x v="22"/>
    <n v="2075.2600000000002"/>
    <m/>
    <n v="2075.2600000000002"/>
    <s v="N/A"/>
    <x v="1"/>
    <x v="1"/>
  </r>
  <r>
    <s v="GL001319"/>
    <d v="2024-01-30T00:00:00"/>
    <x v="1"/>
    <x v="1"/>
    <n v="955.82"/>
    <n v="0"/>
    <x v="2"/>
    <x v="2"/>
    <s v="AutoPost 1319"/>
    <s v="GBP"/>
    <x v="20"/>
    <n v="-955.82"/>
    <m/>
    <n v="-955.82"/>
    <s v="N/A"/>
    <x v="1"/>
    <x v="0"/>
  </r>
  <r>
    <s v="GL001320"/>
    <d v="2025-02-24T00:00:00"/>
    <x v="1"/>
    <x v="1"/>
    <n v="1924.14"/>
    <n v="0"/>
    <x v="3"/>
    <x v="4"/>
    <s v="AutoPost 1320"/>
    <s v="CAD"/>
    <x v="28"/>
    <n v="-1924.14"/>
    <m/>
    <n v="-1924.14"/>
    <s v="N/A"/>
    <x v="1"/>
    <x v="0"/>
  </r>
  <r>
    <s v="GL001321"/>
    <d v="2024-03-31T00:00:00"/>
    <x v="4"/>
    <x v="4"/>
    <n v="0"/>
    <n v="4238.9799999999996"/>
    <x v="5"/>
    <x v="0"/>
    <s v="AutoPost 1321"/>
    <s v="EUR"/>
    <x v="16"/>
    <n v="4238.9799999999996"/>
    <m/>
    <n v="4238.9799999999996"/>
    <s v="N/A"/>
    <x v="1"/>
    <x v="1"/>
  </r>
  <r>
    <s v="GL001322"/>
    <d v="2024-12-10T00:00:00"/>
    <x v="3"/>
    <x v="3"/>
    <n v="1471.95"/>
    <n v="0"/>
    <x v="1"/>
    <x v="2"/>
    <s v="AutoPost 1322"/>
    <s v="GBP"/>
    <x v="23"/>
    <n v="-1471.95"/>
    <m/>
    <n v="-1471.95"/>
    <s v="N/A"/>
    <x v="1"/>
    <x v="0"/>
  </r>
  <r>
    <s v="GL001323"/>
    <d v="2025-06-18T00:00:00"/>
    <x v="4"/>
    <x v="4"/>
    <n v="0"/>
    <n v="1269.44"/>
    <x v="0"/>
    <x v="3"/>
    <s v="AutoPost 1323"/>
    <s v="AUD"/>
    <x v="19"/>
    <n v="1269.44"/>
    <m/>
    <n v="1269.44"/>
    <s v="N/A"/>
    <x v="1"/>
    <x v="1"/>
  </r>
  <r>
    <s v="GL001324"/>
    <d v="2023-09-02T00:00:00"/>
    <x v="1"/>
    <x v="1"/>
    <n v="97.3"/>
    <n v="0"/>
    <x v="5"/>
    <x v="0"/>
    <s v="AutoPost 1324"/>
    <s v="AUD"/>
    <x v="3"/>
    <n v="-97.3"/>
    <m/>
    <n v="-97.3"/>
    <s v="N/A"/>
    <x v="1"/>
    <x v="0"/>
  </r>
  <r>
    <s v="GL001325"/>
    <d v="2023-03-01T00:00:00"/>
    <x v="2"/>
    <x v="2"/>
    <n v="557.66"/>
    <n v="0"/>
    <x v="5"/>
    <x v="0"/>
    <s v="AutoPost 1325"/>
    <s v="USD"/>
    <x v="18"/>
    <n v="-557.66"/>
    <m/>
    <n v="-557.66"/>
    <s v="N/A"/>
    <x v="1"/>
    <x v="0"/>
  </r>
  <r>
    <s v="GL001326"/>
    <d v="2024-03-23T00:00:00"/>
    <x v="3"/>
    <x v="3"/>
    <n v="1380.55"/>
    <n v="0"/>
    <x v="1"/>
    <x v="2"/>
    <s v="AutoPost 1326"/>
    <s v="AUD"/>
    <x v="16"/>
    <n v="-1380.55"/>
    <m/>
    <n v="-1380.55"/>
    <s v="N/A"/>
    <x v="1"/>
    <x v="0"/>
  </r>
  <r>
    <s v="GL001327"/>
    <d v="2025-02-01T00:00:00"/>
    <x v="1"/>
    <x v="1"/>
    <n v="606.16"/>
    <n v="0"/>
    <x v="1"/>
    <x v="3"/>
    <s v="AutoPost 1327"/>
    <s v="AUD"/>
    <x v="28"/>
    <n v="-606.16"/>
    <m/>
    <n v="-606.16"/>
    <s v="N/A"/>
    <x v="1"/>
    <x v="0"/>
  </r>
  <r>
    <s v="GL001328"/>
    <d v="2024-05-11T00:00:00"/>
    <x v="2"/>
    <x v="2"/>
    <n v="1885.28"/>
    <n v="0"/>
    <x v="3"/>
    <x v="1"/>
    <s v="AutoPost 1328"/>
    <s v="CAD"/>
    <x v="0"/>
    <n v="-1885.28"/>
    <m/>
    <n v="-1885.28"/>
    <s v="N/A"/>
    <x v="1"/>
    <x v="0"/>
  </r>
  <r>
    <s v="GL001329"/>
    <d v="2024-11-27T00:00:00"/>
    <x v="3"/>
    <x v="3"/>
    <n v="1731.77"/>
    <n v="0"/>
    <x v="3"/>
    <x v="2"/>
    <s v="AutoPost 1329"/>
    <s v="CAD"/>
    <x v="10"/>
    <n v="-1731.77"/>
    <m/>
    <n v="-1731.77"/>
    <s v="N/A"/>
    <x v="1"/>
    <x v="0"/>
  </r>
  <r>
    <s v="GL001330"/>
    <d v="2023-05-23T00:00:00"/>
    <x v="1"/>
    <x v="1"/>
    <n v="394.02"/>
    <n v="0"/>
    <x v="1"/>
    <x v="0"/>
    <s v="AutoPost 1330"/>
    <s v="GBP"/>
    <x v="29"/>
    <n v="-394.02"/>
    <m/>
    <n v="-394.02"/>
    <s v="N/A"/>
    <x v="1"/>
    <x v="0"/>
  </r>
  <r>
    <s v="GL001331"/>
    <d v="2024-01-07T00:00:00"/>
    <x v="0"/>
    <x v="0"/>
    <n v="0"/>
    <n v="687.07"/>
    <x v="1"/>
    <x v="1"/>
    <s v="AutoPost 1331"/>
    <s v="CAD"/>
    <x v="20"/>
    <n v="687.07"/>
    <m/>
    <n v="687.07"/>
    <s v="N/A"/>
    <x v="1"/>
    <x v="1"/>
  </r>
  <r>
    <s v="GL001332"/>
    <d v="2023-12-12T00:00:00"/>
    <x v="4"/>
    <x v="4"/>
    <n v="0"/>
    <n v="4603.0200000000004"/>
    <x v="3"/>
    <x v="1"/>
    <s v="AutoPost 1332"/>
    <s v="GBP"/>
    <x v="6"/>
    <n v="4603.0200000000004"/>
    <m/>
    <n v="4603.0200000000004"/>
    <s v="N/A"/>
    <x v="1"/>
    <x v="1"/>
  </r>
  <r>
    <s v="GL001333"/>
    <d v="2024-06-18T00:00:00"/>
    <x v="2"/>
    <x v="2"/>
    <n v="675.05"/>
    <n v="0"/>
    <x v="3"/>
    <x v="2"/>
    <s v="AutoPost 1333"/>
    <s v="USD"/>
    <x v="1"/>
    <n v="-675.05"/>
    <m/>
    <n v="-675.05"/>
    <s v="N/A"/>
    <x v="1"/>
    <x v="0"/>
  </r>
  <r>
    <s v="GL001334"/>
    <d v="2023-10-02T00:00:00"/>
    <x v="1"/>
    <x v="1"/>
    <n v="1487.83"/>
    <n v="0"/>
    <x v="2"/>
    <x v="3"/>
    <s v="AutoPost 1334"/>
    <s v="AUD"/>
    <x v="27"/>
    <n v="-1487.83"/>
    <m/>
    <n v="-1487.83"/>
    <s v="N/A"/>
    <x v="1"/>
    <x v="0"/>
  </r>
  <r>
    <s v="GL001335"/>
    <d v="2023-05-16T00:00:00"/>
    <x v="2"/>
    <x v="2"/>
    <n v="792.43"/>
    <n v="0"/>
    <x v="4"/>
    <x v="1"/>
    <s v="AutoPost 1335"/>
    <s v="GBP"/>
    <x v="29"/>
    <n v="-792.43"/>
    <m/>
    <n v="-792.43"/>
    <s v="N/A"/>
    <x v="1"/>
    <x v="0"/>
  </r>
  <r>
    <s v="GL001336"/>
    <d v="2025-06-27T00:00:00"/>
    <x v="0"/>
    <x v="0"/>
    <n v="0"/>
    <n v="1819.9"/>
    <x v="1"/>
    <x v="3"/>
    <s v="AutoPost 1336"/>
    <s v="GBP"/>
    <x v="19"/>
    <n v="1819.9"/>
    <m/>
    <n v="1819.9"/>
    <s v="N/A"/>
    <x v="1"/>
    <x v="1"/>
  </r>
  <r>
    <s v="GL001337"/>
    <d v="2025-02-08T00:00:00"/>
    <x v="1"/>
    <x v="1"/>
    <n v="1966.73"/>
    <n v="0"/>
    <x v="2"/>
    <x v="1"/>
    <s v="AutoPost 1337"/>
    <s v="GBP"/>
    <x v="28"/>
    <n v="-1966.73"/>
    <m/>
    <n v="-1966.73"/>
    <s v="N/A"/>
    <x v="1"/>
    <x v="0"/>
  </r>
  <r>
    <s v="GL001338"/>
    <d v="2023-01-31T00:00:00"/>
    <x v="4"/>
    <x v="4"/>
    <n v="0"/>
    <n v="1355.21"/>
    <x v="5"/>
    <x v="4"/>
    <s v="AutoPost 1338"/>
    <s v="CAD"/>
    <x v="14"/>
    <n v="1355.21"/>
    <m/>
    <n v="1355.21"/>
    <s v="N/A"/>
    <x v="1"/>
    <x v="1"/>
  </r>
  <r>
    <s v="GL001339"/>
    <d v="2024-12-03T00:00:00"/>
    <x v="4"/>
    <x v="4"/>
    <n v="0"/>
    <n v="4992.45"/>
    <x v="1"/>
    <x v="0"/>
    <s v="AutoPost 1339"/>
    <s v="CAD"/>
    <x v="23"/>
    <n v="4992.45"/>
    <m/>
    <n v="4992.45"/>
    <s v="N/A"/>
    <x v="1"/>
    <x v="1"/>
  </r>
  <r>
    <s v="GL001340"/>
    <d v="2024-10-26T00:00:00"/>
    <x v="1"/>
    <x v="1"/>
    <n v="1949.81"/>
    <n v="0"/>
    <x v="1"/>
    <x v="3"/>
    <s v="AutoPost 1340"/>
    <s v="EUR"/>
    <x v="26"/>
    <n v="-1949.81"/>
    <m/>
    <n v="-1949.81"/>
    <s v="N/A"/>
    <x v="1"/>
    <x v="0"/>
  </r>
  <r>
    <s v="GL001341"/>
    <d v="2024-11-24T00:00:00"/>
    <x v="3"/>
    <x v="3"/>
    <n v="733.3"/>
    <n v="0"/>
    <x v="1"/>
    <x v="1"/>
    <s v="AutoPost 1341"/>
    <s v="EUR"/>
    <x v="10"/>
    <n v="-733.3"/>
    <m/>
    <n v="-733.3"/>
    <s v="N/A"/>
    <x v="1"/>
    <x v="0"/>
  </r>
  <r>
    <s v="GL001342"/>
    <d v="2024-12-21T00:00:00"/>
    <x v="1"/>
    <x v="1"/>
    <n v="1405.39"/>
    <n v="0"/>
    <x v="0"/>
    <x v="0"/>
    <s v="AutoPost 1342"/>
    <s v="USD"/>
    <x v="23"/>
    <n v="-1405.39"/>
    <m/>
    <n v="-1405.39"/>
    <s v="N/A"/>
    <x v="1"/>
    <x v="0"/>
  </r>
  <r>
    <s v="GL001343"/>
    <d v="2023-09-28T00:00:00"/>
    <x v="0"/>
    <x v="0"/>
    <n v="0"/>
    <n v="599.19000000000005"/>
    <x v="0"/>
    <x v="4"/>
    <s v="AutoPost 1343"/>
    <s v="EUR"/>
    <x v="3"/>
    <n v="599.19000000000005"/>
    <m/>
    <n v="599.19000000000005"/>
    <s v="N/A"/>
    <x v="1"/>
    <x v="1"/>
  </r>
  <r>
    <s v="GL001344"/>
    <d v="2024-07-22T00:00:00"/>
    <x v="4"/>
    <x v="4"/>
    <n v="0"/>
    <n v="872.03"/>
    <x v="5"/>
    <x v="2"/>
    <s v="AutoPost 1344"/>
    <s v="GBP"/>
    <x v="21"/>
    <n v="872.03"/>
    <m/>
    <n v="872.03"/>
    <s v="N/A"/>
    <x v="1"/>
    <x v="1"/>
  </r>
  <r>
    <s v="GL001345"/>
    <d v="2023-05-15T00:00:00"/>
    <x v="0"/>
    <x v="0"/>
    <n v="0"/>
    <n v="3873.21"/>
    <x v="2"/>
    <x v="2"/>
    <s v="AutoPost 1345"/>
    <s v="AUD"/>
    <x v="29"/>
    <n v="3873.21"/>
    <m/>
    <n v="3873.21"/>
    <s v="N/A"/>
    <x v="1"/>
    <x v="1"/>
  </r>
  <r>
    <s v="GL001346"/>
    <d v="2025-06-25T00:00:00"/>
    <x v="3"/>
    <x v="3"/>
    <n v="122.84"/>
    <n v="0"/>
    <x v="2"/>
    <x v="4"/>
    <s v="AutoPost 1346"/>
    <s v="USD"/>
    <x v="19"/>
    <n v="-122.84"/>
    <m/>
    <n v="-122.84"/>
    <s v="N/A"/>
    <x v="1"/>
    <x v="0"/>
  </r>
  <r>
    <s v="GL001347"/>
    <d v="2025-02-10T00:00:00"/>
    <x v="4"/>
    <x v="4"/>
    <n v="0"/>
    <n v="1039.28"/>
    <x v="5"/>
    <x v="4"/>
    <s v="AutoPost 1347"/>
    <s v="EUR"/>
    <x v="28"/>
    <n v="1039.28"/>
    <m/>
    <n v="1039.28"/>
    <s v="N/A"/>
    <x v="1"/>
    <x v="1"/>
  </r>
  <r>
    <s v="GL001348"/>
    <d v="2025-04-12T00:00:00"/>
    <x v="4"/>
    <x v="4"/>
    <n v="0"/>
    <n v="1214.51"/>
    <x v="3"/>
    <x v="4"/>
    <s v="AutoPost 1348"/>
    <s v="GBP"/>
    <x v="12"/>
    <n v="1214.51"/>
    <m/>
    <n v="1214.51"/>
    <s v="N/A"/>
    <x v="1"/>
    <x v="1"/>
  </r>
  <r>
    <s v="GL001349"/>
    <d v="2025-01-20T00:00:00"/>
    <x v="3"/>
    <x v="3"/>
    <n v="1318.81"/>
    <n v="0"/>
    <x v="3"/>
    <x v="2"/>
    <s v="AutoPost 1349"/>
    <s v="AUD"/>
    <x v="2"/>
    <n v="-1318.81"/>
    <m/>
    <n v="-1318.81"/>
    <s v="N/A"/>
    <x v="1"/>
    <x v="0"/>
  </r>
  <r>
    <s v="GL001350"/>
    <d v="2023-07-24T00:00:00"/>
    <x v="4"/>
    <x v="4"/>
    <n v="0"/>
    <n v="3395.3"/>
    <x v="1"/>
    <x v="1"/>
    <s v="AutoPost 1350"/>
    <s v="GBP"/>
    <x v="17"/>
    <n v="3395.3"/>
    <m/>
    <n v="3395.3"/>
    <s v="N/A"/>
    <x v="1"/>
    <x v="1"/>
  </r>
  <r>
    <s v="GL001351"/>
    <d v="2024-09-27T00:00:00"/>
    <x v="2"/>
    <x v="2"/>
    <n v="1554.18"/>
    <n v="0"/>
    <x v="5"/>
    <x v="1"/>
    <s v="AutoPost 1351"/>
    <s v="AUD"/>
    <x v="15"/>
    <n v="-1554.18"/>
    <m/>
    <n v="-1554.18"/>
    <s v="N/A"/>
    <x v="1"/>
    <x v="0"/>
  </r>
  <r>
    <s v="GL001352"/>
    <d v="2024-11-23T00:00:00"/>
    <x v="0"/>
    <x v="0"/>
    <n v="0"/>
    <n v="4613.7"/>
    <x v="0"/>
    <x v="1"/>
    <s v="AutoPost 1352"/>
    <s v="USD"/>
    <x v="10"/>
    <n v="4613.7"/>
    <m/>
    <n v="4613.7"/>
    <s v="N/A"/>
    <x v="1"/>
    <x v="1"/>
  </r>
  <r>
    <s v="GL001353"/>
    <d v="2025-06-30T00:00:00"/>
    <x v="3"/>
    <x v="3"/>
    <n v="803.03"/>
    <n v="0"/>
    <x v="4"/>
    <x v="3"/>
    <s v="AutoPost 1353"/>
    <s v="CAD"/>
    <x v="19"/>
    <n v="-803.03"/>
    <m/>
    <n v="-803.03"/>
    <s v="N/A"/>
    <x v="1"/>
    <x v="0"/>
  </r>
  <r>
    <s v="GL001354"/>
    <d v="2025-05-18T00:00:00"/>
    <x v="3"/>
    <x v="3"/>
    <n v="1564.19"/>
    <n v="0"/>
    <x v="0"/>
    <x v="3"/>
    <s v="AutoPost 1354"/>
    <s v="CAD"/>
    <x v="5"/>
    <n v="-1564.19"/>
    <m/>
    <n v="-1564.19"/>
    <s v="N/A"/>
    <x v="1"/>
    <x v="0"/>
  </r>
  <r>
    <s v="GL001355"/>
    <d v="2025-01-18T00:00:00"/>
    <x v="2"/>
    <x v="2"/>
    <n v="1942.89"/>
    <n v="0"/>
    <x v="0"/>
    <x v="4"/>
    <s v="AutoPost 1355"/>
    <s v="USD"/>
    <x v="2"/>
    <n v="-1942.89"/>
    <m/>
    <n v="-1942.89"/>
    <s v="N/A"/>
    <x v="1"/>
    <x v="0"/>
  </r>
  <r>
    <s v="GL001356"/>
    <d v="2024-10-13T00:00:00"/>
    <x v="0"/>
    <x v="0"/>
    <n v="0"/>
    <n v="4122.6000000000004"/>
    <x v="2"/>
    <x v="3"/>
    <s v="AutoPost 1356"/>
    <s v="GBP"/>
    <x v="26"/>
    <n v="4122.6000000000004"/>
    <m/>
    <n v="4122.6000000000004"/>
    <s v="N/A"/>
    <x v="1"/>
    <x v="1"/>
  </r>
  <r>
    <s v="GL001357"/>
    <d v="2025-01-10T00:00:00"/>
    <x v="4"/>
    <x v="4"/>
    <n v="0"/>
    <n v="3139.71"/>
    <x v="2"/>
    <x v="4"/>
    <s v="AutoPost 1357"/>
    <s v="EUR"/>
    <x v="2"/>
    <n v="3139.71"/>
    <m/>
    <n v="3139.71"/>
    <s v="N/A"/>
    <x v="1"/>
    <x v="1"/>
  </r>
  <r>
    <s v="GL001358"/>
    <d v="2023-05-12T00:00:00"/>
    <x v="3"/>
    <x v="3"/>
    <n v="168.07"/>
    <n v="0"/>
    <x v="1"/>
    <x v="0"/>
    <s v="AutoPost 1358"/>
    <s v="CAD"/>
    <x v="29"/>
    <n v="-168.07"/>
    <m/>
    <n v="-168.07"/>
    <s v="N/A"/>
    <x v="1"/>
    <x v="0"/>
  </r>
  <r>
    <s v="GL001359"/>
    <d v="2023-02-18T00:00:00"/>
    <x v="0"/>
    <x v="0"/>
    <n v="0"/>
    <n v="2067.23"/>
    <x v="2"/>
    <x v="3"/>
    <s v="AutoPost 1359"/>
    <s v="GBP"/>
    <x v="24"/>
    <n v="2067.23"/>
    <m/>
    <n v="2067.23"/>
    <s v="N/A"/>
    <x v="1"/>
    <x v="1"/>
  </r>
  <r>
    <s v="GL001360"/>
    <d v="2025-06-29T00:00:00"/>
    <x v="3"/>
    <x v="3"/>
    <n v="364.93"/>
    <n v="0"/>
    <x v="5"/>
    <x v="3"/>
    <s v="AutoPost 1360"/>
    <s v="USD"/>
    <x v="19"/>
    <n v="-364.93"/>
    <m/>
    <n v="-364.93"/>
    <s v="N/A"/>
    <x v="1"/>
    <x v="0"/>
  </r>
  <r>
    <s v="GL001361"/>
    <d v="2025-02-06T00:00:00"/>
    <x v="1"/>
    <x v="1"/>
    <n v="488.16"/>
    <n v="0"/>
    <x v="3"/>
    <x v="0"/>
    <s v="AutoPost 1361"/>
    <s v="GBP"/>
    <x v="28"/>
    <n v="-488.16"/>
    <m/>
    <n v="-488.16"/>
    <s v="N/A"/>
    <x v="1"/>
    <x v="0"/>
  </r>
  <r>
    <s v="GL001362"/>
    <d v="2023-02-11T00:00:00"/>
    <x v="1"/>
    <x v="1"/>
    <n v="506.43"/>
    <n v="0"/>
    <x v="5"/>
    <x v="4"/>
    <s v="AutoPost 1362"/>
    <s v="USD"/>
    <x v="24"/>
    <n v="-506.43"/>
    <m/>
    <n v="-506.43"/>
    <s v="N/A"/>
    <x v="1"/>
    <x v="0"/>
  </r>
  <r>
    <s v="GL001363"/>
    <d v="2024-07-25T00:00:00"/>
    <x v="1"/>
    <x v="1"/>
    <n v="517.6"/>
    <n v="0"/>
    <x v="1"/>
    <x v="2"/>
    <s v="AutoPost 1363"/>
    <s v="EUR"/>
    <x v="21"/>
    <n v="-517.6"/>
    <m/>
    <n v="-517.6"/>
    <s v="N/A"/>
    <x v="1"/>
    <x v="0"/>
  </r>
  <r>
    <s v="GL001364"/>
    <d v="2023-12-19T00:00:00"/>
    <x v="2"/>
    <x v="2"/>
    <n v="846.47"/>
    <n v="0"/>
    <x v="2"/>
    <x v="3"/>
    <s v="AutoPost 1364"/>
    <s v="AUD"/>
    <x v="6"/>
    <n v="-846.47"/>
    <m/>
    <n v="-846.47"/>
    <s v="N/A"/>
    <x v="1"/>
    <x v="0"/>
  </r>
  <r>
    <s v="GL001365"/>
    <d v="2023-03-22T00:00:00"/>
    <x v="4"/>
    <x v="4"/>
    <n v="0"/>
    <n v="998.83"/>
    <x v="5"/>
    <x v="4"/>
    <s v="AutoPost 1365"/>
    <s v="USD"/>
    <x v="18"/>
    <n v="998.83"/>
    <m/>
    <n v="998.83"/>
    <s v="N/A"/>
    <x v="1"/>
    <x v="1"/>
  </r>
  <r>
    <s v="GL001366"/>
    <d v="2023-12-08T00:00:00"/>
    <x v="3"/>
    <x v="3"/>
    <n v="714.9"/>
    <n v="0"/>
    <x v="0"/>
    <x v="0"/>
    <s v="AutoPost 1366"/>
    <s v="GBP"/>
    <x v="6"/>
    <n v="-714.9"/>
    <m/>
    <n v="-714.9"/>
    <s v="N/A"/>
    <x v="1"/>
    <x v="0"/>
  </r>
  <r>
    <s v="GL001367"/>
    <d v="2023-12-01T00:00:00"/>
    <x v="4"/>
    <x v="4"/>
    <n v="0"/>
    <n v="1049.58"/>
    <x v="2"/>
    <x v="0"/>
    <s v="AutoPost 1367"/>
    <s v="AUD"/>
    <x v="6"/>
    <n v="1049.58"/>
    <m/>
    <n v="1049.58"/>
    <s v="N/A"/>
    <x v="1"/>
    <x v="1"/>
  </r>
  <r>
    <s v="GL001368"/>
    <d v="2023-01-17T00:00:00"/>
    <x v="3"/>
    <x v="3"/>
    <n v="1962.1"/>
    <n v="0"/>
    <x v="0"/>
    <x v="4"/>
    <s v="AutoPost 1368"/>
    <s v="USD"/>
    <x v="14"/>
    <n v="-1962.1"/>
    <m/>
    <n v="-1962.1"/>
    <s v="N/A"/>
    <x v="1"/>
    <x v="0"/>
  </r>
  <r>
    <s v="GL001369"/>
    <d v="2023-01-20T00:00:00"/>
    <x v="1"/>
    <x v="1"/>
    <n v="773.23"/>
    <n v="0"/>
    <x v="5"/>
    <x v="1"/>
    <s v="AutoPost 1369"/>
    <s v="CAD"/>
    <x v="14"/>
    <n v="-773.23"/>
    <m/>
    <n v="-773.23"/>
    <s v="N/A"/>
    <x v="1"/>
    <x v="0"/>
  </r>
  <r>
    <s v="GL001370"/>
    <d v="2025-05-27T00:00:00"/>
    <x v="3"/>
    <x v="3"/>
    <n v="485.53"/>
    <n v="0"/>
    <x v="3"/>
    <x v="0"/>
    <s v="AutoPost 1370"/>
    <s v="GBP"/>
    <x v="5"/>
    <n v="-485.53"/>
    <m/>
    <n v="-485.53"/>
    <s v="N/A"/>
    <x v="1"/>
    <x v="0"/>
  </r>
  <r>
    <s v="GL001371"/>
    <d v="2024-03-09T00:00:00"/>
    <x v="4"/>
    <x v="4"/>
    <n v="0"/>
    <n v="586.21"/>
    <x v="3"/>
    <x v="2"/>
    <s v="AutoPost 1371"/>
    <s v="EUR"/>
    <x v="16"/>
    <n v="586.21"/>
    <m/>
    <n v="586.21"/>
    <s v="N/A"/>
    <x v="1"/>
    <x v="1"/>
  </r>
  <r>
    <s v="GL001372"/>
    <d v="2025-03-28T00:00:00"/>
    <x v="0"/>
    <x v="0"/>
    <n v="0"/>
    <n v="1624.21"/>
    <x v="3"/>
    <x v="3"/>
    <s v="AutoPost 1372"/>
    <s v="GBP"/>
    <x v="13"/>
    <n v="1624.21"/>
    <m/>
    <n v="1624.21"/>
    <s v="N/A"/>
    <x v="1"/>
    <x v="1"/>
  </r>
  <r>
    <s v="GL001373"/>
    <d v="2023-06-12T00:00:00"/>
    <x v="3"/>
    <x v="3"/>
    <n v="680.82"/>
    <n v="0"/>
    <x v="5"/>
    <x v="4"/>
    <s v="AutoPost 1373"/>
    <s v="USD"/>
    <x v="22"/>
    <n v="-680.82"/>
    <m/>
    <n v="-680.82"/>
    <s v="N/A"/>
    <x v="1"/>
    <x v="0"/>
  </r>
  <r>
    <s v="GL001374"/>
    <d v="2023-12-02T00:00:00"/>
    <x v="2"/>
    <x v="2"/>
    <n v="167.34"/>
    <n v="0"/>
    <x v="3"/>
    <x v="2"/>
    <s v="AutoPost 1374"/>
    <s v="USD"/>
    <x v="6"/>
    <n v="-167.34"/>
    <m/>
    <n v="-167.34"/>
    <s v="N/A"/>
    <x v="1"/>
    <x v="0"/>
  </r>
  <r>
    <s v="GL001375"/>
    <d v="2024-07-16T00:00:00"/>
    <x v="0"/>
    <x v="0"/>
    <n v="0"/>
    <n v="1929.16"/>
    <x v="3"/>
    <x v="3"/>
    <s v="AutoPost 1375"/>
    <s v="EUR"/>
    <x v="21"/>
    <n v="1929.16"/>
    <m/>
    <n v="1929.16"/>
    <s v="N/A"/>
    <x v="1"/>
    <x v="1"/>
  </r>
  <r>
    <s v="GL001376"/>
    <d v="2023-11-10T00:00:00"/>
    <x v="3"/>
    <x v="3"/>
    <n v="400.54"/>
    <n v="0"/>
    <x v="3"/>
    <x v="2"/>
    <s v="AutoPost 1376"/>
    <s v="EUR"/>
    <x v="9"/>
    <n v="-400.54"/>
    <m/>
    <n v="-400.54"/>
    <s v="N/A"/>
    <x v="1"/>
    <x v="0"/>
  </r>
  <r>
    <s v="GL001377"/>
    <d v="2024-04-15T00:00:00"/>
    <x v="4"/>
    <x v="4"/>
    <n v="0"/>
    <n v="1657.49"/>
    <x v="5"/>
    <x v="2"/>
    <s v="AutoPost 1377"/>
    <s v="GBP"/>
    <x v="7"/>
    <n v="1657.49"/>
    <m/>
    <n v="1657.49"/>
    <s v="N/A"/>
    <x v="1"/>
    <x v="1"/>
  </r>
  <r>
    <s v="GL001378"/>
    <d v="2024-04-06T00:00:00"/>
    <x v="0"/>
    <x v="0"/>
    <n v="0"/>
    <n v="1718.15"/>
    <x v="0"/>
    <x v="3"/>
    <s v="AutoPost 1378"/>
    <s v="GBP"/>
    <x v="7"/>
    <n v="1718.15"/>
    <m/>
    <n v="1718.15"/>
    <s v="N/A"/>
    <x v="1"/>
    <x v="1"/>
  </r>
  <r>
    <s v="GL001379"/>
    <d v="2025-06-16T00:00:00"/>
    <x v="4"/>
    <x v="4"/>
    <n v="0"/>
    <n v="3216.06"/>
    <x v="4"/>
    <x v="4"/>
    <s v="AutoPost 1379"/>
    <s v="CAD"/>
    <x v="19"/>
    <n v="3216.06"/>
    <m/>
    <n v="3216.06"/>
    <s v="N/A"/>
    <x v="1"/>
    <x v="1"/>
  </r>
  <r>
    <s v="GL001380"/>
    <d v="2023-05-19T00:00:00"/>
    <x v="4"/>
    <x v="4"/>
    <n v="0"/>
    <n v="3406.43"/>
    <x v="2"/>
    <x v="4"/>
    <s v="AutoPost 1380"/>
    <s v="AUD"/>
    <x v="29"/>
    <n v="3406.43"/>
    <m/>
    <n v="3406.43"/>
    <s v="N/A"/>
    <x v="1"/>
    <x v="1"/>
  </r>
  <r>
    <s v="GL001381"/>
    <d v="2025-03-28T00:00:00"/>
    <x v="2"/>
    <x v="2"/>
    <n v="1047.53"/>
    <n v="0"/>
    <x v="4"/>
    <x v="3"/>
    <s v="AutoPost 1381"/>
    <s v="USD"/>
    <x v="13"/>
    <n v="-1047.53"/>
    <m/>
    <n v="-1047.53"/>
    <s v="N/A"/>
    <x v="1"/>
    <x v="0"/>
  </r>
  <r>
    <s v="GL001382"/>
    <d v="2024-11-03T00:00:00"/>
    <x v="3"/>
    <x v="3"/>
    <n v="129.62"/>
    <n v="0"/>
    <x v="4"/>
    <x v="0"/>
    <s v="AutoPost 1382"/>
    <s v="EUR"/>
    <x v="10"/>
    <n v="-129.62"/>
    <m/>
    <n v="-129.62"/>
    <s v="N/A"/>
    <x v="1"/>
    <x v="0"/>
  </r>
  <r>
    <s v="GL001383"/>
    <d v="2023-08-20T00:00:00"/>
    <x v="4"/>
    <x v="4"/>
    <n v="0"/>
    <n v="2334.75"/>
    <x v="2"/>
    <x v="3"/>
    <s v="AutoPost 1383"/>
    <s v="AUD"/>
    <x v="4"/>
    <n v="2334.75"/>
    <m/>
    <n v="2334.75"/>
    <s v="N/A"/>
    <x v="1"/>
    <x v="1"/>
  </r>
  <r>
    <s v="GL001384"/>
    <d v="2023-06-14T00:00:00"/>
    <x v="2"/>
    <x v="2"/>
    <n v="1023.61"/>
    <n v="0"/>
    <x v="0"/>
    <x v="1"/>
    <s v="AutoPost 1384"/>
    <s v="GBP"/>
    <x v="22"/>
    <n v="-1023.61"/>
    <m/>
    <n v="-1023.61"/>
    <s v="N/A"/>
    <x v="1"/>
    <x v="0"/>
  </r>
  <r>
    <s v="GL001385"/>
    <d v="2024-01-20T00:00:00"/>
    <x v="3"/>
    <x v="3"/>
    <n v="182.89"/>
    <n v="0"/>
    <x v="3"/>
    <x v="1"/>
    <s v="AutoPost 1385"/>
    <s v="GBP"/>
    <x v="20"/>
    <n v="-182.89"/>
    <m/>
    <n v="-182.89"/>
    <s v="N/A"/>
    <x v="1"/>
    <x v="0"/>
  </r>
  <r>
    <s v="GL001386"/>
    <d v="2024-07-03T00:00:00"/>
    <x v="2"/>
    <x v="2"/>
    <n v="229.97"/>
    <n v="0"/>
    <x v="0"/>
    <x v="1"/>
    <s v="AutoPost 1386"/>
    <s v="GBP"/>
    <x v="21"/>
    <n v="-229.97"/>
    <m/>
    <n v="-229.97"/>
    <s v="N/A"/>
    <x v="1"/>
    <x v="0"/>
  </r>
  <r>
    <s v="GL001387"/>
    <d v="2024-09-13T00:00:00"/>
    <x v="2"/>
    <x v="2"/>
    <n v="1443.86"/>
    <n v="0"/>
    <x v="3"/>
    <x v="4"/>
    <s v="AutoPost 1387"/>
    <s v="USD"/>
    <x v="15"/>
    <n v="-1443.86"/>
    <m/>
    <n v="-1443.86"/>
    <s v="N/A"/>
    <x v="1"/>
    <x v="0"/>
  </r>
  <r>
    <s v="GL001388"/>
    <d v="2024-04-09T00:00:00"/>
    <x v="4"/>
    <x v="4"/>
    <n v="0"/>
    <n v="1270.57"/>
    <x v="2"/>
    <x v="1"/>
    <s v="AutoPost 1388"/>
    <s v="AUD"/>
    <x v="7"/>
    <n v="1270.57"/>
    <m/>
    <n v="1270.57"/>
    <s v="N/A"/>
    <x v="1"/>
    <x v="1"/>
  </r>
  <r>
    <s v="GL001389"/>
    <d v="2023-08-01T00:00:00"/>
    <x v="4"/>
    <x v="4"/>
    <n v="0"/>
    <n v="1310.5899999999999"/>
    <x v="5"/>
    <x v="4"/>
    <s v="AutoPost 1389"/>
    <s v="CAD"/>
    <x v="4"/>
    <n v="1310.5899999999999"/>
    <m/>
    <n v="1310.5899999999999"/>
    <s v="N/A"/>
    <x v="1"/>
    <x v="1"/>
  </r>
  <r>
    <s v="GL001390"/>
    <d v="2024-02-22T00:00:00"/>
    <x v="4"/>
    <x v="4"/>
    <n v="0"/>
    <n v="3868.62"/>
    <x v="5"/>
    <x v="4"/>
    <s v="AutoPost 1390"/>
    <s v="AUD"/>
    <x v="11"/>
    <n v="3868.62"/>
    <m/>
    <n v="3868.62"/>
    <s v="N/A"/>
    <x v="1"/>
    <x v="1"/>
  </r>
  <r>
    <s v="GL001391"/>
    <d v="2023-06-17T00:00:00"/>
    <x v="0"/>
    <x v="0"/>
    <n v="0"/>
    <n v="138.43"/>
    <x v="1"/>
    <x v="0"/>
    <s v="AutoPost 1391"/>
    <s v="GBP"/>
    <x v="22"/>
    <n v="138.43"/>
    <m/>
    <n v="138.43"/>
    <s v="N/A"/>
    <x v="1"/>
    <x v="1"/>
  </r>
  <r>
    <s v="GL001392"/>
    <d v="2023-10-11T00:00:00"/>
    <x v="1"/>
    <x v="1"/>
    <n v="1749.68"/>
    <n v="0"/>
    <x v="1"/>
    <x v="3"/>
    <s v="AutoPost 1392"/>
    <s v="EUR"/>
    <x v="27"/>
    <n v="-1749.68"/>
    <m/>
    <n v="-1749.68"/>
    <s v="N/A"/>
    <x v="1"/>
    <x v="0"/>
  </r>
  <r>
    <s v="GL001393"/>
    <d v="2025-05-30T00:00:00"/>
    <x v="4"/>
    <x v="4"/>
    <n v="0"/>
    <n v="4955.21"/>
    <x v="2"/>
    <x v="3"/>
    <s v="AutoPost 1393"/>
    <s v="EUR"/>
    <x v="5"/>
    <n v="4955.21"/>
    <m/>
    <n v="4955.21"/>
    <s v="N/A"/>
    <x v="1"/>
    <x v="1"/>
  </r>
  <r>
    <s v="GL001394"/>
    <d v="2023-10-24T00:00:00"/>
    <x v="3"/>
    <x v="3"/>
    <n v="1030.07"/>
    <n v="0"/>
    <x v="1"/>
    <x v="1"/>
    <s v="AutoPost 1394"/>
    <s v="CAD"/>
    <x v="27"/>
    <n v="-1030.07"/>
    <m/>
    <n v="-1030.07"/>
    <s v="N/A"/>
    <x v="1"/>
    <x v="0"/>
  </r>
  <r>
    <s v="GL001395"/>
    <d v="2023-01-25T00:00:00"/>
    <x v="2"/>
    <x v="2"/>
    <n v="1552.9"/>
    <n v="0"/>
    <x v="1"/>
    <x v="1"/>
    <s v="AutoPost 1395"/>
    <s v="GBP"/>
    <x v="14"/>
    <n v="-1552.9"/>
    <m/>
    <n v="-1552.9"/>
    <s v="N/A"/>
    <x v="1"/>
    <x v="0"/>
  </r>
  <r>
    <s v="GL001396"/>
    <d v="2023-03-24T00:00:00"/>
    <x v="1"/>
    <x v="1"/>
    <n v="1837.1"/>
    <n v="0"/>
    <x v="1"/>
    <x v="0"/>
    <s v="AutoPost 1396"/>
    <s v="USD"/>
    <x v="18"/>
    <n v="-1837.1"/>
    <m/>
    <n v="-1837.1"/>
    <s v="N/A"/>
    <x v="1"/>
    <x v="0"/>
  </r>
  <r>
    <s v="GL001397"/>
    <d v="2023-10-01T00:00:00"/>
    <x v="0"/>
    <x v="0"/>
    <n v="0"/>
    <n v="3838.99"/>
    <x v="1"/>
    <x v="1"/>
    <s v="AutoPost 1397"/>
    <s v="AUD"/>
    <x v="27"/>
    <n v="3838.99"/>
    <m/>
    <n v="3838.99"/>
    <s v="N/A"/>
    <x v="1"/>
    <x v="1"/>
  </r>
  <r>
    <s v="GL001398"/>
    <d v="2024-03-01T00:00:00"/>
    <x v="2"/>
    <x v="2"/>
    <n v="1204.07"/>
    <n v="0"/>
    <x v="1"/>
    <x v="3"/>
    <s v="AutoPost 1398"/>
    <s v="EUR"/>
    <x v="16"/>
    <n v="-1204.07"/>
    <m/>
    <n v="-1204.07"/>
    <s v="N/A"/>
    <x v="1"/>
    <x v="0"/>
  </r>
  <r>
    <s v="GL001399"/>
    <d v="2023-07-21T00:00:00"/>
    <x v="3"/>
    <x v="3"/>
    <n v="1122.26"/>
    <n v="0"/>
    <x v="2"/>
    <x v="0"/>
    <s v="AutoPost 1399"/>
    <s v="AUD"/>
    <x v="17"/>
    <n v="-1122.26"/>
    <m/>
    <n v="-1122.26"/>
    <s v="N/A"/>
    <x v="1"/>
    <x v="0"/>
  </r>
  <r>
    <s v="GL001400"/>
    <d v="2023-11-27T00:00:00"/>
    <x v="3"/>
    <x v="3"/>
    <n v="633.59"/>
    <n v="0"/>
    <x v="3"/>
    <x v="1"/>
    <s v="AutoPost 1400"/>
    <s v="CAD"/>
    <x v="9"/>
    <n v="-633.59"/>
    <m/>
    <n v="-633.59"/>
    <s v="N/A"/>
    <x v="1"/>
    <x v="0"/>
  </r>
  <r>
    <s v="GL001401"/>
    <d v="2023-01-09T00:00:00"/>
    <x v="4"/>
    <x v="4"/>
    <n v="0"/>
    <n v="4074.33"/>
    <x v="2"/>
    <x v="4"/>
    <s v="AutoPost 1401"/>
    <s v="USD"/>
    <x v="14"/>
    <n v="4074.33"/>
    <m/>
    <n v="4074.33"/>
    <s v="N/A"/>
    <x v="1"/>
    <x v="1"/>
  </r>
  <r>
    <s v="GL001402"/>
    <d v="2024-09-05T00:00:00"/>
    <x v="2"/>
    <x v="2"/>
    <n v="340.22"/>
    <n v="0"/>
    <x v="5"/>
    <x v="2"/>
    <s v="AutoPost 1402"/>
    <s v="GBP"/>
    <x v="15"/>
    <n v="-340.22"/>
    <m/>
    <n v="-340.22"/>
    <s v="N/A"/>
    <x v="1"/>
    <x v="0"/>
  </r>
  <r>
    <s v="GL001403"/>
    <d v="2025-05-19T00:00:00"/>
    <x v="2"/>
    <x v="2"/>
    <n v="1891.61"/>
    <n v="0"/>
    <x v="0"/>
    <x v="0"/>
    <s v="AutoPost 1403"/>
    <s v="EUR"/>
    <x v="5"/>
    <n v="-1891.61"/>
    <m/>
    <n v="-1891.61"/>
    <s v="N/A"/>
    <x v="1"/>
    <x v="0"/>
  </r>
  <r>
    <s v="GL001404"/>
    <d v="2025-02-06T00:00:00"/>
    <x v="1"/>
    <x v="1"/>
    <n v="1998.5"/>
    <n v="0"/>
    <x v="3"/>
    <x v="3"/>
    <s v="AutoPost 1404"/>
    <s v="EUR"/>
    <x v="28"/>
    <n v="-1998.5"/>
    <m/>
    <n v="-1998.5"/>
    <s v="N/A"/>
    <x v="1"/>
    <x v="0"/>
  </r>
  <r>
    <s v="GL001405"/>
    <d v="2025-06-08T00:00:00"/>
    <x v="0"/>
    <x v="0"/>
    <n v="0"/>
    <n v="2567.37"/>
    <x v="3"/>
    <x v="2"/>
    <s v="AutoPost 1405"/>
    <s v="EUR"/>
    <x v="19"/>
    <n v="2567.37"/>
    <m/>
    <n v="2567.37"/>
    <s v="N/A"/>
    <x v="1"/>
    <x v="1"/>
  </r>
  <r>
    <s v="GL001406"/>
    <d v="2025-05-07T00:00:00"/>
    <x v="1"/>
    <x v="1"/>
    <n v="1097.98"/>
    <n v="0"/>
    <x v="5"/>
    <x v="4"/>
    <s v="AutoPost 1406"/>
    <s v="EUR"/>
    <x v="5"/>
    <n v="-1097.98"/>
    <m/>
    <n v="-1097.98"/>
    <s v="N/A"/>
    <x v="1"/>
    <x v="0"/>
  </r>
  <r>
    <s v="GL001407"/>
    <d v="2025-03-20T00:00:00"/>
    <x v="2"/>
    <x v="2"/>
    <n v="443.66"/>
    <n v="0"/>
    <x v="3"/>
    <x v="2"/>
    <s v="AutoPost 1407"/>
    <s v="GBP"/>
    <x v="13"/>
    <n v="-443.66"/>
    <m/>
    <n v="-443.66"/>
    <s v="N/A"/>
    <x v="1"/>
    <x v="0"/>
  </r>
  <r>
    <s v="GL001408"/>
    <d v="2023-04-05T00:00:00"/>
    <x v="1"/>
    <x v="1"/>
    <n v="225.89"/>
    <n v="0"/>
    <x v="1"/>
    <x v="2"/>
    <s v="AutoPost 1408"/>
    <s v="AUD"/>
    <x v="8"/>
    <n v="-225.89"/>
    <m/>
    <n v="-225.89"/>
    <s v="N/A"/>
    <x v="1"/>
    <x v="0"/>
  </r>
  <r>
    <s v="GL001409"/>
    <d v="2023-09-30T00:00:00"/>
    <x v="1"/>
    <x v="1"/>
    <n v="90.95"/>
    <n v="0"/>
    <x v="3"/>
    <x v="3"/>
    <s v="AutoPost 1409"/>
    <s v="USD"/>
    <x v="3"/>
    <n v="-90.95"/>
    <m/>
    <n v="-90.95"/>
    <s v="N/A"/>
    <x v="1"/>
    <x v="0"/>
  </r>
  <r>
    <s v="GL001410"/>
    <d v="2025-05-16T00:00:00"/>
    <x v="4"/>
    <x v="4"/>
    <n v="0"/>
    <n v="4806.1400000000003"/>
    <x v="3"/>
    <x v="4"/>
    <s v="AutoPost 1410"/>
    <s v="EUR"/>
    <x v="5"/>
    <n v="4806.1400000000003"/>
    <m/>
    <n v="4806.1400000000003"/>
    <s v="N/A"/>
    <x v="1"/>
    <x v="1"/>
  </r>
  <r>
    <s v="GL001411"/>
    <d v="2024-10-17T00:00:00"/>
    <x v="4"/>
    <x v="4"/>
    <n v="0"/>
    <n v="2397.21"/>
    <x v="5"/>
    <x v="3"/>
    <s v="AutoPost 1411"/>
    <s v="GBP"/>
    <x v="26"/>
    <n v="2397.21"/>
    <m/>
    <n v="2397.21"/>
    <s v="N/A"/>
    <x v="1"/>
    <x v="1"/>
  </r>
  <r>
    <s v="GL001412"/>
    <d v="2023-04-06T00:00:00"/>
    <x v="4"/>
    <x v="4"/>
    <n v="0"/>
    <n v="1164.68"/>
    <x v="0"/>
    <x v="3"/>
    <s v="AutoPost 1412"/>
    <s v="USD"/>
    <x v="8"/>
    <n v="1164.68"/>
    <m/>
    <n v="1164.68"/>
    <s v="N/A"/>
    <x v="1"/>
    <x v="1"/>
  </r>
  <r>
    <s v="GL001413"/>
    <d v="2024-05-20T00:00:00"/>
    <x v="0"/>
    <x v="0"/>
    <n v="0"/>
    <n v="4994.2"/>
    <x v="3"/>
    <x v="3"/>
    <s v="AutoPost 1413"/>
    <s v="CAD"/>
    <x v="0"/>
    <n v="4994.2"/>
    <m/>
    <n v="4994.2"/>
    <s v="N/A"/>
    <x v="1"/>
    <x v="1"/>
  </r>
  <r>
    <s v="GL001414"/>
    <d v="2024-01-21T00:00:00"/>
    <x v="4"/>
    <x v="4"/>
    <n v="0"/>
    <n v="127.25"/>
    <x v="4"/>
    <x v="1"/>
    <s v="AutoPost 1414"/>
    <s v="CAD"/>
    <x v="20"/>
    <n v="127.25"/>
    <m/>
    <n v="127.25"/>
    <s v="N/A"/>
    <x v="1"/>
    <x v="1"/>
  </r>
  <r>
    <s v="GL001415"/>
    <d v="2025-06-04T00:00:00"/>
    <x v="3"/>
    <x v="3"/>
    <n v="1383.8"/>
    <n v="0"/>
    <x v="5"/>
    <x v="3"/>
    <s v="AutoPost 1415"/>
    <s v="CAD"/>
    <x v="19"/>
    <n v="-1383.8"/>
    <m/>
    <n v="-1383.8"/>
    <s v="N/A"/>
    <x v="1"/>
    <x v="0"/>
  </r>
  <r>
    <s v="GL001416"/>
    <d v="2024-08-31T00:00:00"/>
    <x v="4"/>
    <x v="4"/>
    <n v="0"/>
    <n v="4604.16"/>
    <x v="4"/>
    <x v="3"/>
    <s v="AutoPost 1416"/>
    <s v="GBP"/>
    <x v="25"/>
    <n v="4604.16"/>
    <m/>
    <n v="4604.16"/>
    <s v="N/A"/>
    <x v="1"/>
    <x v="1"/>
  </r>
  <r>
    <s v="GL001417"/>
    <d v="2024-08-18T00:00:00"/>
    <x v="0"/>
    <x v="0"/>
    <n v="0"/>
    <n v="4835.3"/>
    <x v="2"/>
    <x v="4"/>
    <s v="AutoPost 1417"/>
    <s v="GBP"/>
    <x v="25"/>
    <n v="4835.3"/>
    <m/>
    <n v="4835.3"/>
    <s v="N/A"/>
    <x v="1"/>
    <x v="1"/>
  </r>
  <r>
    <s v="GL001418"/>
    <d v="2025-04-03T00:00:00"/>
    <x v="4"/>
    <x v="4"/>
    <n v="0"/>
    <n v="1057.72"/>
    <x v="4"/>
    <x v="0"/>
    <s v="AutoPost 1418"/>
    <s v="CAD"/>
    <x v="12"/>
    <n v="1057.72"/>
    <m/>
    <n v="1057.72"/>
    <s v="N/A"/>
    <x v="1"/>
    <x v="1"/>
  </r>
  <r>
    <s v="GL001419"/>
    <d v="2023-09-06T00:00:00"/>
    <x v="3"/>
    <x v="3"/>
    <n v="1394.77"/>
    <n v="0"/>
    <x v="0"/>
    <x v="4"/>
    <s v="AutoPost 1419"/>
    <s v="CAD"/>
    <x v="3"/>
    <n v="-1394.77"/>
    <m/>
    <n v="-1394.77"/>
    <s v="N/A"/>
    <x v="1"/>
    <x v="0"/>
  </r>
  <r>
    <s v="GL001420"/>
    <d v="2023-11-14T00:00:00"/>
    <x v="1"/>
    <x v="1"/>
    <n v="803.08"/>
    <n v="0"/>
    <x v="4"/>
    <x v="2"/>
    <s v="AutoPost 1420"/>
    <s v="AUD"/>
    <x v="9"/>
    <n v="-803.08"/>
    <m/>
    <n v="-803.08"/>
    <s v="N/A"/>
    <x v="1"/>
    <x v="0"/>
  </r>
  <r>
    <s v="GL001421"/>
    <d v="2023-08-31T00:00:00"/>
    <x v="2"/>
    <x v="2"/>
    <n v="500.5"/>
    <n v="0"/>
    <x v="0"/>
    <x v="0"/>
    <s v="AutoPost 1421"/>
    <s v="CAD"/>
    <x v="4"/>
    <n v="-500.5"/>
    <m/>
    <n v="-500.5"/>
    <s v="N/A"/>
    <x v="1"/>
    <x v="0"/>
  </r>
  <r>
    <s v="GL001422"/>
    <d v="2023-02-05T00:00:00"/>
    <x v="3"/>
    <x v="3"/>
    <n v="413.05"/>
    <n v="0"/>
    <x v="5"/>
    <x v="2"/>
    <s v="AutoPost 1422"/>
    <s v="GBP"/>
    <x v="24"/>
    <n v="-413.05"/>
    <m/>
    <n v="-413.05"/>
    <s v="N/A"/>
    <x v="1"/>
    <x v="0"/>
  </r>
  <r>
    <s v="GL001423"/>
    <d v="2023-10-18T00:00:00"/>
    <x v="1"/>
    <x v="1"/>
    <n v="1483.66"/>
    <n v="0"/>
    <x v="3"/>
    <x v="1"/>
    <s v="AutoPost 1423"/>
    <s v="EUR"/>
    <x v="27"/>
    <n v="-1483.66"/>
    <m/>
    <n v="-1483.66"/>
    <s v="N/A"/>
    <x v="1"/>
    <x v="0"/>
  </r>
  <r>
    <s v="GL001424"/>
    <d v="2023-04-03T00:00:00"/>
    <x v="3"/>
    <x v="3"/>
    <n v="1752.32"/>
    <n v="0"/>
    <x v="0"/>
    <x v="2"/>
    <s v="AutoPost 1424"/>
    <s v="CAD"/>
    <x v="8"/>
    <n v="-1752.32"/>
    <m/>
    <n v="-1752.32"/>
    <s v="N/A"/>
    <x v="1"/>
    <x v="0"/>
  </r>
  <r>
    <s v="GL001425"/>
    <d v="2023-11-25T00:00:00"/>
    <x v="0"/>
    <x v="0"/>
    <n v="0"/>
    <n v="1556.95"/>
    <x v="3"/>
    <x v="4"/>
    <s v="AutoPost 1425"/>
    <s v="CAD"/>
    <x v="9"/>
    <n v="1556.95"/>
    <m/>
    <n v="1556.95"/>
    <s v="N/A"/>
    <x v="1"/>
    <x v="1"/>
  </r>
  <r>
    <s v="GL001426"/>
    <d v="2024-11-25T00:00:00"/>
    <x v="3"/>
    <x v="3"/>
    <n v="1162.76"/>
    <n v="0"/>
    <x v="5"/>
    <x v="3"/>
    <s v="AutoPost 1426"/>
    <s v="CAD"/>
    <x v="10"/>
    <n v="-1162.76"/>
    <m/>
    <n v="-1162.76"/>
    <s v="N/A"/>
    <x v="1"/>
    <x v="0"/>
  </r>
  <r>
    <s v="GL001427"/>
    <d v="2024-01-13T00:00:00"/>
    <x v="0"/>
    <x v="0"/>
    <n v="0"/>
    <n v="3293.95"/>
    <x v="4"/>
    <x v="3"/>
    <s v="AutoPost 1427"/>
    <s v="CAD"/>
    <x v="20"/>
    <n v="3293.95"/>
    <m/>
    <n v="3293.95"/>
    <s v="N/A"/>
    <x v="1"/>
    <x v="1"/>
  </r>
  <r>
    <s v="GL001428"/>
    <d v="2024-02-18T00:00:00"/>
    <x v="3"/>
    <x v="3"/>
    <n v="949.79"/>
    <n v="0"/>
    <x v="0"/>
    <x v="4"/>
    <s v="AutoPost 1428"/>
    <s v="GBP"/>
    <x v="11"/>
    <n v="-949.79"/>
    <m/>
    <n v="-949.79"/>
    <s v="N/A"/>
    <x v="1"/>
    <x v="0"/>
  </r>
  <r>
    <s v="GL001429"/>
    <d v="2024-03-13T00:00:00"/>
    <x v="4"/>
    <x v="4"/>
    <n v="0"/>
    <n v="536.59"/>
    <x v="0"/>
    <x v="4"/>
    <s v="AutoPost 1429"/>
    <s v="USD"/>
    <x v="16"/>
    <n v="536.59"/>
    <m/>
    <n v="536.59"/>
    <s v="N/A"/>
    <x v="1"/>
    <x v="1"/>
  </r>
  <r>
    <s v="GL001430"/>
    <d v="2023-06-11T00:00:00"/>
    <x v="0"/>
    <x v="0"/>
    <n v="0"/>
    <n v="352.44"/>
    <x v="4"/>
    <x v="2"/>
    <s v="AutoPost 1430"/>
    <s v="CAD"/>
    <x v="22"/>
    <n v="352.44"/>
    <m/>
    <n v="352.44"/>
    <s v="N/A"/>
    <x v="1"/>
    <x v="1"/>
  </r>
  <r>
    <s v="GL001431"/>
    <d v="2024-07-11T00:00:00"/>
    <x v="1"/>
    <x v="1"/>
    <n v="479.39"/>
    <n v="0"/>
    <x v="0"/>
    <x v="0"/>
    <s v="AutoPost 1431"/>
    <s v="EUR"/>
    <x v="21"/>
    <n v="-479.39"/>
    <m/>
    <n v="-479.39"/>
    <s v="N/A"/>
    <x v="1"/>
    <x v="0"/>
  </r>
  <r>
    <s v="GL001432"/>
    <d v="2025-01-06T00:00:00"/>
    <x v="2"/>
    <x v="2"/>
    <n v="875.44"/>
    <n v="0"/>
    <x v="1"/>
    <x v="0"/>
    <s v="AutoPost 1432"/>
    <s v="USD"/>
    <x v="2"/>
    <n v="-875.44"/>
    <m/>
    <n v="-875.44"/>
    <s v="N/A"/>
    <x v="1"/>
    <x v="0"/>
  </r>
  <r>
    <s v="GL001433"/>
    <d v="2025-01-19T00:00:00"/>
    <x v="1"/>
    <x v="1"/>
    <n v="726.79"/>
    <n v="0"/>
    <x v="5"/>
    <x v="1"/>
    <s v="AutoPost 1433"/>
    <s v="GBP"/>
    <x v="2"/>
    <n v="-726.79"/>
    <m/>
    <n v="-726.79"/>
    <s v="N/A"/>
    <x v="1"/>
    <x v="0"/>
  </r>
  <r>
    <s v="GL001434"/>
    <d v="2023-07-07T00:00:00"/>
    <x v="4"/>
    <x v="4"/>
    <n v="0"/>
    <n v="3492.12"/>
    <x v="1"/>
    <x v="0"/>
    <s v="AutoPost 1434"/>
    <s v="USD"/>
    <x v="17"/>
    <n v="3492.12"/>
    <m/>
    <n v="3492.12"/>
    <s v="N/A"/>
    <x v="1"/>
    <x v="1"/>
  </r>
  <r>
    <s v="GL001435"/>
    <d v="2024-05-10T00:00:00"/>
    <x v="3"/>
    <x v="3"/>
    <n v="868.34"/>
    <n v="0"/>
    <x v="1"/>
    <x v="2"/>
    <s v="AutoPost 1435"/>
    <s v="USD"/>
    <x v="0"/>
    <n v="-868.34"/>
    <m/>
    <n v="-868.34"/>
    <s v="N/A"/>
    <x v="1"/>
    <x v="0"/>
  </r>
  <r>
    <s v="GL001436"/>
    <d v="2023-03-13T00:00:00"/>
    <x v="0"/>
    <x v="0"/>
    <n v="0"/>
    <n v="1610.63"/>
    <x v="4"/>
    <x v="0"/>
    <s v="AutoPost 1436"/>
    <s v="CAD"/>
    <x v="18"/>
    <n v="1610.63"/>
    <m/>
    <n v="1610.63"/>
    <s v="N/A"/>
    <x v="1"/>
    <x v="1"/>
  </r>
  <r>
    <s v="GL001437"/>
    <d v="2023-06-12T00:00:00"/>
    <x v="2"/>
    <x v="2"/>
    <n v="1429.61"/>
    <n v="0"/>
    <x v="1"/>
    <x v="1"/>
    <s v="AutoPost 1437"/>
    <s v="EUR"/>
    <x v="22"/>
    <n v="-1429.61"/>
    <m/>
    <n v="-1429.61"/>
    <s v="N/A"/>
    <x v="1"/>
    <x v="0"/>
  </r>
  <r>
    <s v="GL001438"/>
    <d v="2023-11-21T00:00:00"/>
    <x v="1"/>
    <x v="1"/>
    <n v="918.99"/>
    <n v="0"/>
    <x v="4"/>
    <x v="3"/>
    <s v="AutoPost 1438"/>
    <s v="EUR"/>
    <x v="9"/>
    <n v="-918.99"/>
    <m/>
    <n v="-918.99"/>
    <s v="N/A"/>
    <x v="1"/>
    <x v="0"/>
  </r>
  <r>
    <s v="GL001439"/>
    <d v="2025-06-21T00:00:00"/>
    <x v="3"/>
    <x v="3"/>
    <n v="189.23"/>
    <n v="0"/>
    <x v="1"/>
    <x v="4"/>
    <s v="AutoPost 1439"/>
    <s v="EUR"/>
    <x v="19"/>
    <n v="-189.23"/>
    <m/>
    <n v="-189.23"/>
    <s v="N/A"/>
    <x v="1"/>
    <x v="0"/>
  </r>
  <r>
    <s v="GL001440"/>
    <d v="2025-06-10T00:00:00"/>
    <x v="4"/>
    <x v="4"/>
    <n v="0"/>
    <n v="4553.74"/>
    <x v="2"/>
    <x v="0"/>
    <s v="AutoPost 1440"/>
    <s v="USD"/>
    <x v="19"/>
    <n v="4553.74"/>
    <m/>
    <n v="4553.74"/>
    <s v="N/A"/>
    <x v="1"/>
    <x v="1"/>
  </r>
  <r>
    <s v="GL001441"/>
    <d v="2024-11-22T00:00:00"/>
    <x v="4"/>
    <x v="4"/>
    <n v="0"/>
    <n v="224.69"/>
    <x v="5"/>
    <x v="3"/>
    <s v="AutoPost 1441"/>
    <s v="AUD"/>
    <x v="10"/>
    <n v="224.69"/>
    <m/>
    <n v="224.69"/>
    <s v="N/A"/>
    <x v="1"/>
    <x v="1"/>
  </r>
  <r>
    <s v="GL001442"/>
    <d v="2024-03-08T00:00:00"/>
    <x v="1"/>
    <x v="1"/>
    <n v="1447.98"/>
    <n v="0"/>
    <x v="4"/>
    <x v="3"/>
    <s v="AutoPost 1442"/>
    <s v="GBP"/>
    <x v="16"/>
    <n v="-1447.98"/>
    <m/>
    <n v="-1447.98"/>
    <s v="N/A"/>
    <x v="1"/>
    <x v="0"/>
  </r>
  <r>
    <s v="GL001443"/>
    <d v="2023-02-07T00:00:00"/>
    <x v="2"/>
    <x v="2"/>
    <n v="1846.98"/>
    <n v="0"/>
    <x v="1"/>
    <x v="2"/>
    <s v="AutoPost 1443"/>
    <s v="USD"/>
    <x v="24"/>
    <n v="-1846.98"/>
    <m/>
    <n v="-1846.98"/>
    <s v="N/A"/>
    <x v="1"/>
    <x v="0"/>
  </r>
  <r>
    <s v="GL001444"/>
    <d v="2025-01-23T00:00:00"/>
    <x v="3"/>
    <x v="3"/>
    <n v="1709.33"/>
    <n v="0"/>
    <x v="2"/>
    <x v="1"/>
    <s v="AutoPost 1444"/>
    <s v="CAD"/>
    <x v="2"/>
    <n v="-1709.33"/>
    <m/>
    <n v="-1709.33"/>
    <s v="N/A"/>
    <x v="1"/>
    <x v="0"/>
  </r>
  <r>
    <s v="GL001445"/>
    <d v="2023-09-02T00:00:00"/>
    <x v="4"/>
    <x v="4"/>
    <n v="0"/>
    <n v="4210.6499999999996"/>
    <x v="1"/>
    <x v="0"/>
    <s v="AutoPost 1445"/>
    <s v="EUR"/>
    <x v="3"/>
    <n v="4210.6499999999996"/>
    <m/>
    <n v="4210.6499999999996"/>
    <s v="N/A"/>
    <x v="1"/>
    <x v="1"/>
  </r>
  <r>
    <s v="GL001446"/>
    <d v="2024-08-15T00:00:00"/>
    <x v="3"/>
    <x v="3"/>
    <n v="1733.89"/>
    <n v="0"/>
    <x v="3"/>
    <x v="0"/>
    <s v="AutoPost 1446"/>
    <s v="EUR"/>
    <x v="25"/>
    <n v="-1733.89"/>
    <m/>
    <n v="-1733.89"/>
    <s v="N/A"/>
    <x v="1"/>
    <x v="0"/>
  </r>
  <r>
    <s v="GL001447"/>
    <d v="2024-01-26T00:00:00"/>
    <x v="0"/>
    <x v="0"/>
    <n v="0"/>
    <n v="4741"/>
    <x v="2"/>
    <x v="1"/>
    <s v="AutoPost 1447"/>
    <s v="USD"/>
    <x v="20"/>
    <n v="4741"/>
    <m/>
    <n v="4741"/>
    <s v="N/A"/>
    <x v="1"/>
    <x v="1"/>
  </r>
  <r>
    <s v="GL001448"/>
    <d v="2023-09-28T00:00:00"/>
    <x v="2"/>
    <x v="2"/>
    <n v="1800.94"/>
    <n v="0"/>
    <x v="5"/>
    <x v="0"/>
    <s v="AutoPost 1448"/>
    <s v="EUR"/>
    <x v="3"/>
    <n v="-1800.94"/>
    <m/>
    <n v="-1800.94"/>
    <s v="N/A"/>
    <x v="1"/>
    <x v="0"/>
  </r>
  <r>
    <s v="GL001449"/>
    <d v="2024-05-19T00:00:00"/>
    <x v="2"/>
    <x v="2"/>
    <n v="1648.82"/>
    <n v="0"/>
    <x v="2"/>
    <x v="4"/>
    <s v="AutoPost 1449"/>
    <s v="AUD"/>
    <x v="0"/>
    <n v="-1648.82"/>
    <m/>
    <n v="-1648.82"/>
    <s v="N/A"/>
    <x v="1"/>
    <x v="0"/>
  </r>
  <r>
    <s v="GL001450"/>
    <d v="2025-05-04T00:00:00"/>
    <x v="4"/>
    <x v="4"/>
    <n v="0"/>
    <n v="174.57"/>
    <x v="5"/>
    <x v="0"/>
    <s v="AutoPost 1450"/>
    <s v="USD"/>
    <x v="5"/>
    <n v="174.57"/>
    <m/>
    <n v="174.57"/>
    <s v="N/A"/>
    <x v="1"/>
    <x v="1"/>
  </r>
  <r>
    <s v="GL001451"/>
    <d v="2024-03-15T00:00:00"/>
    <x v="2"/>
    <x v="2"/>
    <n v="302.02999999999997"/>
    <n v="0"/>
    <x v="1"/>
    <x v="3"/>
    <s v="AutoPost 1451"/>
    <s v="EUR"/>
    <x v="16"/>
    <n v="-302.02999999999997"/>
    <m/>
    <n v="-302.02999999999997"/>
    <s v="N/A"/>
    <x v="1"/>
    <x v="0"/>
  </r>
  <r>
    <s v="GL001452"/>
    <d v="2024-06-07T00:00:00"/>
    <x v="2"/>
    <x v="2"/>
    <n v="226.75"/>
    <n v="0"/>
    <x v="1"/>
    <x v="1"/>
    <s v="AutoPost 1452"/>
    <s v="CAD"/>
    <x v="1"/>
    <n v="-226.75"/>
    <m/>
    <n v="-226.75"/>
    <s v="N/A"/>
    <x v="1"/>
    <x v="0"/>
  </r>
  <r>
    <s v="GL001453"/>
    <d v="2023-08-03T00:00:00"/>
    <x v="4"/>
    <x v="4"/>
    <n v="0"/>
    <n v="3167.06"/>
    <x v="0"/>
    <x v="2"/>
    <s v="AutoPost 1453"/>
    <s v="AUD"/>
    <x v="4"/>
    <n v="3167.06"/>
    <m/>
    <n v="3167.06"/>
    <s v="N/A"/>
    <x v="1"/>
    <x v="1"/>
  </r>
  <r>
    <s v="GL001454"/>
    <d v="2023-01-03T00:00:00"/>
    <x v="1"/>
    <x v="1"/>
    <n v="1135.3699999999999"/>
    <n v="0"/>
    <x v="3"/>
    <x v="4"/>
    <s v="AutoPost 1454"/>
    <s v="AUD"/>
    <x v="14"/>
    <n v="-1135.3699999999999"/>
    <m/>
    <n v="-1135.3699999999999"/>
    <s v="N/A"/>
    <x v="1"/>
    <x v="0"/>
  </r>
  <r>
    <s v="GL001455"/>
    <d v="2024-12-23T00:00:00"/>
    <x v="2"/>
    <x v="2"/>
    <n v="418.07"/>
    <n v="0"/>
    <x v="5"/>
    <x v="4"/>
    <s v="AutoPost 1455"/>
    <s v="CAD"/>
    <x v="23"/>
    <n v="-418.07"/>
    <m/>
    <n v="-418.07"/>
    <s v="N/A"/>
    <x v="1"/>
    <x v="0"/>
  </r>
  <r>
    <s v="GL001456"/>
    <d v="2024-12-09T00:00:00"/>
    <x v="0"/>
    <x v="0"/>
    <n v="0"/>
    <n v="3400.48"/>
    <x v="0"/>
    <x v="4"/>
    <s v="AutoPost 1456"/>
    <s v="AUD"/>
    <x v="23"/>
    <n v="3400.48"/>
    <m/>
    <n v="3400.48"/>
    <s v="N/A"/>
    <x v="1"/>
    <x v="1"/>
  </r>
  <r>
    <s v="GL001457"/>
    <d v="2024-02-05T00:00:00"/>
    <x v="1"/>
    <x v="1"/>
    <n v="67.56"/>
    <n v="0"/>
    <x v="5"/>
    <x v="0"/>
    <s v="AutoPost 1457"/>
    <s v="GBP"/>
    <x v="11"/>
    <n v="-67.56"/>
    <m/>
    <n v="-67.56"/>
    <s v="N/A"/>
    <x v="1"/>
    <x v="0"/>
  </r>
  <r>
    <s v="GL001458"/>
    <d v="2024-05-18T00:00:00"/>
    <x v="0"/>
    <x v="0"/>
    <n v="0"/>
    <n v="2980.92"/>
    <x v="3"/>
    <x v="2"/>
    <s v="AutoPost 1458"/>
    <s v="AUD"/>
    <x v="0"/>
    <n v="2980.92"/>
    <m/>
    <n v="2980.92"/>
    <s v="N/A"/>
    <x v="1"/>
    <x v="1"/>
  </r>
  <r>
    <s v="GL001459"/>
    <d v="2024-06-09T00:00:00"/>
    <x v="3"/>
    <x v="3"/>
    <n v="1093.1300000000001"/>
    <n v="0"/>
    <x v="2"/>
    <x v="3"/>
    <s v="AutoPost 1459"/>
    <s v="USD"/>
    <x v="1"/>
    <n v="-1093.1300000000001"/>
    <m/>
    <n v="-1093.1300000000001"/>
    <s v="N/A"/>
    <x v="1"/>
    <x v="0"/>
  </r>
  <r>
    <s v="GL001460"/>
    <d v="2025-06-15T00:00:00"/>
    <x v="4"/>
    <x v="4"/>
    <n v="0"/>
    <n v="3048.03"/>
    <x v="4"/>
    <x v="4"/>
    <s v="AutoPost 1460"/>
    <s v="CAD"/>
    <x v="19"/>
    <n v="3048.03"/>
    <m/>
    <n v="3048.03"/>
    <s v="N/A"/>
    <x v="1"/>
    <x v="1"/>
  </r>
  <r>
    <s v="GL001461"/>
    <d v="2024-12-23T00:00:00"/>
    <x v="2"/>
    <x v="2"/>
    <n v="1020.63"/>
    <n v="0"/>
    <x v="3"/>
    <x v="2"/>
    <s v="AutoPost 1461"/>
    <s v="AUD"/>
    <x v="23"/>
    <n v="-1020.63"/>
    <m/>
    <n v="-1020.63"/>
    <s v="N/A"/>
    <x v="1"/>
    <x v="0"/>
  </r>
  <r>
    <s v="GL001462"/>
    <d v="2023-05-01T00:00:00"/>
    <x v="3"/>
    <x v="3"/>
    <n v="1162.8900000000001"/>
    <n v="0"/>
    <x v="0"/>
    <x v="0"/>
    <s v="AutoPost 1462"/>
    <s v="GBP"/>
    <x v="29"/>
    <n v="-1162.8900000000001"/>
    <m/>
    <n v="-1162.8900000000001"/>
    <s v="N/A"/>
    <x v="1"/>
    <x v="0"/>
  </r>
  <r>
    <s v="GL001463"/>
    <d v="2025-06-16T00:00:00"/>
    <x v="1"/>
    <x v="1"/>
    <n v="783.53"/>
    <n v="0"/>
    <x v="5"/>
    <x v="1"/>
    <s v="AutoPost 1463"/>
    <s v="GBP"/>
    <x v="19"/>
    <n v="-783.53"/>
    <m/>
    <n v="-783.53"/>
    <s v="N/A"/>
    <x v="1"/>
    <x v="0"/>
  </r>
  <r>
    <s v="GL001464"/>
    <d v="2024-02-15T00:00:00"/>
    <x v="0"/>
    <x v="0"/>
    <n v="0"/>
    <n v="3125.16"/>
    <x v="0"/>
    <x v="3"/>
    <s v="AutoPost 1464"/>
    <s v="EUR"/>
    <x v="11"/>
    <n v="3125.16"/>
    <m/>
    <n v="3125.16"/>
    <s v="N/A"/>
    <x v="1"/>
    <x v="1"/>
  </r>
  <r>
    <s v="GL001465"/>
    <d v="2024-08-04T00:00:00"/>
    <x v="1"/>
    <x v="1"/>
    <n v="1578.71"/>
    <n v="0"/>
    <x v="4"/>
    <x v="1"/>
    <s v="AutoPost 1465"/>
    <s v="EUR"/>
    <x v="25"/>
    <n v="-1578.71"/>
    <m/>
    <n v="-1578.71"/>
    <s v="N/A"/>
    <x v="1"/>
    <x v="0"/>
  </r>
  <r>
    <s v="GL001466"/>
    <d v="2023-11-17T00:00:00"/>
    <x v="0"/>
    <x v="0"/>
    <n v="0"/>
    <n v="4453.8"/>
    <x v="4"/>
    <x v="2"/>
    <s v="AutoPost 1466"/>
    <s v="USD"/>
    <x v="9"/>
    <n v="4453.8"/>
    <m/>
    <n v="4453.8"/>
    <s v="N/A"/>
    <x v="1"/>
    <x v="1"/>
  </r>
  <r>
    <s v="GL001467"/>
    <d v="2023-09-04T00:00:00"/>
    <x v="0"/>
    <x v="0"/>
    <n v="0"/>
    <n v="4929.5200000000004"/>
    <x v="5"/>
    <x v="2"/>
    <s v="AutoPost 1467"/>
    <s v="GBP"/>
    <x v="3"/>
    <n v="4929.5200000000004"/>
    <m/>
    <n v="4929.5200000000004"/>
    <s v="N/A"/>
    <x v="1"/>
    <x v="1"/>
  </r>
  <r>
    <s v="GL001468"/>
    <d v="2023-02-19T00:00:00"/>
    <x v="1"/>
    <x v="1"/>
    <n v="537.51"/>
    <n v="0"/>
    <x v="4"/>
    <x v="2"/>
    <s v="AutoPost 1468"/>
    <s v="GBP"/>
    <x v="24"/>
    <n v="-537.51"/>
    <m/>
    <n v="-537.51"/>
    <s v="N/A"/>
    <x v="1"/>
    <x v="0"/>
  </r>
  <r>
    <s v="GL001469"/>
    <d v="2024-12-15T00:00:00"/>
    <x v="1"/>
    <x v="1"/>
    <n v="554.87"/>
    <n v="0"/>
    <x v="3"/>
    <x v="1"/>
    <s v="AutoPost 1469"/>
    <s v="GBP"/>
    <x v="23"/>
    <n v="-554.87"/>
    <m/>
    <n v="-554.87"/>
    <s v="N/A"/>
    <x v="1"/>
    <x v="0"/>
  </r>
  <r>
    <s v="GL001470"/>
    <d v="2024-04-24T00:00:00"/>
    <x v="4"/>
    <x v="4"/>
    <n v="0"/>
    <n v="4941.29"/>
    <x v="3"/>
    <x v="3"/>
    <s v="AutoPost 1470"/>
    <s v="AUD"/>
    <x v="7"/>
    <n v="4941.29"/>
    <m/>
    <n v="4941.29"/>
    <s v="N/A"/>
    <x v="1"/>
    <x v="1"/>
  </r>
  <r>
    <s v="GL001471"/>
    <d v="2023-11-16T00:00:00"/>
    <x v="1"/>
    <x v="1"/>
    <n v="1427.31"/>
    <n v="0"/>
    <x v="1"/>
    <x v="3"/>
    <s v="AutoPost 1471"/>
    <s v="EUR"/>
    <x v="9"/>
    <n v="-1427.31"/>
    <m/>
    <n v="-1427.31"/>
    <s v="N/A"/>
    <x v="1"/>
    <x v="0"/>
  </r>
  <r>
    <s v="GL001472"/>
    <d v="2023-11-04T00:00:00"/>
    <x v="0"/>
    <x v="0"/>
    <n v="0"/>
    <n v="1063.56"/>
    <x v="4"/>
    <x v="4"/>
    <s v="AutoPost 1472"/>
    <s v="EUR"/>
    <x v="9"/>
    <n v="1063.56"/>
    <m/>
    <n v="1063.56"/>
    <s v="N/A"/>
    <x v="1"/>
    <x v="1"/>
  </r>
  <r>
    <s v="GL001473"/>
    <d v="2023-05-15T00:00:00"/>
    <x v="2"/>
    <x v="2"/>
    <n v="665.12"/>
    <n v="0"/>
    <x v="3"/>
    <x v="3"/>
    <s v="AutoPost 1473"/>
    <s v="CAD"/>
    <x v="29"/>
    <n v="-665.12"/>
    <m/>
    <n v="-665.12"/>
    <s v="N/A"/>
    <x v="1"/>
    <x v="0"/>
  </r>
  <r>
    <s v="GL001474"/>
    <d v="2024-05-15T00:00:00"/>
    <x v="0"/>
    <x v="0"/>
    <n v="0"/>
    <n v="185.76"/>
    <x v="3"/>
    <x v="1"/>
    <s v="AutoPost 1474"/>
    <s v="USD"/>
    <x v="0"/>
    <n v="185.76"/>
    <m/>
    <n v="185.76"/>
    <s v="N/A"/>
    <x v="1"/>
    <x v="1"/>
  </r>
  <r>
    <s v="GL001475"/>
    <d v="2025-02-07T00:00:00"/>
    <x v="4"/>
    <x v="4"/>
    <n v="0"/>
    <n v="278.45999999999998"/>
    <x v="3"/>
    <x v="2"/>
    <s v="AutoPost 1475"/>
    <s v="AUD"/>
    <x v="28"/>
    <n v="278.45999999999998"/>
    <m/>
    <n v="278.45999999999998"/>
    <s v="N/A"/>
    <x v="1"/>
    <x v="1"/>
  </r>
  <r>
    <s v="GL001476"/>
    <d v="2024-02-14T00:00:00"/>
    <x v="0"/>
    <x v="0"/>
    <n v="0"/>
    <n v="4294.84"/>
    <x v="3"/>
    <x v="0"/>
    <s v="AutoPost 1476"/>
    <s v="CAD"/>
    <x v="11"/>
    <n v="4294.84"/>
    <m/>
    <n v="4294.84"/>
    <s v="N/A"/>
    <x v="1"/>
    <x v="1"/>
  </r>
  <r>
    <s v="GL001477"/>
    <d v="2023-09-30T00:00:00"/>
    <x v="3"/>
    <x v="3"/>
    <n v="1675.83"/>
    <n v="0"/>
    <x v="0"/>
    <x v="2"/>
    <s v="AutoPost 1477"/>
    <s v="USD"/>
    <x v="3"/>
    <n v="-1675.83"/>
    <m/>
    <n v="-1675.83"/>
    <s v="N/A"/>
    <x v="1"/>
    <x v="0"/>
  </r>
  <r>
    <s v="GL001478"/>
    <d v="2024-10-13T00:00:00"/>
    <x v="3"/>
    <x v="3"/>
    <n v="658.13"/>
    <n v="0"/>
    <x v="2"/>
    <x v="0"/>
    <s v="AutoPost 1478"/>
    <s v="GBP"/>
    <x v="26"/>
    <n v="-658.13"/>
    <m/>
    <n v="-658.13"/>
    <s v="N/A"/>
    <x v="1"/>
    <x v="0"/>
  </r>
  <r>
    <s v="GL001479"/>
    <d v="2025-05-17T00:00:00"/>
    <x v="2"/>
    <x v="2"/>
    <n v="1615.35"/>
    <n v="0"/>
    <x v="2"/>
    <x v="0"/>
    <s v="AutoPost 1479"/>
    <s v="CAD"/>
    <x v="5"/>
    <n v="-1615.35"/>
    <m/>
    <n v="-1615.35"/>
    <s v="N/A"/>
    <x v="1"/>
    <x v="0"/>
  </r>
  <r>
    <s v="GL001480"/>
    <d v="2023-09-26T00:00:00"/>
    <x v="4"/>
    <x v="4"/>
    <n v="0"/>
    <n v="4040.21"/>
    <x v="3"/>
    <x v="3"/>
    <s v="AutoPost 1480"/>
    <s v="CAD"/>
    <x v="3"/>
    <n v="4040.21"/>
    <m/>
    <n v="4040.21"/>
    <s v="N/A"/>
    <x v="1"/>
    <x v="1"/>
  </r>
  <r>
    <s v="GL001481"/>
    <d v="2025-05-27T00:00:00"/>
    <x v="0"/>
    <x v="0"/>
    <n v="0"/>
    <n v="1080.5"/>
    <x v="0"/>
    <x v="4"/>
    <s v="AutoPost 1481"/>
    <s v="EUR"/>
    <x v="5"/>
    <n v="1080.5"/>
    <m/>
    <n v="1080.5"/>
    <s v="N/A"/>
    <x v="1"/>
    <x v="1"/>
  </r>
  <r>
    <s v="GL001482"/>
    <d v="2025-04-07T00:00:00"/>
    <x v="2"/>
    <x v="2"/>
    <n v="1674.78"/>
    <n v="0"/>
    <x v="4"/>
    <x v="2"/>
    <s v="AutoPost 1482"/>
    <s v="EUR"/>
    <x v="12"/>
    <n v="-1674.78"/>
    <m/>
    <n v="-1674.78"/>
    <s v="N/A"/>
    <x v="1"/>
    <x v="0"/>
  </r>
  <r>
    <s v="GL001483"/>
    <d v="2024-11-15T00:00:00"/>
    <x v="3"/>
    <x v="3"/>
    <n v="959.69"/>
    <n v="0"/>
    <x v="5"/>
    <x v="1"/>
    <s v="AutoPost 1483"/>
    <s v="USD"/>
    <x v="10"/>
    <n v="-959.69"/>
    <m/>
    <n v="-959.69"/>
    <s v="N/A"/>
    <x v="1"/>
    <x v="0"/>
  </r>
  <r>
    <s v="GL001484"/>
    <d v="2024-06-18T00:00:00"/>
    <x v="1"/>
    <x v="1"/>
    <n v="1883.44"/>
    <n v="0"/>
    <x v="4"/>
    <x v="4"/>
    <s v="AutoPost 1484"/>
    <s v="AUD"/>
    <x v="1"/>
    <n v="-1883.44"/>
    <m/>
    <n v="-1883.44"/>
    <s v="N/A"/>
    <x v="1"/>
    <x v="0"/>
  </r>
  <r>
    <s v="GL001485"/>
    <d v="2023-12-25T00:00:00"/>
    <x v="0"/>
    <x v="0"/>
    <n v="0"/>
    <n v="1071.33"/>
    <x v="4"/>
    <x v="4"/>
    <s v="AutoPost 1485"/>
    <s v="USD"/>
    <x v="6"/>
    <n v="1071.33"/>
    <m/>
    <n v="1071.33"/>
    <s v="N/A"/>
    <x v="1"/>
    <x v="1"/>
  </r>
  <r>
    <s v="GL001486"/>
    <d v="2024-04-30T00:00:00"/>
    <x v="4"/>
    <x v="4"/>
    <n v="0"/>
    <n v="3543.57"/>
    <x v="5"/>
    <x v="4"/>
    <s v="AutoPost 1486"/>
    <s v="USD"/>
    <x v="7"/>
    <n v="3543.57"/>
    <m/>
    <n v="3543.57"/>
    <s v="N/A"/>
    <x v="1"/>
    <x v="1"/>
  </r>
  <r>
    <s v="GL001487"/>
    <d v="2024-03-28T00:00:00"/>
    <x v="1"/>
    <x v="1"/>
    <n v="489.81"/>
    <n v="0"/>
    <x v="1"/>
    <x v="4"/>
    <s v="AutoPost 1487"/>
    <s v="AUD"/>
    <x v="16"/>
    <n v="-489.81"/>
    <m/>
    <n v="-489.81"/>
    <s v="N/A"/>
    <x v="1"/>
    <x v="0"/>
  </r>
  <r>
    <s v="GL001488"/>
    <d v="2024-11-28T00:00:00"/>
    <x v="3"/>
    <x v="3"/>
    <n v="505.72"/>
    <n v="0"/>
    <x v="4"/>
    <x v="3"/>
    <s v="AutoPost 1488"/>
    <s v="CAD"/>
    <x v="10"/>
    <n v="-505.72"/>
    <m/>
    <n v="-505.72"/>
    <s v="N/A"/>
    <x v="1"/>
    <x v="0"/>
  </r>
  <r>
    <s v="GL001489"/>
    <d v="2023-12-03T00:00:00"/>
    <x v="3"/>
    <x v="3"/>
    <n v="178.76"/>
    <n v="0"/>
    <x v="5"/>
    <x v="4"/>
    <s v="AutoPost 1489"/>
    <s v="EUR"/>
    <x v="6"/>
    <n v="-178.76"/>
    <m/>
    <n v="-178.76"/>
    <s v="N/A"/>
    <x v="1"/>
    <x v="0"/>
  </r>
  <r>
    <s v="GL001490"/>
    <d v="2025-01-24T00:00:00"/>
    <x v="2"/>
    <x v="2"/>
    <n v="495.06"/>
    <n v="0"/>
    <x v="4"/>
    <x v="0"/>
    <s v="AutoPost 1490"/>
    <s v="GBP"/>
    <x v="2"/>
    <n v="-495.06"/>
    <m/>
    <n v="-495.06"/>
    <s v="N/A"/>
    <x v="1"/>
    <x v="0"/>
  </r>
  <r>
    <s v="GL001491"/>
    <d v="2025-03-16T00:00:00"/>
    <x v="4"/>
    <x v="4"/>
    <n v="0"/>
    <n v="309.72000000000003"/>
    <x v="0"/>
    <x v="4"/>
    <s v="AutoPost 1491"/>
    <s v="GBP"/>
    <x v="13"/>
    <n v="309.72000000000003"/>
    <m/>
    <n v="309.72000000000003"/>
    <s v="N/A"/>
    <x v="1"/>
    <x v="1"/>
  </r>
  <r>
    <s v="GL001492"/>
    <d v="2023-01-15T00:00:00"/>
    <x v="3"/>
    <x v="3"/>
    <n v="1106.6600000000001"/>
    <n v="0"/>
    <x v="2"/>
    <x v="0"/>
    <s v="AutoPost 1492"/>
    <s v="AUD"/>
    <x v="14"/>
    <n v="-1106.6600000000001"/>
    <m/>
    <n v="-1106.6600000000001"/>
    <s v="N/A"/>
    <x v="1"/>
    <x v="0"/>
  </r>
  <r>
    <s v="GL001493"/>
    <d v="2025-04-24T00:00:00"/>
    <x v="4"/>
    <x v="4"/>
    <n v="0"/>
    <n v="4204.9399999999996"/>
    <x v="5"/>
    <x v="2"/>
    <s v="AutoPost 1493"/>
    <s v="CAD"/>
    <x v="12"/>
    <n v="4204.9399999999996"/>
    <m/>
    <n v="4204.9399999999996"/>
    <s v="N/A"/>
    <x v="1"/>
    <x v="1"/>
  </r>
  <r>
    <s v="GL001494"/>
    <d v="2023-04-23T00:00:00"/>
    <x v="2"/>
    <x v="2"/>
    <n v="850.43"/>
    <n v="0"/>
    <x v="0"/>
    <x v="2"/>
    <s v="AutoPost 1494"/>
    <s v="CAD"/>
    <x v="8"/>
    <n v="-850.43"/>
    <m/>
    <n v="-850.43"/>
    <s v="N/A"/>
    <x v="1"/>
    <x v="0"/>
  </r>
  <r>
    <s v="GL001495"/>
    <d v="2023-12-28T00:00:00"/>
    <x v="0"/>
    <x v="0"/>
    <n v="0"/>
    <n v="4145.32"/>
    <x v="5"/>
    <x v="4"/>
    <s v="AutoPost 1495"/>
    <s v="GBP"/>
    <x v="6"/>
    <n v="4145.32"/>
    <m/>
    <n v="4145.32"/>
    <s v="N/A"/>
    <x v="1"/>
    <x v="1"/>
  </r>
  <r>
    <s v="GL001496"/>
    <d v="2024-02-06T00:00:00"/>
    <x v="3"/>
    <x v="3"/>
    <n v="1312.14"/>
    <n v="0"/>
    <x v="3"/>
    <x v="2"/>
    <s v="AutoPost 1496"/>
    <s v="CAD"/>
    <x v="11"/>
    <n v="-1312.14"/>
    <m/>
    <n v="-1312.14"/>
    <s v="N/A"/>
    <x v="1"/>
    <x v="0"/>
  </r>
  <r>
    <s v="GL001497"/>
    <d v="2023-08-14T00:00:00"/>
    <x v="3"/>
    <x v="3"/>
    <n v="1270.1400000000001"/>
    <n v="0"/>
    <x v="1"/>
    <x v="3"/>
    <s v="AutoPost 1497"/>
    <s v="GBP"/>
    <x v="4"/>
    <n v="-1270.1400000000001"/>
    <m/>
    <n v="-1270.1400000000001"/>
    <s v="N/A"/>
    <x v="1"/>
    <x v="0"/>
  </r>
  <r>
    <s v="GL001498"/>
    <d v="2023-01-22T00:00:00"/>
    <x v="1"/>
    <x v="1"/>
    <n v="1891.12"/>
    <n v="0"/>
    <x v="1"/>
    <x v="3"/>
    <s v="AutoPost 1498"/>
    <s v="GBP"/>
    <x v="14"/>
    <n v="-1891.12"/>
    <m/>
    <n v="-1891.12"/>
    <s v="N/A"/>
    <x v="1"/>
    <x v="0"/>
  </r>
  <r>
    <s v="GL001499"/>
    <d v="2023-03-20T00:00:00"/>
    <x v="0"/>
    <x v="0"/>
    <n v="0"/>
    <n v="4859.24"/>
    <x v="4"/>
    <x v="2"/>
    <s v="AutoPost 1499"/>
    <s v="GBP"/>
    <x v="18"/>
    <n v="4859.24"/>
    <m/>
    <n v="4859.24"/>
    <s v="N/A"/>
    <x v="1"/>
    <x v="1"/>
  </r>
  <r>
    <s v="GL001500"/>
    <d v="2023-10-22T00:00:00"/>
    <x v="0"/>
    <x v="0"/>
    <n v="0"/>
    <n v="2711.83"/>
    <x v="4"/>
    <x v="3"/>
    <s v="AutoPost 1500"/>
    <s v="GBP"/>
    <x v="27"/>
    <n v="2711.83"/>
    <m/>
    <n v="2711.83"/>
    <s v="N/A"/>
    <x v="1"/>
    <x v="1"/>
  </r>
  <r>
    <s v="GL001501"/>
    <d v="2025-04-04T00:00:00"/>
    <x v="2"/>
    <x v="2"/>
    <n v="648.23"/>
    <n v="0"/>
    <x v="1"/>
    <x v="1"/>
    <s v="AutoPost 1501"/>
    <s v="CAD"/>
    <x v="12"/>
    <n v="-648.23"/>
    <m/>
    <n v="-648.23"/>
    <s v="N/A"/>
    <x v="1"/>
    <x v="0"/>
  </r>
  <r>
    <s v="GL001502"/>
    <d v="2023-11-08T00:00:00"/>
    <x v="4"/>
    <x v="4"/>
    <n v="0"/>
    <n v="3468.1"/>
    <x v="3"/>
    <x v="1"/>
    <s v="AutoPost 1502"/>
    <s v="EUR"/>
    <x v="9"/>
    <n v="3468.1"/>
    <m/>
    <n v="3468.1"/>
    <s v="N/A"/>
    <x v="1"/>
    <x v="1"/>
  </r>
  <r>
    <s v="GL001503"/>
    <d v="2024-08-22T00:00:00"/>
    <x v="4"/>
    <x v="4"/>
    <n v="0"/>
    <n v="252.83"/>
    <x v="3"/>
    <x v="2"/>
    <s v="AutoPost 1503"/>
    <s v="CAD"/>
    <x v="25"/>
    <n v="252.83"/>
    <m/>
    <n v="252.83"/>
    <s v="N/A"/>
    <x v="1"/>
    <x v="1"/>
  </r>
  <r>
    <s v="GL001504"/>
    <d v="2024-05-25T00:00:00"/>
    <x v="3"/>
    <x v="3"/>
    <n v="1268.1099999999999"/>
    <n v="0"/>
    <x v="1"/>
    <x v="4"/>
    <s v="AutoPost 1504"/>
    <s v="CAD"/>
    <x v="0"/>
    <n v="-1268.1099999999999"/>
    <m/>
    <n v="-1268.1099999999999"/>
    <s v="N/A"/>
    <x v="1"/>
    <x v="0"/>
  </r>
  <r>
    <s v="GL001505"/>
    <d v="2024-10-09T00:00:00"/>
    <x v="1"/>
    <x v="1"/>
    <n v="574.22"/>
    <n v="0"/>
    <x v="3"/>
    <x v="1"/>
    <s v="AutoPost 1505"/>
    <s v="AUD"/>
    <x v="26"/>
    <n v="-574.22"/>
    <m/>
    <n v="-574.22"/>
    <s v="N/A"/>
    <x v="1"/>
    <x v="0"/>
  </r>
  <r>
    <s v="GL001506"/>
    <d v="2024-03-16T00:00:00"/>
    <x v="3"/>
    <x v="3"/>
    <n v="406.62"/>
    <n v="0"/>
    <x v="1"/>
    <x v="4"/>
    <s v="AutoPost 1506"/>
    <s v="EUR"/>
    <x v="16"/>
    <n v="-406.62"/>
    <m/>
    <n v="-406.62"/>
    <s v="N/A"/>
    <x v="1"/>
    <x v="0"/>
  </r>
  <r>
    <s v="GL001507"/>
    <d v="2024-03-15T00:00:00"/>
    <x v="4"/>
    <x v="4"/>
    <n v="0"/>
    <n v="4055.84"/>
    <x v="5"/>
    <x v="4"/>
    <s v="AutoPost 1507"/>
    <s v="GBP"/>
    <x v="16"/>
    <n v="4055.84"/>
    <m/>
    <n v="4055.84"/>
    <s v="N/A"/>
    <x v="1"/>
    <x v="1"/>
  </r>
  <r>
    <s v="GL001508"/>
    <d v="2024-04-12T00:00:00"/>
    <x v="0"/>
    <x v="0"/>
    <n v="0"/>
    <n v="3804.94"/>
    <x v="0"/>
    <x v="4"/>
    <s v="AutoPost 1508"/>
    <s v="GBP"/>
    <x v="7"/>
    <n v="3804.94"/>
    <m/>
    <n v="3804.94"/>
    <s v="N/A"/>
    <x v="1"/>
    <x v="1"/>
  </r>
  <r>
    <s v="GL001509"/>
    <d v="2023-12-17T00:00:00"/>
    <x v="0"/>
    <x v="0"/>
    <n v="0"/>
    <n v="2037.61"/>
    <x v="5"/>
    <x v="2"/>
    <s v="AutoPost 1509"/>
    <s v="AUD"/>
    <x v="6"/>
    <n v="2037.61"/>
    <m/>
    <n v="2037.61"/>
    <s v="N/A"/>
    <x v="1"/>
    <x v="1"/>
  </r>
  <r>
    <s v="GL001510"/>
    <d v="2024-09-02T00:00:00"/>
    <x v="1"/>
    <x v="1"/>
    <n v="1702.53"/>
    <n v="0"/>
    <x v="2"/>
    <x v="4"/>
    <s v="AutoPost 1510"/>
    <s v="GBP"/>
    <x v="15"/>
    <n v="-1702.53"/>
    <m/>
    <n v="-1702.53"/>
    <s v="N/A"/>
    <x v="1"/>
    <x v="0"/>
  </r>
  <r>
    <s v="GL001511"/>
    <d v="2023-10-11T00:00:00"/>
    <x v="0"/>
    <x v="0"/>
    <n v="0"/>
    <n v="829.97"/>
    <x v="4"/>
    <x v="1"/>
    <s v="AutoPost 1511"/>
    <s v="USD"/>
    <x v="27"/>
    <n v="829.97"/>
    <m/>
    <n v="829.97"/>
    <s v="N/A"/>
    <x v="1"/>
    <x v="1"/>
  </r>
  <r>
    <s v="GL001512"/>
    <d v="2025-02-27T00:00:00"/>
    <x v="0"/>
    <x v="0"/>
    <n v="0"/>
    <n v="4946.1000000000004"/>
    <x v="1"/>
    <x v="0"/>
    <s v="AutoPost 1512"/>
    <s v="AUD"/>
    <x v="28"/>
    <n v="4946.1000000000004"/>
    <m/>
    <n v="4946.1000000000004"/>
    <s v="N/A"/>
    <x v="1"/>
    <x v="1"/>
  </r>
  <r>
    <s v="GL001513"/>
    <d v="2023-02-24T00:00:00"/>
    <x v="0"/>
    <x v="0"/>
    <n v="0"/>
    <n v="2736.74"/>
    <x v="1"/>
    <x v="2"/>
    <s v="AutoPost 1513"/>
    <s v="AUD"/>
    <x v="24"/>
    <n v="2736.74"/>
    <m/>
    <n v="2736.74"/>
    <s v="N/A"/>
    <x v="1"/>
    <x v="1"/>
  </r>
  <r>
    <s v="GL001514"/>
    <d v="2024-08-09T00:00:00"/>
    <x v="2"/>
    <x v="2"/>
    <n v="1372.85"/>
    <n v="0"/>
    <x v="2"/>
    <x v="0"/>
    <s v="AutoPost 1514"/>
    <s v="GBP"/>
    <x v="25"/>
    <n v="-1372.85"/>
    <m/>
    <n v="-1372.85"/>
    <s v="N/A"/>
    <x v="1"/>
    <x v="0"/>
  </r>
  <r>
    <s v="GL001515"/>
    <d v="2024-07-23T00:00:00"/>
    <x v="3"/>
    <x v="3"/>
    <n v="1842.13"/>
    <n v="0"/>
    <x v="2"/>
    <x v="3"/>
    <s v="AutoPost 1515"/>
    <s v="AUD"/>
    <x v="21"/>
    <n v="-1842.13"/>
    <m/>
    <n v="-1842.13"/>
    <s v="N/A"/>
    <x v="1"/>
    <x v="0"/>
  </r>
  <r>
    <s v="GL001516"/>
    <d v="2025-01-16T00:00:00"/>
    <x v="0"/>
    <x v="0"/>
    <n v="0"/>
    <n v="4447.99"/>
    <x v="0"/>
    <x v="1"/>
    <s v="AutoPost 1516"/>
    <s v="AUD"/>
    <x v="2"/>
    <n v="4447.99"/>
    <m/>
    <n v="4447.99"/>
    <s v="N/A"/>
    <x v="1"/>
    <x v="1"/>
  </r>
  <r>
    <s v="GL001517"/>
    <d v="2024-04-19T00:00:00"/>
    <x v="4"/>
    <x v="4"/>
    <n v="0"/>
    <n v="758.28"/>
    <x v="5"/>
    <x v="1"/>
    <s v="AutoPost 1517"/>
    <s v="GBP"/>
    <x v="7"/>
    <n v="758.28"/>
    <m/>
    <n v="758.28"/>
    <s v="N/A"/>
    <x v="1"/>
    <x v="1"/>
  </r>
  <r>
    <s v="GL001518"/>
    <d v="2024-02-21T00:00:00"/>
    <x v="0"/>
    <x v="0"/>
    <n v="0"/>
    <n v="934.01"/>
    <x v="1"/>
    <x v="0"/>
    <s v="AutoPost 1518"/>
    <s v="EUR"/>
    <x v="11"/>
    <n v="934.01"/>
    <m/>
    <n v="934.01"/>
    <s v="N/A"/>
    <x v="1"/>
    <x v="1"/>
  </r>
  <r>
    <s v="GL001519"/>
    <d v="2024-11-05T00:00:00"/>
    <x v="3"/>
    <x v="3"/>
    <n v="1161.7"/>
    <n v="0"/>
    <x v="2"/>
    <x v="4"/>
    <s v="AutoPost 1519"/>
    <s v="CAD"/>
    <x v="10"/>
    <n v="-1161.7"/>
    <m/>
    <n v="-1161.7"/>
    <s v="N/A"/>
    <x v="1"/>
    <x v="0"/>
  </r>
  <r>
    <s v="GL001520"/>
    <d v="2023-05-01T00:00:00"/>
    <x v="3"/>
    <x v="3"/>
    <n v="1276.22"/>
    <n v="0"/>
    <x v="0"/>
    <x v="0"/>
    <s v="AutoPost 1520"/>
    <s v="USD"/>
    <x v="29"/>
    <n v="-1276.22"/>
    <m/>
    <n v="-1276.22"/>
    <s v="N/A"/>
    <x v="1"/>
    <x v="0"/>
  </r>
  <r>
    <s v="GL001521"/>
    <d v="2024-01-14T00:00:00"/>
    <x v="1"/>
    <x v="1"/>
    <n v="383.71"/>
    <n v="0"/>
    <x v="3"/>
    <x v="4"/>
    <s v="AutoPost 1521"/>
    <s v="USD"/>
    <x v="20"/>
    <n v="-383.71"/>
    <m/>
    <n v="-383.71"/>
    <s v="N/A"/>
    <x v="1"/>
    <x v="0"/>
  </r>
  <r>
    <s v="GL001522"/>
    <d v="2025-03-22T00:00:00"/>
    <x v="0"/>
    <x v="0"/>
    <n v="0"/>
    <n v="3468.9"/>
    <x v="1"/>
    <x v="0"/>
    <s v="AutoPost 1522"/>
    <s v="EUR"/>
    <x v="13"/>
    <n v="3468.9"/>
    <m/>
    <n v="3468.9"/>
    <s v="N/A"/>
    <x v="1"/>
    <x v="1"/>
  </r>
  <r>
    <s v="GL001523"/>
    <d v="2023-09-08T00:00:00"/>
    <x v="1"/>
    <x v="1"/>
    <n v="1158.8"/>
    <n v="0"/>
    <x v="5"/>
    <x v="1"/>
    <s v="AutoPost 1523"/>
    <s v="USD"/>
    <x v="3"/>
    <n v="-1158.8"/>
    <m/>
    <n v="-1158.8"/>
    <s v="N/A"/>
    <x v="1"/>
    <x v="0"/>
  </r>
  <r>
    <s v="GL001524"/>
    <d v="2023-01-09T00:00:00"/>
    <x v="0"/>
    <x v="0"/>
    <n v="0"/>
    <n v="2396.8000000000002"/>
    <x v="2"/>
    <x v="3"/>
    <s v="AutoPost 1524"/>
    <s v="CAD"/>
    <x v="14"/>
    <n v="2396.8000000000002"/>
    <m/>
    <n v="2396.8000000000002"/>
    <s v="N/A"/>
    <x v="1"/>
    <x v="1"/>
  </r>
  <r>
    <s v="GL001525"/>
    <d v="2024-09-03T00:00:00"/>
    <x v="4"/>
    <x v="4"/>
    <n v="0"/>
    <n v="2827.95"/>
    <x v="4"/>
    <x v="3"/>
    <s v="AutoPost 1525"/>
    <s v="USD"/>
    <x v="15"/>
    <n v="2827.95"/>
    <m/>
    <n v="2827.95"/>
    <s v="N/A"/>
    <x v="1"/>
    <x v="1"/>
  </r>
  <r>
    <s v="GL001526"/>
    <d v="2024-05-06T00:00:00"/>
    <x v="2"/>
    <x v="2"/>
    <n v="1359.89"/>
    <n v="0"/>
    <x v="0"/>
    <x v="4"/>
    <s v="AutoPost 1526"/>
    <s v="GBP"/>
    <x v="0"/>
    <n v="-1359.89"/>
    <m/>
    <n v="-1359.89"/>
    <s v="N/A"/>
    <x v="1"/>
    <x v="0"/>
  </r>
  <r>
    <s v="GL001527"/>
    <d v="2025-03-31T00:00:00"/>
    <x v="0"/>
    <x v="0"/>
    <n v="0"/>
    <n v="663.19"/>
    <x v="5"/>
    <x v="4"/>
    <s v="AutoPost 1527"/>
    <s v="USD"/>
    <x v="13"/>
    <n v="663.19"/>
    <m/>
    <n v="663.19"/>
    <s v="N/A"/>
    <x v="1"/>
    <x v="1"/>
  </r>
  <r>
    <s v="GL001528"/>
    <d v="2024-09-18T00:00:00"/>
    <x v="3"/>
    <x v="3"/>
    <n v="1878.74"/>
    <n v="0"/>
    <x v="1"/>
    <x v="1"/>
    <s v="AutoPost 1528"/>
    <s v="GBP"/>
    <x v="15"/>
    <n v="-1878.74"/>
    <m/>
    <n v="-1878.74"/>
    <s v="N/A"/>
    <x v="1"/>
    <x v="0"/>
  </r>
  <r>
    <s v="GL001529"/>
    <d v="2024-08-30T00:00:00"/>
    <x v="1"/>
    <x v="1"/>
    <n v="741.28"/>
    <n v="0"/>
    <x v="1"/>
    <x v="3"/>
    <s v="AutoPost 1529"/>
    <s v="GBP"/>
    <x v="25"/>
    <n v="-741.28"/>
    <m/>
    <n v="-741.28"/>
    <s v="N/A"/>
    <x v="1"/>
    <x v="0"/>
  </r>
  <r>
    <s v="GL001530"/>
    <d v="2025-05-21T00:00:00"/>
    <x v="0"/>
    <x v="0"/>
    <n v="0"/>
    <n v="1824.31"/>
    <x v="1"/>
    <x v="3"/>
    <s v="AutoPost 1530"/>
    <s v="EUR"/>
    <x v="5"/>
    <n v="1824.31"/>
    <m/>
    <n v="1824.31"/>
    <s v="N/A"/>
    <x v="1"/>
    <x v="1"/>
  </r>
  <r>
    <s v="GL001531"/>
    <d v="2023-11-27T00:00:00"/>
    <x v="4"/>
    <x v="4"/>
    <n v="0"/>
    <n v="4296.04"/>
    <x v="1"/>
    <x v="1"/>
    <s v="AutoPost 1531"/>
    <s v="AUD"/>
    <x v="9"/>
    <n v="4296.04"/>
    <m/>
    <n v="4296.04"/>
    <s v="N/A"/>
    <x v="1"/>
    <x v="1"/>
  </r>
  <r>
    <s v="GL001532"/>
    <d v="2024-04-06T00:00:00"/>
    <x v="3"/>
    <x v="3"/>
    <n v="1969.36"/>
    <n v="0"/>
    <x v="2"/>
    <x v="0"/>
    <s v="AutoPost 1532"/>
    <s v="CAD"/>
    <x v="7"/>
    <n v="-1969.36"/>
    <m/>
    <n v="-1969.36"/>
    <s v="N/A"/>
    <x v="1"/>
    <x v="0"/>
  </r>
  <r>
    <s v="GL001533"/>
    <d v="2025-04-12T00:00:00"/>
    <x v="3"/>
    <x v="3"/>
    <n v="980.89"/>
    <n v="0"/>
    <x v="5"/>
    <x v="0"/>
    <s v="AutoPost 1533"/>
    <s v="EUR"/>
    <x v="12"/>
    <n v="-980.89"/>
    <m/>
    <n v="-980.89"/>
    <s v="N/A"/>
    <x v="1"/>
    <x v="0"/>
  </r>
  <r>
    <s v="GL001534"/>
    <d v="2024-09-13T00:00:00"/>
    <x v="2"/>
    <x v="2"/>
    <n v="618.26"/>
    <n v="0"/>
    <x v="2"/>
    <x v="4"/>
    <s v="AutoPost 1534"/>
    <s v="USD"/>
    <x v="15"/>
    <n v="-618.26"/>
    <m/>
    <n v="-618.26"/>
    <s v="N/A"/>
    <x v="1"/>
    <x v="0"/>
  </r>
  <r>
    <s v="GL001535"/>
    <d v="2024-06-16T00:00:00"/>
    <x v="3"/>
    <x v="3"/>
    <n v="665.47"/>
    <n v="0"/>
    <x v="2"/>
    <x v="0"/>
    <s v="AutoPost 1535"/>
    <s v="EUR"/>
    <x v="1"/>
    <n v="-665.47"/>
    <m/>
    <n v="-665.47"/>
    <s v="N/A"/>
    <x v="1"/>
    <x v="0"/>
  </r>
  <r>
    <s v="GL001536"/>
    <d v="2024-06-22T00:00:00"/>
    <x v="1"/>
    <x v="1"/>
    <n v="982.03"/>
    <n v="0"/>
    <x v="4"/>
    <x v="4"/>
    <s v="AutoPost 1536"/>
    <s v="GBP"/>
    <x v="1"/>
    <n v="-982.03"/>
    <m/>
    <n v="-982.03"/>
    <s v="N/A"/>
    <x v="1"/>
    <x v="0"/>
  </r>
  <r>
    <s v="GL001537"/>
    <d v="2024-03-24T00:00:00"/>
    <x v="1"/>
    <x v="1"/>
    <n v="339.89"/>
    <n v="0"/>
    <x v="4"/>
    <x v="4"/>
    <s v="AutoPost 1537"/>
    <s v="AUD"/>
    <x v="16"/>
    <n v="-339.89"/>
    <m/>
    <n v="-339.89"/>
    <s v="N/A"/>
    <x v="1"/>
    <x v="0"/>
  </r>
  <r>
    <s v="GL001538"/>
    <d v="2024-09-02T00:00:00"/>
    <x v="3"/>
    <x v="3"/>
    <n v="535.34"/>
    <n v="0"/>
    <x v="1"/>
    <x v="3"/>
    <s v="AutoPost 1538"/>
    <s v="AUD"/>
    <x v="15"/>
    <n v="-535.34"/>
    <m/>
    <n v="-535.34"/>
    <s v="N/A"/>
    <x v="1"/>
    <x v="0"/>
  </r>
  <r>
    <s v="GL001539"/>
    <d v="2025-05-08T00:00:00"/>
    <x v="3"/>
    <x v="3"/>
    <n v="1582.13"/>
    <n v="0"/>
    <x v="2"/>
    <x v="3"/>
    <s v="AutoPost 1539"/>
    <s v="CAD"/>
    <x v="5"/>
    <n v="-1582.13"/>
    <m/>
    <n v="-1582.13"/>
    <s v="N/A"/>
    <x v="1"/>
    <x v="0"/>
  </r>
  <r>
    <s v="GL001540"/>
    <d v="2024-11-30T00:00:00"/>
    <x v="1"/>
    <x v="1"/>
    <n v="350.21"/>
    <n v="0"/>
    <x v="4"/>
    <x v="2"/>
    <s v="AutoPost 1540"/>
    <s v="GBP"/>
    <x v="10"/>
    <n v="-350.21"/>
    <m/>
    <n v="-350.21"/>
    <s v="N/A"/>
    <x v="1"/>
    <x v="0"/>
  </r>
  <r>
    <s v="GL001541"/>
    <d v="2024-05-17T00:00:00"/>
    <x v="1"/>
    <x v="1"/>
    <n v="889.68"/>
    <n v="0"/>
    <x v="3"/>
    <x v="1"/>
    <s v="AutoPost 1541"/>
    <s v="AUD"/>
    <x v="0"/>
    <n v="-889.68"/>
    <m/>
    <n v="-889.68"/>
    <s v="N/A"/>
    <x v="1"/>
    <x v="0"/>
  </r>
  <r>
    <s v="GL001542"/>
    <d v="2024-02-14T00:00:00"/>
    <x v="1"/>
    <x v="1"/>
    <n v="1155.53"/>
    <n v="0"/>
    <x v="1"/>
    <x v="2"/>
    <s v="AutoPost 1542"/>
    <s v="AUD"/>
    <x v="11"/>
    <n v="-1155.53"/>
    <m/>
    <n v="-1155.53"/>
    <s v="N/A"/>
    <x v="1"/>
    <x v="0"/>
  </r>
  <r>
    <s v="GL001543"/>
    <d v="2024-08-21T00:00:00"/>
    <x v="4"/>
    <x v="4"/>
    <n v="0"/>
    <n v="827.97"/>
    <x v="0"/>
    <x v="3"/>
    <s v="AutoPost 1543"/>
    <s v="USD"/>
    <x v="25"/>
    <n v="827.97"/>
    <m/>
    <n v="827.97"/>
    <s v="N/A"/>
    <x v="1"/>
    <x v="1"/>
  </r>
  <r>
    <s v="GL001544"/>
    <d v="2023-11-05T00:00:00"/>
    <x v="4"/>
    <x v="4"/>
    <n v="0"/>
    <n v="2525.69"/>
    <x v="3"/>
    <x v="4"/>
    <s v="AutoPost 1544"/>
    <s v="EUR"/>
    <x v="9"/>
    <n v="2525.69"/>
    <m/>
    <n v="2525.69"/>
    <s v="N/A"/>
    <x v="1"/>
    <x v="1"/>
  </r>
  <r>
    <s v="GL001545"/>
    <d v="2024-07-22T00:00:00"/>
    <x v="1"/>
    <x v="1"/>
    <n v="1395.73"/>
    <n v="0"/>
    <x v="4"/>
    <x v="0"/>
    <s v="AutoPost 1545"/>
    <s v="GBP"/>
    <x v="21"/>
    <n v="-1395.73"/>
    <m/>
    <n v="-1395.73"/>
    <s v="N/A"/>
    <x v="1"/>
    <x v="0"/>
  </r>
  <r>
    <s v="GL001546"/>
    <d v="2025-04-29T00:00:00"/>
    <x v="4"/>
    <x v="4"/>
    <n v="0"/>
    <n v="1888.44"/>
    <x v="4"/>
    <x v="0"/>
    <s v="AutoPost 1546"/>
    <s v="GBP"/>
    <x v="12"/>
    <n v="1888.44"/>
    <m/>
    <n v="1888.44"/>
    <s v="N/A"/>
    <x v="1"/>
    <x v="1"/>
  </r>
  <r>
    <s v="GL001547"/>
    <d v="2024-11-13T00:00:00"/>
    <x v="4"/>
    <x v="4"/>
    <n v="0"/>
    <n v="718.52"/>
    <x v="2"/>
    <x v="2"/>
    <s v="AutoPost 1547"/>
    <s v="CAD"/>
    <x v="10"/>
    <n v="718.52"/>
    <m/>
    <n v="718.52"/>
    <s v="N/A"/>
    <x v="1"/>
    <x v="1"/>
  </r>
  <r>
    <s v="GL001548"/>
    <d v="2024-10-01T00:00:00"/>
    <x v="2"/>
    <x v="2"/>
    <n v="378.77"/>
    <n v="0"/>
    <x v="4"/>
    <x v="0"/>
    <s v="AutoPost 1548"/>
    <s v="GBP"/>
    <x v="26"/>
    <n v="-378.77"/>
    <m/>
    <n v="-378.77"/>
    <s v="N/A"/>
    <x v="1"/>
    <x v="0"/>
  </r>
  <r>
    <s v="GL001549"/>
    <d v="2023-06-27T00:00:00"/>
    <x v="2"/>
    <x v="2"/>
    <n v="1317.88"/>
    <n v="0"/>
    <x v="5"/>
    <x v="1"/>
    <s v="AutoPost 1549"/>
    <s v="CAD"/>
    <x v="22"/>
    <n v="-1317.88"/>
    <m/>
    <n v="-1317.88"/>
    <s v="N/A"/>
    <x v="1"/>
    <x v="0"/>
  </r>
  <r>
    <s v="GL001550"/>
    <d v="2023-01-24T00:00:00"/>
    <x v="1"/>
    <x v="1"/>
    <n v="636.6"/>
    <n v="0"/>
    <x v="4"/>
    <x v="2"/>
    <s v="AutoPost 1550"/>
    <s v="EUR"/>
    <x v="14"/>
    <n v="-636.6"/>
    <m/>
    <n v="-636.6"/>
    <s v="N/A"/>
    <x v="1"/>
    <x v="0"/>
  </r>
  <r>
    <s v="GL001551"/>
    <d v="2024-06-10T00:00:00"/>
    <x v="0"/>
    <x v="0"/>
    <n v="0"/>
    <n v="4170.5"/>
    <x v="2"/>
    <x v="4"/>
    <s v="AutoPost 1551"/>
    <s v="EUR"/>
    <x v="1"/>
    <n v="4170.5"/>
    <m/>
    <n v="4170.5"/>
    <s v="N/A"/>
    <x v="1"/>
    <x v="1"/>
  </r>
  <r>
    <s v="GL001552"/>
    <d v="2023-11-21T00:00:00"/>
    <x v="0"/>
    <x v="0"/>
    <n v="0"/>
    <n v="1923.84"/>
    <x v="5"/>
    <x v="4"/>
    <s v="AutoPost 1552"/>
    <s v="CAD"/>
    <x v="9"/>
    <n v="1923.84"/>
    <m/>
    <n v="1923.84"/>
    <s v="N/A"/>
    <x v="1"/>
    <x v="1"/>
  </r>
  <r>
    <s v="GL001553"/>
    <d v="2024-08-22T00:00:00"/>
    <x v="2"/>
    <x v="2"/>
    <n v="736.29"/>
    <n v="0"/>
    <x v="0"/>
    <x v="2"/>
    <s v="AutoPost 1553"/>
    <s v="CAD"/>
    <x v="25"/>
    <n v="-736.29"/>
    <m/>
    <n v="-736.29"/>
    <s v="N/A"/>
    <x v="1"/>
    <x v="0"/>
  </r>
  <r>
    <s v="GL001554"/>
    <d v="2025-01-25T00:00:00"/>
    <x v="4"/>
    <x v="4"/>
    <n v="0"/>
    <n v="4712.88"/>
    <x v="5"/>
    <x v="3"/>
    <s v="AutoPost 1554"/>
    <s v="AUD"/>
    <x v="2"/>
    <n v="4712.88"/>
    <m/>
    <n v="4712.88"/>
    <s v="N/A"/>
    <x v="1"/>
    <x v="1"/>
  </r>
  <r>
    <s v="GL001555"/>
    <d v="2024-05-26T00:00:00"/>
    <x v="4"/>
    <x v="4"/>
    <n v="0"/>
    <n v="2946.82"/>
    <x v="4"/>
    <x v="2"/>
    <s v="AutoPost 1555"/>
    <s v="AUD"/>
    <x v="0"/>
    <n v="2946.82"/>
    <m/>
    <n v="2946.82"/>
    <s v="N/A"/>
    <x v="1"/>
    <x v="1"/>
  </r>
  <r>
    <s v="GL001556"/>
    <d v="2025-04-18T00:00:00"/>
    <x v="2"/>
    <x v="2"/>
    <n v="1985.74"/>
    <n v="0"/>
    <x v="0"/>
    <x v="1"/>
    <s v="AutoPost 1556"/>
    <s v="AUD"/>
    <x v="12"/>
    <n v="-1985.74"/>
    <m/>
    <n v="-1985.74"/>
    <s v="N/A"/>
    <x v="1"/>
    <x v="0"/>
  </r>
  <r>
    <s v="GL001557"/>
    <d v="2024-02-19T00:00:00"/>
    <x v="1"/>
    <x v="1"/>
    <n v="1835.61"/>
    <n v="0"/>
    <x v="0"/>
    <x v="3"/>
    <s v="AutoPost 1557"/>
    <s v="USD"/>
    <x v="11"/>
    <n v="-1835.61"/>
    <m/>
    <n v="-1835.61"/>
    <s v="N/A"/>
    <x v="1"/>
    <x v="0"/>
  </r>
  <r>
    <s v="GL001558"/>
    <d v="2023-06-23T00:00:00"/>
    <x v="1"/>
    <x v="1"/>
    <n v="509.51"/>
    <n v="0"/>
    <x v="4"/>
    <x v="4"/>
    <s v="AutoPost 1558"/>
    <s v="CAD"/>
    <x v="22"/>
    <n v="-509.51"/>
    <m/>
    <n v="-509.51"/>
    <s v="N/A"/>
    <x v="1"/>
    <x v="0"/>
  </r>
  <r>
    <s v="GL001559"/>
    <d v="2023-12-24T00:00:00"/>
    <x v="4"/>
    <x v="4"/>
    <n v="0"/>
    <n v="573.51"/>
    <x v="4"/>
    <x v="0"/>
    <s v="AutoPost 1559"/>
    <s v="USD"/>
    <x v="6"/>
    <n v="573.51"/>
    <m/>
    <n v="573.51"/>
    <s v="N/A"/>
    <x v="1"/>
    <x v="1"/>
  </r>
  <r>
    <s v="GL001560"/>
    <d v="2024-06-19T00:00:00"/>
    <x v="0"/>
    <x v="0"/>
    <n v="0"/>
    <n v="3740.72"/>
    <x v="3"/>
    <x v="1"/>
    <s v="AutoPost 1560"/>
    <s v="USD"/>
    <x v="1"/>
    <n v="3740.72"/>
    <m/>
    <n v="3740.72"/>
    <s v="N/A"/>
    <x v="1"/>
    <x v="1"/>
  </r>
  <r>
    <s v="GL001561"/>
    <d v="2023-05-03T00:00:00"/>
    <x v="1"/>
    <x v="1"/>
    <n v="1930.33"/>
    <n v="0"/>
    <x v="2"/>
    <x v="4"/>
    <s v="AutoPost 1561"/>
    <s v="CAD"/>
    <x v="29"/>
    <n v="-1930.33"/>
    <m/>
    <n v="-1930.33"/>
    <s v="N/A"/>
    <x v="1"/>
    <x v="0"/>
  </r>
  <r>
    <s v="GL001562"/>
    <d v="2023-12-16T00:00:00"/>
    <x v="3"/>
    <x v="3"/>
    <n v="1936.61"/>
    <n v="0"/>
    <x v="4"/>
    <x v="1"/>
    <s v="AutoPost 1562"/>
    <s v="EUR"/>
    <x v="6"/>
    <n v="-1936.61"/>
    <m/>
    <n v="-1936.61"/>
    <s v="N/A"/>
    <x v="1"/>
    <x v="0"/>
  </r>
  <r>
    <s v="GL001563"/>
    <d v="2024-10-27T00:00:00"/>
    <x v="0"/>
    <x v="0"/>
    <n v="0"/>
    <n v="3625.02"/>
    <x v="4"/>
    <x v="4"/>
    <s v="AutoPost 1563"/>
    <s v="CAD"/>
    <x v="26"/>
    <n v="3625.02"/>
    <m/>
    <n v="3625.02"/>
    <s v="N/A"/>
    <x v="1"/>
    <x v="1"/>
  </r>
  <r>
    <s v="GL001564"/>
    <d v="2024-02-10T00:00:00"/>
    <x v="0"/>
    <x v="0"/>
    <n v="0"/>
    <n v="3348.1"/>
    <x v="3"/>
    <x v="0"/>
    <s v="AutoPost 1564"/>
    <s v="EUR"/>
    <x v="11"/>
    <n v="3348.1"/>
    <m/>
    <n v="3348.1"/>
    <s v="N/A"/>
    <x v="1"/>
    <x v="1"/>
  </r>
  <r>
    <s v="GL001565"/>
    <d v="2023-01-13T00:00:00"/>
    <x v="3"/>
    <x v="3"/>
    <n v="760.59"/>
    <n v="0"/>
    <x v="1"/>
    <x v="2"/>
    <s v="AutoPost 1565"/>
    <s v="CAD"/>
    <x v="14"/>
    <n v="-760.59"/>
    <m/>
    <n v="-760.59"/>
    <s v="N/A"/>
    <x v="1"/>
    <x v="0"/>
  </r>
  <r>
    <s v="GL001566"/>
    <d v="2024-03-26T00:00:00"/>
    <x v="4"/>
    <x v="4"/>
    <n v="0"/>
    <n v="3208.4"/>
    <x v="3"/>
    <x v="0"/>
    <s v="AutoPost 1566"/>
    <s v="EUR"/>
    <x v="16"/>
    <n v="3208.4"/>
    <m/>
    <n v="3208.4"/>
    <s v="N/A"/>
    <x v="1"/>
    <x v="1"/>
  </r>
  <r>
    <s v="GL001567"/>
    <d v="2024-12-27T00:00:00"/>
    <x v="2"/>
    <x v="2"/>
    <n v="420.76"/>
    <n v="0"/>
    <x v="3"/>
    <x v="1"/>
    <s v="AutoPost 1567"/>
    <s v="GBP"/>
    <x v="23"/>
    <n v="-420.76"/>
    <m/>
    <n v="-420.76"/>
    <s v="N/A"/>
    <x v="1"/>
    <x v="0"/>
  </r>
  <r>
    <s v="GL001568"/>
    <d v="2023-04-05T00:00:00"/>
    <x v="3"/>
    <x v="3"/>
    <n v="1497.64"/>
    <n v="0"/>
    <x v="1"/>
    <x v="2"/>
    <s v="AutoPost 1568"/>
    <s v="USD"/>
    <x v="8"/>
    <n v="-1497.64"/>
    <m/>
    <n v="-1497.64"/>
    <s v="N/A"/>
    <x v="1"/>
    <x v="0"/>
  </r>
  <r>
    <s v="GL001569"/>
    <d v="2024-11-27T00:00:00"/>
    <x v="4"/>
    <x v="4"/>
    <n v="0"/>
    <n v="3033.61"/>
    <x v="1"/>
    <x v="4"/>
    <s v="AutoPost 1569"/>
    <s v="GBP"/>
    <x v="10"/>
    <n v="3033.61"/>
    <m/>
    <n v="3033.61"/>
    <s v="N/A"/>
    <x v="1"/>
    <x v="1"/>
  </r>
  <r>
    <s v="GL001570"/>
    <d v="2023-05-11T00:00:00"/>
    <x v="0"/>
    <x v="0"/>
    <n v="0"/>
    <n v="1502.06"/>
    <x v="2"/>
    <x v="1"/>
    <s v="AutoPost 1570"/>
    <s v="AUD"/>
    <x v="29"/>
    <n v="1502.06"/>
    <m/>
    <n v="1502.06"/>
    <s v="N/A"/>
    <x v="1"/>
    <x v="1"/>
  </r>
  <r>
    <s v="GL001571"/>
    <d v="2024-07-13T00:00:00"/>
    <x v="1"/>
    <x v="1"/>
    <n v="532.65"/>
    <n v="0"/>
    <x v="2"/>
    <x v="2"/>
    <s v="AutoPost 1571"/>
    <s v="GBP"/>
    <x v="21"/>
    <n v="-532.65"/>
    <m/>
    <n v="-532.65"/>
    <s v="N/A"/>
    <x v="1"/>
    <x v="0"/>
  </r>
  <r>
    <s v="GL001572"/>
    <d v="2025-02-17T00:00:00"/>
    <x v="4"/>
    <x v="4"/>
    <n v="0"/>
    <n v="4109.07"/>
    <x v="0"/>
    <x v="4"/>
    <s v="AutoPost 1572"/>
    <s v="AUD"/>
    <x v="28"/>
    <n v="4109.07"/>
    <m/>
    <n v="4109.07"/>
    <s v="N/A"/>
    <x v="1"/>
    <x v="1"/>
  </r>
  <r>
    <s v="GL001573"/>
    <d v="2023-04-02T00:00:00"/>
    <x v="0"/>
    <x v="0"/>
    <n v="0"/>
    <n v="3235.61"/>
    <x v="2"/>
    <x v="0"/>
    <s v="AutoPost 1573"/>
    <s v="AUD"/>
    <x v="8"/>
    <n v="3235.61"/>
    <m/>
    <n v="3235.61"/>
    <s v="N/A"/>
    <x v="1"/>
    <x v="1"/>
  </r>
  <r>
    <s v="GL001574"/>
    <d v="2025-04-23T00:00:00"/>
    <x v="1"/>
    <x v="1"/>
    <n v="1836.46"/>
    <n v="0"/>
    <x v="3"/>
    <x v="0"/>
    <s v="AutoPost 1574"/>
    <s v="USD"/>
    <x v="12"/>
    <n v="-1836.46"/>
    <m/>
    <n v="-1836.46"/>
    <s v="N/A"/>
    <x v="1"/>
    <x v="0"/>
  </r>
  <r>
    <s v="GL001575"/>
    <d v="2023-04-22T00:00:00"/>
    <x v="2"/>
    <x v="2"/>
    <n v="1120.92"/>
    <n v="0"/>
    <x v="4"/>
    <x v="1"/>
    <s v="AutoPost 1575"/>
    <s v="CAD"/>
    <x v="8"/>
    <n v="-1120.92"/>
    <m/>
    <n v="-1120.92"/>
    <s v="N/A"/>
    <x v="1"/>
    <x v="0"/>
  </r>
  <r>
    <s v="GL001576"/>
    <d v="2025-03-22T00:00:00"/>
    <x v="4"/>
    <x v="4"/>
    <n v="0"/>
    <n v="4622.21"/>
    <x v="2"/>
    <x v="2"/>
    <s v="AutoPost 1576"/>
    <s v="USD"/>
    <x v="13"/>
    <n v="4622.21"/>
    <m/>
    <n v="4622.21"/>
    <s v="N/A"/>
    <x v="1"/>
    <x v="1"/>
  </r>
  <r>
    <s v="GL001577"/>
    <d v="2023-12-07T00:00:00"/>
    <x v="3"/>
    <x v="3"/>
    <n v="1067.19"/>
    <n v="0"/>
    <x v="1"/>
    <x v="2"/>
    <s v="AutoPost 1577"/>
    <s v="USD"/>
    <x v="6"/>
    <n v="-1067.19"/>
    <m/>
    <n v="-1067.19"/>
    <s v="N/A"/>
    <x v="1"/>
    <x v="0"/>
  </r>
  <r>
    <s v="GL001578"/>
    <d v="2024-03-17T00:00:00"/>
    <x v="3"/>
    <x v="3"/>
    <n v="1712.89"/>
    <n v="0"/>
    <x v="5"/>
    <x v="4"/>
    <s v="AutoPost 1578"/>
    <s v="CAD"/>
    <x v="16"/>
    <n v="-1712.89"/>
    <m/>
    <n v="-1712.89"/>
    <s v="N/A"/>
    <x v="1"/>
    <x v="0"/>
  </r>
  <r>
    <s v="GL001579"/>
    <d v="2024-03-05T00:00:00"/>
    <x v="3"/>
    <x v="3"/>
    <n v="857.16"/>
    <n v="0"/>
    <x v="1"/>
    <x v="4"/>
    <s v="AutoPost 1579"/>
    <s v="AUD"/>
    <x v="16"/>
    <n v="-857.16"/>
    <m/>
    <n v="-857.16"/>
    <s v="N/A"/>
    <x v="1"/>
    <x v="0"/>
  </r>
  <r>
    <s v="GL001580"/>
    <d v="2025-06-09T00:00:00"/>
    <x v="4"/>
    <x v="4"/>
    <n v="0"/>
    <n v="1913.45"/>
    <x v="5"/>
    <x v="1"/>
    <s v="AutoPost 1580"/>
    <s v="GBP"/>
    <x v="19"/>
    <n v="1913.45"/>
    <m/>
    <n v="1913.45"/>
    <s v="N/A"/>
    <x v="1"/>
    <x v="1"/>
  </r>
  <r>
    <s v="GL001581"/>
    <d v="2023-08-18T00:00:00"/>
    <x v="1"/>
    <x v="1"/>
    <n v="1307.6099999999999"/>
    <n v="0"/>
    <x v="1"/>
    <x v="3"/>
    <s v="AutoPost 1581"/>
    <s v="GBP"/>
    <x v="4"/>
    <n v="-1307.6099999999999"/>
    <m/>
    <n v="-1307.6099999999999"/>
    <s v="N/A"/>
    <x v="1"/>
    <x v="0"/>
  </r>
  <r>
    <s v="GL001582"/>
    <d v="2024-05-26T00:00:00"/>
    <x v="0"/>
    <x v="0"/>
    <n v="0"/>
    <n v="1128.51"/>
    <x v="5"/>
    <x v="4"/>
    <s v="AutoPost 1582"/>
    <s v="AUD"/>
    <x v="0"/>
    <n v="1128.51"/>
    <m/>
    <n v="1128.51"/>
    <s v="N/A"/>
    <x v="1"/>
    <x v="1"/>
  </r>
  <r>
    <s v="GL001583"/>
    <d v="2023-11-22T00:00:00"/>
    <x v="0"/>
    <x v="0"/>
    <n v="0"/>
    <n v="1933.41"/>
    <x v="5"/>
    <x v="1"/>
    <s v="AutoPost 1583"/>
    <s v="CAD"/>
    <x v="9"/>
    <n v="1933.41"/>
    <m/>
    <n v="1933.41"/>
    <s v="N/A"/>
    <x v="1"/>
    <x v="1"/>
  </r>
  <r>
    <s v="GL001584"/>
    <d v="2025-04-08T00:00:00"/>
    <x v="3"/>
    <x v="3"/>
    <n v="203.77"/>
    <n v="0"/>
    <x v="5"/>
    <x v="2"/>
    <s v="AutoPost 1584"/>
    <s v="CAD"/>
    <x v="12"/>
    <n v="-203.77"/>
    <m/>
    <n v="-203.77"/>
    <s v="N/A"/>
    <x v="1"/>
    <x v="0"/>
  </r>
  <r>
    <s v="GL001585"/>
    <d v="2024-06-22T00:00:00"/>
    <x v="4"/>
    <x v="4"/>
    <n v="0"/>
    <n v="3874.96"/>
    <x v="4"/>
    <x v="1"/>
    <s v="AutoPost 1585"/>
    <s v="USD"/>
    <x v="1"/>
    <n v="3874.96"/>
    <m/>
    <n v="3874.96"/>
    <s v="N/A"/>
    <x v="1"/>
    <x v="1"/>
  </r>
  <r>
    <s v="GL001586"/>
    <d v="2023-05-25T00:00:00"/>
    <x v="3"/>
    <x v="3"/>
    <n v="369.39"/>
    <n v="0"/>
    <x v="2"/>
    <x v="4"/>
    <s v="AutoPost 1586"/>
    <s v="USD"/>
    <x v="29"/>
    <n v="-369.39"/>
    <m/>
    <n v="-369.39"/>
    <s v="N/A"/>
    <x v="1"/>
    <x v="0"/>
  </r>
  <r>
    <s v="GL001587"/>
    <d v="2024-11-06T00:00:00"/>
    <x v="0"/>
    <x v="0"/>
    <n v="0"/>
    <n v="4685.3599999999997"/>
    <x v="5"/>
    <x v="3"/>
    <s v="AutoPost 1587"/>
    <s v="CAD"/>
    <x v="10"/>
    <n v="4685.3599999999997"/>
    <m/>
    <n v="4685.3599999999997"/>
    <s v="N/A"/>
    <x v="1"/>
    <x v="1"/>
  </r>
  <r>
    <s v="GL001588"/>
    <d v="2024-03-09T00:00:00"/>
    <x v="2"/>
    <x v="2"/>
    <n v="1614.34"/>
    <n v="0"/>
    <x v="0"/>
    <x v="2"/>
    <s v="AutoPost 1588"/>
    <s v="USD"/>
    <x v="16"/>
    <n v="-1614.34"/>
    <m/>
    <n v="-1614.34"/>
    <s v="N/A"/>
    <x v="1"/>
    <x v="0"/>
  </r>
  <r>
    <s v="GL001589"/>
    <d v="2025-03-27T00:00:00"/>
    <x v="2"/>
    <x v="2"/>
    <n v="1072.1199999999999"/>
    <n v="0"/>
    <x v="3"/>
    <x v="4"/>
    <s v="AutoPost 1589"/>
    <s v="USD"/>
    <x v="13"/>
    <n v="-1072.1199999999999"/>
    <m/>
    <n v="-1072.1199999999999"/>
    <s v="N/A"/>
    <x v="1"/>
    <x v="0"/>
  </r>
  <r>
    <s v="GL001590"/>
    <d v="2023-05-03T00:00:00"/>
    <x v="1"/>
    <x v="1"/>
    <n v="889.83"/>
    <n v="0"/>
    <x v="1"/>
    <x v="1"/>
    <s v="AutoPost 1590"/>
    <s v="EUR"/>
    <x v="29"/>
    <n v="-889.83"/>
    <m/>
    <n v="-889.83"/>
    <s v="N/A"/>
    <x v="1"/>
    <x v="0"/>
  </r>
  <r>
    <s v="GL001591"/>
    <d v="2023-05-27T00:00:00"/>
    <x v="0"/>
    <x v="0"/>
    <n v="0"/>
    <n v="174.81"/>
    <x v="0"/>
    <x v="4"/>
    <s v="AutoPost 1591"/>
    <s v="CAD"/>
    <x v="29"/>
    <n v="174.81"/>
    <m/>
    <n v="174.81"/>
    <s v="N/A"/>
    <x v="1"/>
    <x v="1"/>
  </r>
  <r>
    <s v="GL001592"/>
    <d v="2023-11-27T00:00:00"/>
    <x v="4"/>
    <x v="4"/>
    <n v="0"/>
    <n v="3155.54"/>
    <x v="4"/>
    <x v="1"/>
    <s v="AutoPost 1592"/>
    <s v="AUD"/>
    <x v="9"/>
    <n v="3155.54"/>
    <m/>
    <n v="3155.54"/>
    <s v="N/A"/>
    <x v="1"/>
    <x v="1"/>
  </r>
  <r>
    <s v="GL001593"/>
    <d v="2023-09-03T00:00:00"/>
    <x v="4"/>
    <x v="4"/>
    <n v="0"/>
    <n v="1925.54"/>
    <x v="1"/>
    <x v="1"/>
    <s v="AutoPost 1593"/>
    <s v="AUD"/>
    <x v="3"/>
    <n v="1925.54"/>
    <m/>
    <n v="1925.54"/>
    <s v="N/A"/>
    <x v="1"/>
    <x v="1"/>
  </r>
  <r>
    <s v="GL001594"/>
    <d v="2024-10-30T00:00:00"/>
    <x v="2"/>
    <x v="2"/>
    <n v="1203.3399999999999"/>
    <n v="0"/>
    <x v="3"/>
    <x v="2"/>
    <s v="AutoPost 1594"/>
    <s v="USD"/>
    <x v="26"/>
    <n v="-1203.3399999999999"/>
    <m/>
    <n v="-1203.3399999999999"/>
    <s v="N/A"/>
    <x v="1"/>
    <x v="0"/>
  </r>
  <r>
    <s v="GL001595"/>
    <d v="2024-11-18T00:00:00"/>
    <x v="2"/>
    <x v="2"/>
    <n v="1776.59"/>
    <n v="0"/>
    <x v="3"/>
    <x v="2"/>
    <s v="AutoPost 1595"/>
    <s v="EUR"/>
    <x v="10"/>
    <n v="-1776.59"/>
    <m/>
    <n v="-1776.59"/>
    <s v="N/A"/>
    <x v="1"/>
    <x v="0"/>
  </r>
  <r>
    <s v="GL001596"/>
    <d v="2023-03-24T00:00:00"/>
    <x v="1"/>
    <x v="1"/>
    <n v="1588.81"/>
    <n v="0"/>
    <x v="2"/>
    <x v="0"/>
    <s v="AutoPost 1596"/>
    <s v="USD"/>
    <x v="18"/>
    <n v="-1588.81"/>
    <m/>
    <n v="-1588.81"/>
    <s v="N/A"/>
    <x v="1"/>
    <x v="0"/>
  </r>
  <r>
    <s v="GL001597"/>
    <d v="2025-05-04T00:00:00"/>
    <x v="1"/>
    <x v="1"/>
    <n v="1229.26"/>
    <n v="0"/>
    <x v="3"/>
    <x v="1"/>
    <s v="AutoPost 1597"/>
    <s v="EUR"/>
    <x v="5"/>
    <n v="-1229.26"/>
    <m/>
    <n v="-1229.26"/>
    <s v="N/A"/>
    <x v="1"/>
    <x v="0"/>
  </r>
  <r>
    <s v="GL001598"/>
    <d v="2025-06-24T00:00:00"/>
    <x v="0"/>
    <x v="0"/>
    <n v="0"/>
    <n v="3867.59"/>
    <x v="2"/>
    <x v="3"/>
    <s v="AutoPost 1598"/>
    <s v="EUR"/>
    <x v="19"/>
    <n v="3867.59"/>
    <m/>
    <n v="3867.59"/>
    <s v="N/A"/>
    <x v="1"/>
    <x v="1"/>
  </r>
  <r>
    <s v="GL001599"/>
    <d v="2024-04-26T00:00:00"/>
    <x v="2"/>
    <x v="2"/>
    <n v="615.80999999999995"/>
    <n v="0"/>
    <x v="1"/>
    <x v="4"/>
    <s v="AutoPost 1599"/>
    <s v="EUR"/>
    <x v="7"/>
    <n v="-615.80999999999995"/>
    <m/>
    <n v="-615.80999999999995"/>
    <s v="N/A"/>
    <x v="1"/>
    <x v="0"/>
  </r>
  <r>
    <s v="GL001600"/>
    <d v="2023-10-25T00:00:00"/>
    <x v="3"/>
    <x v="3"/>
    <n v="1182.17"/>
    <n v="0"/>
    <x v="4"/>
    <x v="2"/>
    <s v="AutoPost 1600"/>
    <s v="USD"/>
    <x v="27"/>
    <n v="-1182.17"/>
    <m/>
    <n v="-1182.17"/>
    <s v="N/A"/>
    <x v="1"/>
    <x v="0"/>
  </r>
  <r>
    <s v="GL001601"/>
    <d v="2023-06-04T00:00:00"/>
    <x v="0"/>
    <x v="0"/>
    <n v="0"/>
    <n v="4084.9"/>
    <x v="4"/>
    <x v="2"/>
    <s v="AutoPost 1601"/>
    <s v="AUD"/>
    <x v="22"/>
    <n v="4084.9"/>
    <m/>
    <n v="4084.9"/>
    <s v="N/A"/>
    <x v="1"/>
    <x v="1"/>
  </r>
  <r>
    <s v="GL001602"/>
    <d v="2023-12-16T00:00:00"/>
    <x v="0"/>
    <x v="0"/>
    <n v="0"/>
    <n v="2694.28"/>
    <x v="2"/>
    <x v="1"/>
    <s v="AutoPost 1602"/>
    <s v="CAD"/>
    <x v="6"/>
    <n v="2694.28"/>
    <m/>
    <n v="2694.28"/>
    <s v="N/A"/>
    <x v="1"/>
    <x v="1"/>
  </r>
  <r>
    <s v="GL001603"/>
    <d v="2025-05-05T00:00:00"/>
    <x v="0"/>
    <x v="0"/>
    <n v="0"/>
    <n v="3550.01"/>
    <x v="4"/>
    <x v="3"/>
    <s v="AutoPost 1603"/>
    <s v="GBP"/>
    <x v="5"/>
    <n v="3550.01"/>
    <m/>
    <n v="3550.01"/>
    <s v="N/A"/>
    <x v="1"/>
    <x v="1"/>
  </r>
  <r>
    <s v="GL001604"/>
    <d v="2024-07-22T00:00:00"/>
    <x v="0"/>
    <x v="0"/>
    <n v="0"/>
    <n v="2395.19"/>
    <x v="5"/>
    <x v="4"/>
    <s v="AutoPost 1604"/>
    <s v="CAD"/>
    <x v="21"/>
    <n v="2395.19"/>
    <m/>
    <n v="2395.19"/>
    <s v="N/A"/>
    <x v="1"/>
    <x v="1"/>
  </r>
  <r>
    <s v="GL001605"/>
    <d v="2024-05-26T00:00:00"/>
    <x v="1"/>
    <x v="1"/>
    <n v="1009.87"/>
    <n v="0"/>
    <x v="4"/>
    <x v="1"/>
    <s v="AutoPost 1605"/>
    <s v="USD"/>
    <x v="0"/>
    <n v="-1009.87"/>
    <m/>
    <n v="-1009.87"/>
    <s v="N/A"/>
    <x v="1"/>
    <x v="0"/>
  </r>
  <r>
    <s v="GL001606"/>
    <d v="2024-06-21T00:00:00"/>
    <x v="3"/>
    <x v="3"/>
    <n v="1792.26"/>
    <n v="0"/>
    <x v="0"/>
    <x v="0"/>
    <s v="AutoPost 1606"/>
    <s v="GBP"/>
    <x v="1"/>
    <n v="-1792.26"/>
    <m/>
    <n v="-1792.26"/>
    <s v="N/A"/>
    <x v="1"/>
    <x v="0"/>
  </r>
  <r>
    <s v="GL001607"/>
    <d v="2024-01-15T00:00:00"/>
    <x v="1"/>
    <x v="1"/>
    <n v="1834.84"/>
    <n v="0"/>
    <x v="2"/>
    <x v="0"/>
    <s v="AutoPost 1607"/>
    <s v="AUD"/>
    <x v="20"/>
    <n v="-1834.84"/>
    <m/>
    <n v="-1834.84"/>
    <s v="N/A"/>
    <x v="1"/>
    <x v="0"/>
  </r>
  <r>
    <s v="GL001608"/>
    <d v="2025-05-31T00:00:00"/>
    <x v="4"/>
    <x v="4"/>
    <n v="0"/>
    <n v="4316.42"/>
    <x v="1"/>
    <x v="4"/>
    <s v="AutoPost 1608"/>
    <s v="AUD"/>
    <x v="5"/>
    <n v="4316.42"/>
    <m/>
    <n v="4316.42"/>
    <s v="N/A"/>
    <x v="1"/>
    <x v="1"/>
  </r>
  <r>
    <s v="GL001609"/>
    <d v="2025-02-13T00:00:00"/>
    <x v="3"/>
    <x v="3"/>
    <n v="427.92"/>
    <n v="0"/>
    <x v="4"/>
    <x v="2"/>
    <s v="AutoPost 1609"/>
    <s v="USD"/>
    <x v="28"/>
    <n v="-427.92"/>
    <m/>
    <n v="-427.92"/>
    <s v="N/A"/>
    <x v="1"/>
    <x v="0"/>
  </r>
  <r>
    <s v="GL001610"/>
    <d v="2024-09-20T00:00:00"/>
    <x v="4"/>
    <x v="4"/>
    <n v="0"/>
    <n v="881.32"/>
    <x v="5"/>
    <x v="4"/>
    <s v="AutoPost 1610"/>
    <s v="AUD"/>
    <x v="15"/>
    <n v="881.32"/>
    <m/>
    <n v="881.32"/>
    <s v="N/A"/>
    <x v="1"/>
    <x v="1"/>
  </r>
  <r>
    <s v="GL001611"/>
    <d v="2023-04-12T00:00:00"/>
    <x v="2"/>
    <x v="2"/>
    <n v="896.81"/>
    <n v="0"/>
    <x v="5"/>
    <x v="2"/>
    <s v="AutoPost 1611"/>
    <s v="AUD"/>
    <x v="8"/>
    <n v="-896.81"/>
    <m/>
    <n v="-896.81"/>
    <s v="N/A"/>
    <x v="1"/>
    <x v="0"/>
  </r>
  <r>
    <s v="GL001612"/>
    <d v="2024-11-16T00:00:00"/>
    <x v="2"/>
    <x v="2"/>
    <n v="1292.1400000000001"/>
    <n v="0"/>
    <x v="1"/>
    <x v="0"/>
    <s v="AutoPost 1612"/>
    <s v="USD"/>
    <x v="10"/>
    <n v="-1292.1400000000001"/>
    <m/>
    <n v="-1292.1400000000001"/>
    <s v="N/A"/>
    <x v="1"/>
    <x v="0"/>
  </r>
  <r>
    <s v="GL001613"/>
    <d v="2024-04-28T00:00:00"/>
    <x v="1"/>
    <x v="1"/>
    <n v="1720"/>
    <n v="0"/>
    <x v="2"/>
    <x v="4"/>
    <s v="AutoPost 1613"/>
    <s v="CAD"/>
    <x v="7"/>
    <n v="-1720"/>
    <m/>
    <n v="-1720"/>
    <s v="N/A"/>
    <x v="1"/>
    <x v="0"/>
  </r>
  <r>
    <s v="GL001614"/>
    <d v="2024-01-21T00:00:00"/>
    <x v="2"/>
    <x v="2"/>
    <n v="210.81"/>
    <n v="0"/>
    <x v="4"/>
    <x v="3"/>
    <s v="AutoPost 1614"/>
    <s v="EUR"/>
    <x v="20"/>
    <n v="-210.81"/>
    <m/>
    <n v="-210.81"/>
    <s v="N/A"/>
    <x v="1"/>
    <x v="0"/>
  </r>
  <r>
    <s v="GL001615"/>
    <d v="2023-05-31T00:00:00"/>
    <x v="0"/>
    <x v="0"/>
    <n v="0"/>
    <n v="3145.99"/>
    <x v="2"/>
    <x v="2"/>
    <s v="AutoPost 1615"/>
    <s v="GBP"/>
    <x v="29"/>
    <n v="3145.99"/>
    <m/>
    <n v="3145.99"/>
    <s v="N/A"/>
    <x v="1"/>
    <x v="1"/>
  </r>
  <r>
    <s v="GL001616"/>
    <d v="2024-11-05T00:00:00"/>
    <x v="0"/>
    <x v="0"/>
    <n v="0"/>
    <n v="4897.22"/>
    <x v="3"/>
    <x v="4"/>
    <s v="AutoPost 1616"/>
    <s v="EUR"/>
    <x v="10"/>
    <n v="4897.22"/>
    <m/>
    <n v="4897.22"/>
    <s v="N/A"/>
    <x v="1"/>
    <x v="1"/>
  </r>
  <r>
    <s v="GL001617"/>
    <d v="2023-03-26T00:00:00"/>
    <x v="3"/>
    <x v="3"/>
    <n v="1035.58"/>
    <n v="0"/>
    <x v="5"/>
    <x v="2"/>
    <s v="AutoPost 1617"/>
    <s v="AUD"/>
    <x v="18"/>
    <n v="-1035.58"/>
    <m/>
    <n v="-1035.58"/>
    <s v="N/A"/>
    <x v="1"/>
    <x v="0"/>
  </r>
  <r>
    <s v="GL001618"/>
    <d v="2024-11-18T00:00:00"/>
    <x v="3"/>
    <x v="3"/>
    <n v="883.62"/>
    <n v="0"/>
    <x v="2"/>
    <x v="3"/>
    <s v="AutoPost 1618"/>
    <s v="AUD"/>
    <x v="10"/>
    <n v="-883.62"/>
    <m/>
    <n v="-883.62"/>
    <s v="N/A"/>
    <x v="1"/>
    <x v="0"/>
  </r>
  <r>
    <s v="GL001619"/>
    <d v="2024-10-01T00:00:00"/>
    <x v="4"/>
    <x v="4"/>
    <n v="0"/>
    <n v="1908.36"/>
    <x v="5"/>
    <x v="0"/>
    <s v="AutoPost 1619"/>
    <s v="GBP"/>
    <x v="26"/>
    <n v="1908.36"/>
    <m/>
    <n v="1908.36"/>
    <s v="N/A"/>
    <x v="1"/>
    <x v="1"/>
  </r>
  <r>
    <s v="GL001620"/>
    <d v="2023-05-22T00:00:00"/>
    <x v="4"/>
    <x v="4"/>
    <n v="0"/>
    <n v="145.24"/>
    <x v="5"/>
    <x v="2"/>
    <s v="AutoPost 1620"/>
    <s v="GBP"/>
    <x v="29"/>
    <n v="145.24"/>
    <m/>
    <n v="145.24"/>
    <s v="N/A"/>
    <x v="1"/>
    <x v="1"/>
  </r>
  <r>
    <s v="GL001621"/>
    <d v="2024-09-15T00:00:00"/>
    <x v="4"/>
    <x v="4"/>
    <n v="0"/>
    <n v="527.38"/>
    <x v="0"/>
    <x v="2"/>
    <s v="AutoPost 1621"/>
    <s v="CAD"/>
    <x v="15"/>
    <n v="527.38"/>
    <m/>
    <n v="527.38"/>
    <s v="N/A"/>
    <x v="1"/>
    <x v="1"/>
  </r>
  <r>
    <s v="GL001622"/>
    <d v="2023-08-13T00:00:00"/>
    <x v="0"/>
    <x v="0"/>
    <n v="0"/>
    <n v="3715.39"/>
    <x v="4"/>
    <x v="0"/>
    <s v="AutoPost 1622"/>
    <s v="EUR"/>
    <x v="4"/>
    <n v="3715.39"/>
    <m/>
    <n v="3715.39"/>
    <s v="N/A"/>
    <x v="1"/>
    <x v="1"/>
  </r>
  <r>
    <s v="GL001623"/>
    <d v="2023-02-02T00:00:00"/>
    <x v="1"/>
    <x v="1"/>
    <n v="870.5"/>
    <n v="0"/>
    <x v="4"/>
    <x v="3"/>
    <s v="AutoPost 1623"/>
    <s v="AUD"/>
    <x v="24"/>
    <n v="-870.5"/>
    <m/>
    <n v="-870.5"/>
    <s v="N/A"/>
    <x v="1"/>
    <x v="0"/>
  </r>
  <r>
    <s v="GL001624"/>
    <d v="2024-04-04T00:00:00"/>
    <x v="3"/>
    <x v="3"/>
    <n v="1992.58"/>
    <n v="0"/>
    <x v="2"/>
    <x v="0"/>
    <s v="AutoPost 1624"/>
    <s v="GBP"/>
    <x v="7"/>
    <n v="-1992.58"/>
    <m/>
    <n v="-1992.58"/>
    <s v="N/A"/>
    <x v="1"/>
    <x v="0"/>
  </r>
  <r>
    <s v="GL001625"/>
    <d v="2023-03-16T00:00:00"/>
    <x v="3"/>
    <x v="3"/>
    <n v="1466.95"/>
    <n v="0"/>
    <x v="5"/>
    <x v="1"/>
    <s v="AutoPost 1625"/>
    <s v="USD"/>
    <x v="18"/>
    <n v="-1466.95"/>
    <m/>
    <n v="-1466.95"/>
    <s v="N/A"/>
    <x v="1"/>
    <x v="0"/>
  </r>
  <r>
    <s v="GL001626"/>
    <d v="2023-03-28T00:00:00"/>
    <x v="1"/>
    <x v="1"/>
    <n v="480.18"/>
    <n v="0"/>
    <x v="1"/>
    <x v="2"/>
    <s v="AutoPost 1626"/>
    <s v="EUR"/>
    <x v="18"/>
    <n v="-480.18"/>
    <m/>
    <n v="-480.18"/>
    <s v="N/A"/>
    <x v="1"/>
    <x v="0"/>
  </r>
  <r>
    <s v="GL001627"/>
    <d v="2023-03-25T00:00:00"/>
    <x v="4"/>
    <x v="4"/>
    <n v="0"/>
    <n v="4296.88"/>
    <x v="4"/>
    <x v="0"/>
    <s v="AutoPost 1627"/>
    <s v="AUD"/>
    <x v="18"/>
    <n v="4296.88"/>
    <m/>
    <n v="4296.88"/>
    <s v="N/A"/>
    <x v="1"/>
    <x v="1"/>
  </r>
  <r>
    <s v="GL001628"/>
    <d v="2024-10-23T00:00:00"/>
    <x v="1"/>
    <x v="1"/>
    <n v="123.85"/>
    <n v="0"/>
    <x v="3"/>
    <x v="0"/>
    <s v="AutoPost 1628"/>
    <s v="AUD"/>
    <x v="26"/>
    <n v="-123.85"/>
    <m/>
    <n v="-123.85"/>
    <s v="N/A"/>
    <x v="1"/>
    <x v="0"/>
  </r>
  <r>
    <s v="GL001629"/>
    <d v="2023-05-02T00:00:00"/>
    <x v="2"/>
    <x v="2"/>
    <n v="1528.6"/>
    <n v="0"/>
    <x v="0"/>
    <x v="4"/>
    <s v="AutoPost 1629"/>
    <s v="USD"/>
    <x v="29"/>
    <n v="-1528.6"/>
    <m/>
    <n v="-1528.6"/>
    <s v="N/A"/>
    <x v="1"/>
    <x v="0"/>
  </r>
  <r>
    <s v="GL001630"/>
    <d v="2024-03-13T00:00:00"/>
    <x v="3"/>
    <x v="3"/>
    <n v="1408.83"/>
    <n v="0"/>
    <x v="0"/>
    <x v="4"/>
    <s v="AutoPost 1630"/>
    <s v="USD"/>
    <x v="16"/>
    <n v="-1408.83"/>
    <m/>
    <n v="-1408.83"/>
    <s v="N/A"/>
    <x v="1"/>
    <x v="0"/>
  </r>
  <r>
    <s v="GL001631"/>
    <d v="2024-01-17T00:00:00"/>
    <x v="2"/>
    <x v="2"/>
    <n v="472.82"/>
    <n v="0"/>
    <x v="2"/>
    <x v="2"/>
    <s v="AutoPost 1631"/>
    <s v="GBP"/>
    <x v="20"/>
    <n v="-472.82"/>
    <m/>
    <n v="-472.82"/>
    <s v="N/A"/>
    <x v="1"/>
    <x v="0"/>
  </r>
  <r>
    <s v="GL001632"/>
    <d v="2023-12-24T00:00:00"/>
    <x v="2"/>
    <x v="2"/>
    <n v="826.92"/>
    <n v="0"/>
    <x v="0"/>
    <x v="2"/>
    <s v="AutoPost 1632"/>
    <s v="GBP"/>
    <x v="6"/>
    <n v="-826.92"/>
    <m/>
    <n v="-826.92"/>
    <s v="N/A"/>
    <x v="1"/>
    <x v="0"/>
  </r>
  <r>
    <s v="GL001633"/>
    <d v="2023-01-26T00:00:00"/>
    <x v="2"/>
    <x v="2"/>
    <n v="882.2"/>
    <n v="0"/>
    <x v="3"/>
    <x v="4"/>
    <s v="AutoPost 1633"/>
    <s v="AUD"/>
    <x v="14"/>
    <n v="-882.2"/>
    <m/>
    <n v="-882.2"/>
    <s v="N/A"/>
    <x v="1"/>
    <x v="0"/>
  </r>
  <r>
    <s v="GL001634"/>
    <d v="2024-10-17T00:00:00"/>
    <x v="2"/>
    <x v="2"/>
    <n v="1244.05"/>
    <n v="0"/>
    <x v="4"/>
    <x v="0"/>
    <s v="AutoPost 1634"/>
    <s v="GBP"/>
    <x v="26"/>
    <n v="-1244.05"/>
    <m/>
    <n v="-1244.05"/>
    <s v="N/A"/>
    <x v="1"/>
    <x v="0"/>
  </r>
  <r>
    <s v="GL001635"/>
    <d v="2023-05-22T00:00:00"/>
    <x v="0"/>
    <x v="0"/>
    <n v="0"/>
    <n v="2017.86"/>
    <x v="1"/>
    <x v="0"/>
    <s v="AutoPost 1635"/>
    <s v="CAD"/>
    <x v="29"/>
    <n v="2017.86"/>
    <m/>
    <n v="2017.86"/>
    <s v="N/A"/>
    <x v="1"/>
    <x v="1"/>
  </r>
  <r>
    <s v="GL001636"/>
    <d v="2023-12-09T00:00:00"/>
    <x v="3"/>
    <x v="3"/>
    <n v="1845.02"/>
    <n v="0"/>
    <x v="4"/>
    <x v="3"/>
    <s v="AutoPost 1636"/>
    <s v="CAD"/>
    <x v="6"/>
    <n v="-1845.02"/>
    <m/>
    <n v="-1845.02"/>
    <s v="N/A"/>
    <x v="1"/>
    <x v="0"/>
  </r>
  <r>
    <s v="GL001637"/>
    <d v="2024-03-26T00:00:00"/>
    <x v="0"/>
    <x v="0"/>
    <n v="0"/>
    <n v="1184.05"/>
    <x v="5"/>
    <x v="2"/>
    <s v="AutoPost 1637"/>
    <s v="AUD"/>
    <x v="16"/>
    <n v="1184.05"/>
    <m/>
    <n v="1184.05"/>
    <s v="N/A"/>
    <x v="1"/>
    <x v="1"/>
  </r>
  <r>
    <s v="GL001638"/>
    <d v="2023-12-22T00:00:00"/>
    <x v="1"/>
    <x v="1"/>
    <n v="1165.1400000000001"/>
    <n v="0"/>
    <x v="1"/>
    <x v="4"/>
    <s v="AutoPost 1638"/>
    <s v="AUD"/>
    <x v="6"/>
    <n v="-1165.1400000000001"/>
    <m/>
    <n v="-1165.1400000000001"/>
    <s v="N/A"/>
    <x v="1"/>
    <x v="0"/>
  </r>
  <r>
    <s v="GL001639"/>
    <d v="2024-12-28T00:00:00"/>
    <x v="1"/>
    <x v="1"/>
    <n v="641.08000000000004"/>
    <n v="0"/>
    <x v="0"/>
    <x v="3"/>
    <s v="AutoPost 1639"/>
    <s v="EUR"/>
    <x v="23"/>
    <n v="-641.08000000000004"/>
    <m/>
    <n v="-641.08000000000004"/>
    <s v="N/A"/>
    <x v="1"/>
    <x v="0"/>
  </r>
  <r>
    <s v="GL001640"/>
    <d v="2023-07-09T00:00:00"/>
    <x v="3"/>
    <x v="3"/>
    <n v="194.16"/>
    <n v="0"/>
    <x v="5"/>
    <x v="2"/>
    <s v="AutoPost 1640"/>
    <s v="CAD"/>
    <x v="17"/>
    <n v="-194.16"/>
    <m/>
    <n v="-194.16"/>
    <s v="N/A"/>
    <x v="1"/>
    <x v="0"/>
  </r>
  <r>
    <s v="GL001641"/>
    <d v="2023-04-18T00:00:00"/>
    <x v="2"/>
    <x v="2"/>
    <n v="262.33999999999997"/>
    <n v="0"/>
    <x v="4"/>
    <x v="2"/>
    <s v="AutoPost 1641"/>
    <s v="EUR"/>
    <x v="8"/>
    <n v="-262.33999999999997"/>
    <m/>
    <n v="-262.33999999999997"/>
    <s v="N/A"/>
    <x v="1"/>
    <x v="0"/>
  </r>
  <r>
    <s v="GL001642"/>
    <d v="2024-06-21T00:00:00"/>
    <x v="3"/>
    <x v="3"/>
    <n v="1269.67"/>
    <n v="0"/>
    <x v="2"/>
    <x v="3"/>
    <s v="AutoPost 1642"/>
    <s v="CAD"/>
    <x v="1"/>
    <n v="-1269.67"/>
    <m/>
    <n v="-1269.67"/>
    <s v="N/A"/>
    <x v="1"/>
    <x v="0"/>
  </r>
  <r>
    <s v="GL001643"/>
    <d v="2024-01-11T00:00:00"/>
    <x v="0"/>
    <x v="0"/>
    <n v="0"/>
    <n v="1736.08"/>
    <x v="1"/>
    <x v="3"/>
    <s v="AutoPost 1643"/>
    <s v="GBP"/>
    <x v="20"/>
    <n v="1736.08"/>
    <m/>
    <n v="1736.08"/>
    <s v="N/A"/>
    <x v="1"/>
    <x v="1"/>
  </r>
  <r>
    <s v="GL001644"/>
    <d v="2024-06-10T00:00:00"/>
    <x v="3"/>
    <x v="3"/>
    <n v="418.98"/>
    <n v="0"/>
    <x v="3"/>
    <x v="2"/>
    <s v="AutoPost 1644"/>
    <s v="CAD"/>
    <x v="1"/>
    <n v="-418.98"/>
    <m/>
    <n v="-418.98"/>
    <s v="N/A"/>
    <x v="1"/>
    <x v="0"/>
  </r>
  <r>
    <s v="GL001645"/>
    <d v="2023-05-23T00:00:00"/>
    <x v="3"/>
    <x v="3"/>
    <n v="1106.24"/>
    <n v="0"/>
    <x v="4"/>
    <x v="4"/>
    <s v="AutoPost 1645"/>
    <s v="USD"/>
    <x v="29"/>
    <n v="-1106.24"/>
    <m/>
    <n v="-1106.24"/>
    <s v="N/A"/>
    <x v="1"/>
    <x v="0"/>
  </r>
  <r>
    <s v="GL001646"/>
    <d v="2023-05-29T00:00:00"/>
    <x v="4"/>
    <x v="4"/>
    <n v="0"/>
    <n v="3037.2"/>
    <x v="4"/>
    <x v="3"/>
    <s v="AutoPost 1646"/>
    <s v="GBP"/>
    <x v="29"/>
    <n v="3037.2"/>
    <m/>
    <n v="3037.2"/>
    <s v="N/A"/>
    <x v="1"/>
    <x v="1"/>
  </r>
  <r>
    <s v="GL001647"/>
    <d v="2023-02-11T00:00:00"/>
    <x v="0"/>
    <x v="0"/>
    <n v="0"/>
    <n v="4063.27"/>
    <x v="5"/>
    <x v="0"/>
    <s v="AutoPost 1647"/>
    <s v="GBP"/>
    <x v="24"/>
    <n v="4063.27"/>
    <m/>
    <n v="4063.27"/>
    <s v="N/A"/>
    <x v="1"/>
    <x v="1"/>
  </r>
  <r>
    <s v="GL001648"/>
    <d v="2023-08-31T00:00:00"/>
    <x v="2"/>
    <x v="2"/>
    <n v="1920.87"/>
    <n v="0"/>
    <x v="4"/>
    <x v="1"/>
    <s v="AutoPost 1648"/>
    <s v="AUD"/>
    <x v="4"/>
    <n v="-1920.87"/>
    <m/>
    <n v="-1920.87"/>
    <s v="N/A"/>
    <x v="1"/>
    <x v="0"/>
  </r>
  <r>
    <s v="GL001649"/>
    <d v="2024-07-29T00:00:00"/>
    <x v="2"/>
    <x v="2"/>
    <n v="1167.74"/>
    <n v="0"/>
    <x v="4"/>
    <x v="2"/>
    <s v="AutoPost 1649"/>
    <s v="GBP"/>
    <x v="21"/>
    <n v="-1167.74"/>
    <m/>
    <n v="-1167.74"/>
    <s v="N/A"/>
    <x v="1"/>
    <x v="0"/>
  </r>
  <r>
    <s v="GL001650"/>
    <d v="2025-05-07T00:00:00"/>
    <x v="1"/>
    <x v="1"/>
    <n v="686.31"/>
    <n v="0"/>
    <x v="4"/>
    <x v="2"/>
    <s v="AutoPost 1650"/>
    <s v="USD"/>
    <x v="5"/>
    <n v="-686.31"/>
    <m/>
    <n v="-686.31"/>
    <s v="N/A"/>
    <x v="1"/>
    <x v="0"/>
  </r>
  <r>
    <s v="GL001651"/>
    <d v="2025-01-25T00:00:00"/>
    <x v="0"/>
    <x v="0"/>
    <n v="0"/>
    <n v="1294.23"/>
    <x v="5"/>
    <x v="1"/>
    <s v="AutoPost 1651"/>
    <s v="USD"/>
    <x v="2"/>
    <n v="1294.23"/>
    <m/>
    <n v="1294.23"/>
    <s v="N/A"/>
    <x v="1"/>
    <x v="1"/>
  </r>
  <r>
    <s v="GL001652"/>
    <d v="2024-07-20T00:00:00"/>
    <x v="3"/>
    <x v="3"/>
    <n v="1657.22"/>
    <n v="0"/>
    <x v="2"/>
    <x v="0"/>
    <s v="AutoPost 1652"/>
    <s v="EUR"/>
    <x v="21"/>
    <n v="-1657.22"/>
    <m/>
    <n v="-1657.22"/>
    <s v="N/A"/>
    <x v="1"/>
    <x v="0"/>
  </r>
  <r>
    <s v="GL001653"/>
    <d v="2024-06-12T00:00:00"/>
    <x v="4"/>
    <x v="4"/>
    <n v="0"/>
    <n v="677.29"/>
    <x v="4"/>
    <x v="2"/>
    <s v="AutoPost 1653"/>
    <s v="USD"/>
    <x v="1"/>
    <n v="677.29"/>
    <m/>
    <n v="677.29"/>
    <s v="N/A"/>
    <x v="1"/>
    <x v="1"/>
  </r>
  <r>
    <s v="GL001654"/>
    <d v="2024-11-08T00:00:00"/>
    <x v="2"/>
    <x v="2"/>
    <n v="1765.08"/>
    <n v="0"/>
    <x v="2"/>
    <x v="2"/>
    <s v="AutoPost 1654"/>
    <s v="USD"/>
    <x v="10"/>
    <n v="-1765.08"/>
    <m/>
    <n v="-1765.08"/>
    <s v="N/A"/>
    <x v="1"/>
    <x v="0"/>
  </r>
  <r>
    <s v="GL001655"/>
    <d v="2023-10-19T00:00:00"/>
    <x v="0"/>
    <x v="0"/>
    <n v="0"/>
    <n v="3407.83"/>
    <x v="0"/>
    <x v="3"/>
    <s v="AutoPost 1655"/>
    <s v="CAD"/>
    <x v="27"/>
    <n v="3407.83"/>
    <m/>
    <n v="3407.83"/>
    <s v="N/A"/>
    <x v="1"/>
    <x v="1"/>
  </r>
  <r>
    <s v="GL001656"/>
    <d v="2023-11-16T00:00:00"/>
    <x v="3"/>
    <x v="3"/>
    <n v="543.41"/>
    <n v="0"/>
    <x v="1"/>
    <x v="2"/>
    <s v="AutoPost 1656"/>
    <s v="USD"/>
    <x v="9"/>
    <n v="-543.41"/>
    <m/>
    <n v="-543.41"/>
    <s v="N/A"/>
    <x v="1"/>
    <x v="0"/>
  </r>
  <r>
    <s v="GL001657"/>
    <d v="2023-07-09T00:00:00"/>
    <x v="1"/>
    <x v="1"/>
    <n v="408.27"/>
    <n v="0"/>
    <x v="2"/>
    <x v="0"/>
    <s v="AutoPost 1657"/>
    <s v="EUR"/>
    <x v="17"/>
    <n v="-408.27"/>
    <m/>
    <n v="-408.27"/>
    <s v="N/A"/>
    <x v="1"/>
    <x v="0"/>
  </r>
  <r>
    <s v="GL001658"/>
    <d v="2025-02-11T00:00:00"/>
    <x v="0"/>
    <x v="0"/>
    <n v="0"/>
    <n v="1300.21"/>
    <x v="5"/>
    <x v="2"/>
    <s v="AutoPost 1658"/>
    <s v="AUD"/>
    <x v="28"/>
    <n v="1300.21"/>
    <m/>
    <n v="1300.21"/>
    <s v="N/A"/>
    <x v="1"/>
    <x v="1"/>
  </r>
  <r>
    <s v="GL001659"/>
    <d v="2023-06-16T00:00:00"/>
    <x v="1"/>
    <x v="1"/>
    <n v="1326.8"/>
    <n v="0"/>
    <x v="5"/>
    <x v="0"/>
    <s v="AutoPost 1659"/>
    <s v="USD"/>
    <x v="22"/>
    <n v="-1326.8"/>
    <m/>
    <n v="-1326.8"/>
    <s v="N/A"/>
    <x v="1"/>
    <x v="0"/>
  </r>
  <r>
    <s v="GL001660"/>
    <d v="2025-03-29T00:00:00"/>
    <x v="0"/>
    <x v="0"/>
    <n v="0"/>
    <n v="2057.71"/>
    <x v="3"/>
    <x v="2"/>
    <s v="AutoPost 1660"/>
    <s v="CAD"/>
    <x v="13"/>
    <n v="2057.71"/>
    <m/>
    <n v="2057.71"/>
    <s v="N/A"/>
    <x v="1"/>
    <x v="1"/>
  </r>
  <r>
    <s v="GL001661"/>
    <d v="2024-01-29T00:00:00"/>
    <x v="1"/>
    <x v="1"/>
    <n v="1959.6"/>
    <n v="0"/>
    <x v="3"/>
    <x v="0"/>
    <s v="AutoPost 1661"/>
    <s v="AUD"/>
    <x v="20"/>
    <n v="-1959.6"/>
    <m/>
    <n v="-1959.6"/>
    <s v="N/A"/>
    <x v="1"/>
    <x v="0"/>
  </r>
  <r>
    <s v="GL001662"/>
    <d v="2025-03-24T00:00:00"/>
    <x v="1"/>
    <x v="1"/>
    <n v="1047.3399999999999"/>
    <n v="0"/>
    <x v="1"/>
    <x v="4"/>
    <s v="AutoPost 1662"/>
    <s v="AUD"/>
    <x v="13"/>
    <n v="-1047.3399999999999"/>
    <m/>
    <n v="-1047.3399999999999"/>
    <s v="N/A"/>
    <x v="1"/>
    <x v="0"/>
  </r>
  <r>
    <s v="GL001663"/>
    <d v="2024-10-13T00:00:00"/>
    <x v="4"/>
    <x v="4"/>
    <n v="0"/>
    <n v="3260.6"/>
    <x v="2"/>
    <x v="2"/>
    <s v="AutoPost 1663"/>
    <s v="AUD"/>
    <x v="26"/>
    <n v="3260.6"/>
    <m/>
    <n v="3260.6"/>
    <s v="N/A"/>
    <x v="1"/>
    <x v="1"/>
  </r>
  <r>
    <s v="GL001664"/>
    <d v="2023-05-16T00:00:00"/>
    <x v="2"/>
    <x v="2"/>
    <n v="1149.3599999999999"/>
    <n v="0"/>
    <x v="3"/>
    <x v="2"/>
    <s v="AutoPost 1664"/>
    <s v="AUD"/>
    <x v="29"/>
    <n v="-1149.3599999999999"/>
    <m/>
    <n v="-1149.3599999999999"/>
    <s v="N/A"/>
    <x v="1"/>
    <x v="0"/>
  </r>
  <r>
    <s v="GL001665"/>
    <d v="2023-02-25T00:00:00"/>
    <x v="4"/>
    <x v="4"/>
    <n v="0"/>
    <n v="1766.14"/>
    <x v="4"/>
    <x v="1"/>
    <s v="AutoPost 1665"/>
    <s v="CAD"/>
    <x v="24"/>
    <n v="1766.14"/>
    <m/>
    <n v="1766.14"/>
    <s v="N/A"/>
    <x v="1"/>
    <x v="1"/>
  </r>
  <r>
    <s v="GL001666"/>
    <d v="2023-08-13T00:00:00"/>
    <x v="2"/>
    <x v="2"/>
    <n v="1403.79"/>
    <n v="0"/>
    <x v="4"/>
    <x v="2"/>
    <s v="AutoPost 1666"/>
    <s v="EUR"/>
    <x v="4"/>
    <n v="-1403.79"/>
    <m/>
    <n v="-1403.79"/>
    <s v="N/A"/>
    <x v="1"/>
    <x v="0"/>
  </r>
  <r>
    <s v="GL001667"/>
    <d v="2024-03-03T00:00:00"/>
    <x v="0"/>
    <x v="0"/>
    <n v="0"/>
    <n v="4061.44"/>
    <x v="2"/>
    <x v="4"/>
    <s v="AutoPost 1667"/>
    <s v="USD"/>
    <x v="16"/>
    <n v="4061.44"/>
    <m/>
    <n v="4061.44"/>
    <s v="N/A"/>
    <x v="1"/>
    <x v="1"/>
  </r>
  <r>
    <s v="GL001668"/>
    <d v="2023-04-10T00:00:00"/>
    <x v="3"/>
    <x v="3"/>
    <n v="1472.53"/>
    <n v="0"/>
    <x v="1"/>
    <x v="3"/>
    <s v="AutoPost 1668"/>
    <s v="CAD"/>
    <x v="8"/>
    <n v="-1472.53"/>
    <m/>
    <n v="-1472.53"/>
    <s v="N/A"/>
    <x v="1"/>
    <x v="0"/>
  </r>
  <r>
    <s v="GL001669"/>
    <d v="2023-12-09T00:00:00"/>
    <x v="4"/>
    <x v="4"/>
    <n v="0"/>
    <n v="4153.5600000000004"/>
    <x v="3"/>
    <x v="1"/>
    <s v="AutoPost 1669"/>
    <s v="AUD"/>
    <x v="6"/>
    <n v="4153.5600000000004"/>
    <m/>
    <n v="4153.5600000000004"/>
    <s v="N/A"/>
    <x v="1"/>
    <x v="1"/>
  </r>
  <r>
    <s v="GL001670"/>
    <d v="2023-03-09T00:00:00"/>
    <x v="0"/>
    <x v="0"/>
    <n v="0"/>
    <n v="1559.52"/>
    <x v="2"/>
    <x v="1"/>
    <s v="AutoPost 1670"/>
    <s v="AUD"/>
    <x v="18"/>
    <n v="1559.52"/>
    <m/>
    <n v="1559.52"/>
    <s v="N/A"/>
    <x v="1"/>
    <x v="1"/>
  </r>
  <r>
    <s v="GL001671"/>
    <d v="2023-03-14T00:00:00"/>
    <x v="1"/>
    <x v="1"/>
    <n v="1478.02"/>
    <n v="0"/>
    <x v="4"/>
    <x v="2"/>
    <s v="AutoPost 1671"/>
    <s v="USD"/>
    <x v="18"/>
    <n v="-1478.02"/>
    <m/>
    <n v="-1478.02"/>
    <s v="N/A"/>
    <x v="1"/>
    <x v="0"/>
  </r>
  <r>
    <s v="GL001672"/>
    <d v="2023-08-31T00:00:00"/>
    <x v="2"/>
    <x v="2"/>
    <n v="423.96"/>
    <n v="0"/>
    <x v="1"/>
    <x v="3"/>
    <s v="AutoPost 1672"/>
    <s v="CAD"/>
    <x v="4"/>
    <n v="-423.96"/>
    <m/>
    <n v="-423.96"/>
    <s v="N/A"/>
    <x v="1"/>
    <x v="0"/>
  </r>
  <r>
    <s v="GL001673"/>
    <d v="2023-02-27T00:00:00"/>
    <x v="4"/>
    <x v="4"/>
    <n v="0"/>
    <n v="1027.73"/>
    <x v="2"/>
    <x v="3"/>
    <s v="AutoPost 1673"/>
    <s v="CAD"/>
    <x v="24"/>
    <n v="1027.73"/>
    <m/>
    <n v="1027.73"/>
    <s v="N/A"/>
    <x v="1"/>
    <x v="1"/>
  </r>
  <r>
    <s v="GL001674"/>
    <d v="2024-10-05T00:00:00"/>
    <x v="0"/>
    <x v="0"/>
    <n v="0"/>
    <n v="1661.02"/>
    <x v="4"/>
    <x v="2"/>
    <s v="AutoPost 1674"/>
    <s v="EUR"/>
    <x v="26"/>
    <n v="1661.02"/>
    <m/>
    <n v="1661.02"/>
    <s v="N/A"/>
    <x v="1"/>
    <x v="1"/>
  </r>
  <r>
    <s v="GL001675"/>
    <d v="2023-08-09T00:00:00"/>
    <x v="4"/>
    <x v="4"/>
    <n v="0"/>
    <n v="1263.17"/>
    <x v="1"/>
    <x v="4"/>
    <s v="AutoPost 1675"/>
    <s v="EUR"/>
    <x v="4"/>
    <n v="1263.17"/>
    <m/>
    <n v="1263.17"/>
    <s v="N/A"/>
    <x v="1"/>
    <x v="1"/>
  </r>
  <r>
    <s v="GL001676"/>
    <d v="2024-03-12T00:00:00"/>
    <x v="4"/>
    <x v="4"/>
    <n v="0"/>
    <n v="2207.1799999999998"/>
    <x v="4"/>
    <x v="3"/>
    <s v="AutoPost 1676"/>
    <s v="GBP"/>
    <x v="16"/>
    <n v="2207.1799999999998"/>
    <m/>
    <n v="2207.1799999999998"/>
    <s v="N/A"/>
    <x v="1"/>
    <x v="1"/>
  </r>
  <r>
    <s v="GL001677"/>
    <d v="2025-05-26T00:00:00"/>
    <x v="4"/>
    <x v="4"/>
    <n v="0"/>
    <n v="3799.96"/>
    <x v="4"/>
    <x v="1"/>
    <s v="AutoPost 1677"/>
    <s v="USD"/>
    <x v="5"/>
    <n v="3799.96"/>
    <m/>
    <n v="3799.96"/>
    <s v="N/A"/>
    <x v="1"/>
    <x v="1"/>
  </r>
  <r>
    <s v="GL001678"/>
    <d v="2023-04-07T00:00:00"/>
    <x v="3"/>
    <x v="3"/>
    <n v="1292.8800000000001"/>
    <n v="0"/>
    <x v="5"/>
    <x v="3"/>
    <s v="AutoPost 1678"/>
    <s v="EUR"/>
    <x v="8"/>
    <n v="-1292.8800000000001"/>
    <m/>
    <n v="-1292.8800000000001"/>
    <s v="N/A"/>
    <x v="1"/>
    <x v="0"/>
  </r>
  <r>
    <s v="GL001679"/>
    <d v="2024-11-17T00:00:00"/>
    <x v="1"/>
    <x v="1"/>
    <n v="154.07"/>
    <n v="0"/>
    <x v="3"/>
    <x v="2"/>
    <s v="AutoPost 1679"/>
    <s v="EUR"/>
    <x v="10"/>
    <n v="-154.07"/>
    <m/>
    <n v="-154.07"/>
    <s v="N/A"/>
    <x v="1"/>
    <x v="0"/>
  </r>
  <r>
    <s v="GL001680"/>
    <d v="2025-01-15T00:00:00"/>
    <x v="2"/>
    <x v="2"/>
    <n v="1751.78"/>
    <n v="0"/>
    <x v="5"/>
    <x v="1"/>
    <s v="AutoPost 1680"/>
    <s v="USD"/>
    <x v="2"/>
    <n v="-1751.78"/>
    <m/>
    <n v="-1751.78"/>
    <s v="N/A"/>
    <x v="1"/>
    <x v="0"/>
  </r>
  <r>
    <s v="GL001681"/>
    <d v="2024-12-10T00:00:00"/>
    <x v="4"/>
    <x v="4"/>
    <n v="0"/>
    <n v="635.34"/>
    <x v="1"/>
    <x v="2"/>
    <s v="AutoPost 1681"/>
    <s v="AUD"/>
    <x v="23"/>
    <n v="635.34"/>
    <m/>
    <n v="635.34"/>
    <s v="N/A"/>
    <x v="1"/>
    <x v="1"/>
  </r>
  <r>
    <s v="GL001682"/>
    <d v="2024-08-13T00:00:00"/>
    <x v="1"/>
    <x v="1"/>
    <n v="534.29"/>
    <n v="0"/>
    <x v="2"/>
    <x v="4"/>
    <s v="AutoPost 1682"/>
    <s v="EUR"/>
    <x v="25"/>
    <n v="-534.29"/>
    <m/>
    <n v="-534.29"/>
    <s v="N/A"/>
    <x v="1"/>
    <x v="0"/>
  </r>
  <r>
    <s v="GL001683"/>
    <d v="2024-07-30T00:00:00"/>
    <x v="3"/>
    <x v="3"/>
    <n v="1212.18"/>
    <n v="0"/>
    <x v="0"/>
    <x v="1"/>
    <s v="AutoPost 1683"/>
    <s v="EUR"/>
    <x v="21"/>
    <n v="-1212.18"/>
    <m/>
    <n v="-1212.18"/>
    <s v="N/A"/>
    <x v="1"/>
    <x v="0"/>
  </r>
  <r>
    <s v="GL001684"/>
    <d v="2024-09-17T00:00:00"/>
    <x v="1"/>
    <x v="1"/>
    <n v="1830.4"/>
    <n v="0"/>
    <x v="1"/>
    <x v="2"/>
    <s v="AutoPost 1684"/>
    <s v="CAD"/>
    <x v="15"/>
    <n v="-1830.4"/>
    <m/>
    <n v="-1830.4"/>
    <s v="N/A"/>
    <x v="1"/>
    <x v="0"/>
  </r>
  <r>
    <s v="GL001685"/>
    <d v="2023-03-31T00:00:00"/>
    <x v="4"/>
    <x v="4"/>
    <n v="0"/>
    <n v="1032.3800000000001"/>
    <x v="5"/>
    <x v="2"/>
    <s v="AutoPost 1685"/>
    <s v="AUD"/>
    <x v="18"/>
    <n v="1032.3800000000001"/>
    <m/>
    <n v="1032.3800000000001"/>
    <s v="N/A"/>
    <x v="1"/>
    <x v="1"/>
  </r>
  <r>
    <s v="GL001686"/>
    <d v="2023-02-10T00:00:00"/>
    <x v="0"/>
    <x v="0"/>
    <n v="0"/>
    <n v="2620.3200000000002"/>
    <x v="4"/>
    <x v="0"/>
    <s v="AutoPost 1686"/>
    <s v="CAD"/>
    <x v="24"/>
    <n v="2620.3200000000002"/>
    <m/>
    <n v="2620.3200000000002"/>
    <s v="N/A"/>
    <x v="1"/>
    <x v="1"/>
  </r>
  <r>
    <s v="GL001687"/>
    <d v="2024-08-23T00:00:00"/>
    <x v="4"/>
    <x v="4"/>
    <n v="0"/>
    <n v="4016.77"/>
    <x v="4"/>
    <x v="1"/>
    <s v="AutoPost 1687"/>
    <s v="CAD"/>
    <x v="25"/>
    <n v="4016.77"/>
    <m/>
    <n v="4016.77"/>
    <s v="N/A"/>
    <x v="1"/>
    <x v="1"/>
  </r>
  <r>
    <s v="GL001688"/>
    <d v="2024-04-27T00:00:00"/>
    <x v="1"/>
    <x v="1"/>
    <n v="575"/>
    <n v="0"/>
    <x v="4"/>
    <x v="0"/>
    <s v="AutoPost 1688"/>
    <s v="EUR"/>
    <x v="7"/>
    <n v="-575"/>
    <m/>
    <n v="-575"/>
    <s v="N/A"/>
    <x v="1"/>
    <x v="0"/>
  </r>
  <r>
    <s v="GL001689"/>
    <d v="2025-03-09T00:00:00"/>
    <x v="3"/>
    <x v="3"/>
    <n v="692.19"/>
    <n v="0"/>
    <x v="5"/>
    <x v="1"/>
    <s v="AutoPost 1689"/>
    <s v="EUR"/>
    <x v="13"/>
    <n v="-692.19"/>
    <m/>
    <n v="-692.19"/>
    <s v="N/A"/>
    <x v="1"/>
    <x v="0"/>
  </r>
  <r>
    <s v="GL001690"/>
    <d v="2025-06-23T00:00:00"/>
    <x v="0"/>
    <x v="0"/>
    <n v="0"/>
    <n v="129.38999999999999"/>
    <x v="4"/>
    <x v="2"/>
    <s v="AutoPost 1690"/>
    <s v="CAD"/>
    <x v="19"/>
    <n v="129.38999999999999"/>
    <m/>
    <n v="129.38999999999999"/>
    <s v="N/A"/>
    <x v="1"/>
    <x v="1"/>
  </r>
  <r>
    <s v="GL001691"/>
    <d v="2024-05-23T00:00:00"/>
    <x v="2"/>
    <x v="2"/>
    <n v="739.61"/>
    <n v="0"/>
    <x v="3"/>
    <x v="0"/>
    <s v="AutoPost 1691"/>
    <s v="EUR"/>
    <x v="0"/>
    <n v="-739.61"/>
    <m/>
    <n v="-739.61"/>
    <s v="N/A"/>
    <x v="1"/>
    <x v="0"/>
  </r>
  <r>
    <s v="GL001692"/>
    <d v="2023-06-06T00:00:00"/>
    <x v="0"/>
    <x v="0"/>
    <n v="0"/>
    <n v="1931.62"/>
    <x v="4"/>
    <x v="2"/>
    <s v="AutoPost 1692"/>
    <s v="CAD"/>
    <x v="22"/>
    <n v="1931.62"/>
    <m/>
    <n v="1931.62"/>
    <s v="N/A"/>
    <x v="1"/>
    <x v="1"/>
  </r>
  <r>
    <s v="GL001693"/>
    <d v="2025-02-21T00:00:00"/>
    <x v="3"/>
    <x v="3"/>
    <n v="624.64"/>
    <n v="0"/>
    <x v="2"/>
    <x v="4"/>
    <s v="AutoPost 1693"/>
    <s v="EUR"/>
    <x v="28"/>
    <n v="-624.64"/>
    <m/>
    <n v="-624.64"/>
    <s v="N/A"/>
    <x v="1"/>
    <x v="0"/>
  </r>
  <r>
    <s v="GL001694"/>
    <d v="2024-05-23T00:00:00"/>
    <x v="4"/>
    <x v="4"/>
    <n v="0"/>
    <n v="724.9"/>
    <x v="5"/>
    <x v="4"/>
    <s v="AutoPost 1694"/>
    <s v="EUR"/>
    <x v="0"/>
    <n v="724.9"/>
    <m/>
    <n v="724.9"/>
    <s v="N/A"/>
    <x v="1"/>
    <x v="1"/>
  </r>
  <r>
    <s v="GL001695"/>
    <d v="2024-03-22T00:00:00"/>
    <x v="2"/>
    <x v="2"/>
    <n v="630.79"/>
    <n v="0"/>
    <x v="5"/>
    <x v="0"/>
    <s v="AutoPost 1695"/>
    <s v="AUD"/>
    <x v="16"/>
    <n v="-630.79"/>
    <m/>
    <n v="-630.79"/>
    <s v="N/A"/>
    <x v="1"/>
    <x v="0"/>
  </r>
  <r>
    <s v="GL001696"/>
    <d v="2025-04-28T00:00:00"/>
    <x v="3"/>
    <x v="3"/>
    <n v="808.72"/>
    <n v="0"/>
    <x v="2"/>
    <x v="4"/>
    <s v="AutoPost 1696"/>
    <s v="GBP"/>
    <x v="12"/>
    <n v="-808.72"/>
    <m/>
    <n v="-808.72"/>
    <s v="N/A"/>
    <x v="1"/>
    <x v="0"/>
  </r>
  <r>
    <s v="GL001697"/>
    <d v="2023-08-22T00:00:00"/>
    <x v="0"/>
    <x v="0"/>
    <n v="0"/>
    <n v="1092.32"/>
    <x v="0"/>
    <x v="2"/>
    <s v="AutoPost 1697"/>
    <s v="CAD"/>
    <x v="4"/>
    <n v="1092.32"/>
    <m/>
    <n v="1092.32"/>
    <s v="N/A"/>
    <x v="1"/>
    <x v="1"/>
  </r>
  <r>
    <s v="GL001698"/>
    <d v="2024-04-07T00:00:00"/>
    <x v="3"/>
    <x v="3"/>
    <n v="1433.85"/>
    <n v="0"/>
    <x v="5"/>
    <x v="4"/>
    <s v="AutoPost 1698"/>
    <s v="CAD"/>
    <x v="7"/>
    <n v="-1433.85"/>
    <m/>
    <n v="-1433.85"/>
    <s v="N/A"/>
    <x v="1"/>
    <x v="0"/>
  </r>
  <r>
    <s v="GL001699"/>
    <d v="2024-02-09T00:00:00"/>
    <x v="4"/>
    <x v="4"/>
    <n v="0"/>
    <n v="902.75"/>
    <x v="4"/>
    <x v="1"/>
    <s v="AutoPost 1699"/>
    <s v="GBP"/>
    <x v="11"/>
    <n v="902.75"/>
    <m/>
    <n v="902.75"/>
    <s v="N/A"/>
    <x v="1"/>
    <x v="1"/>
  </r>
  <r>
    <s v="GL001700"/>
    <d v="2023-12-14T00:00:00"/>
    <x v="3"/>
    <x v="3"/>
    <n v="1012.66"/>
    <n v="0"/>
    <x v="4"/>
    <x v="1"/>
    <s v="AutoPost 1700"/>
    <s v="AUD"/>
    <x v="6"/>
    <n v="-1012.66"/>
    <m/>
    <n v="-1012.66"/>
    <s v="N/A"/>
    <x v="1"/>
    <x v="0"/>
  </r>
  <r>
    <s v="GL001701"/>
    <d v="2024-12-31T00:00:00"/>
    <x v="1"/>
    <x v="1"/>
    <n v="1143.22"/>
    <n v="0"/>
    <x v="2"/>
    <x v="3"/>
    <s v="AutoPost 1701"/>
    <s v="USD"/>
    <x v="23"/>
    <n v="-1143.22"/>
    <m/>
    <n v="-1143.22"/>
    <s v="N/A"/>
    <x v="1"/>
    <x v="0"/>
  </r>
  <r>
    <s v="GL001702"/>
    <d v="2023-01-13T00:00:00"/>
    <x v="0"/>
    <x v="0"/>
    <n v="0"/>
    <n v="3892.69"/>
    <x v="0"/>
    <x v="4"/>
    <s v="AutoPost 1702"/>
    <s v="AUD"/>
    <x v="14"/>
    <n v="3892.69"/>
    <m/>
    <n v="3892.69"/>
    <s v="N/A"/>
    <x v="1"/>
    <x v="1"/>
  </r>
  <r>
    <s v="GL001703"/>
    <d v="2025-01-21T00:00:00"/>
    <x v="2"/>
    <x v="2"/>
    <n v="649.45000000000005"/>
    <n v="0"/>
    <x v="5"/>
    <x v="0"/>
    <s v="AutoPost 1703"/>
    <s v="CAD"/>
    <x v="2"/>
    <n v="-649.45000000000005"/>
    <m/>
    <n v="-649.45000000000005"/>
    <s v="N/A"/>
    <x v="1"/>
    <x v="0"/>
  </r>
  <r>
    <s v="GL001704"/>
    <d v="2025-01-13T00:00:00"/>
    <x v="4"/>
    <x v="4"/>
    <n v="0"/>
    <n v="1422.91"/>
    <x v="1"/>
    <x v="2"/>
    <s v="AutoPost 1704"/>
    <s v="AUD"/>
    <x v="2"/>
    <n v="1422.91"/>
    <m/>
    <n v="1422.91"/>
    <s v="N/A"/>
    <x v="1"/>
    <x v="1"/>
  </r>
  <r>
    <s v="GL001705"/>
    <d v="2024-03-14T00:00:00"/>
    <x v="0"/>
    <x v="0"/>
    <n v="0"/>
    <n v="1269.95"/>
    <x v="1"/>
    <x v="3"/>
    <s v="AutoPost 1705"/>
    <s v="GBP"/>
    <x v="16"/>
    <n v="1269.95"/>
    <m/>
    <n v="1269.95"/>
    <s v="N/A"/>
    <x v="1"/>
    <x v="1"/>
  </r>
  <r>
    <s v="GL001706"/>
    <d v="2024-09-26T00:00:00"/>
    <x v="4"/>
    <x v="4"/>
    <n v="0"/>
    <n v="4047.23"/>
    <x v="2"/>
    <x v="4"/>
    <s v="AutoPost 1706"/>
    <s v="GBP"/>
    <x v="15"/>
    <n v="4047.23"/>
    <m/>
    <n v="4047.23"/>
    <s v="N/A"/>
    <x v="1"/>
    <x v="1"/>
  </r>
  <r>
    <s v="GL001707"/>
    <d v="2024-11-23T00:00:00"/>
    <x v="1"/>
    <x v="1"/>
    <n v="546.9"/>
    <n v="0"/>
    <x v="5"/>
    <x v="4"/>
    <s v="AutoPost 1707"/>
    <s v="AUD"/>
    <x v="10"/>
    <n v="-546.9"/>
    <m/>
    <n v="-546.9"/>
    <s v="N/A"/>
    <x v="1"/>
    <x v="0"/>
  </r>
  <r>
    <s v="GL001708"/>
    <d v="2023-01-30T00:00:00"/>
    <x v="0"/>
    <x v="0"/>
    <n v="0"/>
    <n v="652.36"/>
    <x v="5"/>
    <x v="1"/>
    <s v="AutoPost 1708"/>
    <s v="EUR"/>
    <x v="14"/>
    <n v="652.36"/>
    <m/>
    <n v="652.36"/>
    <s v="N/A"/>
    <x v="1"/>
    <x v="1"/>
  </r>
  <r>
    <s v="GL001709"/>
    <d v="2023-01-20T00:00:00"/>
    <x v="4"/>
    <x v="4"/>
    <n v="0"/>
    <n v="1963.74"/>
    <x v="2"/>
    <x v="1"/>
    <s v="AutoPost 1709"/>
    <s v="USD"/>
    <x v="14"/>
    <n v="1963.74"/>
    <m/>
    <n v="1963.74"/>
    <s v="N/A"/>
    <x v="1"/>
    <x v="1"/>
  </r>
  <r>
    <s v="GL001710"/>
    <d v="2025-01-31T00:00:00"/>
    <x v="4"/>
    <x v="4"/>
    <n v="0"/>
    <n v="1521.92"/>
    <x v="5"/>
    <x v="4"/>
    <s v="AutoPost 1710"/>
    <s v="EUR"/>
    <x v="2"/>
    <n v="1521.92"/>
    <m/>
    <n v="1521.92"/>
    <s v="N/A"/>
    <x v="1"/>
    <x v="1"/>
  </r>
  <r>
    <s v="GL001711"/>
    <d v="2024-01-06T00:00:00"/>
    <x v="4"/>
    <x v="4"/>
    <n v="0"/>
    <n v="3858.51"/>
    <x v="2"/>
    <x v="2"/>
    <s v="AutoPost 1711"/>
    <s v="GBP"/>
    <x v="20"/>
    <n v="3858.51"/>
    <m/>
    <n v="3858.51"/>
    <s v="N/A"/>
    <x v="1"/>
    <x v="1"/>
  </r>
  <r>
    <s v="GL001712"/>
    <d v="2024-04-10T00:00:00"/>
    <x v="4"/>
    <x v="4"/>
    <n v="0"/>
    <n v="4500.74"/>
    <x v="2"/>
    <x v="4"/>
    <s v="AutoPost 1712"/>
    <s v="AUD"/>
    <x v="7"/>
    <n v="4500.74"/>
    <m/>
    <n v="4500.74"/>
    <s v="N/A"/>
    <x v="1"/>
    <x v="1"/>
  </r>
  <r>
    <s v="GL001713"/>
    <d v="2024-09-11T00:00:00"/>
    <x v="2"/>
    <x v="2"/>
    <n v="678.18"/>
    <n v="0"/>
    <x v="3"/>
    <x v="0"/>
    <s v="AutoPost 1713"/>
    <s v="AUD"/>
    <x v="15"/>
    <n v="-678.18"/>
    <m/>
    <n v="-678.18"/>
    <s v="N/A"/>
    <x v="1"/>
    <x v="0"/>
  </r>
  <r>
    <s v="GL001714"/>
    <d v="2024-12-04T00:00:00"/>
    <x v="2"/>
    <x v="2"/>
    <n v="1306.92"/>
    <n v="0"/>
    <x v="5"/>
    <x v="1"/>
    <s v="AutoPost 1714"/>
    <s v="CAD"/>
    <x v="23"/>
    <n v="-1306.92"/>
    <m/>
    <n v="-1306.92"/>
    <s v="N/A"/>
    <x v="1"/>
    <x v="0"/>
  </r>
  <r>
    <s v="GL001715"/>
    <d v="2023-01-21T00:00:00"/>
    <x v="4"/>
    <x v="4"/>
    <n v="0"/>
    <n v="1899.18"/>
    <x v="0"/>
    <x v="0"/>
    <s v="AutoPost 1715"/>
    <s v="GBP"/>
    <x v="14"/>
    <n v="1899.18"/>
    <m/>
    <n v="1899.18"/>
    <s v="N/A"/>
    <x v="1"/>
    <x v="1"/>
  </r>
  <r>
    <s v="GL001716"/>
    <d v="2024-10-27T00:00:00"/>
    <x v="4"/>
    <x v="4"/>
    <n v="0"/>
    <n v="4785.2299999999996"/>
    <x v="2"/>
    <x v="3"/>
    <s v="AutoPost 1716"/>
    <s v="GBP"/>
    <x v="26"/>
    <n v="4785.2299999999996"/>
    <m/>
    <n v="4785.2299999999996"/>
    <s v="N/A"/>
    <x v="1"/>
    <x v="1"/>
  </r>
  <r>
    <s v="GL001717"/>
    <d v="2023-09-23T00:00:00"/>
    <x v="4"/>
    <x v="4"/>
    <n v="0"/>
    <n v="2005.29"/>
    <x v="4"/>
    <x v="1"/>
    <s v="AutoPost 1717"/>
    <s v="USD"/>
    <x v="3"/>
    <n v="2005.29"/>
    <m/>
    <n v="2005.29"/>
    <s v="N/A"/>
    <x v="1"/>
    <x v="1"/>
  </r>
  <r>
    <s v="GL001718"/>
    <d v="2023-08-10T00:00:00"/>
    <x v="2"/>
    <x v="2"/>
    <n v="1255.1099999999999"/>
    <n v="0"/>
    <x v="5"/>
    <x v="1"/>
    <s v="AutoPost 1718"/>
    <s v="EUR"/>
    <x v="4"/>
    <n v="-1255.1099999999999"/>
    <m/>
    <n v="-1255.1099999999999"/>
    <s v="N/A"/>
    <x v="1"/>
    <x v="0"/>
  </r>
  <r>
    <s v="GL001719"/>
    <d v="2024-01-20T00:00:00"/>
    <x v="1"/>
    <x v="1"/>
    <n v="816.6"/>
    <n v="0"/>
    <x v="5"/>
    <x v="4"/>
    <s v="AutoPost 1719"/>
    <s v="EUR"/>
    <x v="20"/>
    <n v="-816.6"/>
    <m/>
    <n v="-816.6"/>
    <s v="N/A"/>
    <x v="1"/>
    <x v="0"/>
  </r>
  <r>
    <s v="GL001720"/>
    <d v="2023-03-30T00:00:00"/>
    <x v="4"/>
    <x v="4"/>
    <n v="0"/>
    <n v="1623.32"/>
    <x v="5"/>
    <x v="0"/>
    <s v="AutoPost 1720"/>
    <s v="AUD"/>
    <x v="18"/>
    <n v="1623.32"/>
    <m/>
    <n v="1623.32"/>
    <s v="N/A"/>
    <x v="1"/>
    <x v="1"/>
  </r>
  <r>
    <s v="GL001721"/>
    <d v="2023-07-26T00:00:00"/>
    <x v="2"/>
    <x v="2"/>
    <n v="770.91"/>
    <n v="0"/>
    <x v="5"/>
    <x v="4"/>
    <s v="AutoPost 1721"/>
    <s v="AUD"/>
    <x v="17"/>
    <n v="-770.91"/>
    <m/>
    <n v="-770.91"/>
    <s v="N/A"/>
    <x v="1"/>
    <x v="0"/>
  </r>
  <r>
    <s v="GL001722"/>
    <d v="2024-03-28T00:00:00"/>
    <x v="4"/>
    <x v="4"/>
    <n v="0"/>
    <n v="3597.73"/>
    <x v="0"/>
    <x v="1"/>
    <s v="AutoPost 1722"/>
    <s v="CAD"/>
    <x v="16"/>
    <n v="3597.73"/>
    <m/>
    <n v="3597.73"/>
    <s v="N/A"/>
    <x v="1"/>
    <x v="1"/>
  </r>
  <r>
    <s v="GL001723"/>
    <d v="2025-03-14T00:00:00"/>
    <x v="1"/>
    <x v="1"/>
    <n v="468"/>
    <n v="0"/>
    <x v="4"/>
    <x v="4"/>
    <s v="AutoPost 1723"/>
    <s v="USD"/>
    <x v="13"/>
    <n v="-468"/>
    <m/>
    <n v="-468"/>
    <s v="N/A"/>
    <x v="1"/>
    <x v="0"/>
  </r>
  <r>
    <s v="GL001724"/>
    <d v="2024-05-27T00:00:00"/>
    <x v="2"/>
    <x v="2"/>
    <n v="1093.3800000000001"/>
    <n v="0"/>
    <x v="2"/>
    <x v="1"/>
    <s v="AutoPost 1724"/>
    <s v="AUD"/>
    <x v="0"/>
    <n v="-1093.3800000000001"/>
    <m/>
    <n v="-1093.3800000000001"/>
    <s v="N/A"/>
    <x v="1"/>
    <x v="0"/>
  </r>
  <r>
    <s v="GL001725"/>
    <d v="2024-05-17T00:00:00"/>
    <x v="4"/>
    <x v="4"/>
    <n v="0"/>
    <n v="1791.26"/>
    <x v="2"/>
    <x v="3"/>
    <s v="AutoPost 1725"/>
    <s v="USD"/>
    <x v="0"/>
    <n v="1791.26"/>
    <m/>
    <n v="1791.26"/>
    <s v="N/A"/>
    <x v="1"/>
    <x v="1"/>
  </r>
  <r>
    <s v="GL001726"/>
    <d v="2025-04-13T00:00:00"/>
    <x v="4"/>
    <x v="4"/>
    <n v="0"/>
    <n v="2175.02"/>
    <x v="1"/>
    <x v="2"/>
    <s v="AutoPost 1726"/>
    <s v="GBP"/>
    <x v="12"/>
    <n v="2175.02"/>
    <m/>
    <n v="2175.02"/>
    <s v="N/A"/>
    <x v="1"/>
    <x v="1"/>
  </r>
  <r>
    <s v="GL001727"/>
    <d v="2025-01-20T00:00:00"/>
    <x v="2"/>
    <x v="2"/>
    <n v="1574.77"/>
    <n v="0"/>
    <x v="0"/>
    <x v="0"/>
    <s v="AutoPost 1727"/>
    <s v="CAD"/>
    <x v="2"/>
    <n v="-1574.77"/>
    <m/>
    <n v="-1574.77"/>
    <s v="N/A"/>
    <x v="1"/>
    <x v="0"/>
  </r>
  <r>
    <s v="GL001728"/>
    <d v="2025-01-17T00:00:00"/>
    <x v="1"/>
    <x v="1"/>
    <n v="1527.19"/>
    <n v="0"/>
    <x v="5"/>
    <x v="4"/>
    <s v="AutoPost 1728"/>
    <s v="GBP"/>
    <x v="2"/>
    <n v="-1527.19"/>
    <m/>
    <n v="-1527.19"/>
    <s v="N/A"/>
    <x v="1"/>
    <x v="0"/>
  </r>
  <r>
    <s v="GL001729"/>
    <d v="2023-12-17T00:00:00"/>
    <x v="3"/>
    <x v="3"/>
    <n v="235.69"/>
    <n v="0"/>
    <x v="5"/>
    <x v="1"/>
    <s v="AutoPost 1729"/>
    <s v="AUD"/>
    <x v="6"/>
    <n v="-235.69"/>
    <m/>
    <n v="-235.69"/>
    <s v="N/A"/>
    <x v="1"/>
    <x v="0"/>
  </r>
  <r>
    <s v="GL001730"/>
    <d v="2023-03-14T00:00:00"/>
    <x v="4"/>
    <x v="4"/>
    <n v="0"/>
    <n v="1732.54"/>
    <x v="1"/>
    <x v="3"/>
    <s v="AutoPost 1730"/>
    <s v="USD"/>
    <x v="18"/>
    <n v="1732.54"/>
    <m/>
    <n v="1732.54"/>
    <s v="N/A"/>
    <x v="1"/>
    <x v="1"/>
  </r>
  <r>
    <s v="GL001731"/>
    <d v="2025-02-26T00:00:00"/>
    <x v="4"/>
    <x v="4"/>
    <n v="0"/>
    <n v="2626.2"/>
    <x v="0"/>
    <x v="2"/>
    <s v="AutoPost 1731"/>
    <s v="CAD"/>
    <x v="28"/>
    <n v="2626.2"/>
    <m/>
    <n v="2626.2"/>
    <s v="N/A"/>
    <x v="1"/>
    <x v="1"/>
  </r>
  <r>
    <s v="GL001732"/>
    <d v="2023-03-23T00:00:00"/>
    <x v="3"/>
    <x v="3"/>
    <n v="1253"/>
    <n v="0"/>
    <x v="0"/>
    <x v="0"/>
    <s v="AutoPost 1732"/>
    <s v="EUR"/>
    <x v="18"/>
    <n v="-1253"/>
    <m/>
    <n v="-1253"/>
    <s v="N/A"/>
    <x v="1"/>
    <x v="0"/>
  </r>
  <r>
    <s v="GL001733"/>
    <d v="2025-01-10T00:00:00"/>
    <x v="1"/>
    <x v="1"/>
    <n v="698.8"/>
    <n v="0"/>
    <x v="2"/>
    <x v="4"/>
    <s v="AutoPost 1733"/>
    <s v="CAD"/>
    <x v="2"/>
    <n v="-698.8"/>
    <m/>
    <n v="-698.8"/>
    <s v="N/A"/>
    <x v="1"/>
    <x v="0"/>
  </r>
  <r>
    <s v="GL001734"/>
    <d v="2024-03-24T00:00:00"/>
    <x v="0"/>
    <x v="0"/>
    <n v="0"/>
    <n v="1651.12"/>
    <x v="3"/>
    <x v="0"/>
    <s v="AutoPost 1734"/>
    <s v="AUD"/>
    <x v="16"/>
    <n v="1651.12"/>
    <m/>
    <n v="1651.12"/>
    <s v="N/A"/>
    <x v="1"/>
    <x v="1"/>
  </r>
  <r>
    <s v="GL001735"/>
    <d v="2024-05-02T00:00:00"/>
    <x v="4"/>
    <x v="4"/>
    <n v="0"/>
    <n v="4999.53"/>
    <x v="4"/>
    <x v="0"/>
    <s v="AutoPost 1735"/>
    <s v="CAD"/>
    <x v="0"/>
    <n v="4999.53"/>
    <m/>
    <n v="4999.53"/>
    <s v="N/A"/>
    <x v="1"/>
    <x v="1"/>
  </r>
  <r>
    <s v="GL001736"/>
    <d v="2025-05-15T00:00:00"/>
    <x v="1"/>
    <x v="1"/>
    <n v="600.07000000000005"/>
    <n v="0"/>
    <x v="1"/>
    <x v="1"/>
    <s v="AutoPost 1736"/>
    <s v="EUR"/>
    <x v="5"/>
    <n v="-600.07000000000005"/>
    <m/>
    <n v="-600.07000000000005"/>
    <s v="N/A"/>
    <x v="1"/>
    <x v="0"/>
  </r>
  <r>
    <s v="GL001737"/>
    <d v="2023-05-09T00:00:00"/>
    <x v="2"/>
    <x v="2"/>
    <n v="1136.96"/>
    <n v="0"/>
    <x v="5"/>
    <x v="3"/>
    <s v="AutoPost 1737"/>
    <s v="USD"/>
    <x v="29"/>
    <n v="-1136.96"/>
    <m/>
    <n v="-1136.96"/>
    <s v="N/A"/>
    <x v="1"/>
    <x v="0"/>
  </r>
  <r>
    <s v="GL001738"/>
    <d v="2024-03-03T00:00:00"/>
    <x v="4"/>
    <x v="4"/>
    <n v="0"/>
    <n v="3007.82"/>
    <x v="5"/>
    <x v="4"/>
    <s v="AutoPost 1738"/>
    <s v="USD"/>
    <x v="16"/>
    <n v="3007.82"/>
    <m/>
    <n v="3007.82"/>
    <s v="N/A"/>
    <x v="1"/>
    <x v="1"/>
  </r>
  <r>
    <s v="GL001739"/>
    <d v="2024-07-14T00:00:00"/>
    <x v="4"/>
    <x v="4"/>
    <n v="0"/>
    <n v="2023.01"/>
    <x v="3"/>
    <x v="4"/>
    <s v="AutoPost 1739"/>
    <s v="GBP"/>
    <x v="21"/>
    <n v="2023.01"/>
    <m/>
    <n v="2023.01"/>
    <s v="N/A"/>
    <x v="1"/>
    <x v="1"/>
  </r>
  <r>
    <s v="GL001740"/>
    <d v="2024-04-15T00:00:00"/>
    <x v="0"/>
    <x v="0"/>
    <n v="0"/>
    <n v="3884.34"/>
    <x v="2"/>
    <x v="0"/>
    <s v="AutoPost 1740"/>
    <s v="GBP"/>
    <x v="7"/>
    <n v="3884.34"/>
    <m/>
    <n v="3884.34"/>
    <s v="N/A"/>
    <x v="1"/>
    <x v="1"/>
  </r>
  <r>
    <s v="GL001741"/>
    <d v="2024-02-05T00:00:00"/>
    <x v="0"/>
    <x v="0"/>
    <n v="0"/>
    <n v="225.78"/>
    <x v="3"/>
    <x v="2"/>
    <s v="AutoPost 1741"/>
    <s v="EUR"/>
    <x v="11"/>
    <n v="225.78"/>
    <m/>
    <n v="225.78"/>
    <s v="N/A"/>
    <x v="1"/>
    <x v="1"/>
  </r>
  <r>
    <s v="GL001742"/>
    <d v="2024-11-26T00:00:00"/>
    <x v="0"/>
    <x v="0"/>
    <n v="0"/>
    <n v="2518.37"/>
    <x v="2"/>
    <x v="3"/>
    <s v="AutoPost 1742"/>
    <s v="AUD"/>
    <x v="10"/>
    <n v="2518.37"/>
    <m/>
    <n v="2518.37"/>
    <s v="N/A"/>
    <x v="1"/>
    <x v="1"/>
  </r>
  <r>
    <s v="GL001743"/>
    <d v="2024-10-25T00:00:00"/>
    <x v="1"/>
    <x v="1"/>
    <n v="847.09"/>
    <n v="0"/>
    <x v="4"/>
    <x v="3"/>
    <s v="AutoPost 1743"/>
    <s v="GBP"/>
    <x v="26"/>
    <n v="-847.09"/>
    <m/>
    <n v="-847.09"/>
    <s v="N/A"/>
    <x v="1"/>
    <x v="0"/>
  </r>
  <r>
    <s v="GL001744"/>
    <d v="2024-02-09T00:00:00"/>
    <x v="2"/>
    <x v="2"/>
    <n v="121.29"/>
    <n v="0"/>
    <x v="5"/>
    <x v="2"/>
    <s v="AutoPost 1744"/>
    <s v="EUR"/>
    <x v="11"/>
    <n v="-121.29"/>
    <m/>
    <n v="-121.29"/>
    <s v="N/A"/>
    <x v="1"/>
    <x v="0"/>
  </r>
  <r>
    <s v="GL001745"/>
    <d v="2024-04-03T00:00:00"/>
    <x v="2"/>
    <x v="2"/>
    <n v="1357.35"/>
    <n v="0"/>
    <x v="3"/>
    <x v="1"/>
    <s v="AutoPost 1745"/>
    <s v="USD"/>
    <x v="7"/>
    <n v="-1357.35"/>
    <m/>
    <n v="-1357.35"/>
    <s v="N/A"/>
    <x v="1"/>
    <x v="0"/>
  </r>
  <r>
    <s v="GL001746"/>
    <d v="2023-05-20T00:00:00"/>
    <x v="4"/>
    <x v="4"/>
    <n v="0"/>
    <n v="1658.15"/>
    <x v="5"/>
    <x v="2"/>
    <s v="AutoPost 1746"/>
    <s v="CAD"/>
    <x v="29"/>
    <n v="1658.15"/>
    <m/>
    <n v="1658.15"/>
    <s v="N/A"/>
    <x v="1"/>
    <x v="1"/>
  </r>
  <r>
    <s v="GL001747"/>
    <d v="2025-01-07T00:00:00"/>
    <x v="3"/>
    <x v="3"/>
    <n v="759.41"/>
    <n v="0"/>
    <x v="4"/>
    <x v="0"/>
    <s v="AutoPost 1747"/>
    <s v="AUD"/>
    <x v="2"/>
    <n v="-759.41"/>
    <m/>
    <n v="-759.41"/>
    <s v="N/A"/>
    <x v="1"/>
    <x v="0"/>
  </r>
  <r>
    <s v="GL001748"/>
    <d v="2023-11-08T00:00:00"/>
    <x v="0"/>
    <x v="0"/>
    <n v="0"/>
    <n v="4703.2"/>
    <x v="5"/>
    <x v="2"/>
    <s v="AutoPost 1748"/>
    <s v="EUR"/>
    <x v="9"/>
    <n v="4703.2"/>
    <m/>
    <n v="4703.2"/>
    <s v="N/A"/>
    <x v="1"/>
    <x v="1"/>
  </r>
  <r>
    <s v="GL001749"/>
    <d v="2023-08-18T00:00:00"/>
    <x v="4"/>
    <x v="4"/>
    <n v="0"/>
    <n v="528.16999999999996"/>
    <x v="3"/>
    <x v="3"/>
    <s v="AutoPost 1749"/>
    <s v="EUR"/>
    <x v="4"/>
    <n v="528.16999999999996"/>
    <m/>
    <n v="528.16999999999996"/>
    <s v="N/A"/>
    <x v="1"/>
    <x v="1"/>
  </r>
  <r>
    <s v="GL001750"/>
    <d v="2023-08-04T00:00:00"/>
    <x v="0"/>
    <x v="0"/>
    <n v="0"/>
    <n v="4978.6499999999996"/>
    <x v="2"/>
    <x v="0"/>
    <s v="AutoPost 1750"/>
    <s v="USD"/>
    <x v="4"/>
    <n v="4978.6499999999996"/>
    <m/>
    <n v="4978.6499999999996"/>
    <s v="N/A"/>
    <x v="1"/>
    <x v="1"/>
  </r>
  <r>
    <s v="GL001751"/>
    <d v="2025-06-30T00:00:00"/>
    <x v="2"/>
    <x v="2"/>
    <n v="912.48"/>
    <n v="0"/>
    <x v="4"/>
    <x v="0"/>
    <s v="AutoPost 1751"/>
    <s v="EUR"/>
    <x v="19"/>
    <n v="-912.48"/>
    <m/>
    <n v="-912.48"/>
    <s v="N/A"/>
    <x v="1"/>
    <x v="0"/>
  </r>
  <r>
    <s v="GL001752"/>
    <d v="2025-03-05T00:00:00"/>
    <x v="0"/>
    <x v="0"/>
    <n v="0"/>
    <n v="3719.23"/>
    <x v="2"/>
    <x v="4"/>
    <s v="AutoPost 1752"/>
    <s v="GBP"/>
    <x v="13"/>
    <n v="3719.23"/>
    <m/>
    <n v="3719.23"/>
    <s v="N/A"/>
    <x v="1"/>
    <x v="1"/>
  </r>
  <r>
    <s v="GL001753"/>
    <d v="2025-01-07T00:00:00"/>
    <x v="1"/>
    <x v="1"/>
    <n v="136.12"/>
    <n v="0"/>
    <x v="2"/>
    <x v="4"/>
    <s v="AutoPost 1753"/>
    <s v="GBP"/>
    <x v="2"/>
    <n v="-136.12"/>
    <m/>
    <n v="-136.12"/>
    <s v="N/A"/>
    <x v="1"/>
    <x v="0"/>
  </r>
  <r>
    <s v="GL001754"/>
    <d v="2024-09-22T00:00:00"/>
    <x v="1"/>
    <x v="1"/>
    <n v="501.66"/>
    <n v="0"/>
    <x v="5"/>
    <x v="2"/>
    <s v="AutoPost 1754"/>
    <s v="AUD"/>
    <x v="15"/>
    <n v="-501.66"/>
    <m/>
    <n v="-501.66"/>
    <s v="N/A"/>
    <x v="1"/>
    <x v="0"/>
  </r>
  <r>
    <s v="GL001755"/>
    <d v="2025-05-11T00:00:00"/>
    <x v="4"/>
    <x v="4"/>
    <n v="0"/>
    <n v="4477.99"/>
    <x v="5"/>
    <x v="1"/>
    <s v="AutoPost 1755"/>
    <s v="GBP"/>
    <x v="5"/>
    <n v="4477.99"/>
    <m/>
    <n v="4477.99"/>
    <s v="N/A"/>
    <x v="1"/>
    <x v="1"/>
  </r>
  <r>
    <s v="GL001756"/>
    <d v="2025-03-19T00:00:00"/>
    <x v="1"/>
    <x v="1"/>
    <n v="310.49"/>
    <n v="0"/>
    <x v="1"/>
    <x v="3"/>
    <s v="AutoPost 1756"/>
    <s v="USD"/>
    <x v="13"/>
    <n v="-310.49"/>
    <m/>
    <n v="-310.49"/>
    <s v="N/A"/>
    <x v="1"/>
    <x v="0"/>
  </r>
  <r>
    <s v="GL001757"/>
    <d v="2024-05-17T00:00:00"/>
    <x v="3"/>
    <x v="3"/>
    <n v="1687.77"/>
    <n v="0"/>
    <x v="3"/>
    <x v="3"/>
    <s v="AutoPost 1757"/>
    <s v="CAD"/>
    <x v="0"/>
    <n v="-1687.77"/>
    <m/>
    <n v="-1687.77"/>
    <s v="N/A"/>
    <x v="1"/>
    <x v="0"/>
  </r>
  <r>
    <s v="GL001758"/>
    <d v="2024-03-25T00:00:00"/>
    <x v="4"/>
    <x v="4"/>
    <n v="0"/>
    <n v="3606.68"/>
    <x v="0"/>
    <x v="0"/>
    <s v="AutoPost 1758"/>
    <s v="CAD"/>
    <x v="16"/>
    <n v="3606.68"/>
    <m/>
    <n v="3606.68"/>
    <s v="N/A"/>
    <x v="1"/>
    <x v="1"/>
  </r>
  <r>
    <s v="GL001759"/>
    <d v="2023-04-06T00:00:00"/>
    <x v="3"/>
    <x v="3"/>
    <n v="1726.93"/>
    <n v="0"/>
    <x v="4"/>
    <x v="2"/>
    <s v="AutoPost 1759"/>
    <s v="AUD"/>
    <x v="8"/>
    <n v="-1726.93"/>
    <m/>
    <n v="-1726.93"/>
    <s v="N/A"/>
    <x v="1"/>
    <x v="0"/>
  </r>
  <r>
    <s v="GL001760"/>
    <d v="2023-03-13T00:00:00"/>
    <x v="4"/>
    <x v="4"/>
    <n v="0"/>
    <n v="4091.1"/>
    <x v="5"/>
    <x v="0"/>
    <s v="AutoPost 1760"/>
    <s v="AUD"/>
    <x v="18"/>
    <n v="4091.1"/>
    <m/>
    <n v="4091.1"/>
    <s v="N/A"/>
    <x v="1"/>
    <x v="1"/>
  </r>
  <r>
    <s v="GL001761"/>
    <d v="2023-07-08T00:00:00"/>
    <x v="1"/>
    <x v="1"/>
    <n v="1712.78"/>
    <n v="0"/>
    <x v="2"/>
    <x v="4"/>
    <s v="AutoPost 1761"/>
    <s v="AUD"/>
    <x v="17"/>
    <n v="-1712.78"/>
    <m/>
    <n v="-1712.78"/>
    <s v="N/A"/>
    <x v="1"/>
    <x v="0"/>
  </r>
  <r>
    <s v="GL001762"/>
    <d v="2023-05-05T00:00:00"/>
    <x v="4"/>
    <x v="4"/>
    <n v="0"/>
    <n v="4088.16"/>
    <x v="1"/>
    <x v="3"/>
    <s v="AutoPost 1762"/>
    <s v="EUR"/>
    <x v="29"/>
    <n v="4088.16"/>
    <m/>
    <n v="4088.16"/>
    <s v="N/A"/>
    <x v="1"/>
    <x v="1"/>
  </r>
  <r>
    <s v="GL001763"/>
    <d v="2023-06-16T00:00:00"/>
    <x v="1"/>
    <x v="1"/>
    <n v="1941.5"/>
    <n v="0"/>
    <x v="2"/>
    <x v="0"/>
    <s v="AutoPost 1763"/>
    <s v="GBP"/>
    <x v="22"/>
    <n v="-1941.5"/>
    <m/>
    <n v="-1941.5"/>
    <s v="N/A"/>
    <x v="1"/>
    <x v="0"/>
  </r>
  <r>
    <s v="GL001764"/>
    <d v="2024-01-02T00:00:00"/>
    <x v="3"/>
    <x v="3"/>
    <n v="1945.41"/>
    <n v="0"/>
    <x v="3"/>
    <x v="0"/>
    <s v="AutoPost 1764"/>
    <s v="GBP"/>
    <x v="20"/>
    <n v="-1945.41"/>
    <m/>
    <n v="-1945.41"/>
    <s v="N/A"/>
    <x v="1"/>
    <x v="0"/>
  </r>
  <r>
    <s v="GL001765"/>
    <d v="2024-02-15T00:00:00"/>
    <x v="1"/>
    <x v="1"/>
    <n v="1421.11"/>
    <n v="0"/>
    <x v="2"/>
    <x v="3"/>
    <s v="AutoPost 1765"/>
    <s v="CAD"/>
    <x v="11"/>
    <n v="-1421.11"/>
    <m/>
    <n v="-1421.11"/>
    <s v="N/A"/>
    <x v="1"/>
    <x v="0"/>
  </r>
  <r>
    <s v="GL001766"/>
    <d v="2023-02-23T00:00:00"/>
    <x v="3"/>
    <x v="3"/>
    <n v="289.94"/>
    <n v="0"/>
    <x v="5"/>
    <x v="3"/>
    <s v="AutoPost 1766"/>
    <s v="USD"/>
    <x v="24"/>
    <n v="-289.94"/>
    <m/>
    <n v="-289.94"/>
    <s v="N/A"/>
    <x v="1"/>
    <x v="0"/>
  </r>
  <r>
    <s v="GL001767"/>
    <d v="2023-08-18T00:00:00"/>
    <x v="3"/>
    <x v="3"/>
    <n v="1061.21"/>
    <n v="0"/>
    <x v="4"/>
    <x v="2"/>
    <s v="AutoPost 1767"/>
    <s v="USD"/>
    <x v="4"/>
    <n v="-1061.21"/>
    <m/>
    <n v="-1061.21"/>
    <s v="N/A"/>
    <x v="1"/>
    <x v="0"/>
  </r>
  <r>
    <s v="GL001768"/>
    <d v="2023-02-26T00:00:00"/>
    <x v="0"/>
    <x v="0"/>
    <n v="0"/>
    <n v="2682.77"/>
    <x v="1"/>
    <x v="3"/>
    <s v="AutoPost 1768"/>
    <s v="GBP"/>
    <x v="24"/>
    <n v="2682.77"/>
    <m/>
    <n v="2682.77"/>
    <s v="N/A"/>
    <x v="1"/>
    <x v="1"/>
  </r>
  <r>
    <s v="GL001769"/>
    <d v="2025-05-31T00:00:00"/>
    <x v="4"/>
    <x v="4"/>
    <n v="0"/>
    <n v="250.7"/>
    <x v="4"/>
    <x v="3"/>
    <s v="AutoPost 1769"/>
    <s v="CAD"/>
    <x v="5"/>
    <n v="250.7"/>
    <m/>
    <n v="250.7"/>
    <s v="N/A"/>
    <x v="1"/>
    <x v="1"/>
  </r>
  <r>
    <s v="GL001770"/>
    <d v="2025-02-11T00:00:00"/>
    <x v="1"/>
    <x v="1"/>
    <n v="1995.64"/>
    <n v="0"/>
    <x v="3"/>
    <x v="0"/>
    <s v="AutoPost 1770"/>
    <s v="USD"/>
    <x v="28"/>
    <n v="-1995.64"/>
    <m/>
    <n v="-1995.64"/>
    <s v="N/A"/>
    <x v="1"/>
    <x v="0"/>
  </r>
  <r>
    <s v="GL001771"/>
    <d v="2023-06-21T00:00:00"/>
    <x v="3"/>
    <x v="3"/>
    <n v="1268.68"/>
    <n v="0"/>
    <x v="1"/>
    <x v="0"/>
    <s v="AutoPost 1771"/>
    <s v="EUR"/>
    <x v="22"/>
    <n v="-1268.68"/>
    <m/>
    <n v="-1268.68"/>
    <s v="N/A"/>
    <x v="1"/>
    <x v="0"/>
  </r>
  <r>
    <s v="GL001772"/>
    <d v="2023-05-23T00:00:00"/>
    <x v="1"/>
    <x v="1"/>
    <n v="1700.66"/>
    <n v="0"/>
    <x v="0"/>
    <x v="0"/>
    <s v="AutoPost 1772"/>
    <s v="CAD"/>
    <x v="29"/>
    <n v="-1700.66"/>
    <m/>
    <n v="-1700.66"/>
    <s v="N/A"/>
    <x v="1"/>
    <x v="0"/>
  </r>
  <r>
    <s v="GL001773"/>
    <d v="2025-06-18T00:00:00"/>
    <x v="2"/>
    <x v="2"/>
    <n v="335.24"/>
    <n v="0"/>
    <x v="4"/>
    <x v="1"/>
    <s v="AutoPost 1773"/>
    <s v="GBP"/>
    <x v="19"/>
    <n v="-335.24"/>
    <m/>
    <n v="-335.24"/>
    <s v="N/A"/>
    <x v="1"/>
    <x v="0"/>
  </r>
  <r>
    <s v="GL001774"/>
    <d v="2024-06-11T00:00:00"/>
    <x v="2"/>
    <x v="2"/>
    <n v="705.25"/>
    <n v="0"/>
    <x v="1"/>
    <x v="2"/>
    <s v="AutoPost 1774"/>
    <s v="AUD"/>
    <x v="1"/>
    <n v="-705.25"/>
    <m/>
    <n v="-705.25"/>
    <s v="N/A"/>
    <x v="1"/>
    <x v="0"/>
  </r>
  <r>
    <s v="GL001775"/>
    <d v="2023-08-03T00:00:00"/>
    <x v="1"/>
    <x v="1"/>
    <n v="1859.77"/>
    <n v="0"/>
    <x v="5"/>
    <x v="4"/>
    <s v="AutoPost 1775"/>
    <s v="AUD"/>
    <x v="4"/>
    <n v="-1859.77"/>
    <m/>
    <n v="-1859.77"/>
    <s v="N/A"/>
    <x v="1"/>
    <x v="0"/>
  </r>
  <r>
    <s v="GL001776"/>
    <d v="2023-12-10T00:00:00"/>
    <x v="2"/>
    <x v="2"/>
    <n v="1672.52"/>
    <n v="0"/>
    <x v="0"/>
    <x v="1"/>
    <s v="AutoPost 1776"/>
    <s v="EUR"/>
    <x v="6"/>
    <n v="-1672.52"/>
    <m/>
    <n v="-1672.52"/>
    <s v="N/A"/>
    <x v="1"/>
    <x v="0"/>
  </r>
  <r>
    <s v="GL001777"/>
    <d v="2024-05-30T00:00:00"/>
    <x v="2"/>
    <x v="2"/>
    <n v="692.89"/>
    <n v="0"/>
    <x v="1"/>
    <x v="2"/>
    <s v="AutoPost 1777"/>
    <s v="GBP"/>
    <x v="0"/>
    <n v="-692.89"/>
    <m/>
    <n v="-692.89"/>
    <s v="N/A"/>
    <x v="1"/>
    <x v="0"/>
  </r>
  <r>
    <s v="GL001778"/>
    <d v="2023-03-12T00:00:00"/>
    <x v="3"/>
    <x v="3"/>
    <n v="324.08"/>
    <n v="0"/>
    <x v="0"/>
    <x v="3"/>
    <s v="AutoPost 1778"/>
    <s v="CAD"/>
    <x v="18"/>
    <n v="-324.08"/>
    <m/>
    <n v="-324.08"/>
    <s v="N/A"/>
    <x v="1"/>
    <x v="0"/>
  </r>
  <r>
    <s v="GL001779"/>
    <d v="2024-09-07T00:00:00"/>
    <x v="2"/>
    <x v="2"/>
    <n v="1164.05"/>
    <n v="0"/>
    <x v="5"/>
    <x v="0"/>
    <s v="AutoPost 1779"/>
    <s v="USD"/>
    <x v="15"/>
    <n v="-1164.05"/>
    <m/>
    <n v="-1164.05"/>
    <s v="N/A"/>
    <x v="1"/>
    <x v="0"/>
  </r>
  <r>
    <s v="GL001780"/>
    <d v="2024-05-01T00:00:00"/>
    <x v="0"/>
    <x v="0"/>
    <n v="0"/>
    <n v="778.57"/>
    <x v="3"/>
    <x v="4"/>
    <s v="AutoPost 1780"/>
    <s v="AUD"/>
    <x v="0"/>
    <n v="778.57"/>
    <m/>
    <n v="778.57"/>
    <s v="N/A"/>
    <x v="1"/>
    <x v="1"/>
  </r>
  <r>
    <s v="GL001781"/>
    <d v="2023-08-23T00:00:00"/>
    <x v="2"/>
    <x v="2"/>
    <n v="670.62"/>
    <n v="0"/>
    <x v="1"/>
    <x v="2"/>
    <s v="AutoPost 1781"/>
    <s v="GBP"/>
    <x v="4"/>
    <n v="-670.62"/>
    <m/>
    <n v="-670.62"/>
    <s v="N/A"/>
    <x v="1"/>
    <x v="0"/>
  </r>
  <r>
    <s v="GL001782"/>
    <d v="2024-09-10T00:00:00"/>
    <x v="2"/>
    <x v="2"/>
    <n v="887.17"/>
    <n v="0"/>
    <x v="2"/>
    <x v="0"/>
    <s v="AutoPost 1782"/>
    <s v="EUR"/>
    <x v="15"/>
    <n v="-887.17"/>
    <m/>
    <n v="-887.17"/>
    <s v="N/A"/>
    <x v="1"/>
    <x v="0"/>
  </r>
  <r>
    <s v="GL001783"/>
    <d v="2024-03-14T00:00:00"/>
    <x v="3"/>
    <x v="3"/>
    <n v="680.13"/>
    <n v="0"/>
    <x v="2"/>
    <x v="3"/>
    <s v="AutoPost 1783"/>
    <s v="AUD"/>
    <x v="16"/>
    <n v="-680.13"/>
    <m/>
    <n v="-680.13"/>
    <s v="N/A"/>
    <x v="1"/>
    <x v="0"/>
  </r>
  <r>
    <s v="GL001784"/>
    <d v="2024-05-03T00:00:00"/>
    <x v="4"/>
    <x v="4"/>
    <n v="0"/>
    <n v="841.83"/>
    <x v="0"/>
    <x v="0"/>
    <s v="AutoPost 1784"/>
    <s v="AUD"/>
    <x v="0"/>
    <n v="841.83"/>
    <m/>
    <n v="841.83"/>
    <s v="N/A"/>
    <x v="1"/>
    <x v="1"/>
  </r>
  <r>
    <s v="GL001785"/>
    <d v="2025-06-10T00:00:00"/>
    <x v="4"/>
    <x v="4"/>
    <n v="0"/>
    <n v="302.97000000000003"/>
    <x v="2"/>
    <x v="1"/>
    <s v="AutoPost 1785"/>
    <s v="USD"/>
    <x v="19"/>
    <n v="302.97000000000003"/>
    <m/>
    <n v="302.97000000000003"/>
    <s v="N/A"/>
    <x v="1"/>
    <x v="1"/>
  </r>
  <r>
    <s v="GL001786"/>
    <d v="2024-12-22T00:00:00"/>
    <x v="1"/>
    <x v="1"/>
    <n v="80.23"/>
    <n v="0"/>
    <x v="1"/>
    <x v="3"/>
    <s v="AutoPost 1786"/>
    <s v="CAD"/>
    <x v="23"/>
    <n v="-80.23"/>
    <m/>
    <n v="-80.23"/>
    <s v="N/A"/>
    <x v="1"/>
    <x v="0"/>
  </r>
  <r>
    <s v="GL001787"/>
    <d v="2024-04-03T00:00:00"/>
    <x v="1"/>
    <x v="1"/>
    <n v="338.61"/>
    <n v="0"/>
    <x v="4"/>
    <x v="2"/>
    <s v="AutoPost 1787"/>
    <s v="USD"/>
    <x v="7"/>
    <n v="-338.61"/>
    <m/>
    <n v="-338.61"/>
    <s v="N/A"/>
    <x v="1"/>
    <x v="0"/>
  </r>
  <r>
    <s v="GL001788"/>
    <d v="2023-03-29T00:00:00"/>
    <x v="1"/>
    <x v="1"/>
    <n v="1098.3699999999999"/>
    <n v="0"/>
    <x v="4"/>
    <x v="4"/>
    <s v="AutoPost 1788"/>
    <s v="USD"/>
    <x v="18"/>
    <n v="-1098.3699999999999"/>
    <m/>
    <n v="-1098.3699999999999"/>
    <s v="N/A"/>
    <x v="1"/>
    <x v="0"/>
  </r>
  <r>
    <s v="GL001789"/>
    <d v="2025-06-10T00:00:00"/>
    <x v="0"/>
    <x v="0"/>
    <n v="0"/>
    <n v="2290.62"/>
    <x v="0"/>
    <x v="3"/>
    <s v="AutoPost 1789"/>
    <s v="CAD"/>
    <x v="19"/>
    <n v="2290.62"/>
    <m/>
    <n v="2290.62"/>
    <s v="N/A"/>
    <x v="1"/>
    <x v="1"/>
  </r>
  <r>
    <s v="GL001790"/>
    <d v="2023-08-12T00:00:00"/>
    <x v="3"/>
    <x v="3"/>
    <n v="1294.49"/>
    <n v="0"/>
    <x v="1"/>
    <x v="4"/>
    <s v="AutoPost 1790"/>
    <s v="CAD"/>
    <x v="4"/>
    <n v="-1294.49"/>
    <m/>
    <n v="-1294.49"/>
    <s v="N/A"/>
    <x v="1"/>
    <x v="0"/>
  </r>
  <r>
    <s v="GL001791"/>
    <d v="2025-03-13T00:00:00"/>
    <x v="3"/>
    <x v="3"/>
    <n v="877.51"/>
    <n v="0"/>
    <x v="4"/>
    <x v="4"/>
    <s v="AutoPost 1791"/>
    <s v="CAD"/>
    <x v="13"/>
    <n v="-877.51"/>
    <m/>
    <n v="-877.51"/>
    <s v="N/A"/>
    <x v="1"/>
    <x v="0"/>
  </r>
  <r>
    <s v="GL001792"/>
    <d v="2024-11-28T00:00:00"/>
    <x v="0"/>
    <x v="0"/>
    <n v="0"/>
    <n v="2987.63"/>
    <x v="1"/>
    <x v="2"/>
    <s v="AutoPost 1792"/>
    <s v="EUR"/>
    <x v="10"/>
    <n v="2987.63"/>
    <m/>
    <n v="2987.63"/>
    <s v="N/A"/>
    <x v="1"/>
    <x v="1"/>
  </r>
  <r>
    <s v="GL001793"/>
    <d v="2024-01-31T00:00:00"/>
    <x v="1"/>
    <x v="1"/>
    <n v="1925.26"/>
    <n v="0"/>
    <x v="4"/>
    <x v="1"/>
    <s v="AutoPost 1793"/>
    <s v="GBP"/>
    <x v="20"/>
    <n v="-1925.26"/>
    <m/>
    <n v="-1925.26"/>
    <s v="N/A"/>
    <x v="1"/>
    <x v="0"/>
  </r>
  <r>
    <s v="GL001794"/>
    <d v="2024-03-07T00:00:00"/>
    <x v="0"/>
    <x v="0"/>
    <n v="0"/>
    <n v="1216.3499999999999"/>
    <x v="4"/>
    <x v="3"/>
    <s v="AutoPost 1794"/>
    <s v="CAD"/>
    <x v="16"/>
    <n v="1216.3499999999999"/>
    <m/>
    <n v="1216.3499999999999"/>
    <s v="N/A"/>
    <x v="1"/>
    <x v="1"/>
  </r>
  <r>
    <s v="GL001795"/>
    <d v="2025-04-09T00:00:00"/>
    <x v="3"/>
    <x v="3"/>
    <n v="1553.28"/>
    <n v="0"/>
    <x v="3"/>
    <x v="1"/>
    <s v="AutoPost 1795"/>
    <s v="USD"/>
    <x v="12"/>
    <n v="-1553.28"/>
    <m/>
    <n v="-1553.28"/>
    <s v="N/A"/>
    <x v="1"/>
    <x v="0"/>
  </r>
  <r>
    <s v="GL001796"/>
    <d v="2024-07-21T00:00:00"/>
    <x v="0"/>
    <x v="0"/>
    <n v="0"/>
    <n v="1122.51"/>
    <x v="3"/>
    <x v="4"/>
    <s v="AutoPost 1796"/>
    <s v="USD"/>
    <x v="21"/>
    <n v="1122.51"/>
    <m/>
    <n v="1122.51"/>
    <s v="N/A"/>
    <x v="1"/>
    <x v="1"/>
  </r>
  <r>
    <s v="GL001797"/>
    <d v="2023-02-12T00:00:00"/>
    <x v="2"/>
    <x v="2"/>
    <n v="1893.28"/>
    <n v="0"/>
    <x v="3"/>
    <x v="2"/>
    <s v="AutoPost 1797"/>
    <s v="AUD"/>
    <x v="24"/>
    <n v="-1893.28"/>
    <m/>
    <n v="-1893.28"/>
    <s v="N/A"/>
    <x v="1"/>
    <x v="0"/>
  </r>
  <r>
    <s v="GL001798"/>
    <d v="2024-09-16T00:00:00"/>
    <x v="1"/>
    <x v="1"/>
    <n v="1667.55"/>
    <n v="0"/>
    <x v="1"/>
    <x v="0"/>
    <s v="AutoPost 1798"/>
    <s v="EUR"/>
    <x v="15"/>
    <n v="-1667.55"/>
    <m/>
    <n v="-1667.55"/>
    <s v="N/A"/>
    <x v="1"/>
    <x v="0"/>
  </r>
  <r>
    <s v="GL001799"/>
    <d v="2023-12-20T00:00:00"/>
    <x v="1"/>
    <x v="1"/>
    <n v="1448.96"/>
    <n v="0"/>
    <x v="0"/>
    <x v="4"/>
    <s v="AutoPost 1799"/>
    <s v="USD"/>
    <x v="6"/>
    <n v="-1448.96"/>
    <m/>
    <n v="-1448.96"/>
    <s v="N/A"/>
    <x v="1"/>
    <x v="0"/>
  </r>
  <r>
    <s v="GL001800"/>
    <d v="2024-01-27T00:00:00"/>
    <x v="3"/>
    <x v="3"/>
    <n v="292.83999999999997"/>
    <n v="0"/>
    <x v="3"/>
    <x v="3"/>
    <s v="AutoPost 1800"/>
    <s v="USD"/>
    <x v="20"/>
    <n v="-292.83999999999997"/>
    <m/>
    <n v="-292.83999999999997"/>
    <s v="N/A"/>
    <x v="1"/>
    <x v="0"/>
  </r>
  <r>
    <s v="GL001801"/>
    <d v="2023-11-15T00:00:00"/>
    <x v="1"/>
    <x v="1"/>
    <n v="1746.92"/>
    <n v="0"/>
    <x v="2"/>
    <x v="1"/>
    <s v="AutoPost 1801"/>
    <s v="USD"/>
    <x v="9"/>
    <n v="-1746.92"/>
    <m/>
    <n v="-1746.92"/>
    <s v="N/A"/>
    <x v="1"/>
    <x v="0"/>
  </r>
  <r>
    <s v="GL001802"/>
    <d v="2023-09-03T00:00:00"/>
    <x v="2"/>
    <x v="2"/>
    <n v="870.1"/>
    <n v="0"/>
    <x v="4"/>
    <x v="2"/>
    <s v="AutoPost 1802"/>
    <s v="CAD"/>
    <x v="3"/>
    <n v="-870.1"/>
    <m/>
    <n v="-870.1"/>
    <s v="N/A"/>
    <x v="1"/>
    <x v="0"/>
  </r>
  <r>
    <s v="GL001803"/>
    <d v="2023-03-01T00:00:00"/>
    <x v="1"/>
    <x v="1"/>
    <n v="1451.54"/>
    <n v="0"/>
    <x v="2"/>
    <x v="3"/>
    <s v="AutoPost 1803"/>
    <s v="USD"/>
    <x v="18"/>
    <n v="-1451.54"/>
    <m/>
    <n v="-1451.54"/>
    <s v="N/A"/>
    <x v="1"/>
    <x v="0"/>
  </r>
  <r>
    <s v="GL001804"/>
    <d v="2023-05-14T00:00:00"/>
    <x v="4"/>
    <x v="4"/>
    <n v="0"/>
    <n v="905.45"/>
    <x v="0"/>
    <x v="0"/>
    <s v="AutoPost 1804"/>
    <s v="AUD"/>
    <x v="29"/>
    <n v="905.45"/>
    <m/>
    <n v="905.45"/>
    <s v="N/A"/>
    <x v="1"/>
    <x v="1"/>
  </r>
  <r>
    <s v="GL001805"/>
    <d v="2023-12-28T00:00:00"/>
    <x v="1"/>
    <x v="1"/>
    <n v="435.57"/>
    <n v="0"/>
    <x v="2"/>
    <x v="3"/>
    <s v="AutoPost 1805"/>
    <s v="USD"/>
    <x v="6"/>
    <n v="-435.57"/>
    <m/>
    <n v="-435.57"/>
    <s v="N/A"/>
    <x v="1"/>
    <x v="0"/>
  </r>
  <r>
    <s v="GL001806"/>
    <d v="2025-03-12T00:00:00"/>
    <x v="4"/>
    <x v="4"/>
    <n v="0"/>
    <n v="1129.92"/>
    <x v="5"/>
    <x v="4"/>
    <s v="AutoPost 1806"/>
    <s v="EUR"/>
    <x v="13"/>
    <n v="1129.92"/>
    <m/>
    <n v="1129.92"/>
    <s v="N/A"/>
    <x v="1"/>
    <x v="1"/>
  </r>
  <r>
    <s v="GL001807"/>
    <d v="2023-03-23T00:00:00"/>
    <x v="1"/>
    <x v="1"/>
    <n v="956.25"/>
    <n v="0"/>
    <x v="0"/>
    <x v="3"/>
    <s v="AutoPost 1807"/>
    <s v="EUR"/>
    <x v="18"/>
    <n v="-956.25"/>
    <m/>
    <n v="-956.25"/>
    <s v="N/A"/>
    <x v="1"/>
    <x v="0"/>
  </r>
  <r>
    <s v="GL001808"/>
    <d v="2024-10-08T00:00:00"/>
    <x v="1"/>
    <x v="1"/>
    <n v="1866.55"/>
    <n v="0"/>
    <x v="1"/>
    <x v="0"/>
    <s v="AutoPost 1808"/>
    <s v="EUR"/>
    <x v="26"/>
    <n v="-1866.55"/>
    <m/>
    <n v="-1866.55"/>
    <s v="N/A"/>
    <x v="1"/>
    <x v="0"/>
  </r>
  <r>
    <s v="GL001809"/>
    <d v="2025-06-07T00:00:00"/>
    <x v="1"/>
    <x v="1"/>
    <n v="1920.83"/>
    <n v="0"/>
    <x v="3"/>
    <x v="3"/>
    <s v="AutoPost 1809"/>
    <s v="CAD"/>
    <x v="19"/>
    <n v="-1920.83"/>
    <m/>
    <n v="-1920.83"/>
    <s v="N/A"/>
    <x v="1"/>
    <x v="0"/>
  </r>
  <r>
    <s v="GL001810"/>
    <d v="2024-11-07T00:00:00"/>
    <x v="0"/>
    <x v="0"/>
    <n v="0"/>
    <n v="4953.79"/>
    <x v="5"/>
    <x v="1"/>
    <s v="AutoPost 1810"/>
    <s v="CAD"/>
    <x v="10"/>
    <n v="4953.79"/>
    <m/>
    <n v="4953.79"/>
    <s v="N/A"/>
    <x v="1"/>
    <x v="1"/>
  </r>
  <r>
    <s v="GL001811"/>
    <d v="2024-05-11T00:00:00"/>
    <x v="1"/>
    <x v="1"/>
    <n v="1790.29"/>
    <n v="0"/>
    <x v="5"/>
    <x v="1"/>
    <s v="AutoPost 1811"/>
    <s v="GBP"/>
    <x v="0"/>
    <n v="-1790.29"/>
    <m/>
    <n v="-1790.29"/>
    <s v="N/A"/>
    <x v="1"/>
    <x v="0"/>
  </r>
  <r>
    <s v="GL001812"/>
    <d v="2025-05-25T00:00:00"/>
    <x v="0"/>
    <x v="0"/>
    <n v="0"/>
    <n v="523.59"/>
    <x v="1"/>
    <x v="3"/>
    <s v="AutoPost 1812"/>
    <s v="CAD"/>
    <x v="5"/>
    <n v="523.59"/>
    <m/>
    <n v="523.59"/>
    <s v="N/A"/>
    <x v="1"/>
    <x v="1"/>
  </r>
  <r>
    <s v="GL001813"/>
    <d v="2024-01-07T00:00:00"/>
    <x v="3"/>
    <x v="3"/>
    <n v="200.91"/>
    <n v="0"/>
    <x v="4"/>
    <x v="3"/>
    <s v="AutoPost 1813"/>
    <s v="USD"/>
    <x v="20"/>
    <n v="-200.91"/>
    <m/>
    <n v="-200.91"/>
    <s v="N/A"/>
    <x v="1"/>
    <x v="0"/>
  </r>
  <r>
    <s v="GL001814"/>
    <d v="2024-11-16T00:00:00"/>
    <x v="2"/>
    <x v="2"/>
    <n v="219.39"/>
    <n v="0"/>
    <x v="1"/>
    <x v="4"/>
    <s v="AutoPost 1814"/>
    <s v="CAD"/>
    <x v="10"/>
    <n v="-219.39"/>
    <m/>
    <n v="-219.39"/>
    <s v="N/A"/>
    <x v="1"/>
    <x v="0"/>
  </r>
  <r>
    <s v="GL001815"/>
    <d v="2023-03-15T00:00:00"/>
    <x v="3"/>
    <x v="3"/>
    <n v="1274.73"/>
    <n v="0"/>
    <x v="5"/>
    <x v="4"/>
    <s v="AutoPost 1815"/>
    <s v="CAD"/>
    <x v="18"/>
    <n v="-1274.73"/>
    <m/>
    <n v="-1274.73"/>
    <s v="N/A"/>
    <x v="1"/>
    <x v="0"/>
  </r>
  <r>
    <s v="GL001816"/>
    <d v="2025-04-28T00:00:00"/>
    <x v="1"/>
    <x v="1"/>
    <n v="692.56"/>
    <n v="0"/>
    <x v="0"/>
    <x v="0"/>
    <s v="AutoPost 1816"/>
    <s v="AUD"/>
    <x v="12"/>
    <n v="-692.56"/>
    <m/>
    <n v="-692.56"/>
    <s v="N/A"/>
    <x v="1"/>
    <x v="0"/>
  </r>
  <r>
    <s v="GL001817"/>
    <d v="2025-02-16T00:00:00"/>
    <x v="1"/>
    <x v="1"/>
    <n v="1914.11"/>
    <n v="0"/>
    <x v="5"/>
    <x v="3"/>
    <s v="AutoPost 1817"/>
    <s v="EUR"/>
    <x v="28"/>
    <n v="-1914.11"/>
    <m/>
    <n v="-1914.11"/>
    <s v="N/A"/>
    <x v="1"/>
    <x v="0"/>
  </r>
  <r>
    <s v="GL001818"/>
    <d v="2023-04-11T00:00:00"/>
    <x v="3"/>
    <x v="3"/>
    <n v="1033.2"/>
    <n v="0"/>
    <x v="1"/>
    <x v="0"/>
    <s v="AutoPost 1818"/>
    <s v="AUD"/>
    <x v="8"/>
    <n v="-1033.2"/>
    <m/>
    <n v="-1033.2"/>
    <s v="N/A"/>
    <x v="1"/>
    <x v="0"/>
  </r>
  <r>
    <s v="GL001819"/>
    <d v="2023-02-01T00:00:00"/>
    <x v="4"/>
    <x v="4"/>
    <n v="0"/>
    <n v="2648.51"/>
    <x v="3"/>
    <x v="1"/>
    <s v="AutoPost 1819"/>
    <s v="CAD"/>
    <x v="24"/>
    <n v="2648.51"/>
    <m/>
    <n v="2648.51"/>
    <s v="N/A"/>
    <x v="1"/>
    <x v="1"/>
  </r>
  <r>
    <s v="GL001820"/>
    <d v="2023-07-11T00:00:00"/>
    <x v="0"/>
    <x v="0"/>
    <n v="0"/>
    <n v="737.9"/>
    <x v="5"/>
    <x v="1"/>
    <s v="AutoPost 1820"/>
    <s v="EUR"/>
    <x v="17"/>
    <n v="737.9"/>
    <m/>
    <n v="737.9"/>
    <s v="N/A"/>
    <x v="1"/>
    <x v="1"/>
  </r>
  <r>
    <s v="GL001821"/>
    <d v="2023-12-29T00:00:00"/>
    <x v="2"/>
    <x v="2"/>
    <n v="323.47000000000003"/>
    <n v="0"/>
    <x v="3"/>
    <x v="2"/>
    <s v="AutoPost 1821"/>
    <s v="USD"/>
    <x v="6"/>
    <n v="-323.47000000000003"/>
    <m/>
    <n v="-323.47000000000003"/>
    <s v="N/A"/>
    <x v="1"/>
    <x v="0"/>
  </r>
  <r>
    <s v="GL001822"/>
    <d v="2024-04-28T00:00:00"/>
    <x v="3"/>
    <x v="3"/>
    <n v="728.68"/>
    <n v="0"/>
    <x v="1"/>
    <x v="1"/>
    <s v="AutoPost 1822"/>
    <s v="CAD"/>
    <x v="7"/>
    <n v="-728.68"/>
    <m/>
    <n v="-728.68"/>
    <s v="N/A"/>
    <x v="1"/>
    <x v="0"/>
  </r>
  <r>
    <s v="GL001823"/>
    <d v="2024-03-23T00:00:00"/>
    <x v="1"/>
    <x v="1"/>
    <n v="1625.93"/>
    <n v="0"/>
    <x v="3"/>
    <x v="0"/>
    <s v="AutoPost 1823"/>
    <s v="EUR"/>
    <x v="16"/>
    <n v="-1625.93"/>
    <m/>
    <n v="-1625.93"/>
    <s v="N/A"/>
    <x v="1"/>
    <x v="0"/>
  </r>
  <r>
    <s v="GL001824"/>
    <d v="2024-07-01T00:00:00"/>
    <x v="0"/>
    <x v="0"/>
    <n v="0"/>
    <n v="166.02"/>
    <x v="2"/>
    <x v="0"/>
    <s v="AutoPost 1824"/>
    <s v="EUR"/>
    <x v="21"/>
    <n v="166.02"/>
    <m/>
    <n v="166.02"/>
    <s v="N/A"/>
    <x v="1"/>
    <x v="1"/>
  </r>
  <r>
    <s v="GL001825"/>
    <d v="2024-07-19T00:00:00"/>
    <x v="1"/>
    <x v="1"/>
    <n v="510"/>
    <n v="0"/>
    <x v="2"/>
    <x v="2"/>
    <s v="AutoPost 1825"/>
    <s v="AUD"/>
    <x v="21"/>
    <n v="-510"/>
    <m/>
    <n v="-510"/>
    <s v="N/A"/>
    <x v="1"/>
    <x v="0"/>
  </r>
  <r>
    <s v="GL001826"/>
    <d v="2024-10-09T00:00:00"/>
    <x v="4"/>
    <x v="4"/>
    <n v="0"/>
    <n v="1743.21"/>
    <x v="5"/>
    <x v="2"/>
    <s v="AutoPost 1826"/>
    <s v="GBP"/>
    <x v="26"/>
    <n v="1743.21"/>
    <m/>
    <n v="1743.21"/>
    <s v="N/A"/>
    <x v="1"/>
    <x v="1"/>
  </r>
  <r>
    <s v="GL001827"/>
    <d v="2024-07-15T00:00:00"/>
    <x v="3"/>
    <x v="3"/>
    <n v="652.48"/>
    <n v="0"/>
    <x v="0"/>
    <x v="0"/>
    <s v="AutoPost 1827"/>
    <s v="AUD"/>
    <x v="21"/>
    <n v="-652.48"/>
    <m/>
    <n v="-652.48"/>
    <s v="N/A"/>
    <x v="1"/>
    <x v="0"/>
  </r>
  <r>
    <s v="GL001828"/>
    <d v="2023-11-17T00:00:00"/>
    <x v="1"/>
    <x v="1"/>
    <n v="710.38"/>
    <n v="0"/>
    <x v="0"/>
    <x v="4"/>
    <s v="AutoPost 1828"/>
    <s v="EUR"/>
    <x v="9"/>
    <n v="-710.38"/>
    <m/>
    <n v="-710.38"/>
    <s v="N/A"/>
    <x v="1"/>
    <x v="0"/>
  </r>
  <r>
    <s v="GL001829"/>
    <d v="2025-03-01T00:00:00"/>
    <x v="4"/>
    <x v="4"/>
    <n v="0"/>
    <n v="4569.3500000000004"/>
    <x v="0"/>
    <x v="3"/>
    <s v="AutoPost 1829"/>
    <s v="EUR"/>
    <x v="13"/>
    <n v="4569.3500000000004"/>
    <m/>
    <n v="4569.3500000000004"/>
    <s v="N/A"/>
    <x v="1"/>
    <x v="1"/>
  </r>
  <r>
    <s v="GL001830"/>
    <d v="2024-10-31T00:00:00"/>
    <x v="1"/>
    <x v="1"/>
    <n v="1247.49"/>
    <n v="0"/>
    <x v="4"/>
    <x v="2"/>
    <s v="AutoPost 1830"/>
    <s v="AUD"/>
    <x v="26"/>
    <n v="-1247.49"/>
    <m/>
    <n v="-1247.49"/>
    <s v="N/A"/>
    <x v="1"/>
    <x v="0"/>
  </r>
  <r>
    <s v="GL001831"/>
    <d v="2024-06-24T00:00:00"/>
    <x v="2"/>
    <x v="2"/>
    <n v="153.35"/>
    <n v="0"/>
    <x v="4"/>
    <x v="2"/>
    <s v="AutoPost 1831"/>
    <s v="CAD"/>
    <x v="1"/>
    <n v="-153.35"/>
    <m/>
    <n v="-153.35"/>
    <s v="N/A"/>
    <x v="1"/>
    <x v="0"/>
  </r>
  <r>
    <s v="GL001832"/>
    <d v="2025-02-23T00:00:00"/>
    <x v="4"/>
    <x v="4"/>
    <n v="0"/>
    <n v="432.36"/>
    <x v="0"/>
    <x v="2"/>
    <s v="AutoPost 1832"/>
    <s v="AUD"/>
    <x v="28"/>
    <n v="432.36"/>
    <m/>
    <n v="432.36"/>
    <s v="N/A"/>
    <x v="1"/>
    <x v="1"/>
  </r>
  <r>
    <s v="GL001833"/>
    <d v="2025-02-24T00:00:00"/>
    <x v="3"/>
    <x v="3"/>
    <n v="283.95999999999998"/>
    <n v="0"/>
    <x v="1"/>
    <x v="0"/>
    <s v="AutoPost 1833"/>
    <s v="USD"/>
    <x v="28"/>
    <n v="-283.95999999999998"/>
    <m/>
    <n v="-283.95999999999998"/>
    <s v="N/A"/>
    <x v="1"/>
    <x v="0"/>
  </r>
  <r>
    <s v="GL001834"/>
    <d v="2023-02-09T00:00:00"/>
    <x v="1"/>
    <x v="1"/>
    <n v="1915.58"/>
    <n v="0"/>
    <x v="4"/>
    <x v="4"/>
    <s v="AutoPost 1834"/>
    <s v="USD"/>
    <x v="24"/>
    <n v="-1915.58"/>
    <m/>
    <n v="-1915.58"/>
    <s v="N/A"/>
    <x v="1"/>
    <x v="0"/>
  </r>
  <r>
    <s v="GL001835"/>
    <d v="2023-04-09T00:00:00"/>
    <x v="1"/>
    <x v="1"/>
    <n v="229.78"/>
    <n v="0"/>
    <x v="3"/>
    <x v="3"/>
    <s v="AutoPost 1835"/>
    <s v="GBP"/>
    <x v="8"/>
    <n v="-229.78"/>
    <m/>
    <n v="-229.78"/>
    <s v="N/A"/>
    <x v="1"/>
    <x v="0"/>
  </r>
  <r>
    <s v="GL001836"/>
    <d v="2024-12-25T00:00:00"/>
    <x v="2"/>
    <x v="2"/>
    <n v="1583.41"/>
    <n v="0"/>
    <x v="1"/>
    <x v="0"/>
    <s v="AutoPost 1836"/>
    <s v="EUR"/>
    <x v="23"/>
    <n v="-1583.41"/>
    <m/>
    <n v="-1583.41"/>
    <s v="N/A"/>
    <x v="1"/>
    <x v="0"/>
  </r>
  <r>
    <s v="GL001837"/>
    <d v="2023-02-21T00:00:00"/>
    <x v="4"/>
    <x v="4"/>
    <n v="0"/>
    <n v="4316.26"/>
    <x v="1"/>
    <x v="4"/>
    <s v="AutoPost 1837"/>
    <s v="GBP"/>
    <x v="24"/>
    <n v="4316.26"/>
    <m/>
    <n v="4316.26"/>
    <s v="N/A"/>
    <x v="1"/>
    <x v="1"/>
  </r>
  <r>
    <s v="GL001838"/>
    <d v="2024-06-17T00:00:00"/>
    <x v="0"/>
    <x v="0"/>
    <n v="0"/>
    <n v="887.28"/>
    <x v="0"/>
    <x v="3"/>
    <s v="AutoPost 1838"/>
    <s v="EUR"/>
    <x v="1"/>
    <n v="887.28"/>
    <m/>
    <n v="887.28"/>
    <s v="N/A"/>
    <x v="1"/>
    <x v="1"/>
  </r>
  <r>
    <s v="GL001839"/>
    <d v="2025-06-23T00:00:00"/>
    <x v="4"/>
    <x v="4"/>
    <n v="0"/>
    <n v="1446.64"/>
    <x v="1"/>
    <x v="2"/>
    <s v="AutoPost 1839"/>
    <s v="EUR"/>
    <x v="19"/>
    <n v="1446.64"/>
    <m/>
    <n v="1446.64"/>
    <s v="N/A"/>
    <x v="1"/>
    <x v="1"/>
  </r>
  <r>
    <s v="GL001840"/>
    <d v="2024-11-19T00:00:00"/>
    <x v="3"/>
    <x v="3"/>
    <n v="794.56"/>
    <n v="0"/>
    <x v="5"/>
    <x v="4"/>
    <s v="AutoPost 1840"/>
    <s v="USD"/>
    <x v="10"/>
    <n v="-794.56"/>
    <m/>
    <n v="-794.56"/>
    <s v="N/A"/>
    <x v="1"/>
    <x v="0"/>
  </r>
  <r>
    <s v="GL001841"/>
    <d v="2023-03-08T00:00:00"/>
    <x v="0"/>
    <x v="0"/>
    <n v="0"/>
    <n v="1094.51"/>
    <x v="1"/>
    <x v="2"/>
    <s v="AutoPost 1841"/>
    <s v="USD"/>
    <x v="18"/>
    <n v="1094.51"/>
    <m/>
    <n v="1094.51"/>
    <s v="N/A"/>
    <x v="1"/>
    <x v="1"/>
  </r>
  <r>
    <s v="GL001842"/>
    <d v="2024-05-09T00:00:00"/>
    <x v="4"/>
    <x v="4"/>
    <n v="0"/>
    <n v="1492.82"/>
    <x v="2"/>
    <x v="3"/>
    <s v="AutoPost 1842"/>
    <s v="USD"/>
    <x v="0"/>
    <n v="1492.82"/>
    <m/>
    <n v="1492.82"/>
    <s v="N/A"/>
    <x v="1"/>
    <x v="1"/>
  </r>
  <r>
    <s v="GL001843"/>
    <d v="2025-01-03T00:00:00"/>
    <x v="0"/>
    <x v="0"/>
    <n v="0"/>
    <n v="1521.98"/>
    <x v="3"/>
    <x v="2"/>
    <s v="AutoPost 1843"/>
    <s v="GBP"/>
    <x v="2"/>
    <n v="1521.98"/>
    <m/>
    <n v="1521.98"/>
    <s v="N/A"/>
    <x v="1"/>
    <x v="1"/>
  </r>
  <r>
    <s v="GL001844"/>
    <d v="2024-08-23T00:00:00"/>
    <x v="3"/>
    <x v="3"/>
    <n v="597.86"/>
    <n v="0"/>
    <x v="3"/>
    <x v="4"/>
    <s v="AutoPost 1844"/>
    <s v="EUR"/>
    <x v="25"/>
    <n v="-597.86"/>
    <m/>
    <n v="-597.86"/>
    <s v="N/A"/>
    <x v="1"/>
    <x v="0"/>
  </r>
  <r>
    <s v="GL001845"/>
    <d v="2024-01-21T00:00:00"/>
    <x v="2"/>
    <x v="2"/>
    <n v="106.18"/>
    <n v="0"/>
    <x v="3"/>
    <x v="3"/>
    <s v="AutoPost 1845"/>
    <s v="USD"/>
    <x v="20"/>
    <n v="-106.18"/>
    <m/>
    <n v="-106.18"/>
    <s v="N/A"/>
    <x v="1"/>
    <x v="0"/>
  </r>
  <r>
    <s v="GL001846"/>
    <d v="2023-07-11T00:00:00"/>
    <x v="3"/>
    <x v="3"/>
    <n v="446.48"/>
    <n v="0"/>
    <x v="0"/>
    <x v="3"/>
    <s v="AutoPost 1846"/>
    <s v="GBP"/>
    <x v="17"/>
    <n v="-446.48"/>
    <m/>
    <n v="-446.48"/>
    <s v="N/A"/>
    <x v="1"/>
    <x v="0"/>
  </r>
  <r>
    <s v="GL001847"/>
    <d v="2024-12-19T00:00:00"/>
    <x v="2"/>
    <x v="2"/>
    <n v="405.28"/>
    <n v="0"/>
    <x v="1"/>
    <x v="2"/>
    <s v="AutoPost 1847"/>
    <s v="GBP"/>
    <x v="23"/>
    <n v="-405.28"/>
    <m/>
    <n v="-405.28"/>
    <s v="N/A"/>
    <x v="1"/>
    <x v="0"/>
  </r>
  <r>
    <s v="GL001848"/>
    <d v="2023-07-13T00:00:00"/>
    <x v="1"/>
    <x v="1"/>
    <n v="1418.69"/>
    <n v="0"/>
    <x v="1"/>
    <x v="1"/>
    <s v="AutoPost 1848"/>
    <s v="USD"/>
    <x v="17"/>
    <n v="-1418.69"/>
    <m/>
    <n v="-1418.69"/>
    <s v="N/A"/>
    <x v="1"/>
    <x v="0"/>
  </r>
  <r>
    <s v="GL001849"/>
    <d v="2025-02-26T00:00:00"/>
    <x v="2"/>
    <x v="2"/>
    <n v="622.67999999999995"/>
    <n v="0"/>
    <x v="1"/>
    <x v="3"/>
    <s v="AutoPost 1849"/>
    <s v="USD"/>
    <x v="28"/>
    <n v="-622.67999999999995"/>
    <m/>
    <n v="-622.67999999999995"/>
    <s v="N/A"/>
    <x v="1"/>
    <x v="0"/>
  </r>
  <r>
    <s v="GL001850"/>
    <d v="2024-09-01T00:00:00"/>
    <x v="2"/>
    <x v="2"/>
    <n v="568.46"/>
    <n v="0"/>
    <x v="1"/>
    <x v="0"/>
    <s v="AutoPost 1850"/>
    <s v="AUD"/>
    <x v="15"/>
    <n v="-568.46"/>
    <m/>
    <n v="-568.46"/>
    <s v="N/A"/>
    <x v="1"/>
    <x v="0"/>
  </r>
  <r>
    <s v="GL001851"/>
    <d v="2023-08-13T00:00:00"/>
    <x v="1"/>
    <x v="1"/>
    <n v="544.71"/>
    <n v="0"/>
    <x v="5"/>
    <x v="4"/>
    <s v="AutoPost 1851"/>
    <s v="CAD"/>
    <x v="4"/>
    <n v="-544.71"/>
    <m/>
    <n v="-544.71"/>
    <s v="N/A"/>
    <x v="1"/>
    <x v="0"/>
  </r>
  <r>
    <s v="GL001852"/>
    <d v="2023-01-19T00:00:00"/>
    <x v="1"/>
    <x v="1"/>
    <n v="1849.24"/>
    <n v="0"/>
    <x v="3"/>
    <x v="2"/>
    <s v="AutoPost 1852"/>
    <s v="USD"/>
    <x v="14"/>
    <n v="-1849.24"/>
    <m/>
    <n v="-1849.24"/>
    <s v="N/A"/>
    <x v="1"/>
    <x v="0"/>
  </r>
  <r>
    <s v="GL001853"/>
    <d v="2024-08-29T00:00:00"/>
    <x v="2"/>
    <x v="2"/>
    <n v="499.11"/>
    <n v="0"/>
    <x v="0"/>
    <x v="4"/>
    <s v="AutoPost 1853"/>
    <s v="CAD"/>
    <x v="25"/>
    <n v="-499.11"/>
    <m/>
    <n v="-499.11"/>
    <s v="N/A"/>
    <x v="1"/>
    <x v="0"/>
  </r>
  <r>
    <s v="GL001854"/>
    <d v="2024-05-28T00:00:00"/>
    <x v="2"/>
    <x v="2"/>
    <n v="288.41000000000003"/>
    <n v="0"/>
    <x v="3"/>
    <x v="0"/>
    <s v="AutoPost 1854"/>
    <s v="GBP"/>
    <x v="0"/>
    <n v="-288.41000000000003"/>
    <m/>
    <n v="-288.41000000000003"/>
    <s v="N/A"/>
    <x v="1"/>
    <x v="0"/>
  </r>
  <r>
    <s v="GL001855"/>
    <d v="2023-04-17T00:00:00"/>
    <x v="4"/>
    <x v="4"/>
    <n v="0"/>
    <n v="4589.42"/>
    <x v="0"/>
    <x v="2"/>
    <s v="AutoPost 1855"/>
    <s v="EUR"/>
    <x v="8"/>
    <n v="4589.42"/>
    <m/>
    <n v="4589.42"/>
    <s v="N/A"/>
    <x v="1"/>
    <x v="1"/>
  </r>
  <r>
    <s v="GL001856"/>
    <d v="2024-11-17T00:00:00"/>
    <x v="4"/>
    <x v="4"/>
    <n v="0"/>
    <n v="4897.2299999999996"/>
    <x v="3"/>
    <x v="2"/>
    <s v="AutoPost 1856"/>
    <s v="CAD"/>
    <x v="10"/>
    <n v="4897.2299999999996"/>
    <m/>
    <n v="4897.2299999999996"/>
    <s v="N/A"/>
    <x v="1"/>
    <x v="1"/>
  </r>
  <r>
    <s v="GL001857"/>
    <d v="2024-05-05T00:00:00"/>
    <x v="4"/>
    <x v="4"/>
    <n v="0"/>
    <n v="4365.5600000000004"/>
    <x v="5"/>
    <x v="1"/>
    <s v="AutoPost 1857"/>
    <s v="GBP"/>
    <x v="0"/>
    <n v="4365.5600000000004"/>
    <m/>
    <n v="4365.5600000000004"/>
    <s v="N/A"/>
    <x v="1"/>
    <x v="1"/>
  </r>
  <r>
    <s v="GL001858"/>
    <d v="2025-01-06T00:00:00"/>
    <x v="3"/>
    <x v="3"/>
    <n v="1569.69"/>
    <n v="0"/>
    <x v="1"/>
    <x v="2"/>
    <s v="AutoPost 1858"/>
    <s v="USD"/>
    <x v="2"/>
    <n v="-1569.69"/>
    <m/>
    <n v="-1569.69"/>
    <s v="N/A"/>
    <x v="1"/>
    <x v="0"/>
  </r>
  <r>
    <s v="GL001859"/>
    <d v="2025-06-19T00:00:00"/>
    <x v="2"/>
    <x v="2"/>
    <n v="1592.97"/>
    <n v="0"/>
    <x v="1"/>
    <x v="3"/>
    <s v="AutoPost 1859"/>
    <s v="GBP"/>
    <x v="19"/>
    <n v="-1592.97"/>
    <m/>
    <n v="-1592.97"/>
    <s v="N/A"/>
    <x v="1"/>
    <x v="0"/>
  </r>
  <r>
    <s v="GL001860"/>
    <d v="2023-12-10T00:00:00"/>
    <x v="4"/>
    <x v="4"/>
    <n v="0"/>
    <n v="871.59"/>
    <x v="4"/>
    <x v="3"/>
    <s v="AutoPost 1860"/>
    <s v="USD"/>
    <x v="6"/>
    <n v="871.59"/>
    <m/>
    <n v="871.59"/>
    <s v="N/A"/>
    <x v="1"/>
    <x v="1"/>
  </r>
  <r>
    <s v="GL001861"/>
    <d v="2023-04-06T00:00:00"/>
    <x v="1"/>
    <x v="1"/>
    <n v="585.89"/>
    <n v="0"/>
    <x v="1"/>
    <x v="1"/>
    <s v="AutoPost 1861"/>
    <s v="EUR"/>
    <x v="8"/>
    <n v="-585.89"/>
    <m/>
    <n v="-585.89"/>
    <s v="N/A"/>
    <x v="1"/>
    <x v="0"/>
  </r>
  <r>
    <s v="GL001862"/>
    <d v="2023-05-29T00:00:00"/>
    <x v="1"/>
    <x v="1"/>
    <n v="1221.74"/>
    <n v="0"/>
    <x v="5"/>
    <x v="0"/>
    <s v="AutoPost 1862"/>
    <s v="EUR"/>
    <x v="29"/>
    <n v="-1221.74"/>
    <m/>
    <n v="-1221.74"/>
    <s v="N/A"/>
    <x v="1"/>
    <x v="0"/>
  </r>
  <r>
    <s v="GL001863"/>
    <d v="2024-02-25T00:00:00"/>
    <x v="0"/>
    <x v="0"/>
    <n v="0"/>
    <n v="4982.43"/>
    <x v="3"/>
    <x v="1"/>
    <s v="AutoPost 1863"/>
    <s v="GBP"/>
    <x v="11"/>
    <n v="4982.43"/>
    <m/>
    <n v="4982.43"/>
    <s v="N/A"/>
    <x v="1"/>
    <x v="1"/>
  </r>
  <r>
    <s v="GL001864"/>
    <d v="2024-11-21T00:00:00"/>
    <x v="1"/>
    <x v="1"/>
    <n v="1723.01"/>
    <n v="0"/>
    <x v="2"/>
    <x v="4"/>
    <s v="AutoPost 1864"/>
    <s v="AUD"/>
    <x v="10"/>
    <n v="-1723.01"/>
    <m/>
    <n v="-1723.01"/>
    <s v="N/A"/>
    <x v="1"/>
    <x v="0"/>
  </r>
  <r>
    <s v="GL001865"/>
    <d v="2024-12-10T00:00:00"/>
    <x v="3"/>
    <x v="3"/>
    <n v="1741.23"/>
    <n v="0"/>
    <x v="1"/>
    <x v="2"/>
    <s v="AutoPost 1865"/>
    <s v="GBP"/>
    <x v="23"/>
    <n v="-1741.23"/>
    <m/>
    <n v="-1741.23"/>
    <s v="N/A"/>
    <x v="1"/>
    <x v="0"/>
  </r>
  <r>
    <s v="GL001866"/>
    <d v="2024-02-04T00:00:00"/>
    <x v="2"/>
    <x v="2"/>
    <n v="1055.53"/>
    <n v="0"/>
    <x v="2"/>
    <x v="3"/>
    <s v="AutoPost 1866"/>
    <s v="GBP"/>
    <x v="11"/>
    <n v="-1055.53"/>
    <m/>
    <n v="-1055.53"/>
    <s v="N/A"/>
    <x v="1"/>
    <x v="0"/>
  </r>
  <r>
    <s v="GL001867"/>
    <d v="2025-01-27T00:00:00"/>
    <x v="2"/>
    <x v="2"/>
    <n v="349.69"/>
    <n v="0"/>
    <x v="4"/>
    <x v="4"/>
    <s v="AutoPost 1867"/>
    <s v="GBP"/>
    <x v="2"/>
    <n v="-349.69"/>
    <m/>
    <n v="-349.69"/>
    <s v="N/A"/>
    <x v="1"/>
    <x v="0"/>
  </r>
  <r>
    <s v="GL001868"/>
    <d v="2024-10-23T00:00:00"/>
    <x v="4"/>
    <x v="4"/>
    <n v="0"/>
    <n v="1886.23"/>
    <x v="0"/>
    <x v="0"/>
    <s v="AutoPost 1868"/>
    <s v="EUR"/>
    <x v="26"/>
    <n v="1886.23"/>
    <m/>
    <n v="1886.23"/>
    <s v="N/A"/>
    <x v="1"/>
    <x v="1"/>
  </r>
  <r>
    <s v="GL001869"/>
    <d v="2023-12-03T00:00:00"/>
    <x v="2"/>
    <x v="2"/>
    <n v="552.91"/>
    <n v="0"/>
    <x v="3"/>
    <x v="3"/>
    <s v="AutoPost 1869"/>
    <s v="AUD"/>
    <x v="6"/>
    <n v="-552.91"/>
    <m/>
    <n v="-552.91"/>
    <s v="N/A"/>
    <x v="1"/>
    <x v="0"/>
  </r>
  <r>
    <s v="GL001870"/>
    <d v="2024-11-24T00:00:00"/>
    <x v="4"/>
    <x v="4"/>
    <n v="0"/>
    <n v="258.08"/>
    <x v="4"/>
    <x v="1"/>
    <s v="AutoPost 1870"/>
    <s v="USD"/>
    <x v="10"/>
    <n v="258.08"/>
    <m/>
    <n v="258.08"/>
    <s v="N/A"/>
    <x v="1"/>
    <x v="1"/>
  </r>
  <r>
    <s v="GL001871"/>
    <d v="2025-05-18T00:00:00"/>
    <x v="3"/>
    <x v="3"/>
    <n v="1370.81"/>
    <n v="0"/>
    <x v="4"/>
    <x v="0"/>
    <s v="AutoPost 1871"/>
    <s v="AUD"/>
    <x v="5"/>
    <n v="-1370.81"/>
    <m/>
    <n v="-1370.81"/>
    <s v="N/A"/>
    <x v="1"/>
    <x v="0"/>
  </r>
  <r>
    <s v="GL001872"/>
    <d v="2024-03-31T00:00:00"/>
    <x v="2"/>
    <x v="2"/>
    <n v="1669.15"/>
    <n v="0"/>
    <x v="2"/>
    <x v="1"/>
    <s v="AutoPost 1872"/>
    <s v="USD"/>
    <x v="16"/>
    <n v="-1669.15"/>
    <m/>
    <n v="-1669.15"/>
    <s v="N/A"/>
    <x v="1"/>
    <x v="0"/>
  </r>
  <r>
    <s v="GL001873"/>
    <d v="2023-06-18T00:00:00"/>
    <x v="3"/>
    <x v="3"/>
    <n v="1711.71"/>
    <n v="0"/>
    <x v="0"/>
    <x v="2"/>
    <s v="AutoPost 1873"/>
    <s v="EUR"/>
    <x v="22"/>
    <n v="-1711.71"/>
    <m/>
    <n v="-1711.71"/>
    <s v="N/A"/>
    <x v="1"/>
    <x v="0"/>
  </r>
  <r>
    <s v="GL001874"/>
    <d v="2023-01-07T00:00:00"/>
    <x v="1"/>
    <x v="1"/>
    <n v="520.70000000000005"/>
    <n v="0"/>
    <x v="1"/>
    <x v="4"/>
    <s v="AutoPost 1874"/>
    <s v="USD"/>
    <x v="14"/>
    <n v="-520.70000000000005"/>
    <m/>
    <n v="-520.70000000000005"/>
    <s v="N/A"/>
    <x v="1"/>
    <x v="0"/>
  </r>
  <r>
    <s v="GL001875"/>
    <d v="2024-03-27T00:00:00"/>
    <x v="2"/>
    <x v="2"/>
    <n v="501.53"/>
    <n v="0"/>
    <x v="0"/>
    <x v="4"/>
    <s v="AutoPost 1875"/>
    <s v="USD"/>
    <x v="16"/>
    <n v="-501.53"/>
    <m/>
    <n v="-501.53"/>
    <s v="N/A"/>
    <x v="1"/>
    <x v="0"/>
  </r>
  <r>
    <s v="GL001876"/>
    <d v="2024-01-02T00:00:00"/>
    <x v="3"/>
    <x v="3"/>
    <n v="283.45"/>
    <n v="0"/>
    <x v="1"/>
    <x v="1"/>
    <s v="AutoPost 1876"/>
    <s v="USD"/>
    <x v="20"/>
    <n v="-283.45"/>
    <m/>
    <n v="-283.45"/>
    <s v="N/A"/>
    <x v="1"/>
    <x v="0"/>
  </r>
  <r>
    <s v="GL001877"/>
    <d v="2025-06-03T00:00:00"/>
    <x v="4"/>
    <x v="4"/>
    <n v="0"/>
    <n v="3079.85"/>
    <x v="1"/>
    <x v="1"/>
    <s v="AutoPost 1877"/>
    <s v="CAD"/>
    <x v="19"/>
    <n v="3079.85"/>
    <m/>
    <n v="3079.85"/>
    <s v="N/A"/>
    <x v="1"/>
    <x v="1"/>
  </r>
  <r>
    <s v="GL001878"/>
    <d v="2023-10-22T00:00:00"/>
    <x v="2"/>
    <x v="2"/>
    <n v="316.08"/>
    <n v="0"/>
    <x v="1"/>
    <x v="0"/>
    <s v="AutoPost 1878"/>
    <s v="CAD"/>
    <x v="27"/>
    <n v="-316.08"/>
    <m/>
    <n v="-316.08"/>
    <s v="N/A"/>
    <x v="1"/>
    <x v="0"/>
  </r>
  <r>
    <s v="GL001879"/>
    <d v="2024-02-12T00:00:00"/>
    <x v="3"/>
    <x v="3"/>
    <n v="1517.3"/>
    <n v="0"/>
    <x v="4"/>
    <x v="3"/>
    <s v="AutoPost 1879"/>
    <s v="AUD"/>
    <x v="11"/>
    <n v="-1517.3"/>
    <m/>
    <n v="-1517.3"/>
    <s v="N/A"/>
    <x v="1"/>
    <x v="0"/>
  </r>
  <r>
    <s v="GL001880"/>
    <d v="2024-07-20T00:00:00"/>
    <x v="1"/>
    <x v="1"/>
    <n v="1863.66"/>
    <n v="0"/>
    <x v="5"/>
    <x v="4"/>
    <s v="AutoPost 1880"/>
    <s v="CAD"/>
    <x v="21"/>
    <n v="-1863.66"/>
    <m/>
    <n v="-1863.66"/>
    <s v="N/A"/>
    <x v="1"/>
    <x v="0"/>
  </r>
  <r>
    <s v="GL001881"/>
    <d v="2024-06-23T00:00:00"/>
    <x v="1"/>
    <x v="1"/>
    <n v="146.04"/>
    <n v="0"/>
    <x v="5"/>
    <x v="2"/>
    <s v="AutoPost 1881"/>
    <s v="AUD"/>
    <x v="1"/>
    <n v="-146.04"/>
    <m/>
    <n v="-146.04"/>
    <s v="N/A"/>
    <x v="1"/>
    <x v="0"/>
  </r>
  <r>
    <s v="GL001882"/>
    <d v="2023-10-26T00:00:00"/>
    <x v="2"/>
    <x v="2"/>
    <n v="701.14"/>
    <n v="0"/>
    <x v="0"/>
    <x v="2"/>
    <s v="AutoPost 1882"/>
    <s v="EUR"/>
    <x v="27"/>
    <n v="-701.14"/>
    <m/>
    <n v="-701.14"/>
    <s v="N/A"/>
    <x v="1"/>
    <x v="0"/>
  </r>
  <r>
    <s v="GL001883"/>
    <d v="2024-09-27T00:00:00"/>
    <x v="3"/>
    <x v="3"/>
    <n v="1033.6199999999999"/>
    <n v="0"/>
    <x v="2"/>
    <x v="2"/>
    <s v="AutoPost 1883"/>
    <s v="USD"/>
    <x v="15"/>
    <n v="-1033.6199999999999"/>
    <m/>
    <n v="-1033.6199999999999"/>
    <s v="N/A"/>
    <x v="1"/>
    <x v="0"/>
  </r>
  <r>
    <s v="GL001884"/>
    <d v="2025-05-10T00:00:00"/>
    <x v="2"/>
    <x v="2"/>
    <n v="652.77"/>
    <n v="0"/>
    <x v="4"/>
    <x v="1"/>
    <s v="AutoPost 1884"/>
    <s v="USD"/>
    <x v="5"/>
    <n v="-652.77"/>
    <m/>
    <n v="-652.77"/>
    <s v="N/A"/>
    <x v="1"/>
    <x v="0"/>
  </r>
  <r>
    <s v="GL001885"/>
    <d v="2023-07-03T00:00:00"/>
    <x v="0"/>
    <x v="0"/>
    <n v="0"/>
    <n v="2202.71"/>
    <x v="0"/>
    <x v="2"/>
    <s v="AutoPost 1885"/>
    <s v="USD"/>
    <x v="17"/>
    <n v="2202.71"/>
    <m/>
    <n v="2202.71"/>
    <s v="N/A"/>
    <x v="1"/>
    <x v="1"/>
  </r>
  <r>
    <s v="GL001886"/>
    <d v="2023-10-02T00:00:00"/>
    <x v="2"/>
    <x v="2"/>
    <n v="1252.73"/>
    <n v="0"/>
    <x v="4"/>
    <x v="3"/>
    <s v="AutoPost 1886"/>
    <s v="USD"/>
    <x v="27"/>
    <n v="-1252.73"/>
    <m/>
    <n v="-1252.73"/>
    <s v="N/A"/>
    <x v="1"/>
    <x v="0"/>
  </r>
  <r>
    <s v="GL001887"/>
    <d v="2024-04-04T00:00:00"/>
    <x v="1"/>
    <x v="1"/>
    <n v="1422.61"/>
    <n v="0"/>
    <x v="1"/>
    <x v="3"/>
    <s v="AutoPost 1887"/>
    <s v="CAD"/>
    <x v="7"/>
    <n v="-1422.61"/>
    <m/>
    <n v="-1422.61"/>
    <s v="N/A"/>
    <x v="1"/>
    <x v="0"/>
  </r>
  <r>
    <s v="GL001888"/>
    <d v="2025-06-02T00:00:00"/>
    <x v="3"/>
    <x v="3"/>
    <n v="729.53"/>
    <n v="0"/>
    <x v="3"/>
    <x v="0"/>
    <s v="AutoPost 1888"/>
    <s v="EUR"/>
    <x v="19"/>
    <n v="-729.53"/>
    <m/>
    <n v="-729.53"/>
    <s v="N/A"/>
    <x v="1"/>
    <x v="0"/>
  </r>
  <r>
    <s v="GL001889"/>
    <d v="2023-01-19T00:00:00"/>
    <x v="3"/>
    <x v="3"/>
    <n v="1561.21"/>
    <n v="0"/>
    <x v="1"/>
    <x v="3"/>
    <s v="AutoPost 1889"/>
    <s v="USD"/>
    <x v="14"/>
    <n v="-1561.21"/>
    <m/>
    <n v="-1561.21"/>
    <s v="N/A"/>
    <x v="1"/>
    <x v="0"/>
  </r>
  <r>
    <s v="GL001890"/>
    <d v="2025-02-13T00:00:00"/>
    <x v="4"/>
    <x v="4"/>
    <n v="0"/>
    <n v="3774.32"/>
    <x v="5"/>
    <x v="1"/>
    <s v="AutoPost 1890"/>
    <s v="CAD"/>
    <x v="28"/>
    <n v="3774.32"/>
    <m/>
    <n v="3774.32"/>
    <s v="N/A"/>
    <x v="1"/>
    <x v="1"/>
  </r>
  <r>
    <s v="GL001891"/>
    <d v="2023-08-21T00:00:00"/>
    <x v="2"/>
    <x v="2"/>
    <n v="503.88"/>
    <n v="0"/>
    <x v="3"/>
    <x v="1"/>
    <s v="AutoPost 1891"/>
    <s v="EUR"/>
    <x v="4"/>
    <n v="-503.88"/>
    <m/>
    <n v="-503.88"/>
    <s v="N/A"/>
    <x v="1"/>
    <x v="0"/>
  </r>
  <r>
    <s v="GL001892"/>
    <d v="2023-10-13T00:00:00"/>
    <x v="4"/>
    <x v="4"/>
    <n v="0"/>
    <n v="2344.2199999999998"/>
    <x v="1"/>
    <x v="1"/>
    <s v="AutoPost 1892"/>
    <s v="EUR"/>
    <x v="27"/>
    <n v="2344.2199999999998"/>
    <m/>
    <n v="2344.2199999999998"/>
    <s v="N/A"/>
    <x v="1"/>
    <x v="1"/>
  </r>
  <r>
    <s v="GL001893"/>
    <d v="2024-01-13T00:00:00"/>
    <x v="3"/>
    <x v="3"/>
    <n v="1283.57"/>
    <n v="0"/>
    <x v="1"/>
    <x v="4"/>
    <s v="AutoPost 1893"/>
    <s v="CAD"/>
    <x v="20"/>
    <n v="-1283.57"/>
    <m/>
    <n v="-1283.57"/>
    <s v="N/A"/>
    <x v="1"/>
    <x v="0"/>
  </r>
  <r>
    <s v="GL001894"/>
    <d v="2024-07-10T00:00:00"/>
    <x v="4"/>
    <x v="4"/>
    <n v="0"/>
    <n v="1964.79"/>
    <x v="5"/>
    <x v="1"/>
    <s v="AutoPost 1894"/>
    <s v="AUD"/>
    <x v="21"/>
    <n v="1964.79"/>
    <m/>
    <n v="1964.79"/>
    <s v="N/A"/>
    <x v="1"/>
    <x v="1"/>
  </r>
  <r>
    <s v="GL001895"/>
    <d v="2024-07-08T00:00:00"/>
    <x v="4"/>
    <x v="4"/>
    <n v="0"/>
    <n v="3387.63"/>
    <x v="4"/>
    <x v="3"/>
    <s v="AutoPost 1895"/>
    <s v="EUR"/>
    <x v="21"/>
    <n v="3387.63"/>
    <m/>
    <n v="3387.63"/>
    <s v="N/A"/>
    <x v="1"/>
    <x v="1"/>
  </r>
  <r>
    <s v="GL001896"/>
    <d v="2023-08-28T00:00:00"/>
    <x v="2"/>
    <x v="2"/>
    <n v="1756.28"/>
    <n v="0"/>
    <x v="2"/>
    <x v="4"/>
    <s v="AutoPost 1896"/>
    <s v="EUR"/>
    <x v="4"/>
    <n v="-1756.28"/>
    <m/>
    <n v="-1756.28"/>
    <s v="N/A"/>
    <x v="1"/>
    <x v="0"/>
  </r>
  <r>
    <s v="GL001897"/>
    <d v="2023-12-31T00:00:00"/>
    <x v="2"/>
    <x v="2"/>
    <n v="938.88"/>
    <n v="0"/>
    <x v="1"/>
    <x v="4"/>
    <s v="AutoPost 1897"/>
    <s v="GBP"/>
    <x v="6"/>
    <n v="-938.88"/>
    <m/>
    <n v="-938.88"/>
    <s v="N/A"/>
    <x v="1"/>
    <x v="0"/>
  </r>
  <r>
    <s v="GL001898"/>
    <d v="2024-12-11T00:00:00"/>
    <x v="0"/>
    <x v="0"/>
    <n v="0"/>
    <n v="994.95"/>
    <x v="1"/>
    <x v="0"/>
    <s v="AutoPost 1898"/>
    <s v="CAD"/>
    <x v="23"/>
    <n v="994.95"/>
    <m/>
    <n v="994.95"/>
    <s v="N/A"/>
    <x v="1"/>
    <x v="1"/>
  </r>
  <r>
    <s v="GL001899"/>
    <d v="2024-07-07T00:00:00"/>
    <x v="1"/>
    <x v="1"/>
    <n v="1619.31"/>
    <n v="0"/>
    <x v="3"/>
    <x v="1"/>
    <s v="AutoPost 1899"/>
    <s v="AUD"/>
    <x v="21"/>
    <n v="-1619.31"/>
    <m/>
    <n v="-1619.31"/>
    <s v="N/A"/>
    <x v="1"/>
    <x v="0"/>
  </r>
  <r>
    <s v="GL001900"/>
    <d v="2024-05-01T00:00:00"/>
    <x v="4"/>
    <x v="4"/>
    <n v="0"/>
    <n v="2332.9299999999998"/>
    <x v="0"/>
    <x v="4"/>
    <s v="AutoPost 1900"/>
    <s v="USD"/>
    <x v="0"/>
    <n v="2332.9299999999998"/>
    <m/>
    <n v="2332.9299999999998"/>
    <s v="N/A"/>
    <x v="1"/>
    <x v="1"/>
  </r>
  <r>
    <s v="GL001901"/>
    <d v="2023-09-30T00:00:00"/>
    <x v="3"/>
    <x v="3"/>
    <n v="335.2"/>
    <n v="0"/>
    <x v="3"/>
    <x v="1"/>
    <s v="AutoPost 1901"/>
    <s v="USD"/>
    <x v="3"/>
    <n v="-335.2"/>
    <m/>
    <n v="-335.2"/>
    <s v="N/A"/>
    <x v="1"/>
    <x v="0"/>
  </r>
  <r>
    <s v="GL001902"/>
    <d v="2024-09-10T00:00:00"/>
    <x v="3"/>
    <x v="3"/>
    <n v="1838.96"/>
    <n v="0"/>
    <x v="5"/>
    <x v="3"/>
    <s v="AutoPost 1902"/>
    <s v="AUD"/>
    <x v="15"/>
    <n v="-1838.96"/>
    <m/>
    <n v="-1838.96"/>
    <s v="N/A"/>
    <x v="1"/>
    <x v="0"/>
  </r>
  <r>
    <s v="GL001903"/>
    <d v="2025-04-06T00:00:00"/>
    <x v="0"/>
    <x v="0"/>
    <n v="0"/>
    <n v="2599.65"/>
    <x v="1"/>
    <x v="1"/>
    <s v="AutoPost 1903"/>
    <s v="EUR"/>
    <x v="12"/>
    <n v="2599.65"/>
    <m/>
    <n v="2599.65"/>
    <s v="N/A"/>
    <x v="1"/>
    <x v="1"/>
  </r>
  <r>
    <s v="GL001904"/>
    <d v="2023-05-23T00:00:00"/>
    <x v="1"/>
    <x v="1"/>
    <n v="801.83"/>
    <n v="0"/>
    <x v="2"/>
    <x v="2"/>
    <s v="AutoPost 1904"/>
    <s v="USD"/>
    <x v="29"/>
    <n v="-801.83"/>
    <m/>
    <n v="-801.83"/>
    <s v="N/A"/>
    <x v="1"/>
    <x v="0"/>
  </r>
  <r>
    <s v="GL001905"/>
    <d v="2023-08-15T00:00:00"/>
    <x v="1"/>
    <x v="1"/>
    <n v="54.12"/>
    <n v="0"/>
    <x v="0"/>
    <x v="4"/>
    <s v="AutoPost 1905"/>
    <s v="GBP"/>
    <x v="4"/>
    <n v="-54.12"/>
    <m/>
    <n v="-54.12"/>
    <s v="N/A"/>
    <x v="1"/>
    <x v="0"/>
  </r>
  <r>
    <s v="GL001906"/>
    <d v="2023-02-16T00:00:00"/>
    <x v="1"/>
    <x v="1"/>
    <n v="326.83"/>
    <n v="0"/>
    <x v="3"/>
    <x v="3"/>
    <s v="AutoPost 1906"/>
    <s v="CAD"/>
    <x v="24"/>
    <n v="-326.83"/>
    <m/>
    <n v="-326.83"/>
    <s v="N/A"/>
    <x v="1"/>
    <x v="0"/>
  </r>
  <r>
    <s v="GL001907"/>
    <d v="2024-02-05T00:00:00"/>
    <x v="1"/>
    <x v="1"/>
    <n v="1868.89"/>
    <n v="0"/>
    <x v="0"/>
    <x v="4"/>
    <s v="AutoPost 1907"/>
    <s v="GBP"/>
    <x v="11"/>
    <n v="-1868.89"/>
    <m/>
    <n v="-1868.89"/>
    <s v="N/A"/>
    <x v="1"/>
    <x v="0"/>
  </r>
  <r>
    <s v="GL001908"/>
    <d v="2024-08-09T00:00:00"/>
    <x v="2"/>
    <x v="2"/>
    <n v="1572.8"/>
    <n v="0"/>
    <x v="5"/>
    <x v="2"/>
    <s v="AutoPost 1908"/>
    <s v="AUD"/>
    <x v="25"/>
    <n v="-1572.8"/>
    <m/>
    <n v="-1572.8"/>
    <s v="N/A"/>
    <x v="1"/>
    <x v="0"/>
  </r>
  <r>
    <s v="GL001909"/>
    <d v="2025-05-09T00:00:00"/>
    <x v="3"/>
    <x v="3"/>
    <n v="284.08"/>
    <n v="0"/>
    <x v="3"/>
    <x v="4"/>
    <s v="AutoPost 1909"/>
    <s v="AUD"/>
    <x v="5"/>
    <n v="-284.08"/>
    <m/>
    <n v="-284.08"/>
    <s v="N/A"/>
    <x v="1"/>
    <x v="0"/>
  </r>
  <r>
    <s v="GL001910"/>
    <d v="2023-12-02T00:00:00"/>
    <x v="4"/>
    <x v="4"/>
    <n v="0"/>
    <n v="2962.29"/>
    <x v="0"/>
    <x v="1"/>
    <s v="AutoPost 1910"/>
    <s v="USD"/>
    <x v="6"/>
    <n v="2962.29"/>
    <m/>
    <n v="2962.29"/>
    <s v="N/A"/>
    <x v="1"/>
    <x v="1"/>
  </r>
  <r>
    <s v="GL001911"/>
    <d v="2025-03-23T00:00:00"/>
    <x v="4"/>
    <x v="4"/>
    <n v="0"/>
    <n v="1937.71"/>
    <x v="2"/>
    <x v="4"/>
    <s v="AutoPost 1911"/>
    <s v="EUR"/>
    <x v="13"/>
    <n v="1937.71"/>
    <m/>
    <n v="1937.71"/>
    <s v="N/A"/>
    <x v="1"/>
    <x v="1"/>
  </r>
  <r>
    <s v="GL001912"/>
    <d v="2023-10-24T00:00:00"/>
    <x v="4"/>
    <x v="4"/>
    <n v="0"/>
    <n v="166.31"/>
    <x v="4"/>
    <x v="0"/>
    <s v="AutoPost 1912"/>
    <s v="CAD"/>
    <x v="27"/>
    <n v="166.31"/>
    <m/>
    <n v="166.31"/>
    <s v="N/A"/>
    <x v="1"/>
    <x v="1"/>
  </r>
  <r>
    <s v="GL001913"/>
    <d v="2023-04-19T00:00:00"/>
    <x v="0"/>
    <x v="0"/>
    <n v="0"/>
    <n v="1137.06"/>
    <x v="2"/>
    <x v="3"/>
    <s v="AutoPost 1913"/>
    <s v="EUR"/>
    <x v="8"/>
    <n v="1137.06"/>
    <m/>
    <n v="1137.06"/>
    <s v="N/A"/>
    <x v="1"/>
    <x v="1"/>
  </r>
  <r>
    <s v="GL001914"/>
    <d v="2024-03-15T00:00:00"/>
    <x v="4"/>
    <x v="4"/>
    <n v="0"/>
    <n v="993.38"/>
    <x v="4"/>
    <x v="4"/>
    <s v="AutoPost 1914"/>
    <s v="AUD"/>
    <x v="16"/>
    <n v="993.38"/>
    <m/>
    <n v="993.38"/>
    <s v="N/A"/>
    <x v="1"/>
    <x v="1"/>
  </r>
  <r>
    <s v="GL001915"/>
    <d v="2024-06-02T00:00:00"/>
    <x v="3"/>
    <x v="3"/>
    <n v="1915.74"/>
    <n v="0"/>
    <x v="4"/>
    <x v="1"/>
    <s v="AutoPost 1915"/>
    <s v="GBP"/>
    <x v="1"/>
    <n v="-1915.74"/>
    <m/>
    <n v="-1915.74"/>
    <s v="N/A"/>
    <x v="1"/>
    <x v="0"/>
  </r>
  <r>
    <s v="GL001916"/>
    <d v="2023-08-07T00:00:00"/>
    <x v="3"/>
    <x v="3"/>
    <n v="1850.88"/>
    <n v="0"/>
    <x v="3"/>
    <x v="1"/>
    <s v="AutoPost 1916"/>
    <s v="GBP"/>
    <x v="4"/>
    <n v="-1850.88"/>
    <m/>
    <n v="-1850.88"/>
    <s v="N/A"/>
    <x v="1"/>
    <x v="0"/>
  </r>
  <r>
    <s v="GL001917"/>
    <d v="2023-08-05T00:00:00"/>
    <x v="4"/>
    <x v="4"/>
    <n v="0"/>
    <n v="4525.68"/>
    <x v="0"/>
    <x v="4"/>
    <s v="AutoPost 1917"/>
    <s v="USD"/>
    <x v="4"/>
    <n v="4525.68"/>
    <m/>
    <n v="4525.68"/>
    <s v="N/A"/>
    <x v="1"/>
    <x v="1"/>
  </r>
  <r>
    <s v="GL001918"/>
    <d v="2023-01-16T00:00:00"/>
    <x v="3"/>
    <x v="3"/>
    <n v="854.45"/>
    <n v="0"/>
    <x v="3"/>
    <x v="4"/>
    <s v="AutoPost 1918"/>
    <s v="GBP"/>
    <x v="14"/>
    <n v="-854.45"/>
    <m/>
    <n v="-854.45"/>
    <s v="N/A"/>
    <x v="1"/>
    <x v="0"/>
  </r>
  <r>
    <s v="GL001919"/>
    <d v="2024-10-09T00:00:00"/>
    <x v="1"/>
    <x v="1"/>
    <n v="198.43"/>
    <n v="0"/>
    <x v="2"/>
    <x v="2"/>
    <s v="AutoPost 1919"/>
    <s v="AUD"/>
    <x v="26"/>
    <n v="-198.43"/>
    <m/>
    <n v="-198.43"/>
    <s v="N/A"/>
    <x v="1"/>
    <x v="0"/>
  </r>
  <r>
    <s v="GL001920"/>
    <d v="2025-03-04T00:00:00"/>
    <x v="2"/>
    <x v="2"/>
    <n v="1818.32"/>
    <n v="0"/>
    <x v="4"/>
    <x v="1"/>
    <s v="AutoPost 1920"/>
    <s v="CAD"/>
    <x v="13"/>
    <n v="-1818.32"/>
    <m/>
    <n v="-1818.32"/>
    <s v="N/A"/>
    <x v="1"/>
    <x v="0"/>
  </r>
  <r>
    <s v="GL001921"/>
    <d v="2024-04-02T00:00:00"/>
    <x v="4"/>
    <x v="4"/>
    <n v="0"/>
    <n v="2638.4"/>
    <x v="5"/>
    <x v="4"/>
    <s v="AutoPost 1921"/>
    <s v="USD"/>
    <x v="7"/>
    <n v="2638.4"/>
    <m/>
    <n v="2638.4"/>
    <s v="N/A"/>
    <x v="1"/>
    <x v="1"/>
  </r>
  <r>
    <s v="GL001922"/>
    <d v="2023-03-18T00:00:00"/>
    <x v="4"/>
    <x v="4"/>
    <n v="0"/>
    <n v="2791.71"/>
    <x v="1"/>
    <x v="3"/>
    <s v="AutoPost 1922"/>
    <s v="CAD"/>
    <x v="18"/>
    <n v="2791.71"/>
    <m/>
    <n v="2791.71"/>
    <s v="N/A"/>
    <x v="1"/>
    <x v="1"/>
  </r>
  <r>
    <s v="GL001923"/>
    <d v="2024-01-29T00:00:00"/>
    <x v="1"/>
    <x v="1"/>
    <n v="726.03"/>
    <n v="0"/>
    <x v="1"/>
    <x v="4"/>
    <s v="AutoPost 1923"/>
    <s v="USD"/>
    <x v="20"/>
    <n v="-726.03"/>
    <m/>
    <n v="-726.03"/>
    <s v="N/A"/>
    <x v="1"/>
    <x v="0"/>
  </r>
  <r>
    <s v="GL001924"/>
    <d v="2023-05-09T00:00:00"/>
    <x v="1"/>
    <x v="1"/>
    <n v="1370.59"/>
    <n v="0"/>
    <x v="0"/>
    <x v="4"/>
    <s v="AutoPost 1924"/>
    <s v="AUD"/>
    <x v="29"/>
    <n v="-1370.59"/>
    <m/>
    <n v="-1370.59"/>
    <s v="N/A"/>
    <x v="1"/>
    <x v="0"/>
  </r>
  <r>
    <s v="GL001925"/>
    <d v="2024-04-27T00:00:00"/>
    <x v="3"/>
    <x v="3"/>
    <n v="263.16000000000003"/>
    <n v="0"/>
    <x v="2"/>
    <x v="2"/>
    <s v="AutoPost 1925"/>
    <s v="CAD"/>
    <x v="7"/>
    <n v="-263.16000000000003"/>
    <m/>
    <n v="-263.16000000000003"/>
    <s v="N/A"/>
    <x v="1"/>
    <x v="0"/>
  </r>
  <r>
    <s v="GL001926"/>
    <d v="2024-09-26T00:00:00"/>
    <x v="3"/>
    <x v="3"/>
    <n v="1336.28"/>
    <n v="0"/>
    <x v="2"/>
    <x v="1"/>
    <s v="AutoPost 1926"/>
    <s v="AUD"/>
    <x v="15"/>
    <n v="-1336.28"/>
    <m/>
    <n v="-1336.28"/>
    <s v="N/A"/>
    <x v="1"/>
    <x v="0"/>
  </r>
  <r>
    <s v="GL001927"/>
    <d v="2024-05-23T00:00:00"/>
    <x v="2"/>
    <x v="2"/>
    <n v="1661.05"/>
    <n v="0"/>
    <x v="3"/>
    <x v="2"/>
    <s v="AutoPost 1927"/>
    <s v="EUR"/>
    <x v="0"/>
    <n v="-1661.05"/>
    <m/>
    <n v="-1661.05"/>
    <s v="N/A"/>
    <x v="1"/>
    <x v="0"/>
  </r>
  <r>
    <s v="GL001928"/>
    <d v="2023-11-17T00:00:00"/>
    <x v="0"/>
    <x v="0"/>
    <n v="0"/>
    <n v="2221.86"/>
    <x v="5"/>
    <x v="1"/>
    <s v="AutoPost 1928"/>
    <s v="GBP"/>
    <x v="9"/>
    <n v="2221.86"/>
    <m/>
    <n v="2221.86"/>
    <s v="N/A"/>
    <x v="1"/>
    <x v="1"/>
  </r>
  <r>
    <s v="GL001929"/>
    <d v="2024-03-05T00:00:00"/>
    <x v="4"/>
    <x v="4"/>
    <n v="0"/>
    <n v="4064.87"/>
    <x v="0"/>
    <x v="1"/>
    <s v="AutoPost 1929"/>
    <s v="CAD"/>
    <x v="16"/>
    <n v="4064.87"/>
    <m/>
    <n v="4064.87"/>
    <s v="N/A"/>
    <x v="1"/>
    <x v="1"/>
  </r>
  <r>
    <s v="GL001930"/>
    <d v="2024-10-27T00:00:00"/>
    <x v="1"/>
    <x v="1"/>
    <n v="564.04"/>
    <n v="0"/>
    <x v="3"/>
    <x v="2"/>
    <s v="AutoPost 1930"/>
    <s v="USD"/>
    <x v="26"/>
    <n v="-564.04"/>
    <m/>
    <n v="-564.04"/>
    <s v="N/A"/>
    <x v="1"/>
    <x v="0"/>
  </r>
  <r>
    <s v="GL001931"/>
    <d v="2023-11-25T00:00:00"/>
    <x v="4"/>
    <x v="4"/>
    <n v="0"/>
    <n v="2394.69"/>
    <x v="5"/>
    <x v="1"/>
    <s v="AutoPost 1931"/>
    <s v="AUD"/>
    <x v="9"/>
    <n v="2394.69"/>
    <m/>
    <n v="2394.69"/>
    <s v="N/A"/>
    <x v="1"/>
    <x v="1"/>
  </r>
  <r>
    <s v="GL001932"/>
    <d v="2024-10-18T00:00:00"/>
    <x v="4"/>
    <x v="4"/>
    <n v="0"/>
    <n v="4484.1899999999996"/>
    <x v="3"/>
    <x v="0"/>
    <s v="AutoPost 1932"/>
    <s v="AUD"/>
    <x v="26"/>
    <n v="4484.1899999999996"/>
    <m/>
    <n v="4484.1899999999996"/>
    <s v="N/A"/>
    <x v="1"/>
    <x v="1"/>
  </r>
  <r>
    <s v="GL001933"/>
    <d v="2024-12-30T00:00:00"/>
    <x v="4"/>
    <x v="4"/>
    <n v="0"/>
    <n v="1838.71"/>
    <x v="3"/>
    <x v="2"/>
    <s v="AutoPost 1933"/>
    <s v="CAD"/>
    <x v="23"/>
    <n v="1838.71"/>
    <m/>
    <n v="1838.71"/>
    <s v="N/A"/>
    <x v="1"/>
    <x v="1"/>
  </r>
  <r>
    <s v="GL001934"/>
    <d v="2025-04-20T00:00:00"/>
    <x v="3"/>
    <x v="3"/>
    <n v="407.55"/>
    <n v="0"/>
    <x v="2"/>
    <x v="2"/>
    <s v="AutoPost 1934"/>
    <s v="GBP"/>
    <x v="12"/>
    <n v="-407.55"/>
    <m/>
    <n v="-407.55"/>
    <s v="N/A"/>
    <x v="1"/>
    <x v="0"/>
  </r>
  <r>
    <s v="GL001935"/>
    <d v="2023-11-23T00:00:00"/>
    <x v="0"/>
    <x v="0"/>
    <n v="0"/>
    <n v="1239.76"/>
    <x v="5"/>
    <x v="2"/>
    <s v="AutoPost 1935"/>
    <s v="CAD"/>
    <x v="9"/>
    <n v="1239.76"/>
    <m/>
    <n v="1239.76"/>
    <s v="N/A"/>
    <x v="1"/>
    <x v="1"/>
  </r>
  <r>
    <s v="GL001936"/>
    <d v="2023-07-12T00:00:00"/>
    <x v="3"/>
    <x v="3"/>
    <n v="721.91"/>
    <n v="0"/>
    <x v="3"/>
    <x v="0"/>
    <s v="AutoPost 1936"/>
    <s v="EUR"/>
    <x v="17"/>
    <n v="-721.91"/>
    <m/>
    <n v="-721.91"/>
    <s v="N/A"/>
    <x v="1"/>
    <x v="0"/>
  </r>
  <r>
    <s v="GL001937"/>
    <d v="2024-01-16T00:00:00"/>
    <x v="2"/>
    <x v="2"/>
    <n v="1506.81"/>
    <n v="0"/>
    <x v="3"/>
    <x v="3"/>
    <s v="AutoPost 1937"/>
    <s v="GBP"/>
    <x v="20"/>
    <n v="-1506.81"/>
    <m/>
    <n v="-1506.81"/>
    <s v="N/A"/>
    <x v="1"/>
    <x v="0"/>
  </r>
  <r>
    <s v="GL001938"/>
    <d v="2025-03-07T00:00:00"/>
    <x v="4"/>
    <x v="4"/>
    <n v="0"/>
    <n v="3376.73"/>
    <x v="2"/>
    <x v="2"/>
    <s v="AutoPost 1938"/>
    <s v="EUR"/>
    <x v="13"/>
    <n v="3376.73"/>
    <m/>
    <n v="3376.73"/>
    <s v="N/A"/>
    <x v="1"/>
    <x v="1"/>
  </r>
  <r>
    <s v="GL001939"/>
    <d v="2023-12-05T00:00:00"/>
    <x v="2"/>
    <x v="2"/>
    <n v="1023.13"/>
    <n v="0"/>
    <x v="3"/>
    <x v="4"/>
    <s v="AutoPost 1939"/>
    <s v="GBP"/>
    <x v="6"/>
    <n v="-1023.13"/>
    <m/>
    <n v="-1023.13"/>
    <s v="N/A"/>
    <x v="1"/>
    <x v="0"/>
  </r>
  <r>
    <s v="GL001940"/>
    <d v="2025-06-26T00:00:00"/>
    <x v="2"/>
    <x v="2"/>
    <n v="1885.62"/>
    <n v="0"/>
    <x v="4"/>
    <x v="3"/>
    <s v="AutoPost 1940"/>
    <s v="CAD"/>
    <x v="19"/>
    <n v="-1885.62"/>
    <m/>
    <n v="-1885.62"/>
    <s v="N/A"/>
    <x v="1"/>
    <x v="0"/>
  </r>
  <r>
    <s v="GL001941"/>
    <d v="2024-05-09T00:00:00"/>
    <x v="4"/>
    <x v="4"/>
    <n v="0"/>
    <n v="955.35"/>
    <x v="3"/>
    <x v="3"/>
    <s v="AutoPost 1941"/>
    <s v="CAD"/>
    <x v="0"/>
    <n v="955.35"/>
    <m/>
    <n v="955.35"/>
    <s v="N/A"/>
    <x v="1"/>
    <x v="1"/>
  </r>
  <r>
    <s v="GL001942"/>
    <d v="2023-01-01T00:00:00"/>
    <x v="3"/>
    <x v="3"/>
    <n v="1735.63"/>
    <n v="0"/>
    <x v="0"/>
    <x v="0"/>
    <s v="AutoPost 1942"/>
    <s v="CAD"/>
    <x v="14"/>
    <n v="-1735.63"/>
    <m/>
    <n v="-1735.63"/>
    <s v="N/A"/>
    <x v="1"/>
    <x v="0"/>
  </r>
  <r>
    <s v="GL001943"/>
    <d v="2023-07-24T00:00:00"/>
    <x v="1"/>
    <x v="1"/>
    <n v="1311.61"/>
    <n v="0"/>
    <x v="5"/>
    <x v="4"/>
    <s v="AutoPost 1943"/>
    <s v="AUD"/>
    <x v="17"/>
    <n v="-1311.61"/>
    <m/>
    <n v="-1311.61"/>
    <s v="N/A"/>
    <x v="1"/>
    <x v="0"/>
  </r>
  <r>
    <s v="GL001944"/>
    <d v="2023-11-26T00:00:00"/>
    <x v="4"/>
    <x v="4"/>
    <n v="0"/>
    <n v="3124.09"/>
    <x v="5"/>
    <x v="0"/>
    <s v="AutoPost 1944"/>
    <s v="USD"/>
    <x v="9"/>
    <n v="3124.09"/>
    <m/>
    <n v="3124.09"/>
    <s v="N/A"/>
    <x v="1"/>
    <x v="1"/>
  </r>
  <r>
    <s v="GL001945"/>
    <d v="2024-08-01T00:00:00"/>
    <x v="3"/>
    <x v="3"/>
    <n v="1453.46"/>
    <n v="0"/>
    <x v="4"/>
    <x v="2"/>
    <s v="AutoPost 1945"/>
    <s v="USD"/>
    <x v="25"/>
    <n v="-1453.46"/>
    <m/>
    <n v="-1453.46"/>
    <s v="N/A"/>
    <x v="1"/>
    <x v="0"/>
  </r>
  <r>
    <s v="GL001946"/>
    <d v="2023-04-02T00:00:00"/>
    <x v="2"/>
    <x v="2"/>
    <n v="502.87"/>
    <n v="0"/>
    <x v="1"/>
    <x v="0"/>
    <s v="AutoPost 1946"/>
    <s v="CAD"/>
    <x v="8"/>
    <n v="-502.87"/>
    <m/>
    <n v="-502.87"/>
    <s v="N/A"/>
    <x v="1"/>
    <x v="0"/>
  </r>
  <r>
    <s v="GL001947"/>
    <d v="2023-08-23T00:00:00"/>
    <x v="2"/>
    <x v="2"/>
    <n v="845.04"/>
    <n v="0"/>
    <x v="3"/>
    <x v="1"/>
    <s v="AutoPost 1947"/>
    <s v="EUR"/>
    <x v="4"/>
    <n v="-845.04"/>
    <m/>
    <n v="-845.04"/>
    <s v="N/A"/>
    <x v="1"/>
    <x v="0"/>
  </r>
  <r>
    <s v="GL001948"/>
    <d v="2024-12-31T00:00:00"/>
    <x v="4"/>
    <x v="4"/>
    <n v="0"/>
    <n v="2650.78"/>
    <x v="4"/>
    <x v="2"/>
    <s v="AutoPost 1948"/>
    <s v="AUD"/>
    <x v="23"/>
    <n v="2650.78"/>
    <m/>
    <n v="2650.78"/>
    <s v="N/A"/>
    <x v="1"/>
    <x v="1"/>
  </r>
  <r>
    <s v="GL001949"/>
    <d v="2025-01-06T00:00:00"/>
    <x v="0"/>
    <x v="0"/>
    <n v="0"/>
    <n v="3701"/>
    <x v="1"/>
    <x v="4"/>
    <s v="AutoPost 1949"/>
    <s v="AUD"/>
    <x v="2"/>
    <n v="3701"/>
    <m/>
    <n v="3701"/>
    <s v="N/A"/>
    <x v="1"/>
    <x v="1"/>
  </r>
  <r>
    <s v="GL001950"/>
    <d v="2024-08-21T00:00:00"/>
    <x v="2"/>
    <x v="2"/>
    <n v="866.51"/>
    <n v="0"/>
    <x v="2"/>
    <x v="3"/>
    <s v="AutoPost 1950"/>
    <s v="CAD"/>
    <x v="25"/>
    <n v="-866.51"/>
    <m/>
    <n v="-866.51"/>
    <s v="N/A"/>
    <x v="1"/>
    <x v="0"/>
  </r>
  <r>
    <s v="GL001951"/>
    <d v="2024-04-05T00:00:00"/>
    <x v="1"/>
    <x v="1"/>
    <n v="1517.29"/>
    <n v="0"/>
    <x v="2"/>
    <x v="4"/>
    <s v="AutoPost 1951"/>
    <s v="EUR"/>
    <x v="7"/>
    <n v="-1517.29"/>
    <m/>
    <n v="-1517.29"/>
    <s v="N/A"/>
    <x v="1"/>
    <x v="0"/>
  </r>
  <r>
    <s v="GL001952"/>
    <d v="2025-01-05T00:00:00"/>
    <x v="1"/>
    <x v="1"/>
    <n v="58.18"/>
    <n v="0"/>
    <x v="0"/>
    <x v="3"/>
    <s v="AutoPost 1952"/>
    <s v="EUR"/>
    <x v="2"/>
    <n v="-58.18"/>
    <m/>
    <n v="-58.18"/>
    <s v="N/A"/>
    <x v="1"/>
    <x v="0"/>
  </r>
  <r>
    <s v="GL001953"/>
    <d v="2024-12-23T00:00:00"/>
    <x v="0"/>
    <x v="0"/>
    <n v="0"/>
    <n v="944.88"/>
    <x v="3"/>
    <x v="1"/>
    <s v="AutoPost 1953"/>
    <s v="AUD"/>
    <x v="23"/>
    <n v="944.88"/>
    <m/>
    <n v="944.88"/>
    <s v="N/A"/>
    <x v="1"/>
    <x v="1"/>
  </r>
  <r>
    <s v="GL001954"/>
    <d v="2025-01-14T00:00:00"/>
    <x v="2"/>
    <x v="2"/>
    <n v="394.98"/>
    <n v="0"/>
    <x v="1"/>
    <x v="1"/>
    <s v="AutoPost 1954"/>
    <s v="CAD"/>
    <x v="2"/>
    <n v="-394.98"/>
    <m/>
    <n v="-394.98"/>
    <s v="N/A"/>
    <x v="1"/>
    <x v="0"/>
  </r>
  <r>
    <s v="GL001955"/>
    <d v="2023-06-05T00:00:00"/>
    <x v="1"/>
    <x v="1"/>
    <n v="1322.13"/>
    <n v="0"/>
    <x v="2"/>
    <x v="3"/>
    <s v="AutoPost 1955"/>
    <s v="CAD"/>
    <x v="22"/>
    <n v="-1322.13"/>
    <m/>
    <n v="-1322.13"/>
    <s v="N/A"/>
    <x v="1"/>
    <x v="0"/>
  </r>
  <r>
    <s v="GL001956"/>
    <d v="2024-06-04T00:00:00"/>
    <x v="3"/>
    <x v="3"/>
    <n v="780.7"/>
    <n v="0"/>
    <x v="2"/>
    <x v="1"/>
    <s v="AutoPost 1956"/>
    <s v="USD"/>
    <x v="1"/>
    <n v="-780.7"/>
    <m/>
    <n v="-780.7"/>
    <s v="N/A"/>
    <x v="1"/>
    <x v="0"/>
  </r>
  <r>
    <s v="GL001957"/>
    <d v="2025-02-07T00:00:00"/>
    <x v="1"/>
    <x v="1"/>
    <n v="1051.1600000000001"/>
    <n v="0"/>
    <x v="0"/>
    <x v="1"/>
    <s v="AutoPost 1957"/>
    <s v="GBP"/>
    <x v="28"/>
    <n v="-1051.1600000000001"/>
    <m/>
    <n v="-1051.1600000000001"/>
    <s v="N/A"/>
    <x v="1"/>
    <x v="0"/>
  </r>
  <r>
    <s v="GL001958"/>
    <d v="2023-11-13T00:00:00"/>
    <x v="4"/>
    <x v="4"/>
    <n v="0"/>
    <n v="3466.47"/>
    <x v="4"/>
    <x v="2"/>
    <s v="AutoPost 1958"/>
    <s v="AUD"/>
    <x v="9"/>
    <n v="3466.47"/>
    <m/>
    <n v="3466.47"/>
    <s v="N/A"/>
    <x v="1"/>
    <x v="1"/>
  </r>
  <r>
    <s v="GL001959"/>
    <d v="2024-01-15T00:00:00"/>
    <x v="0"/>
    <x v="0"/>
    <n v="0"/>
    <n v="2900.85"/>
    <x v="3"/>
    <x v="3"/>
    <s v="AutoPost 1959"/>
    <s v="CAD"/>
    <x v="20"/>
    <n v="2900.85"/>
    <m/>
    <n v="2900.85"/>
    <s v="N/A"/>
    <x v="1"/>
    <x v="1"/>
  </r>
  <r>
    <s v="GL001960"/>
    <d v="2024-12-15T00:00:00"/>
    <x v="3"/>
    <x v="3"/>
    <n v="852.05"/>
    <n v="0"/>
    <x v="2"/>
    <x v="1"/>
    <s v="AutoPost 1960"/>
    <s v="CAD"/>
    <x v="23"/>
    <n v="-852.05"/>
    <m/>
    <n v="-852.05"/>
    <s v="N/A"/>
    <x v="1"/>
    <x v="0"/>
  </r>
  <r>
    <s v="GL001961"/>
    <d v="2023-05-04T00:00:00"/>
    <x v="2"/>
    <x v="2"/>
    <n v="1137.76"/>
    <n v="0"/>
    <x v="1"/>
    <x v="4"/>
    <s v="AutoPost 1961"/>
    <s v="AUD"/>
    <x v="29"/>
    <n v="-1137.76"/>
    <m/>
    <n v="-1137.76"/>
    <s v="N/A"/>
    <x v="1"/>
    <x v="0"/>
  </r>
  <r>
    <s v="GL001962"/>
    <d v="2024-06-21T00:00:00"/>
    <x v="2"/>
    <x v="2"/>
    <n v="1927.94"/>
    <n v="0"/>
    <x v="5"/>
    <x v="4"/>
    <s v="AutoPost 1962"/>
    <s v="CAD"/>
    <x v="1"/>
    <n v="-1927.94"/>
    <m/>
    <n v="-1927.94"/>
    <s v="N/A"/>
    <x v="1"/>
    <x v="0"/>
  </r>
  <r>
    <s v="GL001963"/>
    <d v="2025-02-25T00:00:00"/>
    <x v="4"/>
    <x v="4"/>
    <n v="0"/>
    <n v="2609.17"/>
    <x v="1"/>
    <x v="0"/>
    <s v="AutoPost 1963"/>
    <s v="GBP"/>
    <x v="28"/>
    <n v="2609.17"/>
    <m/>
    <n v="2609.17"/>
    <s v="N/A"/>
    <x v="1"/>
    <x v="1"/>
  </r>
  <r>
    <s v="GL001964"/>
    <d v="2025-04-08T00:00:00"/>
    <x v="1"/>
    <x v="1"/>
    <n v="1813.3"/>
    <n v="0"/>
    <x v="5"/>
    <x v="2"/>
    <s v="AutoPost 1964"/>
    <s v="AUD"/>
    <x v="12"/>
    <n v="-1813.3"/>
    <m/>
    <n v="-1813.3"/>
    <s v="N/A"/>
    <x v="1"/>
    <x v="0"/>
  </r>
  <r>
    <s v="GL001965"/>
    <d v="2023-08-28T00:00:00"/>
    <x v="0"/>
    <x v="0"/>
    <n v="0"/>
    <n v="2658.68"/>
    <x v="5"/>
    <x v="2"/>
    <s v="AutoPost 1965"/>
    <s v="GBP"/>
    <x v="4"/>
    <n v="2658.68"/>
    <m/>
    <n v="2658.68"/>
    <s v="N/A"/>
    <x v="1"/>
    <x v="1"/>
  </r>
  <r>
    <s v="GL001966"/>
    <d v="2023-09-26T00:00:00"/>
    <x v="4"/>
    <x v="4"/>
    <n v="0"/>
    <n v="4776.24"/>
    <x v="1"/>
    <x v="2"/>
    <s v="AutoPost 1966"/>
    <s v="AUD"/>
    <x v="3"/>
    <n v="4776.24"/>
    <m/>
    <n v="4776.24"/>
    <s v="N/A"/>
    <x v="1"/>
    <x v="1"/>
  </r>
  <r>
    <s v="GL001967"/>
    <d v="2024-09-13T00:00:00"/>
    <x v="1"/>
    <x v="1"/>
    <n v="839.33"/>
    <n v="0"/>
    <x v="5"/>
    <x v="4"/>
    <s v="AutoPost 1967"/>
    <s v="USD"/>
    <x v="15"/>
    <n v="-839.33"/>
    <m/>
    <n v="-839.33"/>
    <s v="N/A"/>
    <x v="1"/>
    <x v="0"/>
  </r>
  <r>
    <s v="GL001968"/>
    <d v="2023-10-19T00:00:00"/>
    <x v="2"/>
    <x v="2"/>
    <n v="961.76"/>
    <n v="0"/>
    <x v="3"/>
    <x v="2"/>
    <s v="AutoPost 1968"/>
    <s v="AUD"/>
    <x v="27"/>
    <n v="-961.76"/>
    <m/>
    <n v="-961.76"/>
    <s v="N/A"/>
    <x v="1"/>
    <x v="0"/>
  </r>
  <r>
    <s v="GL001969"/>
    <d v="2025-04-23T00:00:00"/>
    <x v="4"/>
    <x v="4"/>
    <n v="0"/>
    <n v="1071.52"/>
    <x v="2"/>
    <x v="2"/>
    <s v="AutoPost 1969"/>
    <s v="USD"/>
    <x v="12"/>
    <n v="1071.52"/>
    <m/>
    <n v="1071.52"/>
    <s v="N/A"/>
    <x v="1"/>
    <x v="1"/>
  </r>
  <r>
    <s v="GL001970"/>
    <d v="2024-10-21T00:00:00"/>
    <x v="1"/>
    <x v="1"/>
    <n v="512.01"/>
    <n v="0"/>
    <x v="2"/>
    <x v="4"/>
    <s v="AutoPost 1970"/>
    <s v="CAD"/>
    <x v="26"/>
    <n v="-512.01"/>
    <m/>
    <n v="-512.01"/>
    <s v="N/A"/>
    <x v="1"/>
    <x v="0"/>
  </r>
  <r>
    <s v="GL001971"/>
    <d v="2024-05-31T00:00:00"/>
    <x v="4"/>
    <x v="4"/>
    <n v="0"/>
    <n v="876.89"/>
    <x v="2"/>
    <x v="3"/>
    <s v="AutoPost 1971"/>
    <s v="CAD"/>
    <x v="0"/>
    <n v="876.89"/>
    <m/>
    <n v="876.89"/>
    <s v="N/A"/>
    <x v="1"/>
    <x v="1"/>
  </r>
  <r>
    <s v="GL001972"/>
    <d v="2023-11-16T00:00:00"/>
    <x v="4"/>
    <x v="4"/>
    <n v="0"/>
    <n v="214.94"/>
    <x v="5"/>
    <x v="4"/>
    <s v="AutoPost 1972"/>
    <s v="USD"/>
    <x v="9"/>
    <n v="214.94"/>
    <m/>
    <n v="214.94"/>
    <s v="N/A"/>
    <x v="1"/>
    <x v="1"/>
  </r>
  <r>
    <s v="GL001973"/>
    <d v="2024-03-11T00:00:00"/>
    <x v="3"/>
    <x v="3"/>
    <n v="318.63"/>
    <n v="0"/>
    <x v="5"/>
    <x v="2"/>
    <s v="AutoPost 1973"/>
    <s v="CAD"/>
    <x v="16"/>
    <n v="-318.63"/>
    <m/>
    <n v="-318.63"/>
    <s v="N/A"/>
    <x v="1"/>
    <x v="0"/>
  </r>
  <r>
    <s v="GL001974"/>
    <d v="2023-04-10T00:00:00"/>
    <x v="2"/>
    <x v="2"/>
    <n v="1505.25"/>
    <n v="0"/>
    <x v="5"/>
    <x v="3"/>
    <s v="AutoPost 1974"/>
    <s v="USD"/>
    <x v="8"/>
    <n v="-1505.25"/>
    <m/>
    <n v="-1505.25"/>
    <s v="N/A"/>
    <x v="1"/>
    <x v="0"/>
  </r>
  <r>
    <s v="GL001975"/>
    <d v="2024-07-11T00:00:00"/>
    <x v="3"/>
    <x v="3"/>
    <n v="1165.8499999999999"/>
    <n v="0"/>
    <x v="1"/>
    <x v="4"/>
    <s v="AutoPost 1975"/>
    <s v="AUD"/>
    <x v="21"/>
    <n v="-1165.8499999999999"/>
    <m/>
    <n v="-1165.8499999999999"/>
    <s v="N/A"/>
    <x v="1"/>
    <x v="0"/>
  </r>
  <r>
    <s v="GL001976"/>
    <d v="2024-12-17T00:00:00"/>
    <x v="1"/>
    <x v="1"/>
    <n v="424.86"/>
    <n v="0"/>
    <x v="4"/>
    <x v="2"/>
    <s v="AutoPost 1976"/>
    <s v="CAD"/>
    <x v="23"/>
    <n v="-424.86"/>
    <m/>
    <n v="-424.86"/>
    <s v="N/A"/>
    <x v="1"/>
    <x v="0"/>
  </r>
  <r>
    <s v="GL001977"/>
    <d v="2023-10-25T00:00:00"/>
    <x v="1"/>
    <x v="1"/>
    <n v="1626.39"/>
    <n v="0"/>
    <x v="1"/>
    <x v="3"/>
    <s v="AutoPost 1977"/>
    <s v="EUR"/>
    <x v="27"/>
    <n v="-1626.39"/>
    <m/>
    <n v="-1626.39"/>
    <s v="N/A"/>
    <x v="1"/>
    <x v="0"/>
  </r>
  <r>
    <s v="GL001978"/>
    <d v="2024-04-26T00:00:00"/>
    <x v="2"/>
    <x v="2"/>
    <n v="559.39"/>
    <n v="0"/>
    <x v="3"/>
    <x v="4"/>
    <s v="AutoPost 1978"/>
    <s v="USD"/>
    <x v="7"/>
    <n v="-559.39"/>
    <m/>
    <n v="-559.39"/>
    <s v="N/A"/>
    <x v="1"/>
    <x v="0"/>
  </r>
  <r>
    <s v="GL001979"/>
    <d v="2024-05-09T00:00:00"/>
    <x v="1"/>
    <x v="1"/>
    <n v="1234.21"/>
    <n v="0"/>
    <x v="4"/>
    <x v="3"/>
    <s v="AutoPost 1979"/>
    <s v="CAD"/>
    <x v="0"/>
    <n v="-1234.21"/>
    <m/>
    <n v="-1234.21"/>
    <s v="N/A"/>
    <x v="1"/>
    <x v="0"/>
  </r>
  <r>
    <s v="GL001980"/>
    <d v="2024-02-16T00:00:00"/>
    <x v="2"/>
    <x v="2"/>
    <n v="704.55"/>
    <n v="0"/>
    <x v="3"/>
    <x v="0"/>
    <s v="AutoPost 1980"/>
    <s v="EUR"/>
    <x v="11"/>
    <n v="-704.55"/>
    <m/>
    <n v="-704.55"/>
    <s v="N/A"/>
    <x v="1"/>
    <x v="0"/>
  </r>
  <r>
    <s v="GL001981"/>
    <d v="2023-02-08T00:00:00"/>
    <x v="4"/>
    <x v="4"/>
    <n v="0"/>
    <n v="118.67"/>
    <x v="0"/>
    <x v="2"/>
    <s v="AutoPost 1981"/>
    <s v="CAD"/>
    <x v="24"/>
    <n v="118.67"/>
    <m/>
    <n v="118.67"/>
    <s v="N/A"/>
    <x v="1"/>
    <x v="1"/>
  </r>
  <r>
    <s v="GL001982"/>
    <d v="2023-06-20T00:00:00"/>
    <x v="0"/>
    <x v="0"/>
    <n v="0"/>
    <n v="1819.43"/>
    <x v="0"/>
    <x v="0"/>
    <s v="AutoPost 1982"/>
    <s v="EUR"/>
    <x v="22"/>
    <n v="1819.43"/>
    <m/>
    <n v="1819.43"/>
    <s v="N/A"/>
    <x v="1"/>
    <x v="1"/>
  </r>
  <r>
    <s v="GL001983"/>
    <d v="2023-09-11T00:00:00"/>
    <x v="3"/>
    <x v="3"/>
    <n v="1104.31"/>
    <n v="0"/>
    <x v="3"/>
    <x v="0"/>
    <s v="AutoPost 1983"/>
    <s v="AUD"/>
    <x v="3"/>
    <n v="-1104.31"/>
    <m/>
    <n v="-1104.31"/>
    <s v="N/A"/>
    <x v="1"/>
    <x v="0"/>
  </r>
  <r>
    <s v="GL001984"/>
    <d v="2023-01-20T00:00:00"/>
    <x v="1"/>
    <x v="1"/>
    <n v="698.67"/>
    <n v="0"/>
    <x v="5"/>
    <x v="2"/>
    <s v="AutoPost 1984"/>
    <s v="AUD"/>
    <x v="14"/>
    <n v="-698.67"/>
    <m/>
    <n v="-698.67"/>
    <s v="N/A"/>
    <x v="1"/>
    <x v="0"/>
  </r>
  <r>
    <s v="GL001985"/>
    <d v="2024-10-16T00:00:00"/>
    <x v="0"/>
    <x v="0"/>
    <n v="0"/>
    <n v="3256.52"/>
    <x v="3"/>
    <x v="3"/>
    <s v="AutoPost 1985"/>
    <s v="EUR"/>
    <x v="26"/>
    <n v="3256.52"/>
    <m/>
    <n v="3256.52"/>
    <s v="N/A"/>
    <x v="1"/>
    <x v="1"/>
  </r>
  <r>
    <s v="GL001986"/>
    <d v="2023-10-31T00:00:00"/>
    <x v="2"/>
    <x v="2"/>
    <n v="415.73"/>
    <n v="0"/>
    <x v="3"/>
    <x v="0"/>
    <s v="AutoPost 1986"/>
    <s v="USD"/>
    <x v="27"/>
    <n v="-415.73"/>
    <m/>
    <n v="-415.73"/>
    <s v="N/A"/>
    <x v="1"/>
    <x v="0"/>
  </r>
  <r>
    <s v="GL001987"/>
    <d v="2025-03-31T00:00:00"/>
    <x v="1"/>
    <x v="1"/>
    <n v="798.68"/>
    <n v="0"/>
    <x v="3"/>
    <x v="0"/>
    <s v="AutoPost 1987"/>
    <s v="CAD"/>
    <x v="13"/>
    <n v="-798.68"/>
    <m/>
    <n v="-798.68"/>
    <s v="N/A"/>
    <x v="1"/>
    <x v="0"/>
  </r>
  <r>
    <s v="GL001988"/>
    <d v="2023-03-23T00:00:00"/>
    <x v="3"/>
    <x v="3"/>
    <n v="829.83"/>
    <n v="0"/>
    <x v="1"/>
    <x v="1"/>
    <s v="AutoPost 1988"/>
    <s v="AUD"/>
    <x v="18"/>
    <n v="-829.83"/>
    <m/>
    <n v="-829.83"/>
    <s v="N/A"/>
    <x v="1"/>
    <x v="0"/>
  </r>
  <r>
    <s v="GL001989"/>
    <d v="2024-10-26T00:00:00"/>
    <x v="3"/>
    <x v="3"/>
    <n v="247.03"/>
    <n v="0"/>
    <x v="3"/>
    <x v="3"/>
    <s v="AutoPost 1989"/>
    <s v="USD"/>
    <x v="26"/>
    <n v="-247.03"/>
    <m/>
    <n v="-247.03"/>
    <s v="N/A"/>
    <x v="1"/>
    <x v="0"/>
  </r>
  <r>
    <s v="GL001990"/>
    <d v="2023-09-19T00:00:00"/>
    <x v="1"/>
    <x v="1"/>
    <n v="688.11"/>
    <n v="0"/>
    <x v="1"/>
    <x v="3"/>
    <s v="AutoPost 1990"/>
    <s v="USD"/>
    <x v="3"/>
    <n v="-688.11"/>
    <m/>
    <n v="-688.11"/>
    <s v="N/A"/>
    <x v="1"/>
    <x v="0"/>
  </r>
  <r>
    <s v="GL001991"/>
    <d v="2024-08-26T00:00:00"/>
    <x v="2"/>
    <x v="2"/>
    <n v="1196.93"/>
    <n v="0"/>
    <x v="3"/>
    <x v="1"/>
    <s v="AutoPost 1991"/>
    <s v="USD"/>
    <x v="25"/>
    <n v="-1196.93"/>
    <m/>
    <n v="-1196.93"/>
    <s v="N/A"/>
    <x v="1"/>
    <x v="0"/>
  </r>
  <r>
    <s v="GL001992"/>
    <d v="2024-06-09T00:00:00"/>
    <x v="4"/>
    <x v="4"/>
    <n v="0"/>
    <n v="2003.64"/>
    <x v="4"/>
    <x v="0"/>
    <s v="AutoPost 1992"/>
    <s v="CAD"/>
    <x v="1"/>
    <n v="2003.64"/>
    <m/>
    <n v="2003.64"/>
    <s v="N/A"/>
    <x v="1"/>
    <x v="1"/>
  </r>
  <r>
    <s v="GL001993"/>
    <d v="2024-11-19T00:00:00"/>
    <x v="0"/>
    <x v="0"/>
    <n v="0"/>
    <n v="1233.1300000000001"/>
    <x v="0"/>
    <x v="3"/>
    <s v="AutoPost 1993"/>
    <s v="GBP"/>
    <x v="10"/>
    <n v="1233.1300000000001"/>
    <m/>
    <n v="1233.1300000000001"/>
    <s v="N/A"/>
    <x v="1"/>
    <x v="1"/>
  </r>
  <r>
    <s v="GL001994"/>
    <d v="2024-01-08T00:00:00"/>
    <x v="4"/>
    <x v="4"/>
    <n v="0"/>
    <n v="767.31"/>
    <x v="0"/>
    <x v="4"/>
    <s v="AutoPost 1994"/>
    <s v="USD"/>
    <x v="20"/>
    <n v="767.31"/>
    <m/>
    <n v="767.31"/>
    <s v="N/A"/>
    <x v="1"/>
    <x v="1"/>
  </r>
  <r>
    <s v="GL001995"/>
    <d v="2025-06-04T00:00:00"/>
    <x v="3"/>
    <x v="3"/>
    <n v="719.33"/>
    <n v="0"/>
    <x v="2"/>
    <x v="1"/>
    <s v="AutoPost 1995"/>
    <s v="EUR"/>
    <x v="19"/>
    <n v="-719.33"/>
    <m/>
    <n v="-719.33"/>
    <s v="N/A"/>
    <x v="1"/>
    <x v="0"/>
  </r>
  <r>
    <s v="GL001996"/>
    <d v="2023-08-09T00:00:00"/>
    <x v="0"/>
    <x v="0"/>
    <n v="0"/>
    <n v="2016.99"/>
    <x v="1"/>
    <x v="2"/>
    <s v="AutoPost 1996"/>
    <s v="CAD"/>
    <x v="4"/>
    <n v="2016.99"/>
    <m/>
    <n v="2016.99"/>
    <s v="N/A"/>
    <x v="1"/>
    <x v="2"/>
  </r>
  <r>
    <s v="GL001997"/>
    <d v="2023-11-19T00:00:00"/>
    <x v="0"/>
    <x v="0"/>
    <n v="0"/>
    <n v="4719.37"/>
    <x v="5"/>
    <x v="4"/>
    <s v="AutoPost 1997"/>
    <s v="CAD"/>
    <x v="9"/>
    <n v="4719.37"/>
    <m/>
    <n v="4719.37"/>
    <s v="N/A"/>
    <x v="1"/>
    <x v="2"/>
  </r>
  <r>
    <s v="GL001998"/>
    <d v="2023-03-28T00:00:00"/>
    <x v="4"/>
    <x v="4"/>
    <n v="0"/>
    <n v="4523.09"/>
    <x v="5"/>
    <x v="0"/>
    <s v="AutoPost 1998"/>
    <s v="AUD"/>
    <x v="18"/>
    <n v="4523.09"/>
    <m/>
    <n v="4523.09"/>
    <s v="N/A"/>
    <x v="1"/>
    <x v="2"/>
  </r>
  <r>
    <s v="GL001999"/>
    <d v="2024-09-20T00:00:00"/>
    <x v="0"/>
    <x v="0"/>
    <n v="0"/>
    <n v="354.88"/>
    <x v="1"/>
    <x v="0"/>
    <s v="AutoPost 1999"/>
    <s v="USD"/>
    <x v="15"/>
    <n v="354.88"/>
    <m/>
    <n v="354.88"/>
    <s v="N/A"/>
    <x v="1"/>
    <x v="2"/>
  </r>
  <r>
    <m/>
    <m/>
    <x v="5"/>
    <x v="5"/>
    <m/>
    <m/>
    <x v="6"/>
    <x v="5"/>
    <m/>
    <m/>
    <x v="30"/>
    <m/>
    <m/>
    <m/>
    <m/>
    <x v="2"/>
    <x v="2"/>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x v="0"/>
    <x v="0"/>
    <x v="0"/>
    <x v="0"/>
  </r>
  <r>
    <x v="1"/>
    <x v="1"/>
    <x v="1"/>
    <x v="1"/>
    <x v="1"/>
  </r>
  <r>
    <x v="2"/>
    <x v="2"/>
    <x v="2"/>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8D88C3-336C-4E9D-B7FE-DE87024A9D3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11" firstHeaderRow="1" firstDataRow="1" firstDataCol="1"/>
  <pivotFields count="15">
    <pivotField showAll="0">
      <items count="20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t="default"/>
      </items>
    </pivotField>
    <pivotField showAll="0">
      <items count="817">
        <item x="461"/>
        <item x="644"/>
        <item x="516"/>
        <item x="313"/>
        <item x="354"/>
        <item x="390"/>
        <item x="311"/>
        <item x="93"/>
        <item x="166"/>
        <item x="697"/>
        <item x="750"/>
        <item x="214"/>
        <item x="32"/>
        <item x="398"/>
        <item x="155"/>
        <item x="315"/>
        <item x="582"/>
        <item x="356"/>
        <item x="226"/>
        <item x="267"/>
        <item x="209"/>
        <item x="46"/>
        <item x="763"/>
        <item x="18"/>
        <item x="181"/>
        <item x="144"/>
        <item x="322"/>
        <item x="333"/>
        <item x="601"/>
        <item x="760"/>
        <item x="117"/>
        <item x="172"/>
        <item x="363"/>
        <item x="42"/>
        <item x="324"/>
        <item x="684"/>
        <item x="620"/>
        <item x="177"/>
        <item x="175"/>
        <item x="92"/>
        <item x="807"/>
        <item x="369"/>
        <item x="714"/>
        <item x="288"/>
        <item x="366"/>
        <item x="797"/>
        <item x="454"/>
        <item x="782"/>
        <item x="741"/>
        <item x="414"/>
        <item x="332"/>
        <item x="63"/>
        <item x="335"/>
        <item x="703"/>
        <item x="389"/>
        <item x="435"/>
        <item x="268"/>
        <item x="664"/>
        <item x="431"/>
        <item x="458"/>
        <item x="767"/>
        <item x="178"/>
        <item x="732"/>
        <item x="48"/>
        <item x="43"/>
        <item x="76"/>
        <item x="808"/>
        <item x="667"/>
        <item x="170"/>
        <item x="444"/>
        <item x="23"/>
        <item x="528"/>
        <item x="722"/>
        <item x="762"/>
        <item x="213"/>
        <item x="74"/>
        <item x="761"/>
        <item x="785"/>
        <item x="773"/>
        <item x="525"/>
        <item x="540"/>
        <item x="15"/>
        <item x="511"/>
        <item x="658"/>
        <item x="448"/>
        <item x="278"/>
        <item x="24"/>
        <item x="766"/>
        <item x="198"/>
        <item x="757"/>
        <item x="9"/>
        <item x="300"/>
        <item x="251"/>
        <item x="633"/>
        <item x="549"/>
        <item x="585"/>
        <item x="142"/>
        <item x="164"/>
        <item x="143"/>
        <item x="551"/>
        <item x="648"/>
        <item x="691"/>
        <item x="55"/>
        <item x="323"/>
        <item x="558"/>
        <item x="686"/>
        <item x="130"/>
        <item x="737"/>
        <item x="408"/>
        <item x="592"/>
        <item x="294"/>
        <item x="781"/>
        <item x="246"/>
        <item x="571"/>
        <item x="338"/>
        <item x="532"/>
        <item x="657"/>
        <item x="325"/>
        <item x="442"/>
        <item x="215"/>
        <item x="472"/>
        <item x="707"/>
        <item x="671"/>
        <item x="718"/>
        <item x="634"/>
        <item x="539"/>
        <item x="132"/>
        <item x="168"/>
        <item x="425"/>
        <item x="753"/>
        <item x="632"/>
        <item x="754"/>
        <item x="765"/>
        <item x="409"/>
        <item x="131"/>
        <item x="231"/>
        <item x="531"/>
        <item x="651"/>
        <item x="674"/>
        <item x="608"/>
        <item x="729"/>
        <item x="717"/>
        <item x="695"/>
        <item x="242"/>
        <item x="591"/>
        <item x="615"/>
        <item x="641"/>
        <item x="563"/>
        <item x="37"/>
        <item x="812"/>
        <item x="586"/>
        <item x="471"/>
        <item x="376"/>
        <item x="606"/>
        <item x="104"/>
        <item x="438"/>
        <item x="455"/>
        <item x="386"/>
        <item x="699"/>
        <item x="99"/>
        <item x="21"/>
        <item x="321"/>
        <item x="211"/>
        <item x="347"/>
        <item x="223"/>
        <item x="141"/>
        <item x="612"/>
        <item x="274"/>
        <item x="809"/>
        <item x="344"/>
        <item x="206"/>
        <item x="647"/>
        <item x="595"/>
        <item x="599"/>
        <item x="112"/>
        <item x="598"/>
        <item x="584"/>
        <item x="380"/>
        <item x="774"/>
        <item x="541"/>
        <item x="85"/>
        <item x="590"/>
        <item x="560"/>
        <item x="232"/>
        <item x="378"/>
        <item x="4"/>
        <item x="6"/>
        <item x="464"/>
        <item x="623"/>
        <item x="244"/>
        <item x="331"/>
        <item x="128"/>
        <item x="202"/>
        <item x="473"/>
        <item x="205"/>
        <item x="759"/>
        <item x="189"/>
        <item x="806"/>
        <item x="660"/>
        <item x="183"/>
        <item x="719"/>
        <item x="186"/>
        <item x="387"/>
        <item x="424"/>
        <item x="98"/>
        <item x="328"/>
        <item x="391"/>
        <item x="519"/>
        <item x="342"/>
        <item x="725"/>
        <item x="97"/>
        <item x="702"/>
        <item x="62"/>
        <item x="298"/>
        <item x="119"/>
        <item x="625"/>
        <item x="122"/>
        <item x="813"/>
        <item x="536"/>
        <item x="154"/>
        <item x="299"/>
        <item x="60"/>
        <item x="167"/>
        <item x="396"/>
        <item x="403"/>
        <item x="239"/>
        <item x="772"/>
        <item x="443"/>
        <item x="583"/>
        <item x="41"/>
        <item x="677"/>
        <item x="543"/>
        <item x="3"/>
        <item x="533"/>
        <item x="706"/>
        <item x="375"/>
        <item x="291"/>
        <item x="330"/>
        <item x="428"/>
        <item x="361"/>
        <item x="263"/>
        <item x="721"/>
        <item x="90"/>
        <item x="296"/>
        <item x="630"/>
        <item x="64"/>
        <item x="89"/>
        <item x="654"/>
        <item x="726"/>
        <item x="548"/>
        <item x="645"/>
        <item x="237"/>
        <item x="81"/>
        <item x="79"/>
        <item x="469"/>
        <item x="445"/>
        <item x="801"/>
        <item x="482"/>
        <item x="107"/>
        <item x="637"/>
        <item x="535"/>
        <item x="434"/>
        <item x="191"/>
        <item x="287"/>
        <item x="329"/>
        <item x="218"/>
        <item x="746"/>
        <item x="617"/>
        <item x="285"/>
        <item x="384"/>
        <item x="547"/>
        <item x="341"/>
        <item x="281"/>
        <item x="619"/>
        <item x="789"/>
        <item x="320"/>
        <item x="33"/>
        <item x="580"/>
        <item x="52"/>
        <item x="10"/>
        <item x="196"/>
        <item x="152"/>
        <item x="459"/>
        <item x="243"/>
        <item x="607"/>
        <item x="362"/>
        <item x="723"/>
        <item x="187"/>
        <item x="115"/>
        <item x="371"/>
        <item x="427"/>
        <item x="275"/>
        <item x="485"/>
        <item x="811"/>
        <item x="374"/>
        <item x="351"/>
        <item x="259"/>
        <item x="146"/>
        <item x="564"/>
        <item x="436"/>
        <item x="422"/>
        <item x="508"/>
        <item x="656"/>
        <item x="84"/>
        <item x="116"/>
        <item x="740"/>
        <item x="433"/>
        <item x="56"/>
        <item x="199"/>
        <item x="678"/>
        <item x="7"/>
        <item x="78"/>
        <item x="127"/>
        <item x="399"/>
        <item x="567"/>
        <item x="685"/>
        <item x="652"/>
        <item x="80"/>
        <item x="662"/>
        <item x="304"/>
        <item x="204"/>
        <item x="388"/>
        <item x="663"/>
        <item x="673"/>
        <item x="30"/>
        <item x="476"/>
        <item x="235"/>
        <item x="276"/>
        <item x="764"/>
        <item x="487"/>
        <item x="728"/>
        <item x="743"/>
        <item x="176"/>
        <item x="810"/>
        <item x="262"/>
        <item x="190"/>
        <item x="692"/>
        <item x="293"/>
        <item x="526"/>
        <item x="309"/>
        <item x="635"/>
        <item x="626"/>
        <item x="247"/>
        <item x="279"/>
        <item x="788"/>
        <item x="101"/>
        <item x="355"/>
        <item x="700"/>
        <item x="786"/>
        <item x="566"/>
        <item x="58"/>
        <item x="39"/>
        <item x="271"/>
        <item x="413"/>
        <item x="282"/>
        <item x="161"/>
        <item x="770"/>
        <item x="241"/>
        <item x="345"/>
        <item x="192"/>
        <item x="348"/>
        <item x="738"/>
        <item x="240"/>
        <item x="277"/>
        <item x="350"/>
        <item x="542"/>
        <item x="70"/>
        <item x="13"/>
        <item x="113"/>
        <item x="180"/>
        <item x="233"/>
        <item x="312"/>
        <item x="512"/>
        <item x="257"/>
        <item x="134"/>
        <item x="688"/>
        <item x="102"/>
        <item x="230"/>
        <item x="687"/>
        <item x="787"/>
        <item x="47"/>
        <item x="631"/>
        <item x="490"/>
        <item x="317"/>
        <item x="616"/>
        <item x="478"/>
        <item x="397"/>
        <item x="197"/>
        <item x="137"/>
        <item x="483"/>
        <item x="45"/>
        <item x="614"/>
        <item x="689"/>
        <item x="576"/>
        <item x="704"/>
        <item x="745"/>
        <item x="538"/>
        <item x="29"/>
        <item x="527"/>
        <item x="20"/>
        <item x="507"/>
        <item x="105"/>
        <item x="701"/>
        <item x="254"/>
        <item x="157"/>
        <item x="266"/>
        <item x="522"/>
        <item x="555"/>
        <item x="463"/>
        <item x="245"/>
        <item x="339"/>
        <item x="720"/>
        <item x="613"/>
        <item x="675"/>
        <item x="682"/>
        <item x="86"/>
        <item x="207"/>
        <item x="694"/>
        <item x="579"/>
        <item x="520"/>
        <item x="638"/>
        <item x="470"/>
        <item x="506"/>
        <item x="655"/>
        <item x="609"/>
        <item x="552"/>
        <item x="53"/>
        <item x="769"/>
        <item x="605"/>
        <item x="679"/>
        <item x="8"/>
        <item x="784"/>
        <item x="229"/>
        <item x="383"/>
        <item x="31"/>
        <item x="0"/>
        <item x="153"/>
        <item x="546"/>
        <item x="603"/>
        <item x="524"/>
        <item x="256"/>
        <item x="480"/>
        <item x="88"/>
        <item x="35"/>
        <item x="283"/>
        <item x="195"/>
        <item x="68"/>
        <item x="735"/>
        <item x="337"/>
        <item x="340"/>
        <item x="643"/>
        <item x="400"/>
        <item x="12"/>
        <item x="465"/>
        <item x="367"/>
        <item x="575"/>
        <item x="22"/>
        <item x="269"/>
        <item x="364"/>
        <item x="307"/>
        <item x="505"/>
        <item x="523"/>
        <item x="151"/>
        <item x="550"/>
        <item x="680"/>
        <item x="501"/>
        <item x="224"/>
        <item x="665"/>
        <item x="747"/>
        <item x="636"/>
        <item x="220"/>
        <item x="416"/>
        <item x="661"/>
        <item x="676"/>
        <item x="622"/>
        <item x="798"/>
        <item x="129"/>
        <item x="627"/>
        <item x="466"/>
        <item x="755"/>
        <item x="59"/>
        <item x="1"/>
        <item x="358"/>
        <item x="133"/>
        <item x="453"/>
        <item x="604"/>
        <item x="521"/>
        <item x="484"/>
        <item x="222"/>
        <item x="494"/>
        <item x="95"/>
        <item x="565"/>
        <item x="659"/>
        <item x="804"/>
        <item x="681"/>
        <item x="730"/>
        <item x="534"/>
        <item x="589"/>
        <item x="777"/>
        <item x="793"/>
        <item x="158"/>
        <item x="150"/>
        <item x="556"/>
        <item x="437"/>
        <item x="334"/>
        <item x="373"/>
        <item x="217"/>
        <item x="353"/>
        <item x="639"/>
        <item x="545"/>
        <item x="611"/>
        <item x="34"/>
        <item x="597"/>
        <item x="768"/>
        <item x="265"/>
        <item x="308"/>
        <item x="297"/>
        <item x="618"/>
        <item x="449"/>
        <item x="114"/>
        <item x="162"/>
        <item x="653"/>
        <item x="343"/>
        <item x="672"/>
        <item x="529"/>
        <item x="280"/>
        <item x="379"/>
        <item x="734"/>
        <item x="301"/>
        <item x="174"/>
        <item x="456"/>
        <item x="420"/>
        <item x="305"/>
        <item x="160"/>
        <item x="460"/>
        <item x="327"/>
        <item x="61"/>
        <item x="557"/>
        <item x="696"/>
        <item x="44"/>
        <item x="514"/>
        <item x="210"/>
        <item x="121"/>
        <item x="411"/>
        <item x="19"/>
        <item x="182"/>
        <item x="646"/>
        <item x="502"/>
        <item x="365"/>
        <item x="783"/>
        <item x="503"/>
        <item x="649"/>
        <item x="106"/>
        <item x="57"/>
        <item x="392"/>
        <item x="184"/>
        <item x="179"/>
        <item x="690"/>
        <item x="72"/>
        <item x="360"/>
        <item x="49"/>
        <item x="290"/>
        <item x="261"/>
        <item x="559"/>
        <item x="780"/>
        <item x="125"/>
        <item x="381"/>
        <item x="572"/>
        <item x="669"/>
        <item x="712"/>
        <item x="156"/>
        <item x="666"/>
        <item x="270"/>
        <item x="264"/>
        <item x="467"/>
        <item x="286"/>
        <item x="393"/>
        <item x="96"/>
        <item x="415"/>
        <item x="316"/>
        <item x="596"/>
        <item x="139"/>
        <item x="412"/>
        <item x="510"/>
        <item x="295"/>
        <item x="814"/>
        <item x="123"/>
        <item x="370"/>
        <item x="446"/>
        <item x="693"/>
        <item x="208"/>
        <item x="426"/>
        <item x="492"/>
        <item x="457"/>
        <item x="778"/>
        <item x="50"/>
        <item x="749"/>
        <item x="421"/>
        <item x="451"/>
        <item x="794"/>
        <item x="171"/>
        <item x="54"/>
        <item x="289"/>
        <item x="410"/>
        <item x="569"/>
        <item x="385"/>
        <item x="792"/>
        <item x="574"/>
        <item x="17"/>
        <item x="200"/>
        <item x="11"/>
        <item x="515"/>
        <item x="26"/>
        <item x="349"/>
        <item x="758"/>
        <item x="477"/>
        <item x="650"/>
        <item x="500"/>
        <item x="800"/>
        <item x="83"/>
        <item x="713"/>
        <item x="87"/>
        <item x="727"/>
        <item x="227"/>
        <item x="705"/>
        <item x="518"/>
        <item x="260"/>
        <item x="110"/>
        <item x="668"/>
        <item x="417"/>
        <item x="593"/>
        <item x="407"/>
        <item x="418"/>
        <item x="394"/>
        <item x="628"/>
        <item x="481"/>
        <item x="169"/>
        <item x="194"/>
        <item x="292"/>
        <item x="462"/>
        <item x="496"/>
        <item x="581"/>
        <item x="568"/>
        <item x="372"/>
        <item x="799"/>
        <item x="474"/>
        <item x="148"/>
        <item x="40"/>
        <item x="736"/>
        <item x="573"/>
        <item x="796"/>
        <item x="751"/>
        <item x="357"/>
        <item x="600"/>
        <item x="488"/>
        <item x="771"/>
        <item x="594"/>
        <item x="38"/>
        <item x="124"/>
        <item x="250"/>
        <item x="236"/>
        <item x="779"/>
        <item x="2"/>
        <item x="94"/>
        <item x="135"/>
        <item x="109"/>
        <item x="406"/>
        <item x="118"/>
        <item x="486"/>
        <item x="742"/>
        <item x="776"/>
        <item x="377"/>
        <item x="731"/>
        <item x="711"/>
        <item x="562"/>
        <item x="258"/>
        <item x="629"/>
        <item x="111"/>
        <item x="748"/>
        <item x="578"/>
        <item x="336"/>
        <item x="252"/>
        <item x="405"/>
        <item x="359"/>
        <item x="495"/>
        <item x="71"/>
        <item x="441"/>
        <item x="670"/>
        <item x="248"/>
        <item x="352"/>
        <item x="450"/>
        <item x="234"/>
        <item x="709"/>
        <item x="319"/>
        <item x="497"/>
        <item x="602"/>
        <item x="103"/>
        <item x="577"/>
        <item x="203"/>
        <item x="147"/>
        <item x="136"/>
        <item x="188"/>
        <item x="640"/>
        <item x="82"/>
        <item x="120"/>
        <item x="795"/>
        <item x="212"/>
        <item x="587"/>
        <item x="149"/>
        <item x="302"/>
        <item x="475"/>
        <item x="439"/>
        <item x="314"/>
        <item x="419"/>
        <item x="610"/>
        <item x="16"/>
        <item x="193"/>
        <item x="468"/>
        <item x="216"/>
        <item x="790"/>
        <item x="159"/>
        <item x="402"/>
        <item x="739"/>
        <item x="479"/>
        <item x="28"/>
        <item x="447"/>
        <item x="744"/>
        <item x="185"/>
        <item x="513"/>
        <item x="382"/>
        <item x="75"/>
        <item x="221"/>
        <item x="716"/>
        <item x="346"/>
        <item x="530"/>
        <item x="724"/>
        <item x="73"/>
        <item x="493"/>
        <item x="805"/>
        <item x="509"/>
        <item x="752"/>
        <item x="498"/>
        <item x="430"/>
        <item x="710"/>
        <item x="775"/>
        <item x="310"/>
        <item x="108"/>
        <item x="537"/>
        <item x="228"/>
        <item x="36"/>
        <item x="225"/>
        <item x="554"/>
        <item x="165"/>
        <item x="561"/>
        <item x="440"/>
        <item x="249"/>
        <item x="14"/>
        <item x="255"/>
        <item x="65"/>
        <item x="201"/>
        <item x="69"/>
        <item x="429"/>
        <item x="284"/>
        <item x="683"/>
        <item x="318"/>
        <item x="401"/>
        <item x="802"/>
        <item x="5"/>
        <item x="91"/>
        <item x="395"/>
        <item x="624"/>
        <item x="326"/>
        <item x="642"/>
        <item x="504"/>
        <item x="432"/>
        <item x="272"/>
        <item x="404"/>
        <item x="368"/>
        <item x="77"/>
        <item x="517"/>
        <item x="303"/>
        <item x="25"/>
        <item x="491"/>
        <item x="238"/>
        <item x="306"/>
        <item x="553"/>
        <item x="756"/>
        <item x="452"/>
        <item x="803"/>
        <item x="138"/>
        <item x="588"/>
        <item x="621"/>
        <item x="423"/>
        <item x="791"/>
        <item x="163"/>
        <item x="51"/>
        <item x="733"/>
        <item x="27"/>
        <item x="499"/>
        <item x="140"/>
        <item x="100"/>
        <item x="219"/>
        <item x="67"/>
        <item x="489"/>
        <item x="145"/>
        <item x="273"/>
        <item x="570"/>
        <item x="66"/>
        <item x="126"/>
        <item x="253"/>
        <item x="698"/>
        <item x="708"/>
        <item x="544"/>
        <item x="715"/>
        <item x="173"/>
        <item x="815"/>
        <item t="default"/>
      </items>
    </pivotField>
    <pivotField showAll="0">
      <items count="7">
        <item x="0"/>
        <item x="4"/>
        <item x="1"/>
        <item x="3"/>
        <item x="2"/>
        <item x="5"/>
        <item t="default"/>
      </items>
    </pivotField>
    <pivotField showAll="0"/>
    <pivotField showAll="0"/>
    <pivotField showAll="0"/>
    <pivotField axis="axisRow" showAll="0">
      <items count="8">
        <item x="4"/>
        <item x="1"/>
        <item x="2"/>
        <item x="3"/>
        <item x="5"/>
        <item x="0"/>
        <item x="6"/>
        <item t="default"/>
      </items>
    </pivotField>
    <pivotField showAll="0">
      <items count="7">
        <item x="4"/>
        <item x="3"/>
        <item x="1"/>
        <item x="2"/>
        <item x="0"/>
        <item x="5"/>
        <item t="default"/>
      </items>
    </pivotField>
    <pivotField showAll="0"/>
    <pivotField showAll="0"/>
    <pivotField showAll="0">
      <items count="32">
        <item x="14"/>
        <item x="24"/>
        <item x="18"/>
        <item x="8"/>
        <item x="29"/>
        <item x="22"/>
        <item x="17"/>
        <item x="4"/>
        <item x="3"/>
        <item x="27"/>
        <item x="9"/>
        <item x="6"/>
        <item x="20"/>
        <item x="11"/>
        <item x="16"/>
        <item x="7"/>
        <item x="0"/>
        <item x="1"/>
        <item x="21"/>
        <item x="25"/>
        <item x="15"/>
        <item x="26"/>
        <item x="10"/>
        <item x="23"/>
        <item x="2"/>
        <item x="28"/>
        <item x="13"/>
        <item x="12"/>
        <item x="5"/>
        <item x="19"/>
        <item x="30"/>
        <item t="default"/>
      </items>
    </pivotField>
    <pivotField dataField="1" showAll="0">
      <items count="1998">
        <item x="1277"/>
        <item x="1402"/>
        <item x="1767"/>
        <item x="1135"/>
        <item x="1293"/>
        <item x="1621"/>
        <item x="1289"/>
        <item x="584"/>
        <item x="843"/>
        <item x="1553"/>
        <item x="1009"/>
        <item x="1183"/>
        <item x="1529"/>
        <item x="1335"/>
        <item x="839"/>
        <item x="902"/>
        <item x="1366"/>
        <item x="1155"/>
        <item x="999"/>
        <item x="1658"/>
        <item x="1003"/>
        <item x="795"/>
        <item x="1338"/>
        <item x="1023"/>
        <item x="1761"/>
        <item x="397"/>
        <item x="490"/>
        <item x="1353"/>
        <item x="1760"/>
        <item x="732"/>
        <item x="1559"/>
        <item x="1558"/>
        <item x="1958"/>
        <item x="1790"/>
        <item x="38"/>
        <item x="1318"/>
        <item x="395"/>
        <item x="1645"/>
        <item x="1806"/>
        <item x="463"/>
        <item x="674"/>
        <item x="1911"/>
        <item x="1831"/>
        <item x="135"/>
        <item x="888"/>
        <item x="1814"/>
        <item x="957"/>
        <item x="906"/>
        <item x="603"/>
        <item x="1285"/>
        <item x="296"/>
        <item x="941"/>
        <item x="438"/>
        <item x="338"/>
        <item x="1794"/>
        <item x="1208"/>
        <item x="1401"/>
        <item x="1495"/>
        <item x="1048"/>
        <item x="780"/>
        <item x="1936"/>
        <item x="1326"/>
        <item x="1213"/>
        <item x="1481"/>
        <item x="908"/>
        <item x="1525"/>
        <item x="622"/>
        <item x="92"/>
        <item x="947"/>
        <item x="1051"/>
        <item x="1083"/>
        <item x="195"/>
        <item x="1903"/>
        <item x="1805"/>
        <item x="1876"/>
        <item x="1772"/>
        <item x="716"/>
        <item x="1912"/>
        <item x="1848"/>
        <item x="1440"/>
        <item x="726"/>
        <item x="813"/>
        <item x="1633"/>
        <item x="74"/>
        <item x="945"/>
        <item x="482"/>
        <item x="1512"/>
        <item x="489"/>
        <item x="1898"/>
        <item x="1394"/>
        <item x="1571"/>
        <item x="378"/>
        <item x="1554"/>
        <item x="1604"/>
        <item x="465"/>
        <item x="1681"/>
        <item x="54"/>
        <item x="694"/>
        <item x="1916"/>
        <item x="1004"/>
        <item x="1098"/>
        <item x="1169"/>
        <item x="1960"/>
        <item x="1105"/>
        <item x="196"/>
        <item x="1059"/>
        <item x="1242"/>
        <item x="516"/>
        <item x="319"/>
        <item x="301"/>
        <item x="842"/>
        <item x="1445"/>
        <item x="253"/>
        <item x="531"/>
        <item x="435"/>
        <item x="1603"/>
        <item x="1241"/>
        <item x="1808"/>
        <item x="766"/>
        <item x="708"/>
        <item x="569"/>
        <item x="517"/>
        <item x="178"/>
        <item x="961"/>
        <item x="94"/>
        <item x="659"/>
        <item x="1592"/>
        <item x="1165"/>
        <item x="1081"/>
        <item x="290"/>
        <item x="1651"/>
        <item x="721"/>
        <item x="331"/>
        <item x="298"/>
        <item x="663"/>
        <item x="1239"/>
        <item x="1892"/>
        <item x="769"/>
        <item x="854"/>
        <item x="581"/>
        <item x="1421"/>
        <item x="1677"/>
        <item x="914"/>
        <item x="1390"/>
        <item x="598"/>
        <item x="1798"/>
        <item x="1861"/>
        <item x="184"/>
        <item x="538"/>
        <item x="68"/>
        <item x="1938"/>
        <item x="960"/>
        <item x="1443"/>
        <item x="285"/>
        <item x="631"/>
        <item x="1327"/>
        <item x="548"/>
        <item x="652"/>
        <item x="1146"/>
        <item x="1756"/>
        <item x="1172"/>
        <item x="684"/>
        <item x="512"/>
        <item x="705"/>
        <item x="1860"/>
        <item x="1610"/>
        <item x="926"/>
        <item x="1175"/>
        <item x="958"/>
        <item x="1039"/>
        <item x="1575"/>
        <item x="1758"/>
        <item x="1869"/>
        <item x="155"/>
        <item x="1441"/>
        <item x="972"/>
        <item x="61"/>
        <item x="1507"/>
        <item x="1769"/>
        <item x="129"/>
        <item x="648"/>
        <item x="138"/>
        <item x="343"/>
        <item x="1139"/>
        <item x="1010"/>
        <item x="1754"/>
        <item x="1118"/>
        <item x="537"/>
        <item x="549"/>
        <item x="1474"/>
        <item x="1479"/>
        <item x="1773"/>
        <item x="78"/>
        <item x="1868"/>
        <item x="1795"/>
        <item x="1923"/>
        <item x="660"/>
        <item x="597"/>
        <item x="920"/>
        <item x="1649"/>
        <item x="1074"/>
        <item x="5"/>
        <item x="141"/>
        <item x="783"/>
        <item x="558"/>
        <item x="1446"/>
        <item x="509"/>
        <item x="41"/>
        <item x="411"/>
        <item x="613"/>
        <item x="302"/>
        <item x="59"/>
        <item x="889"/>
        <item x="849"/>
        <item x="989"/>
        <item x="1211"/>
        <item x="1973"/>
        <item x="1236"/>
        <item x="1820"/>
        <item x="185"/>
        <item x="858"/>
        <item x="211"/>
        <item x="1895"/>
        <item x="1476"/>
        <item x="1585"/>
        <item x="216"/>
        <item x="3"/>
        <item x="309"/>
        <item x="639"/>
        <item x="845"/>
        <item x="990"/>
        <item x="1855"/>
        <item x="1593"/>
        <item x="873"/>
        <item x="1046"/>
        <item x="1832"/>
        <item x="1536"/>
        <item x="351"/>
        <item x="1462"/>
        <item x="1724"/>
        <item x="1904"/>
        <item x="976"/>
        <item x="479"/>
        <item x="1854"/>
        <item x="352"/>
        <item x="805"/>
        <item x="1352"/>
        <item x="446"/>
        <item x="1885"/>
        <item x="478"/>
        <item x="980"/>
        <item x="767"/>
        <item x="160"/>
        <item x="1349"/>
        <item x="1792"/>
        <item x="1393"/>
        <item x="107"/>
        <item x="713"/>
        <item x="389"/>
        <item x="109"/>
        <item x="506"/>
        <item x="697"/>
        <item x="443"/>
        <item x="80"/>
        <item x="1626"/>
        <item x="233"/>
        <item x="1725"/>
        <item x="287"/>
        <item x="1147"/>
        <item x="1875"/>
        <item x="1947"/>
        <item x="153"/>
        <item x="1933"/>
        <item x="1308"/>
        <item x="1970"/>
        <item x="755"/>
        <item x="273"/>
        <item x="267"/>
        <item x="616"/>
        <item x="1565"/>
        <item x="753"/>
        <item x="1022"/>
        <item x="808"/>
        <item x="385"/>
        <item x="152"/>
        <item x="656"/>
        <item x="1332"/>
        <item x="288"/>
        <item x="158"/>
        <item x="690"/>
        <item x="1668"/>
        <item x="725"/>
        <item x="1665"/>
        <item x="954"/>
        <item x="1320"/>
        <item x="37"/>
        <item x="481"/>
        <item x="470"/>
        <item x="1622"/>
        <item x="475"/>
        <item x="1303"/>
        <item x="566"/>
        <item x="1206"/>
        <item x="526"/>
        <item x="704"/>
        <item x="642"/>
        <item x="1109"/>
        <item x="1941"/>
        <item x="1800"/>
        <item x="370"/>
        <item x="93"/>
        <item x="1796"/>
        <item x="89"/>
        <item x="1439"/>
        <item x="50"/>
        <item x="955"/>
        <item x="1385"/>
        <item x="282"/>
        <item x="87"/>
        <item x="223"/>
        <item x="635"/>
        <item x="629"/>
        <item x="1695"/>
        <item x="897"/>
        <item x="1434"/>
        <item x="655"/>
        <item x="1468"/>
        <item x="763"/>
        <item x="1026"/>
        <item x="63"/>
        <item x="1883"/>
        <item x="1762"/>
        <item x="796"/>
        <item x="77"/>
        <item x="1844"/>
        <item x="33"/>
        <item x="39"/>
        <item x="1253"/>
        <item x="451"/>
        <item x="685"/>
        <item x="191"/>
        <item x="1627"/>
        <item x="879"/>
        <item x="48"/>
        <item x="1340"/>
        <item x="122"/>
        <item x="988"/>
        <item x="1663"/>
        <item x="1313"/>
        <item x="1075"/>
        <item x="108"/>
        <item x="1071"/>
        <item x="1049"/>
        <item x="1542"/>
        <item x="86"/>
        <item x="1417"/>
        <item x="1237"/>
        <item x="433"/>
        <item x="840"/>
        <item x="217"/>
        <item x="779"/>
        <item x="862"/>
        <item x="1413"/>
        <item x="1324"/>
        <item x="150"/>
        <item x="1312"/>
        <item x="362"/>
        <item x="1511"/>
        <item x="1867"/>
        <item x="1920"/>
        <item x="168"/>
        <item x="75"/>
        <item x="145"/>
        <item x="799"/>
        <item x="760"/>
        <item x="1523"/>
        <item x="1224"/>
        <item x="499"/>
        <item x="1742"/>
        <item x="1080"/>
        <item x="555"/>
        <item x="1248"/>
        <item x="702"/>
        <item x="1299"/>
        <item x="266"/>
        <item x="626"/>
        <item x="1119"/>
        <item x="1922"/>
        <item x="996"/>
        <item x="1229"/>
        <item x="829"/>
        <item x="175"/>
        <item x="1288"/>
        <item x="1055"/>
        <item x="662"/>
        <item x="865"/>
        <item x="1656"/>
        <item x="1060"/>
        <item x="1951"/>
        <item x="1272"/>
        <item x="1347"/>
        <item x="1546"/>
        <item x="547"/>
        <item x="900"/>
        <item x="1493"/>
        <item x="1939"/>
        <item x="1014"/>
        <item x="1005"/>
        <item x="289"/>
        <item x="1578"/>
        <item x="1711"/>
        <item x="139"/>
        <item x="131"/>
        <item x="1053"/>
        <item x="736"/>
        <item x="508"/>
        <item x="1084"/>
        <item x="1787"/>
        <item x="1675"/>
        <item x="1609"/>
        <item x="356"/>
        <item x="405"/>
        <item x="848"/>
        <item x="515"/>
        <item x="1187"/>
        <item x="1889"/>
        <item x="1263"/>
        <item x="1107"/>
        <item x="1002"/>
        <item x="421"/>
        <item x="1517"/>
        <item x="1812"/>
        <item x="1494"/>
        <item x="1639"/>
        <item x="1768"/>
        <item x="1501"/>
        <item x="637"/>
        <item x="761"/>
        <item x="909"/>
        <item x="1715"/>
        <item x="1729"/>
        <item x="1882"/>
        <item x="1264"/>
        <item x="1827"/>
        <item x="1631"/>
        <item x="1225"/>
        <item x="1082"/>
        <item x="444"/>
        <item x="610"/>
        <item x="1975"/>
        <item x="315"/>
        <item x="602"/>
        <item x="73"/>
        <item x="1594"/>
        <item x="249"/>
        <item x="1858"/>
        <item x="661"/>
        <item x="459"/>
        <item x="1153"/>
        <item x="1125"/>
        <item x="66"/>
        <item x="1151"/>
        <item x="1680"/>
        <item x="1282"/>
        <item x="647"/>
        <item x="893"/>
        <item x="1396"/>
        <item x="1591"/>
        <item x="654"/>
        <item x="1259"/>
        <item x="1062"/>
        <item x="1987"/>
        <item x="1094"/>
        <item x="257"/>
        <item x="1"/>
        <item x="447"/>
        <item x="722"/>
        <item x="1597"/>
        <item x="803"/>
        <item x="921"/>
        <item x="1089"/>
        <item x="169"/>
        <item x="729"/>
        <item x="1646"/>
        <item x="110"/>
        <item x="1971"/>
        <item x="1635"/>
        <item x="1268"/>
        <item x="744"/>
        <item x="1776"/>
        <item x="84"/>
        <item x="1459"/>
        <item x="1423"/>
        <item x="342"/>
        <item x="1516"/>
        <item x="206"/>
        <item x="1520"/>
        <item x="1190"/>
        <item x="106"/>
        <item x="264"/>
        <item x="1539"/>
        <item x="973"/>
        <item x="1142"/>
        <item x="530"/>
        <item x="1661"/>
        <item x="1698"/>
        <item x="148"/>
        <item x="209"/>
        <item x="1079"/>
        <item x="1957"/>
        <item x="1734"/>
        <item x="1451"/>
        <item x="1164"/>
        <item x="369"/>
        <item x="1397"/>
        <item x="241"/>
        <item x="1572"/>
        <item x="119"/>
        <item x="15"/>
        <item x="295"/>
        <item x="833"/>
        <item x="166"/>
        <item x="586"/>
        <item x="632"/>
        <item x="1489"/>
        <item x="1642"/>
        <item x="82"/>
        <item x="1979"/>
        <item x="1233"/>
        <item x="96"/>
        <item x="1785"/>
        <item x="1404"/>
        <item x="69"/>
        <item x="260"/>
        <item x="723"/>
        <item x="9"/>
        <item x="607"/>
        <item x="1721"/>
        <item x="1456"/>
        <item x="146"/>
        <item x="1025"/>
        <item x="1152"/>
        <item x="628"/>
        <item x="856"/>
        <item x="774"/>
        <item x="408"/>
        <item x="886"/>
        <item x="1586"/>
        <item x="360"/>
        <item x="1137"/>
        <item x="1574"/>
        <item x="1764"/>
        <item x="455"/>
        <item x="218"/>
        <item x="643"/>
        <item x="1862"/>
        <item x="4"/>
        <item x="1953"/>
        <item x="1073"/>
        <item x="623"/>
        <item x="1379"/>
        <item x="1659"/>
        <item x="565"/>
        <item x="281"/>
        <item x="703"/>
        <item x="375"/>
        <item x="1614"/>
        <item x="379"/>
        <item x="1879"/>
        <item x="1815"/>
        <item x="1038"/>
        <item x="617"/>
        <item x="1392"/>
        <item x="372"/>
        <item x="815"/>
        <item x="1382"/>
        <item x="787"/>
        <item x="1935"/>
        <item x="532"/>
        <item x="1458"/>
        <item x="819"/>
        <item x="1697"/>
        <item x="916"/>
        <item x="304"/>
        <item x="561"/>
        <item x="1602"/>
        <item x="213"/>
        <item x="994"/>
        <item x="449"/>
        <item x="271"/>
        <item x="366"/>
        <item x="959"/>
        <item x="1070"/>
        <item x="1145"/>
        <item x="272"/>
        <item x="1015"/>
        <item x="382"/>
        <item x="1533"/>
        <item x="870"/>
        <item x="1255"/>
        <item x="1530"/>
        <item x="828"/>
        <item x="467"/>
        <item x="1028"/>
        <item x="1069"/>
        <item x="641"/>
        <item x="1964"/>
        <item x="428"/>
        <item x="1480"/>
        <item x="1128"/>
        <item x="899"/>
        <item x="718"/>
        <item x="332"/>
        <item x="1804"/>
        <item x="1317"/>
        <item x="1167"/>
        <item x="254"/>
        <item x="1425"/>
        <item x="29"/>
        <item x="42"/>
        <item x="922"/>
        <item x="416"/>
        <item x="43"/>
        <item x="1893"/>
        <item x="346"/>
        <item x="745"/>
        <item x="1249"/>
        <item x="1223"/>
        <item x="1178"/>
        <item x="863"/>
        <item x="429"/>
        <item x="601"/>
        <item x="730"/>
        <item x="570"/>
        <item x="528"/>
        <item x="816"/>
        <item x="128"/>
        <item x="519"/>
        <item x="932"/>
        <item x="1435"/>
        <item x="1311"/>
        <item x="1066"/>
        <item x="1748"/>
        <item x="457"/>
        <item x="1027"/>
        <item x="759"/>
        <item x="242"/>
        <item x="688"/>
        <item x="974"/>
        <item x="374"/>
        <item x="1138"/>
        <item x="1133"/>
        <item x="6"/>
        <item x="1608"/>
        <item x="606"/>
        <item x="814"/>
        <item x="381"/>
        <item x="445"/>
        <item x="1587"/>
        <item x="1538"/>
        <item x="354"/>
        <item x="724"/>
        <item x="1779"/>
        <item x="1615"/>
        <item x="868"/>
        <item x="1123"/>
        <item x="1630"/>
        <item x="786"/>
        <item x="1034"/>
        <item x="1788"/>
        <item x="1429"/>
        <item x="1309"/>
        <item x="668"/>
        <item x="232"/>
        <item x="1620"/>
        <item x="326"/>
        <item x="1799"/>
        <item x="1432"/>
        <item x="1946"/>
        <item x="720"/>
        <item x="174"/>
        <item x="224"/>
        <item x="1576"/>
        <item x="1914"/>
        <item x="1956"/>
        <item x="1491"/>
        <item x="1740"/>
        <item x="546"/>
        <item x="1362"/>
        <item x="1943"/>
        <item x="361"/>
        <item x="291"/>
        <item x="1963"/>
        <item x="364"/>
        <item x="757"/>
        <item x="1111"/>
        <item x="1076"/>
        <item x="664"/>
        <item x="1103"/>
        <item x="1984"/>
        <item x="1629"/>
        <item x="1193"/>
        <item x="335"/>
        <item x="1177"/>
        <item x="371"/>
        <item x="907"/>
        <item x="452"/>
        <item x="993"/>
        <item x="1260"/>
        <item x="1716"/>
        <item x="1194"/>
        <item x="1298"/>
        <item x="439"/>
        <item x="1693"/>
        <item x="34"/>
        <item x="469"/>
        <item x="358"/>
        <item x="1418"/>
        <item x="1351"/>
        <item x="1900"/>
        <item x="1983"/>
        <item x="1836"/>
        <item x="670"/>
        <item x="853"/>
        <item x="64"/>
        <item x="1333"/>
        <item x="322"/>
        <item x="771"/>
        <item x="292"/>
        <item x="951"/>
        <item x="758"/>
        <item x="1096"/>
        <item x="822"/>
        <item x="1460"/>
        <item x="181"/>
        <item x="1952"/>
        <item x="1301"/>
        <item x="1367"/>
        <item x="1718"/>
        <item x="1310"/>
        <item x="943"/>
        <item x="1278"/>
        <item x="903"/>
        <item x="104"/>
        <item x="173"/>
        <item x="200"/>
        <item x="391"/>
        <item x="963"/>
        <item x="1562"/>
        <item x="1744"/>
        <item x="992"/>
        <item x="686"/>
        <item x="402"/>
        <item x="2"/>
        <item x="956"/>
        <item x="329"/>
        <item x="741"/>
        <item x="904"/>
        <item x="835"/>
        <item x="1526"/>
        <item x="1688"/>
        <item x="919"/>
        <item x="313"/>
        <item x="247"/>
        <item x="1550"/>
        <item x="18"/>
        <item x="252"/>
        <item x="1339"/>
        <item x="1115"/>
        <item x="1884"/>
        <item x="1819"/>
        <item x="1157"/>
        <item x="1430"/>
        <item x="1919"/>
        <item x="825"/>
        <item x="1932"/>
        <item x="1991"/>
        <item x="144"/>
        <item x="1364"/>
        <item x="1314"/>
        <item x="595"/>
        <item x="1825"/>
        <item x="422"/>
        <item x="646"/>
        <item x="711"/>
        <item x="1771"/>
        <item x="1976"/>
        <item x="1215"/>
        <item x="1878"/>
        <item x="500"/>
        <item x="1730"/>
        <item x="1980"/>
        <item x="350"/>
        <item x="812"/>
        <item x="1219"/>
        <item x="1774"/>
        <item x="1813"/>
        <item x="1686"/>
        <item x="1986"/>
        <item x="1647"/>
        <item x="1013"/>
        <item x="717"/>
        <item x="1127"/>
        <item x="1371"/>
        <item x="1780"/>
        <item x="734"/>
        <item x="1710"/>
        <item x="1331"/>
        <item x="1230"/>
        <item x="1778"/>
        <item x="460"/>
        <item x="1532"/>
        <item x="1470"/>
        <item x="585"/>
        <item x="1475"/>
        <item x="739"/>
        <item x="1880"/>
        <item x="1824"/>
        <item x="522"/>
        <item x="574"/>
        <item x="1700"/>
        <item x="594"/>
        <item x="1498"/>
        <item x="671"/>
        <item x="1636"/>
        <item x="1290"/>
        <item x="1547"/>
        <item x="832"/>
        <item x="1398"/>
        <item x="1692"/>
        <item x="496"/>
        <item x="488"/>
        <item x="278"/>
        <item x="1162"/>
        <item x="1690"/>
        <item x="1845"/>
        <item x="605"/>
        <item x="1144"/>
        <item x="276"/>
        <item x="1159"/>
        <item x="393"/>
        <item x="557"/>
        <item x="1531"/>
        <item x="846"/>
        <item x="1596"/>
        <item x="504"/>
        <item x="56"/>
        <item x="634"/>
        <item x="912"/>
        <item x="1325"/>
        <item x="170"/>
        <item x="770"/>
        <item x="324"/>
        <item x="1199"/>
        <item x="1733"/>
        <item x="1840"/>
        <item x="773"/>
        <item x="186"/>
        <item x="905"/>
        <item x="1857"/>
        <item x="1150"/>
        <item x="228"/>
        <item x="883"/>
        <item x="918"/>
        <item x="461"/>
        <item x="406"/>
        <item x="1685"/>
        <item x="1502"/>
        <item x="1251"/>
        <item x="1090"/>
        <item x="401"/>
        <item x="159"/>
        <item x="1846"/>
        <item x="1926"/>
        <item x="640"/>
        <item x="666"/>
        <item x="1974"/>
        <item x="553"/>
        <item x="219"/>
        <item x="1323"/>
        <item x="1063"/>
        <item x="1466"/>
        <item x="70"/>
        <item x="1865"/>
        <item x="485"/>
        <item x="311"/>
        <item x="120"/>
        <item x="939"/>
        <item x="1704"/>
        <item x="23"/>
        <item x="1847"/>
        <item x="1653"/>
        <item x="831"/>
        <item x="387"/>
        <item x="229"/>
        <item x="1465"/>
        <item x="1141"/>
        <item x="1535"/>
        <item x="1679"/>
        <item x="1568"/>
        <item x="468"/>
        <item x="118"/>
        <item x="215"/>
        <item x="1870"/>
        <item x="1287"/>
        <item x="425"/>
        <item x="1361"/>
        <item x="1966"/>
        <item x="156"/>
        <item x="788"/>
        <item x="1822"/>
        <item x="349"/>
        <item x="1555"/>
        <item x="1054"/>
        <item x="872"/>
        <item x="1360"/>
        <item x="1485"/>
        <item x="1887"/>
        <item x="1942"/>
        <item x="1273"/>
        <item x="1751"/>
        <item x="1871"/>
        <item x="1204"/>
        <item x="1419"/>
        <item x="1849"/>
        <item x="79"/>
        <item x="1008"/>
        <item x="1487"/>
        <item x="456"/>
        <item x="203"/>
        <item x="222"/>
        <item x="1484"/>
        <item x="448"/>
        <item x="1359"/>
        <item x="1368"/>
        <item x="885"/>
        <item x="49"/>
        <item x="1623"/>
        <item x="1428"/>
        <item x="1186"/>
        <item x="1281"/>
        <item x="1306"/>
        <item x="1628"/>
        <item x="1297"/>
        <item x="1720"/>
        <item x="114"/>
        <item x="1000"/>
        <item x="785"/>
        <item x="417"/>
        <item x="183"/>
        <item x="345"/>
        <item x="1842"/>
        <item x="777"/>
        <item x="474"/>
        <item x="949"/>
        <item x="353"/>
        <item x="1405"/>
        <item x="615"/>
        <item x="259"/>
        <item x="1117"/>
        <item x="850"/>
        <item x="1802"/>
        <item x="1032"/>
        <item x="1129"/>
        <item x="1606"/>
        <item x="365"/>
        <item x="53"/>
        <item x="1972"/>
        <item x="1669"/>
        <item x="102"/>
        <item x="556"/>
        <item x="1564"/>
        <item x="1641"/>
        <item x="1452"/>
        <item x="464"/>
        <item x="619"/>
        <item x="1982"/>
        <item x="1420"/>
        <item x="1114"/>
        <item x="383"/>
        <item x="970"/>
        <item x="1654"/>
        <item x="1930"/>
        <item x="740"/>
        <item x="1503"/>
        <item x="1843"/>
        <item x="1085"/>
        <item x="591"/>
        <item x="1019"/>
        <item x="503"/>
        <item x="1374"/>
        <item x="1037"/>
        <item x="979"/>
        <item x="357"/>
        <item x="1950"/>
        <item x="1328"/>
        <item x="261"/>
        <item x="376"/>
        <item x="600"/>
        <item x="678"/>
        <item x="1518"/>
        <item x="1545"/>
        <item x="564"/>
        <item x="1583"/>
        <item x="126"/>
        <item x="1358"/>
        <item x="20"/>
        <item x="40"/>
        <item x="1043"/>
        <item x="423"/>
        <item x="134"/>
        <item x="1097"/>
        <item x="583"/>
        <item x="1537"/>
        <item x="310"/>
        <item x="1863"/>
        <item x="545"/>
        <item x="407"/>
        <item x="1400"/>
        <item x="1534"/>
        <item x="1784"/>
        <item x="807"/>
        <item x="1770"/>
        <item x="1897"/>
        <item x="1158"/>
        <item x="982"/>
        <item x="588"/>
        <item x="413"/>
        <item x="1902"/>
        <item x="115"/>
        <item x="1775"/>
        <item x="1818"/>
        <item x="1065"/>
        <item x="701"/>
        <item x="1156"/>
        <item x="22"/>
        <item x="749"/>
        <item x="1969"/>
        <item x="861"/>
        <item x="1006"/>
        <item x="1185"/>
        <item x="1874"/>
        <item x="1276"/>
        <item x="790"/>
        <item x="400"/>
        <item x="1753"/>
        <item x="1189"/>
        <item x="596"/>
        <item x="130"/>
        <item x="1448"/>
        <item x="673"/>
        <item x="1294"/>
        <item x="494"/>
        <item x="1797"/>
        <item x="1171"/>
        <item x="1763"/>
        <item x="1850"/>
        <item x="962"/>
        <item x="913"/>
        <item x="1136"/>
        <item x="1905"/>
        <item x="1830"/>
        <item x="1872"/>
        <item x="1292"/>
        <item x="57"/>
        <item x="179"/>
        <item x="599"/>
        <item x="498"/>
        <item x="297"/>
        <item x="878"/>
        <item x="1130"/>
        <item x="986"/>
        <item x="1203"/>
        <item x="679"/>
        <item x="24"/>
        <item x="1921"/>
        <item x="1638"/>
        <item x="927"/>
        <item x="801"/>
        <item x="1061"/>
        <item x="36"/>
        <item x="7"/>
        <item x="1985"/>
        <item x="898"/>
        <item x="665"/>
        <item x="1101"/>
        <item x="1122"/>
        <item x="1284"/>
        <item x="1726"/>
        <item x="1274"/>
        <item x="1384"/>
        <item x="1093"/>
        <item x="1244"/>
        <item x="1449"/>
        <item x="1406"/>
        <item x="550"/>
        <item x="998"/>
        <item x="672"/>
        <item x="915"/>
        <item x="823"/>
        <item x="1811"/>
        <item x="197"/>
        <item x="437"/>
        <item x="689"/>
        <item x="172"/>
        <item x="1611"/>
        <item x="182"/>
        <item x="590"/>
        <item x="797"/>
        <item x="1581"/>
        <item x="1067"/>
        <item x="944"/>
        <item x="8"/>
        <item x="1810"/>
        <item x="1220"/>
        <item x="751"/>
        <item x="1915"/>
        <item x="1637"/>
        <item x="340"/>
        <item x="424"/>
        <item x="1436"/>
        <item x="1217"/>
        <item x="851"/>
        <item x="1246"/>
        <item x="1222"/>
        <item x="1383"/>
        <item x="573"/>
        <item x="1486"/>
        <item x="714"/>
        <item x="884"/>
        <item x="427"/>
        <item x="782"/>
        <item x="208"/>
        <item x="1356"/>
        <item x="1372"/>
        <item x="436"/>
        <item x="1045"/>
        <item x="72"/>
        <item x="19"/>
        <item x="524"/>
        <item x="1676"/>
        <item x="1828"/>
        <item x="1166"/>
        <item x="682"/>
        <item x="236"/>
        <item x="123"/>
        <item x="1877"/>
        <item x="62"/>
        <item x="44"/>
        <item x="98"/>
        <item x="1750"/>
        <item x="483"/>
        <item x="487"/>
        <item x="1154"/>
        <item x="527"/>
        <item x="347"/>
        <item x="693"/>
        <item x="1380"/>
        <item x="1625"/>
        <item x="1344"/>
        <item x="97"/>
        <item x="1741"/>
        <item x="238"/>
        <item x="26"/>
        <item x="1841"/>
        <item x="226"/>
        <item x="882"/>
        <item x="1322"/>
        <item x="339"/>
        <item x="1407"/>
        <item x="244"/>
        <item x="277"/>
        <item x="948"/>
        <item x="1783"/>
        <item x="928"/>
        <item x="866"/>
        <item x="325"/>
        <item x="743"/>
        <item x="90"/>
        <item x="367"/>
        <item x="31"/>
        <item x="580"/>
        <item x="1454"/>
        <item x="1078"/>
        <item x="431"/>
        <item x="380"/>
        <item x="171"/>
        <item x="1948"/>
        <item x="1092"/>
        <item x="1901"/>
        <item x="398"/>
        <item x="420"/>
        <item x="911"/>
        <item x="1269"/>
        <item x="1977"/>
        <item x="1412"/>
        <item x="1687"/>
        <item x="1389"/>
        <item x="997"/>
        <item x="1234"/>
        <item x="1617"/>
        <item x="125"/>
        <item x="1821"/>
        <item x="1908"/>
        <item x="1447"/>
        <item x="1588"/>
        <item x="1291"/>
        <item x="1095"/>
        <item x="1471"/>
        <item x="327"/>
        <item x="621"/>
        <item x="1243"/>
        <item x="1968"/>
        <item x="1438"/>
        <item x="1738"/>
        <item x="293"/>
        <item x="1188"/>
        <item x="1766"/>
        <item x="1500"/>
        <item x="1021"/>
        <item x="1866"/>
        <item x="17"/>
        <item x="1472"/>
        <item x="1041"/>
        <item x="1086"/>
        <item x="1782"/>
        <item x="633"/>
        <item x="802"/>
        <item x="1488"/>
        <item x="333"/>
        <item x="199"/>
        <item x="1088"/>
        <item x="754"/>
        <item x="394"/>
        <item x="177"/>
        <item x="699"/>
        <item x="149"/>
        <item x="220"/>
        <item x="1427"/>
        <item x="430"/>
        <item x="1995"/>
        <item x="432"/>
        <item x="983"/>
        <item x="323"/>
        <item x="1196"/>
        <item x="513"/>
        <item x="924"/>
        <item x="35"/>
        <item x="1126"/>
        <item x="523"/>
        <item x="1104"/>
        <item x="1829"/>
        <item x="651"/>
        <item x="1050"/>
        <item x="810"/>
        <item x="735"/>
        <item x="552"/>
        <item x="612"/>
        <item x="977"/>
        <item x="1174"/>
        <item x="1809"/>
        <item x="877"/>
        <item x="1618"/>
        <item x="1746"/>
        <item x="567"/>
        <item x="344"/>
        <item x="1426"/>
        <item x="669"/>
        <item x="917"/>
        <item x="1058"/>
        <item x="971"/>
        <item x="859"/>
        <item x="1052"/>
        <item x="312"/>
        <item x="1556"/>
        <item x="1179"/>
        <item x="968"/>
        <item x="953"/>
        <item x="1369"/>
        <item x="486"/>
        <item x="1341"/>
        <item x="1678"/>
        <item x="1705"/>
        <item x="275"/>
        <item x="1524"/>
        <item x="212"/>
        <item x="1650"/>
        <item x="1329"/>
        <item x="1210"/>
        <item x="133"/>
        <item x="966"/>
        <item x="140"/>
        <item x="1544"/>
        <item x="1262"/>
        <item x="1057"/>
        <item x="1691"/>
        <item x="105"/>
        <item x="712"/>
        <item x="1817"/>
        <item x="1514"/>
        <item x="582"/>
        <item x="1121"/>
        <item x="1295"/>
        <item x="1990"/>
        <item x="1777"/>
        <item x="1304"/>
        <item x="99"/>
        <item x="262"/>
        <item x="415"/>
        <item x="1170"/>
        <item x="1540"/>
        <item x="1508"/>
        <item x="1235"/>
        <item x="1184"/>
        <item x="1781"/>
        <item x="458"/>
        <item x="167"/>
        <item x="32"/>
        <item x="1856"/>
        <item x="1342"/>
        <item x="841"/>
        <item x="283"/>
        <item x="1967"/>
        <item x="136"/>
        <item x="1607"/>
        <item x="1031"/>
        <item x="1834"/>
        <item x="857"/>
        <item x="251"/>
        <item x="124"/>
        <item x="1696"/>
        <item x="1801"/>
        <item x="855"/>
        <item x="1515"/>
        <item x="1949"/>
        <item x="306"/>
        <item x="399"/>
        <item x="1937"/>
        <item x="392"/>
        <item x="101"/>
        <item x="314"/>
        <item x="198"/>
        <item x="706"/>
        <item x="151"/>
        <item x="1910"/>
        <item x="1894"/>
        <item x="1363"/>
        <item x="715"/>
        <item x="1238"/>
        <item x="409"/>
        <item x="975"/>
        <item x="1670"/>
        <item x="1682"/>
        <item x="359"/>
        <item x="1091"/>
        <item x="1345"/>
        <item x="188"/>
        <item x="1365"/>
        <item x="952"/>
        <item x="1416"/>
        <item x="305"/>
        <item x="1469"/>
        <item x="317"/>
        <item x="827"/>
        <item x="1047"/>
        <item x="1482"/>
        <item x="1965"/>
        <item x="91"/>
        <item x="625"/>
        <item x="27"/>
        <item x="234"/>
        <item x="1478"/>
        <item x="1694"/>
        <item x="1132"/>
        <item x="1837"/>
        <item x="1198"/>
        <item x="142"/>
        <item x="1793"/>
        <item x="1579"/>
        <item x="1803"/>
        <item x="1909"/>
        <item x="636"/>
        <item x="410"/>
        <item x="112"/>
        <item x="709"/>
        <item x="368"/>
        <item x="604"/>
        <item x="165"/>
        <item x="147"/>
        <item x="1410"/>
        <item x="318"/>
        <item x="608"/>
        <item x="1634"/>
        <item x="274"/>
        <item x="67"/>
        <item x="1020"/>
        <item x="1346"/>
        <item x="1791"/>
        <item x="750"/>
        <item x="466"/>
        <item x="316"/>
        <item x="300"/>
        <item x="1989"/>
        <item x="1931"/>
        <item x="683"/>
        <item x="1672"/>
        <item x="1148"/>
        <item x="1321"/>
        <item x="1702"/>
        <item x="1386"/>
        <item x="534"/>
        <item x="1648"/>
        <item x="237"/>
        <item x="1655"/>
        <item x="578"/>
        <item x="1387"/>
        <item x="1232"/>
        <item x="462"/>
        <item x="871"/>
        <item x="1209"/>
        <item x="100"/>
        <item x="510"/>
        <item x="1336"/>
        <item x="1218"/>
        <item x="279"/>
        <item x="1280"/>
        <item x="45"/>
        <item x="844"/>
        <item x="1035"/>
        <item x="1207"/>
        <item x="875"/>
        <item x="1227"/>
        <item x="303"/>
        <item x="543"/>
        <item x="1216"/>
        <item x="542"/>
        <item x="476"/>
        <item x="1701"/>
        <item x="453"/>
        <item x="937"/>
        <item x="1044"/>
        <item x="1835"/>
        <item x="221"/>
        <item x="1181"/>
        <item x="192"/>
        <item x="834"/>
        <item x="14"/>
        <item x="1838"/>
        <item x="772"/>
        <item x="1567"/>
        <item x="1001"/>
        <item x="778"/>
        <item x="502"/>
        <item x="1707"/>
        <item x="1839"/>
        <item x="255"/>
        <item x="1226"/>
        <item x="645"/>
        <item x="657"/>
        <item x="1191"/>
        <item x="1422"/>
        <item x="824"/>
        <item x="1667"/>
        <item x="933"/>
        <item x="579"/>
        <item x="450"/>
        <item x="1033"/>
        <item x="1433"/>
        <item x="806"/>
        <item x="492"/>
        <item x="1717"/>
        <item x="1370"/>
        <item x="21"/>
        <item x="1200"/>
        <item x="1072"/>
        <item x="25"/>
        <item x="1731"/>
        <item x="1375"/>
        <item x="1743"/>
        <item x="1671"/>
        <item x="472"/>
        <item x="887"/>
        <item x="710"/>
        <item x="484"/>
        <item x="1376"/>
        <item x="1727"/>
        <item x="1640"/>
        <item x="154"/>
        <item x="1823"/>
        <item x="47"/>
        <item x="176"/>
        <item x="1662"/>
        <item x="58"/>
        <item x="1722"/>
        <item x="987"/>
        <item x="1978"/>
        <item x="1334"/>
        <item x="1527"/>
        <item x="113"/>
        <item x="164"/>
        <item x="533"/>
        <item x="1929"/>
        <item x="1271"/>
        <item x="609"/>
        <item x="614"/>
        <item x="454"/>
        <item x="936"/>
        <item x="965"/>
        <item x="1240"/>
        <item x="1036"/>
        <item x="1864"/>
        <item x="1543"/>
        <item x="163"/>
        <item x="1712"/>
        <item x="981"/>
        <item x="103"/>
        <item x="1616"/>
        <item x="1577"/>
        <item x="1549"/>
        <item x="341"/>
        <item x="1590"/>
        <item x="707"/>
        <item x="1373"/>
        <item x="1689"/>
        <item x="284"/>
        <item x="1580"/>
        <item x="1907"/>
        <item x="214"/>
        <item x="942"/>
        <item x="676"/>
        <item x="1100"/>
        <item x="442"/>
        <item x="1706"/>
        <item x="1890"/>
        <item x="792"/>
        <item x="733"/>
        <item x="511"/>
        <item x="946"/>
        <item x="1988"/>
        <item x="1714"/>
        <item x="308"/>
        <item x="1992"/>
        <item x="1632"/>
        <item x="1106"/>
        <item x="1736"/>
        <item x="1258"/>
        <item x="121"/>
        <item x="1506"/>
        <item x="1120"/>
        <item x="1657"/>
        <item x="620"/>
        <item x="1108"/>
        <item x="1357"/>
        <item x="874"/>
        <item x="925"/>
        <item x="1316"/>
        <item x="1315"/>
        <item x="728"/>
        <item x="336"/>
        <item x="867"/>
        <item x="1161"/>
        <item x="540"/>
        <item x="969"/>
        <item x="698"/>
        <item x="414"/>
        <item x="1112"/>
        <item x="1723"/>
        <item x="514"/>
        <item x="738"/>
        <item x="1881"/>
        <item x="1673"/>
        <item x="1924"/>
        <item x="1110"/>
        <item x="355"/>
        <item x="337"/>
        <item x="985"/>
        <item x="321"/>
        <item x="1134"/>
        <item x="1786"/>
        <item x="1214"/>
        <item x="776"/>
        <item x="1012"/>
        <item x="491"/>
        <item x="1283"/>
        <item x="280"/>
        <item x="1896"/>
        <item x="1381"/>
        <item x="890"/>
        <item x="1888"/>
        <item x="390"/>
        <item x="477"/>
        <item x="864"/>
        <item x="235"/>
        <item x="521"/>
        <item x="194"/>
        <item x="1195"/>
        <item x="1927"/>
        <item x="1601"/>
        <item x="1521"/>
        <item x="1409"/>
        <item x="695"/>
        <item x="384"/>
        <item x="71"/>
        <item x="1286"/>
        <item x="826"/>
        <item x="11"/>
        <item x="1056"/>
        <item x="1201"/>
        <item x="978"/>
        <item x="201"/>
        <item x="1296"/>
        <item x="0"/>
        <item x="46"/>
        <item x="756"/>
        <item x="441"/>
        <item x="984"/>
        <item x="1739"/>
        <item x="1143"/>
        <item x="1541"/>
        <item x="1116"/>
        <item x="967"/>
        <item x="1403"/>
        <item x="804"/>
        <item x="1231"/>
        <item x="117"/>
        <item x="330"/>
        <item x="576"/>
        <item x="536"/>
        <item x="265"/>
        <item x="1899"/>
        <item x="373"/>
        <item x="1205"/>
        <item x="1959"/>
        <item x="76"/>
        <item x="161"/>
        <item x="1683"/>
        <item x="1728"/>
        <item x="1917"/>
        <item x="880"/>
        <item x="1816"/>
        <item x="307"/>
        <item x="1944"/>
        <item x="250"/>
        <item x="891"/>
        <item x="649"/>
        <item x="1961"/>
        <item x="618"/>
        <item x="1765"/>
        <item x="1599"/>
        <item x="1497"/>
        <item x="137"/>
        <item x="1173"/>
        <item x="256"/>
        <item x="1510"/>
        <item x="520"/>
        <item x="190"/>
        <item x="895"/>
        <item x="811"/>
        <item x="1918"/>
        <item x="497"/>
        <item x="809"/>
        <item x="747"/>
        <item x="1202"/>
        <item x="187"/>
        <item x="1522"/>
        <item x="692"/>
        <item x="627"/>
        <item x="1221"/>
        <item x="1180"/>
        <item x="798"/>
        <item x="929"/>
        <item x="230"/>
        <item x="681"/>
        <item x="950"/>
        <item x="1955"/>
        <item x="495"/>
        <item x="1160"/>
        <item x="940"/>
        <item x="386"/>
        <item x="1552"/>
        <item x="1906"/>
        <item x="1256"/>
        <item x="1087"/>
        <item x="65"/>
        <item x="881"/>
        <item x="404"/>
        <item x="1455"/>
        <item x="748"/>
        <item x="934"/>
        <item x="1789"/>
        <item x="1302"/>
        <item x="820"/>
        <item x="1163"/>
        <item x="412"/>
        <item x="507"/>
        <item x="286"/>
        <item x="1735"/>
        <item x="794"/>
        <item x="852"/>
        <item x="1566"/>
        <item x="1643"/>
        <item x="1457"/>
        <item x="1250"/>
        <item x="1873"/>
        <item x="1305"/>
        <item x="696"/>
        <item x="991"/>
        <item x="638"/>
        <item x="1940"/>
        <item x="1461"/>
        <item x="1355"/>
        <item x="1254"/>
        <item x="1612"/>
        <item x="847"/>
        <item x="525"/>
        <item x="1589"/>
        <item x="544"/>
        <item x="1450"/>
        <item x="793"/>
        <item x="869"/>
        <item x="1064"/>
        <item x="1563"/>
        <item x="1252"/>
        <item x="1040"/>
        <item x="1377"/>
        <item x="551"/>
        <item x="1197"/>
        <item x="1029"/>
        <item x="784"/>
        <item x="1570"/>
        <item x="593"/>
        <item x="1011"/>
        <item x="1257"/>
        <item x="1981"/>
        <item x="1660"/>
        <item x="737"/>
        <item x="493"/>
        <item x="10"/>
        <item x="765"/>
        <item x="1424"/>
        <item x="60"/>
        <item x="611"/>
        <item x="1102"/>
        <item x="575"/>
        <item x="1561"/>
        <item x="644"/>
        <item x="554"/>
        <item x="1934"/>
        <item x="13"/>
        <item x="1891"/>
        <item x="1348"/>
        <item x="83"/>
        <item x="1453"/>
        <item x="258"/>
        <item x="1378"/>
        <item x="1652"/>
        <item x="719"/>
        <item x="388"/>
        <item x="28"/>
        <item x="1954"/>
        <item x="1499"/>
        <item x="1519"/>
        <item x="12"/>
        <item x="1431"/>
        <item x="923"/>
        <item x="691"/>
        <item x="1228"/>
        <item x="938"/>
        <item x="396"/>
        <item x="762"/>
        <item x="85"/>
        <item x="817"/>
        <item x="1483"/>
        <item x="193"/>
        <item x="1600"/>
        <item x="560"/>
        <item x="624"/>
        <item x="1270"/>
        <item x="1113"/>
        <item x="1719"/>
        <item x="896"/>
        <item x="1245"/>
        <item x="1755"/>
        <item x="269"/>
        <item x="535"/>
        <item x="1560"/>
        <item x="111"/>
        <item x="348"/>
        <item x="116"/>
        <item x="995"/>
        <item x="320"/>
        <item x="440"/>
        <item x="1945"/>
        <item x="571"/>
        <item x="143"/>
        <item x="1619"/>
        <item x="1749"/>
        <item x="910"/>
        <item x="1557"/>
        <item x="559"/>
        <item x="687"/>
        <item x="210"/>
        <item x="1077"/>
        <item x="243"/>
        <item x="563"/>
        <item x="1886"/>
        <item x="539"/>
        <item x="1674"/>
        <item x="541"/>
        <item x="1505"/>
        <item x="1266"/>
        <item x="1042"/>
        <item x="1395"/>
        <item x="88"/>
        <item x="789"/>
        <item x="1708"/>
        <item x="1595"/>
        <item x="1388"/>
        <item x="1343"/>
        <item x="1582"/>
        <item x="1737"/>
        <item x="205"/>
        <item x="1149"/>
        <item x="1024"/>
        <item x="1699"/>
        <item x="162"/>
        <item x="1176"/>
        <item x="426"/>
        <item x="328"/>
        <item x="189"/>
        <item x="836"/>
        <item x="231"/>
        <item x="480"/>
        <item x="675"/>
        <item x="501"/>
        <item x="1016"/>
        <item x="132"/>
        <item x="246"/>
        <item x="16"/>
        <item x="1124"/>
        <item x="1684"/>
        <item x="791"/>
        <item x="334"/>
        <item x="204"/>
        <item x="1477"/>
        <item x="1703"/>
        <item x="227"/>
        <item x="1504"/>
        <item x="1664"/>
        <item x="1644"/>
        <item x="1925"/>
        <item x="1261"/>
        <item x="1399"/>
        <item x="930"/>
        <item x="418"/>
        <item x="892"/>
        <item x="1598"/>
        <item x="1759"/>
        <item x="1757"/>
        <item x="837"/>
        <item x="821"/>
        <item x="1099"/>
        <item x="860"/>
        <item x="667"/>
        <item x="1569"/>
        <item x="630"/>
        <item x="1354"/>
        <item x="55"/>
        <item x="658"/>
        <item x="700"/>
        <item x="1492"/>
        <item x="1666"/>
        <item x="746"/>
        <item x="568"/>
        <item x="1548"/>
        <item x="434"/>
        <item x="1490"/>
        <item x="1442"/>
        <item x="1275"/>
        <item x="1319"/>
        <item x="1007"/>
        <item x="577"/>
        <item x="818"/>
        <item x="299"/>
        <item x="768"/>
        <item x="245"/>
        <item x="650"/>
        <item x="1473"/>
        <item x="592"/>
        <item x="1528"/>
        <item x="1624"/>
        <item x="202"/>
        <item x="1833"/>
        <item x="1605"/>
        <item x="775"/>
        <item x="876"/>
        <item x="752"/>
        <item x="935"/>
        <item x="263"/>
        <item x="1853"/>
        <item x="294"/>
        <item x="1168"/>
        <item x="1131"/>
        <item x="1182"/>
        <item x="1300"/>
        <item x="1513"/>
        <item x="800"/>
        <item x="377"/>
        <item x="1463"/>
        <item x="51"/>
        <item x="1265"/>
        <item x="742"/>
        <item x="781"/>
        <item x="1752"/>
        <item x="207"/>
        <item x="1928"/>
        <item x="240"/>
        <item x="30"/>
        <item x="894"/>
        <item x="1709"/>
        <item x="270"/>
        <item x="1030"/>
        <item x="363"/>
        <item x="157"/>
        <item x="1994"/>
        <item x="1913"/>
        <item x="587"/>
        <item x="901"/>
        <item x="1437"/>
        <item x="964"/>
        <item x="1018"/>
        <item x="1068"/>
        <item x="419"/>
        <item x="1826"/>
        <item x="653"/>
        <item x="1851"/>
        <item x="1330"/>
        <item x="1414"/>
        <item x="1350"/>
        <item x="1307"/>
        <item x="1573"/>
        <item x="248"/>
        <item x="1584"/>
        <item x="572"/>
        <item x="1247"/>
        <item x="931"/>
        <item x="1745"/>
        <item x="81"/>
        <item x="1551"/>
        <item x="505"/>
        <item x="180"/>
        <item x="1993"/>
        <item x="589"/>
        <item x="1017"/>
        <item x="268"/>
        <item x="1192"/>
        <item x="471"/>
        <item x="1444"/>
        <item x="830"/>
        <item x="838"/>
        <item x="1962"/>
        <item x="1713"/>
        <item x="52"/>
        <item x="1408"/>
        <item x="518"/>
        <item x="677"/>
        <item x="764"/>
        <item x="1267"/>
        <item x="1415"/>
        <item x="403"/>
        <item x="225"/>
        <item x="1496"/>
        <item x="239"/>
        <item x="95"/>
        <item x="1140"/>
        <item x="1613"/>
        <item x="1852"/>
        <item x="727"/>
        <item x="680"/>
        <item x="562"/>
        <item x="1464"/>
        <item x="529"/>
        <item x="1212"/>
        <item x="1467"/>
        <item x="1509"/>
        <item x="1279"/>
        <item x="1807"/>
        <item x="1391"/>
        <item x="127"/>
        <item x="731"/>
        <item x="1747"/>
        <item x="1859"/>
        <item x="473"/>
        <item x="1337"/>
        <item x="1411"/>
        <item x="1732"/>
        <item x="199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8">
    <i>
      <x/>
    </i>
    <i>
      <x v="1"/>
    </i>
    <i>
      <x v="2"/>
    </i>
    <i>
      <x v="3"/>
    </i>
    <i>
      <x v="4"/>
    </i>
    <i>
      <x v="5"/>
    </i>
    <i>
      <x v="6"/>
    </i>
    <i t="grand">
      <x/>
    </i>
  </rowItems>
  <colItems count="1">
    <i/>
  </colItems>
  <dataFields count="1">
    <dataField name="Sum of ActualAmount" fld="11"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7AB4CD-87A2-4D93-9FF1-2E9A0ED0FB4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7" firstHeaderRow="1" firstDataRow="1" firstDataCol="1"/>
  <pivotFields count="15">
    <pivotField showAll="0"/>
    <pivotField showAll="0">
      <items count="817">
        <item x="461"/>
        <item x="644"/>
        <item x="516"/>
        <item x="313"/>
        <item x="354"/>
        <item x="390"/>
        <item x="311"/>
        <item x="93"/>
        <item x="166"/>
        <item x="697"/>
        <item x="750"/>
        <item x="214"/>
        <item x="32"/>
        <item x="398"/>
        <item x="155"/>
        <item x="315"/>
        <item x="582"/>
        <item x="356"/>
        <item x="226"/>
        <item x="267"/>
        <item x="209"/>
        <item x="46"/>
        <item x="763"/>
        <item x="18"/>
        <item x="181"/>
        <item x="144"/>
        <item x="322"/>
        <item x="333"/>
        <item x="601"/>
        <item x="760"/>
        <item x="117"/>
        <item x="172"/>
        <item x="363"/>
        <item x="42"/>
        <item x="324"/>
        <item x="684"/>
        <item x="620"/>
        <item x="177"/>
        <item x="175"/>
        <item x="92"/>
        <item x="807"/>
        <item x="369"/>
        <item x="714"/>
        <item x="288"/>
        <item x="366"/>
        <item x="797"/>
        <item x="454"/>
        <item x="782"/>
        <item x="741"/>
        <item x="414"/>
        <item x="332"/>
        <item x="63"/>
        <item x="335"/>
        <item x="703"/>
        <item x="389"/>
        <item x="435"/>
        <item x="268"/>
        <item x="664"/>
        <item x="431"/>
        <item x="458"/>
        <item x="767"/>
        <item x="178"/>
        <item x="732"/>
        <item x="48"/>
        <item x="43"/>
        <item x="76"/>
        <item x="808"/>
        <item x="667"/>
        <item x="170"/>
        <item x="444"/>
        <item x="23"/>
        <item x="528"/>
        <item x="722"/>
        <item x="762"/>
        <item x="213"/>
        <item x="74"/>
        <item x="761"/>
        <item x="785"/>
        <item x="773"/>
        <item x="525"/>
        <item x="540"/>
        <item x="15"/>
        <item x="511"/>
        <item x="658"/>
        <item x="448"/>
        <item x="278"/>
        <item x="24"/>
        <item x="766"/>
        <item x="198"/>
        <item x="757"/>
        <item x="9"/>
        <item x="300"/>
        <item x="251"/>
        <item x="633"/>
        <item x="549"/>
        <item x="585"/>
        <item x="142"/>
        <item x="164"/>
        <item x="143"/>
        <item x="551"/>
        <item x="648"/>
        <item x="691"/>
        <item x="55"/>
        <item x="323"/>
        <item x="558"/>
        <item x="686"/>
        <item x="130"/>
        <item x="737"/>
        <item x="408"/>
        <item x="592"/>
        <item x="294"/>
        <item x="781"/>
        <item x="246"/>
        <item x="571"/>
        <item x="338"/>
        <item x="532"/>
        <item x="657"/>
        <item x="325"/>
        <item x="442"/>
        <item x="215"/>
        <item x="472"/>
        <item x="707"/>
        <item x="671"/>
        <item x="718"/>
        <item x="634"/>
        <item x="539"/>
        <item x="132"/>
        <item x="168"/>
        <item x="425"/>
        <item x="753"/>
        <item x="632"/>
        <item x="754"/>
        <item x="765"/>
        <item x="409"/>
        <item x="131"/>
        <item x="231"/>
        <item x="531"/>
        <item x="651"/>
        <item x="674"/>
        <item x="608"/>
        <item x="729"/>
        <item x="717"/>
        <item x="695"/>
        <item x="242"/>
        <item x="591"/>
        <item x="615"/>
        <item x="641"/>
        <item x="563"/>
        <item x="37"/>
        <item x="812"/>
        <item x="586"/>
        <item x="471"/>
        <item x="376"/>
        <item x="606"/>
        <item x="104"/>
        <item x="438"/>
        <item x="455"/>
        <item x="386"/>
        <item x="699"/>
        <item x="99"/>
        <item x="21"/>
        <item x="321"/>
        <item x="211"/>
        <item x="347"/>
        <item x="223"/>
        <item x="141"/>
        <item x="612"/>
        <item x="274"/>
        <item x="809"/>
        <item x="344"/>
        <item x="206"/>
        <item x="647"/>
        <item x="595"/>
        <item x="599"/>
        <item x="112"/>
        <item x="598"/>
        <item x="584"/>
        <item x="380"/>
        <item x="774"/>
        <item x="541"/>
        <item x="85"/>
        <item x="590"/>
        <item x="560"/>
        <item x="232"/>
        <item x="378"/>
        <item x="4"/>
        <item x="6"/>
        <item x="464"/>
        <item x="623"/>
        <item x="244"/>
        <item x="331"/>
        <item x="128"/>
        <item x="202"/>
        <item x="473"/>
        <item x="205"/>
        <item x="759"/>
        <item x="189"/>
        <item x="806"/>
        <item x="660"/>
        <item x="183"/>
        <item x="719"/>
        <item x="186"/>
        <item x="387"/>
        <item x="424"/>
        <item x="98"/>
        <item x="328"/>
        <item x="391"/>
        <item x="519"/>
        <item x="342"/>
        <item x="725"/>
        <item x="97"/>
        <item x="702"/>
        <item x="62"/>
        <item x="298"/>
        <item x="119"/>
        <item x="625"/>
        <item x="122"/>
        <item x="813"/>
        <item x="536"/>
        <item x="154"/>
        <item x="299"/>
        <item x="60"/>
        <item x="167"/>
        <item x="396"/>
        <item x="403"/>
        <item x="239"/>
        <item x="772"/>
        <item x="443"/>
        <item x="583"/>
        <item x="41"/>
        <item x="677"/>
        <item x="543"/>
        <item x="3"/>
        <item x="533"/>
        <item x="706"/>
        <item x="375"/>
        <item x="291"/>
        <item x="330"/>
        <item x="428"/>
        <item x="361"/>
        <item x="263"/>
        <item x="721"/>
        <item x="90"/>
        <item x="296"/>
        <item x="630"/>
        <item x="64"/>
        <item x="89"/>
        <item x="654"/>
        <item x="726"/>
        <item x="548"/>
        <item x="645"/>
        <item x="237"/>
        <item x="81"/>
        <item x="79"/>
        <item x="469"/>
        <item x="445"/>
        <item x="801"/>
        <item x="482"/>
        <item x="107"/>
        <item x="637"/>
        <item x="535"/>
        <item x="434"/>
        <item x="191"/>
        <item x="287"/>
        <item x="329"/>
        <item x="218"/>
        <item x="746"/>
        <item x="617"/>
        <item x="285"/>
        <item x="384"/>
        <item x="547"/>
        <item x="341"/>
        <item x="281"/>
        <item x="619"/>
        <item x="789"/>
        <item x="320"/>
        <item x="33"/>
        <item x="580"/>
        <item x="52"/>
        <item x="10"/>
        <item x="196"/>
        <item x="152"/>
        <item x="459"/>
        <item x="243"/>
        <item x="607"/>
        <item x="362"/>
        <item x="723"/>
        <item x="187"/>
        <item x="115"/>
        <item x="371"/>
        <item x="427"/>
        <item x="275"/>
        <item x="485"/>
        <item x="811"/>
        <item x="374"/>
        <item x="351"/>
        <item x="259"/>
        <item x="146"/>
        <item x="564"/>
        <item x="436"/>
        <item x="422"/>
        <item x="508"/>
        <item x="656"/>
        <item x="84"/>
        <item x="116"/>
        <item x="740"/>
        <item x="433"/>
        <item x="56"/>
        <item x="199"/>
        <item x="678"/>
        <item x="7"/>
        <item x="78"/>
        <item x="127"/>
        <item x="399"/>
        <item x="567"/>
        <item x="685"/>
        <item x="652"/>
        <item x="80"/>
        <item x="662"/>
        <item x="304"/>
        <item x="204"/>
        <item x="388"/>
        <item x="663"/>
        <item x="673"/>
        <item x="30"/>
        <item x="476"/>
        <item x="235"/>
        <item x="276"/>
        <item x="764"/>
        <item x="487"/>
        <item x="728"/>
        <item x="743"/>
        <item x="176"/>
        <item x="810"/>
        <item x="262"/>
        <item x="190"/>
        <item x="692"/>
        <item x="293"/>
        <item x="526"/>
        <item x="309"/>
        <item x="635"/>
        <item x="626"/>
        <item x="247"/>
        <item x="279"/>
        <item x="788"/>
        <item x="101"/>
        <item x="355"/>
        <item x="700"/>
        <item x="786"/>
        <item x="566"/>
        <item x="58"/>
        <item x="39"/>
        <item x="271"/>
        <item x="413"/>
        <item x="282"/>
        <item x="161"/>
        <item x="770"/>
        <item x="241"/>
        <item x="345"/>
        <item x="192"/>
        <item x="348"/>
        <item x="738"/>
        <item x="240"/>
        <item x="277"/>
        <item x="350"/>
        <item x="542"/>
        <item x="70"/>
        <item x="13"/>
        <item x="113"/>
        <item x="180"/>
        <item x="233"/>
        <item x="312"/>
        <item x="512"/>
        <item x="257"/>
        <item x="134"/>
        <item x="688"/>
        <item x="102"/>
        <item x="230"/>
        <item x="687"/>
        <item x="787"/>
        <item x="47"/>
        <item x="631"/>
        <item x="490"/>
        <item x="317"/>
        <item x="616"/>
        <item x="478"/>
        <item x="397"/>
        <item x="197"/>
        <item x="137"/>
        <item x="483"/>
        <item x="45"/>
        <item x="614"/>
        <item x="689"/>
        <item x="576"/>
        <item x="704"/>
        <item x="745"/>
        <item x="538"/>
        <item x="29"/>
        <item x="527"/>
        <item x="20"/>
        <item x="507"/>
        <item x="105"/>
        <item x="701"/>
        <item x="254"/>
        <item x="157"/>
        <item x="266"/>
        <item x="522"/>
        <item x="555"/>
        <item x="463"/>
        <item x="245"/>
        <item x="339"/>
        <item x="720"/>
        <item x="613"/>
        <item x="675"/>
        <item x="682"/>
        <item x="86"/>
        <item x="207"/>
        <item x="694"/>
        <item x="579"/>
        <item x="520"/>
        <item x="638"/>
        <item x="470"/>
        <item x="506"/>
        <item x="655"/>
        <item x="609"/>
        <item x="552"/>
        <item x="53"/>
        <item x="769"/>
        <item x="605"/>
        <item x="679"/>
        <item x="8"/>
        <item x="784"/>
        <item x="229"/>
        <item x="383"/>
        <item x="31"/>
        <item x="0"/>
        <item x="153"/>
        <item x="546"/>
        <item x="603"/>
        <item x="524"/>
        <item x="256"/>
        <item x="480"/>
        <item x="88"/>
        <item x="35"/>
        <item x="283"/>
        <item x="195"/>
        <item x="68"/>
        <item x="735"/>
        <item x="337"/>
        <item x="340"/>
        <item x="643"/>
        <item x="400"/>
        <item x="12"/>
        <item x="465"/>
        <item x="367"/>
        <item x="575"/>
        <item x="22"/>
        <item x="269"/>
        <item x="364"/>
        <item x="307"/>
        <item x="505"/>
        <item x="523"/>
        <item x="151"/>
        <item x="550"/>
        <item x="680"/>
        <item x="501"/>
        <item x="224"/>
        <item x="665"/>
        <item x="747"/>
        <item x="636"/>
        <item x="220"/>
        <item x="416"/>
        <item x="661"/>
        <item x="676"/>
        <item x="622"/>
        <item x="798"/>
        <item x="129"/>
        <item x="627"/>
        <item x="466"/>
        <item x="755"/>
        <item x="59"/>
        <item x="1"/>
        <item x="358"/>
        <item x="133"/>
        <item x="453"/>
        <item x="604"/>
        <item x="521"/>
        <item x="484"/>
        <item x="222"/>
        <item x="494"/>
        <item x="95"/>
        <item x="565"/>
        <item x="659"/>
        <item x="804"/>
        <item x="681"/>
        <item x="730"/>
        <item x="534"/>
        <item x="589"/>
        <item x="777"/>
        <item x="793"/>
        <item x="158"/>
        <item x="150"/>
        <item x="556"/>
        <item x="437"/>
        <item x="334"/>
        <item x="373"/>
        <item x="217"/>
        <item x="353"/>
        <item x="639"/>
        <item x="545"/>
        <item x="611"/>
        <item x="34"/>
        <item x="597"/>
        <item x="768"/>
        <item x="265"/>
        <item x="308"/>
        <item x="297"/>
        <item x="618"/>
        <item x="449"/>
        <item x="114"/>
        <item x="162"/>
        <item x="653"/>
        <item x="343"/>
        <item x="672"/>
        <item x="529"/>
        <item x="280"/>
        <item x="379"/>
        <item x="734"/>
        <item x="301"/>
        <item x="174"/>
        <item x="456"/>
        <item x="420"/>
        <item x="305"/>
        <item x="160"/>
        <item x="460"/>
        <item x="327"/>
        <item x="61"/>
        <item x="557"/>
        <item x="696"/>
        <item x="44"/>
        <item x="514"/>
        <item x="210"/>
        <item x="121"/>
        <item x="411"/>
        <item x="19"/>
        <item x="182"/>
        <item x="646"/>
        <item x="502"/>
        <item x="365"/>
        <item x="783"/>
        <item x="503"/>
        <item x="649"/>
        <item x="106"/>
        <item x="57"/>
        <item x="392"/>
        <item x="184"/>
        <item x="179"/>
        <item x="690"/>
        <item x="72"/>
        <item x="360"/>
        <item x="49"/>
        <item x="290"/>
        <item x="261"/>
        <item x="559"/>
        <item x="780"/>
        <item x="125"/>
        <item x="381"/>
        <item x="572"/>
        <item x="669"/>
        <item x="712"/>
        <item x="156"/>
        <item x="666"/>
        <item x="270"/>
        <item x="264"/>
        <item x="467"/>
        <item x="286"/>
        <item x="393"/>
        <item x="96"/>
        <item x="415"/>
        <item x="316"/>
        <item x="596"/>
        <item x="139"/>
        <item x="412"/>
        <item x="510"/>
        <item x="295"/>
        <item x="814"/>
        <item x="123"/>
        <item x="370"/>
        <item x="446"/>
        <item x="693"/>
        <item x="208"/>
        <item x="426"/>
        <item x="492"/>
        <item x="457"/>
        <item x="778"/>
        <item x="50"/>
        <item x="749"/>
        <item x="421"/>
        <item x="451"/>
        <item x="794"/>
        <item x="171"/>
        <item x="54"/>
        <item x="289"/>
        <item x="410"/>
        <item x="569"/>
        <item x="385"/>
        <item x="792"/>
        <item x="574"/>
        <item x="17"/>
        <item x="200"/>
        <item x="11"/>
        <item x="515"/>
        <item x="26"/>
        <item x="349"/>
        <item x="758"/>
        <item x="477"/>
        <item x="650"/>
        <item x="500"/>
        <item x="800"/>
        <item x="83"/>
        <item x="713"/>
        <item x="87"/>
        <item x="727"/>
        <item x="227"/>
        <item x="705"/>
        <item x="518"/>
        <item x="260"/>
        <item x="110"/>
        <item x="668"/>
        <item x="417"/>
        <item x="593"/>
        <item x="407"/>
        <item x="418"/>
        <item x="394"/>
        <item x="628"/>
        <item x="481"/>
        <item x="169"/>
        <item x="194"/>
        <item x="292"/>
        <item x="462"/>
        <item x="496"/>
        <item x="581"/>
        <item x="568"/>
        <item x="372"/>
        <item x="799"/>
        <item x="474"/>
        <item x="148"/>
        <item x="40"/>
        <item x="736"/>
        <item x="573"/>
        <item x="796"/>
        <item x="751"/>
        <item x="357"/>
        <item x="600"/>
        <item x="488"/>
        <item x="771"/>
        <item x="594"/>
        <item x="38"/>
        <item x="124"/>
        <item x="250"/>
        <item x="236"/>
        <item x="779"/>
        <item x="2"/>
        <item x="94"/>
        <item x="135"/>
        <item x="109"/>
        <item x="406"/>
        <item x="118"/>
        <item x="486"/>
        <item x="742"/>
        <item x="776"/>
        <item x="377"/>
        <item x="731"/>
        <item x="711"/>
        <item x="562"/>
        <item x="258"/>
        <item x="629"/>
        <item x="111"/>
        <item x="748"/>
        <item x="578"/>
        <item x="336"/>
        <item x="252"/>
        <item x="405"/>
        <item x="359"/>
        <item x="495"/>
        <item x="71"/>
        <item x="441"/>
        <item x="670"/>
        <item x="248"/>
        <item x="352"/>
        <item x="450"/>
        <item x="234"/>
        <item x="709"/>
        <item x="319"/>
        <item x="497"/>
        <item x="602"/>
        <item x="103"/>
        <item x="577"/>
        <item x="203"/>
        <item x="147"/>
        <item x="136"/>
        <item x="188"/>
        <item x="640"/>
        <item x="82"/>
        <item x="120"/>
        <item x="795"/>
        <item x="212"/>
        <item x="587"/>
        <item x="149"/>
        <item x="302"/>
        <item x="475"/>
        <item x="439"/>
        <item x="314"/>
        <item x="419"/>
        <item x="610"/>
        <item x="16"/>
        <item x="193"/>
        <item x="468"/>
        <item x="216"/>
        <item x="790"/>
        <item x="159"/>
        <item x="402"/>
        <item x="739"/>
        <item x="479"/>
        <item x="28"/>
        <item x="447"/>
        <item x="744"/>
        <item x="185"/>
        <item x="513"/>
        <item x="382"/>
        <item x="75"/>
        <item x="221"/>
        <item x="716"/>
        <item x="346"/>
        <item x="530"/>
        <item x="724"/>
        <item x="73"/>
        <item x="493"/>
        <item x="805"/>
        <item x="509"/>
        <item x="752"/>
        <item x="498"/>
        <item x="430"/>
        <item x="710"/>
        <item x="775"/>
        <item x="310"/>
        <item x="108"/>
        <item x="537"/>
        <item x="228"/>
        <item x="36"/>
        <item x="225"/>
        <item x="554"/>
        <item x="165"/>
        <item x="561"/>
        <item x="440"/>
        <item x="249"/>
        <item x="14"/>
        <item x="255"/>
        <item x="65"/>
        <item x="201"/>
        <item x="69"/>
        <item x="429"/>
        <item x="284"/>
        <item x="683"/>
        <item x="318"/>
        <item x="401"/>
        <item x="802"/>
        <item x="5"/>
        <item x="91"/>
        <item x="395"/>
        <item x="624"/>
        <item x="326"/>
        <item x="642"/>
        <item x="504"/>
        <item x="432"/>
        <item x="272"/>
        <item x="404"/>
        <item x="368"/>
        <item x="77"/>
        <item x="517"/>
        <item x="303"/>
        <item x="25"/>
        <item x="491"/>
        <item x="238"/>
        <item x="306"/>
        <item x="553"/>
        <item x="756"/>
        <item x="452"/>
        <item x="803"/>
        <item x="138"/>
        <item x="588"/>
        <item x="621"/>
        <item x="423"/>
        <item x="791"/>
        <item x="163"/>
        <item x="51"/>
        <item x="733"/>
        <item x="27"/>
        <item x="499"/>
        <item x="140"/>
        <item x="100"/>
        <item x="219"/>
        <item x="67"/>
        <item x="489"/>
        <item x="145"/>
        <item x="273"/>
        <item x="570"/>
        <item x="66"/>
        <item x="126"/>
        <item x="253"/>
        <item x="698"/>
        <item x="708"/>
        <item x="544"/>
        <item x="715"/>
        <item x="173"/>
        <item x="815"/>
        <item t="default"/>
      </items>
    </pivotField>
    <pivotField showAll="0">
      <items count="7">
        <item x="0"/>
        <item x="4"/>
        <item x="1"/>
        <item x="3"/>
        <item x="2"/>
        <item x="5"/>
        <item t="default"/>
      </items>
    </pivotField>
    <pivotField showAll="0"/>
    <pivotField showAll="0"/>
    <pivotField showAll="0"/>
    <pivotField showAll="0">
      <items count="8">
        <item x="4"/>
        <item x="1"/>
        <item x="2"/>
        <item x="3"/>
        <item x="5"/>
        <item x="0"/>
        <item x="6"/>
        <item t="default"/>
      </items>
    </pivotField>
    <pivotField showAll="0"/>
    <pivotField showAll="0"/>
    <pivotField showAll="0"/>
    <pivotField showAll="0">
      <items count="32">
        <item x="14"/>
        <item x="24"/>
        <item x="18"/>
        <item x="8"/>
        <item x="29"/>
        <item x="22"/>
        <item x="17"/>
        <item x="4"/>
        <item x="3"/>
        <item x="27"/>
        <item x="9"/>
        <item x="6"/>
        <item x="20"/>
        <item x="11"/>
        <item x="16"/>
        <item x="7"/>
        <item x="0"/>
        <item x="1"/>
        <item x="21"/>
        <item x="25"/>
        <item x="15"/>
        <item x="26"/>
        <item x="10"/>
        <item x="23"/>
        <item x="2"/>
        <item x="28"/>
        <item x="13"/>
        <item x="12"/>
        <item x="5"/>
        <item x="19"/>
        <item x="30"/>
        <item t="default"/>
      </items>
    </pivotField>
    <pivotField dataField="1" showAll="0">
      <items count="1998">
        <item x="1277"/>
        <item x="1402"/>
        <item x="1767"/>
        <item x="1135"/>
        <item x="1293"/>
        <item x="1621"/>
        <item x="1289"/>
        <item x="584"/>
        <item x="843"/>
        <item x="1553"/>
        <item x="1009"/>
        <item x="1183"/>
        <item x="1529"/>
        <item x="1335"/>
        <item x="839"/>
        <item x="902"/>
        <item x="1366"/>
        <item x="1155"/>
        <item x="999"/>
        <item x="1658"/>
        <item x="1003"/>
        <item x="795"/>
        <item x="1338"/>
        <item x="1023"/>
        <item x="1761"/>
        <item x="397"/>
        <item x="490"/>
        <item x="1353"/>
        <item x="1760"/>
        <item x="732"/>
        <item x="1559"/>
        <item x="1558"/>
        <item x="1958"/>
        <item x="1790"/>
        <item x="38"/>
        <item x="1318"/>
        <item x="395"/>
        <item x="1645"/>
        <item x="1806"/>
        <item x="463"/>
        <item x="674"/>
        <item x="1911"/>
        <item x="1831"/>
        <item x="135"/>
        <item x="888"/>
        <item x="1814"/>
        <item x="957"/>
        <item x="906"/>
        <item x="603"/>
        <item x="1285"/>
        <item x="296"/>
        <item x="941"/>
        <item x="438"/>
        <item x="338"/>
        <item x="1794"/>
        <item x="1208"/>
        <item x="1401"/>
        <item x="1495"/>
        <item x="1048"/>
        <item x="780"/>
        <item x="1936"/>
        <item x="1326"/>
        <item x="1213"/>
        <item x="1481"/>
        <item x="908"/>
        <item x="1525"/>
        <item x="622"/>
        <item x="92"/>
        <item x="947"/>
        <item x="1051"/>
        <item x="1083"/>
        <item x="195"/>
        <item x="1903"/>
        <item x="1805"/>
        <item x="1876"/>
        <item x="1772"/>
        <item x="716"/>
        <item x="1912"/>
        <item x="1848"/>
        <item x="1440"/>
        <item x="726"/>
        <item x="813"/>
        <item x="1633"/>
        <item x="74"/>
        <item x="945"/>
        <item x="482"/>
        <item x="1512"/>
        <item x="489"/>
        <item x="1898"/>
        <item x="1394"/>
        <item x="1571"/>
        <item x="378"/>
        <item x="1554"/>
        <item x="1604"/>
        <item x="465"/>
        <item x="1681"/>
        <item x="54"/>
        <item x="694"/>
        <item x="1916"/>
        <item x="1004"/>
        <item x="1098"/>
        <item x="1169"/>
        <item x="1960"/>
        <item x="1105"/>
        <item x="196"/>
        <item x="1059"/>
        <item x="1242"/>
        <item x="516"/>
        <item x="319"/>
        <item x="301"/>
        <item x="842"/>
        <item x="1445"/>
        <item x="253"/>
        <item x="531"/>
        <item x="435"/>
        <item x="1603"/>
        <item x="1241"/>
        <item x="1808"/>
        <item x="766"/>
        <item x="708"/>
        <item x="569"/>
        <item x="517"/>
        <item x="178"/>
        <item x="961"/>
        <item x="94"/>
        <item x="659"/>
        <item x="1592"/>
        <item x="1165"/>
        <item x="1081"/>
        <item x="290"/>
        <item x="1651"/>
        <item x="721"/>
        <item x="331"/>
        <item x="298"/>
        <item x="663"/>
        <item x="1239"/>
        <item x="1892"/>
        <item x="769"/>
        <item x="854"/>
        <item x="581"/>
        <item x="1421"/>
        <item x="1677"/>
        <item x="914"/>
        <item x="1390"/>
        <item x="598"/>
        <item x="1798"/>
        <item x="1861"/>
        <item x="184"/>
        <item x="538"/>
        <item x="68"/>
        <item x="1938"/>
        <item x="960"/>
        <item x="1443"/>
        <item x="285"/>
        <item x="631"/>
        <item x="1327"/>
        <item x="548"/>
        <item x="652"/>
        <item x="1146"/>
        <item x="1756"/>
        <item x="1172"/>
        <item x="684"/>
        <item x="512"/>
        <item x="705"/>
        <item x="1860"/>
        <item x="1610"/>
        <item x="926"/>
        <item x="1175"/>
        <item x="958"/>
        <item x="1039"/>
        <item x="1575"/>
        <item x="1758"/>
        <item x="1869"/>
        <item x="155"/>
        <item x="1441"/>
        <item x="972"/>
        <item x="61"/>
        <item x="1507"/>
        <item x="1769"/>
        <item x="129"/>
        <item x="648"/>
        <item x="138"/>
        <item x="343"/>
        <item x="1139"/>
        <item x="1010"/>
        <item x="1754"/>
        <item x="1118"/>
        <item x="537"/>
        <item x="549"/>
        <item x="1474"/>
        <item x="1479"/>
        <item x="1773"/>
        <item x="78"/>
        <item x="1868"/>
        <item x="1795"/>
        <item x="1923"/>
        <item x="660"/>
        <item x="597"/>
        <item x="920"/>
        <item x="1649"/>
        <item x="1074"/>
        <item x="5"/>
        <item x="141"/>
        <item x="783"/>
        <item x="558"/>
        <item x="1446"/>
        <item x="509"/>
        <item x="41"/>
        <item x="411"/>
        <item x="613"/>
        <item x="302"/>
        <item x="59"/>
        <item x="889"/>
        <item x="849"/>
        <item x="989"/>
        <item x="1211"/>
        <item x="1973"/>
        <item x="1236"/>
        <item x="1820"/>
        <item x="185"/>
        <item x="858"/>
        <item x="211"/>
        <item x="1895"/>
        <item x="1476"/>
        <item x="1585"/>
        <item x="216"/>
        <item x="3"/>
        <item x="309"/>
        <item x="639"/>
        <item x="845"/>
        <item x="990"/>
        <item x="1855"/>
        <item x="1593"/>
        <item x="873"/>
        <item x="1046"/>
        <item x="1832"/>
        <item x="1536"/>
        <item x="351"/>
        <item x="1462"/>
        <item x="1724"/>
        <item x="1904"/>
        <item x="976"/>
        <item x="479"/>
        <item x="1854"/>
        <item x="352"/>
        <item x="805"/>
        <item x="1352"/>
        <item x="446"/>
        <item x="1885"/>
        <item x="478"/>
        <item x="980"/>
        <item x="767"/>
        <item x="160"/>
        <item x="1349"/>
        <item x="1792"/>
        <item x="1393"/>
        <item x="107"/>
        <item x="713"/>
        <item x="389"/>
        <item x="109"/>
        <item x="506"/>
        <item x="697"/>
        <item x="443"/>
        <item x="80"/>
        <item x="1626"/>
        <item x="233"/>
        <item x="1725"/>
        <item x="287"/>
        <item x="1147"/>
        <item x="1875"/>
        <item x="1947"/>
        <item x="153"/>
        <item x="1933"/>
        <item x="1308"/>
        <item x="1970"/>
        <item x="755"/>
        <item x="273"/>
        <item x="267"/>
        <item x="616"/>
        <item x="1565"/>
        <item x="753"/>
        <item x="1022"/>
        <item x="808"/>
        <item x="385"/>
        <item x="152"/>
        <item x="656"/>
        <item x="1332"/>
        <item x="288"/>
        <item x="158"/>
        <item x="690"/>
        <item x="1668"/>
        <item x="725"/>
        <item x="1665"/>
        <item x="954"/>
        <item x="1320"/>
        <item x="37"/>
        <item x="481"/>
        <item x="470"/>
        <item x="1622"/>
        <item x="475"/>
        <item x="1303"/>
        <item x="566"/>
        <item x="1206"/>
        <item x="526"/>
        <item x="704"/>
        <item x="642"/>
        <item x="1109"/>
        <item x="1941"/>
        <item x="1800"/>
        <item x="370"/>
        <item x="93"/>
        <item x="1796"/>
        <item x="89"/>
        <item x="1439"/>
        <item x="50"/>
        <item x="955"/>
        <item x="1385"/>
        <item x="282"/>
        <item x="87"/>
        <item x="223"/>
        <item x="635"/>
        <item x="629"/>
        <item x="1695"/>
        <item x="897"/>
        <item x="1434"/>
        <item x="655"/>
        <item x="1468"/>
        <item x="763"/>
        <item x="1026"/>
        <item x="63"/>
        <item x="1883"/>
        <item x="1762"/>
        <item x="796"/>
        <item x="77"/>
        <item x="1844"/>
        <item x="33"/>
        <item x="39"/>
        <item x="1253"/>
        <item x="451"/>
        <item x="685"/>
        <item x="191"/>
        <item x="1627"/>
        <item x="879"/>
        <item x="48"/>
        <item x="1340"/>
        <item x="122"/>
        <item x="988"/>
        <item x="1663"/>
        <item x="1313"/>
        <item x="1075"/>
        <item x="108"/>
        <item x="1071"/>
        <item x="1049"/>
        <item x="1542"/>
        <item x="86"/>
        <item x="1417"/>
        <item x="1237"/>
        <item x="433"/>
        <item x="840"/>
        <item x="217"/>
        <item x="779"/>
        <item x="862"/>
        <item x="1413"/>
        <item x="1324"/>
        <item x="150"/>
        <item x="1312"/>
        <item x="362"/>
        <item x="1511"/>
        <item x="1867"/>
        <item x="1920"/>
        <item x="168"/>
        <item x="75"/>
        <item x="145"/>
        <item x="799"/>
        <item x="760"/>
        <item x="1523"/>
        <item x="1224"/>
        <item x="499"/>
        <item x="1742"/>
        <item x="1080"/>
        <item x="555"/>
        <item x="1248"/>
        <item x="702"/>
        <item x="1299"/>
        <item x="266"/>
        <item x="626"/>
        <item x="1119"/>
        <item x="1922"/>
        <item x="996"/>
        <item x="1229"/>
        <item x="829"/>
        <item x="175"/>
        <item x="1288"/>
        <item x="1055"/>
        <item x="662"/>
        <item x="865"/>
        <item x="1656"/>
        <item x="1060"/>
        <item x="1951"/>
        <item x="1272"/>
        <item x="1347"/>
        <item x="1546"/>
        <item x="547"/>
        <item x="900"/>
        <item x="1493"/>
        <item x="1939"/>
        <item x="1014"/>
        <item x="1005"/>
        <item x="289"/>
        <item x="1578"/>
        <item x="1711"/>
        <item x="139"/>
        <item x="131"/>
        <item x="1053"/>
        <item x="736"/>
        <item x="508"/>
        <item x="1084"/>
        <item x="1787"/>
        <item x="1675"/>
        <item x="1609"/>
        <item x="356"/>
        <item x="405"/>
        <item x="848"/>
        <item x="515"/>
        <item x="1187"/>
        <item x="1889"/>
        <item x="1263"/>
        <item x="1107"/>
        <item x="1002"/>
        <item x="421"/>
        <item x="1517"/>
        <item x="1812"/>
        <item x="1494"/>
        <item x="1639"/>
        <item x="1768"/>
        <item x="1501"/>
        <item x="637"/>
        <item x="761"/>
        <item x="909"/>
        <item x="1715"/>
        <item x="1729"/>
        <item x="1882"/>
        <item x="1264"/>
        <item x="1827"/>
        <item x="1631"/>
        <item x="1225"/>
        <item x="1082"/>
        <item x="444"/>
        <item x="610"/>
        <item x="1975"/>
        <item x="315"/>
        <item x="602"/>
        <item x="73"/>
        <item x="1594"/>
        <item x="249"/>
        <item x="1858"/>
        <item x="661"/>
        <item x="459"/>
        <item x="1153"/>
        <item x="1125"/>
        <item x="66"/>
        <item x="1151"/>
        <item x="1680"/>
        <item x="1282"/>
        <item x="647"/>
        <item x="893"/>
        <item x="1396"/>
        <item x="1591"/>
        <item x="654"/>
        <item x="1259"/>
        <item x="1062"/>
        <item x="1987"/>
        <item x="1094"/>
        <item x="257"/>
        <item x="1"/>
        <item x="447"/>
        <item x="722"/>
        <item x="1597"/>
        <item x="803"/>
        <item x="921"/>
        <item x="1089"/>
        <item x="169"/>
        <item x="729"/>
        <item x="1646"/>
        <item x="110"/>
        <item x="1971"/>
        <item x="1635"/>
        <item x="1268"/>
        <item x="744"/>
        <item x="1776"/>
        <item x="84"/>
        <item x="1459"/>
        <item x="1423"/>
        <item x="342"/>
        <item x="1516"/>
        <item x="206"/>
        <item x="1520"/>
        <item x="1190"/>
        <item x="106"/>
        <item x="264"/>
        <item x="1539"/>
        <item x="973"/>
        <item x="1142"/>
        <item x="530"/>
        <item x="1661"/>
        <item x="1698"/>
        <item x="148"/>
        <item x="209"/>
        <item x="1079"/>
        <item x="1957"/>
        <item x="1734"/>
        <item x="1451"/>
        <item x="1164"/>
        <item x="369"/>
        <item x="1397"/>
        <item x="241"/>
        <item x="1572"/>
        <item x="119"/>
        <item x="15"/>
        <item x="295"/>
        <item x="833"/>
        <item x="166"/>
        <item x="586"/>
        <item x="632"/>
        <item x="1489"/>
        <item x="1642"/>
        <item x="82"/>
        <item x="1979"/>
        <item x="1233"/>
        <item x="96"/>
        <item x="1785"/>
        <item x="1404"/>
        <item x="69"/>
        <item x="260"/>
        <item x="723"/>
        <item x="9"/>
        <item x="607"/>
        <item x="1721"/>
        <item x="1456"/>
        <item x="146"/>
        <item x="1025"/>
        <item x="1152"/>
        <item x="628"/>
        <item x="856"/>
        <item x="774"/>
        <item x="408"/>
        <item x="886"/>
        <item x="1586"/>
        <item x="360"/>
        <item x="1137"/>
        <item x="1574"/>
        <item x="1764"/>
        <item x="455"/>
        <item x="218"/>
        <item x="643"/>
        <item x="1862"/>
        <item x="4"/>
        <item x="1953"/>
        <item x="1073"/>
        <item x="623"/>
        <item x="1379"/>
        <item x="1659"/>
        <item x="565"/>
        <item x="281"/>
        <item x="703"/>
        <item x="375"/>
        <item x="1614"/>
        <item x="379"/>
        <item x="1879"/>
        <item x="1815"/>
        <item x="1038"/>
        <item x="617"/>
        <item x="1392"/>
        <item x="372"/>
        <item x="815"/>
        <item x="1382"/>
        <item x="787"/>
        <item x="1935"/>
        <item x="532"/>
        <item x="1458"/>
        <item x="819"/>
        <item x="1697"/>
        <item x="916"/>
        <item x="304"/>
        <item x="561"/>
        <item x="1602"/>
        <item x="213"/>
        <item x="994"/>
        <item x="449"/>
        <item x="271"/>
        <item x="366"/>
        <item x="959"/>
        <item x="1070"/>
        <item x="1145"/>
        <item x="272"/>
        <item x="1015"/>
        <item x="382"/>
        <item x="1533"/>
        <item x="870"/>
        <item x="1255"/>
        <item x="1530"/>
        <item x="828"/>
        <item x="467"/>
        <item x="1028"/>
        <item x="1069"/>
        <item x="641"/>
        <item x="1964"/>
        <item x="428"/>
        <item x="1480"/>
        <item x="1128"/>
        <item x="899"/>
        <item x="718"/>
        <item x="332"/>
        <item x="1804"/>
        <item x="1317"/>
        <item x="1167"/>
        <item x="254"/>
        <item x="1425"/>
        <item x="29"/>
        <item x="42"/>
        <item x="922"/>
        <item x="416"/>
        <item x="43"/>
        <item x="1893"/>
        <item x="346"/>
        <item x="745"/>
        <item x="1249"/>
        <item x="1223"/>
        <item x="1178"/>
        <item x="863"/>
        <item x="429"/>
        <item x="601"/>
        <item x="730"/>
        <item x="570"/>
        <item x="528"/>
        <item x="816"/>
        <item x="128"/>
        <item x="519"/>
        <item x="932"/>
        <item x="1435"/>
        <item x="1311"/>
        <item x="1066"/>
        <item x="1748"/>
        <item x="457"/>
        <item x="1027"/>
        <item x="759"/>
        <item x="242"/>
        <item x="688"/>
        <item x="974"/>
        <item x="374"/>
        <item x="1138"/>
        <item x="1133"/>
        <item x="6"/>
        <item x="1608"/>
        <item x="606"/>
        <item x="814"/>
        <item x="381"/>
        <item x="445"/>
        <item x="1587"/>
        <item x="1538"/>
        <item x="354"/>
        <item x="724"/>
        <item x="1779"/>
        <item x="1615"/>
        <item x="868"/>
        <item x="1123"/>
        <item x="1630"/>
        <item x="786"/>
        <item x="1034"/>
        <item x="1788"/>
        <item x="1429"/>
        <item x="1309"/>
        <item x="668"/>
        <item x="232"/>
        <item x="1620"/>
        <item x="326"/>
        <item x="1799"/>
        <item x="1432"/>
        <item x="1946"/>
        <item x="720"/>
        <item x="174"/>
        <item x="224"/>
        <item x="1576"/>
        <item x="1914"/>
        <item x="1956"/>
        <item x="1491"/>
        <item x="1740"/>
        <item x="546"/>
        <item x="1362"/>
        <item x="1943"/>
        <item x="361"/>
        <item x="291"/>
        <item x="1963"/>
        <item x="364"/>
        <item x="757"/>
        <item x="1111"/>
        <item x="1076"/>
        <item x="664"/>
        <item x="1103"/>
        <item x="1984"/>
        <item x="1629"/>
        <item x="1193"/>
        <item x="335"/>
        <item x="1177"/>
        <item x="371"/>
        <item x="907"/>
        <item x="452"/>
        <item x="993"/>
        <item x="1260"/>
        <item x="1716"/>
        <item x="1194"/>
        <item x="1298"/>
        <item x="439"/>
        <item x="1693"/>
        <item x="34"/>
        <item x="469"/>
        <item x="358"/>
        <item x="1418"/>
        <item x="1351"/>
        <item x="1900"/>
        <item x="1983"/>
        <item x="1836"/>
        <item x="670"/>
        <item x="853"/>
        <item x="64"/>
        <item x="1333"/>
        <item x="322"/>
        <item x="771"/>
        <item x="292"/>
        <item x="951"/>
        <item x="758"/>
        <item x="1096"/>
        <item x="822"/>
        <item x="1460"/>
        <item x="181"/>
        <item x="1952"/>
        <item x="1301"/>
        <item x="1367"/>
        <item x="1718"/>
        <item x="1310"/>
        <item x="943"/>
        <item x="1278"/>
        <item x="903"/>
        <item x="104"/>
        <item x="173"/>
        <item x="200"/>
        <item x="391"/>
        <item x="963"/>
        <item x="1562"/>
        <item x="1744"/>
        <item x="992"/>
        <item x="686"/>
        <item x="402"/>
        <item x="2"/>
        <item x="956"/>
        <item x="329"/>
        <item x="741"/>
        <item x="904"/>
        <item x="835"/>
        <item x="1526"/>
        <item x="1688"/>
        <item x="919"/>
        <item x="313"/>
        <item x="247"/>
        <item x="1550"/>
        <item x="18"/>
        <item x="252"/>
        <item x="1339"/>
        <item x="1115"/>
        <item x="1884"/>
        <item x="1819"/>
        <item x="1157"/>
        <item x="1430"/>
        <item x="1919"/>
        <item x="825"/>
        <item x="1932"/>
        <item x="1991"/>
        <item x="144"/>
        <item x="1364"/>
        <item x="1314"/>
        <item x="595"/>
        <item x="1825"/>
        <item x="422"/>
        <item x="646"/>
        <item x="711"/>
        <item x="1771"/>
        <item x="1976"/>
        <item x="1215"/>
        <item x="1878"/>
        <item x="500"/>
        <item x="1730"/>
        <item x="1980"/>
        <item x="350"/>
        <item x="812"/>
        <item x="1219"/>
        <item x="1774"/>
        <item x="1813"/>
        <item x="1686"/>
        <item x="1986"/>
        <item x="1647"/>
        <item x="1013"/>
        <item x="717"/>
        <item x="1127"/>
        <item x="1371"/>
        <item x="1780"/>
        <item x="734"/>
        <item x="1710"/>
        <item x="1331"/>
        <item x="1230"/>
        <item x="1778"/>
        <item x="460"/>
        <item x="1532"/>
        <item x="1470"/>
        <item x="585"/>
        <item x="1475"/>
        <item x="739"/>
        <item x="1880"/>
        <item x="1824"/>
        <item x="522"/>
        <item x="574"/>
        <item x="1700"/>
        <item x="594"/>
        <item x="1498"/>
        <item x="671"/>
        <item x="1636"/>
        <item x="1290"/>
        <item x="1547"/>
        <item x="832"/>
        <item x="1398"/>
        <item x="1692"/>
        <item x="496"/>
        <item x="488"/>
        <item x="278"/>
        <item x="1162"/>
        <item x="1690"/>
        <item x="1845"/>
        <item x="605"/>
        <item x="1144"/>
        <item x="276"/>
        <item x="1159"/>
        <item x="393"/>
        <item x="557"/>
        <item x="1531"/>
        <item x="846"/>
        <item x="1596"/>
        <item x="504"/>
        <item x="56"/>
        <item x="634"/>
        <item x="912"/>
        <item x="1325"/>
        <item x="170"/>
        <item x="770"/>
        <item x="324"/>
        <item x="1199"/>
        <item x="1733"/>
        <item x="1840"/>
        <item x="773"/>
        <item x="186"/>
        <item x="905"/>
        <item x="1857"/>
        <item x="1150"/>
        <item x="228"/>
        <item x="883"/>
        <item x="918"/>
        <item x="461"/>
        <item x="406"/>
        <item x="1685"/>
        <item x="1502"/>
        <item x="1251"/>
        <item x="1090"/>
        <item x="401"/>
        <item x="159"/>
        <item x="1846"/>
        <item x="1926"/>
        <item x="640"/>
        <item x="666"/>
        <item x="1974"/>
        <item x="553"/>
        <item x="219"/>
        <item x="1323"/>
        <item x="1063"/>
        <item x="1466"/>
        <item x="70"/>
        <item x="1865"/>
        <item x="485"/>
        <item x="311"/>
        <item x="120"/>
        <item x="939"/>
        <item x="1704"/>
        <item x="23"/>
        <item x="1847"/>
        <item x="1653"/>
        <item x="831"/>
        <item x="387"/>
        <item x="229"/>
        <item x="1465"/>
        <item x="1141"/>
        <item x="1535"/>
        <item x="1679"/>
        <item x="1568"/>
        <item x="468"/>
        <item x="118"/>
        <item x="215"/>
        <item x="1870"/>
        <item x="1287"/>
        <item x="425"/>
        <item x="1361"/>
        <item x="1966"/>
        <item x="156"/>
        <item x="788"/>
        <item x="1822"/>
        <item x="349"/>
        <item x="1555"/>
        <item x="1054"/>
        <item x="872"/>
        <item x="1360"/>
        <item x="1485"/>
        <item x="1887"/>
        <item x="1942"/>
        <item x="1273"/>
        <item x="1751"/>
        <item x="1871"/>
        <item x="1204"/>
        <item x="1419"/>
        <item x="1849"/>
        <item x="79"/>
        <item x="1008"/>
        <item x="1487"/>
        <item x="456"/>
        <item x="203"/>
        <item x="222"/>
        <item x="1484"/>
        <item x="448"/>
        <item x="1359"/>
        <item x="1368"/>
        <item x="885"/>
        <item x="49"/>
        <item x="1623"/>
        <item x="1428"/>
        <item x="1186"/>
        <item x="1281"/>
        <item x="1306"/>
        <item x="1628"/>
        <item x="1297"/>
        <item x="1720"/>
        <item x="114"/>
        <item x="1000"/>
        <item x="785"/>
        <item x="417"/>
        <item x="183"/>
        <item x="345"/>
        <item x="1842"/>
        <item x="777"/>
        <item x="474"/>
        <item x="949"/>
        <item x="353"/>
        <item x="1405"/>
        <item x="615"/>
        <item x="259"/>
        <item x="1117"/>
        <item x="850"/>
        <item x="1802"/>
        <item x="1032"/>
        <item x="1129"/>
        <item x="1606"/>
        <item x="365"/>
        <item x="53"/>
        <item x="1972"/>
        <item x="1669"/>
        <item x="102"/>
        <item x="556"/>
        <item x="1564"/>
        <item x="1641"/>
        <item x="1452"/>
        <item x="464"/>
        <item x="619"/>
        <item x="1982"/>
        <item x="1420"/>
        <item x="1114"/>
        <item x="383"/>
        <item x="970"/>
        <item x="1654"/>
        <item x="1930"/>
        <item x="740"/>
        <item x="1503"/>
        <item x="1843"/>
        <item x="1085"/>
        <item x="591"/>
        <item x="1019"/>
        <item x="503"/>
        <item x="1374"/>
        <item x="1037"/>
        <item x="979"/>
        <item x="357"/>
        <item x="1950"/>
        <item x="1328"/>
        <item x="261"/>
        <item x="376"/>
        <item x="600"/>
        <item x="678"/>
        <item x="1518"/>
        <item x="1545"/>
        <item x="564"/>
        <item x="1583"/>
        <item x="126"/>
        <item x="1358"/>
        <item x="20"/>
        <item x="40"/>
        <item x="1043"/>
        <item x="423"/>
        <item x="134"/>
        <item x="1097"/>
        <item x="583"/>
        <item x="1537"/>
        <item x="310"/>
        <item x="1863"/>
        <item x="545"/>
        <item x="407"/>
        <item x="1400"/>
        <item x="1534"/>
        <item x="1784"/>
        <item x="807"/>
        <item x="1770"/>
        <item x="1897"/>
        <item x="1158"/>
        <item x="982"/>
        <item x="588"/>
        <item x="413"/>
        <item x="1902"/>
        <item x="115"/>
        <item x="1775"/>
        <item x="1818"/>
        <item x="1065"/>
        <item x="701"/>
        <item x="1156"/>
        <item x="22"/>
        <item x="749"/>
        <item x="1969"/>
        <item x="861"/>
        <item x="1006"/>
        <item x="1185"/>
        <item x="1874"/>
        <item x="1276"/>
        <item x="790"/>
        <item x="400"/>
        <item x="1753"/>
        <item x="1189"/>
        <item x="596"/>
        <item x="130"/>
        <item x="1448"/>
        <item x="673"/>
        <item x="1294"/>
        <item x="494"/>
        <item x="1797"/>
        <item x="1171"/>
        <item x="1763"/>
        <item x="1850"/>
        <item x="962"/>
        <item x="913"/>
        <item x="1136"/>
        <item x="1905"/>
        <item x="1830"/>
        <item x="1872"/>
        <item x="1292"/>
        <item x="57"/>
        <item x="179"/>
        <item x="599"/>
        <item x="498"/>
        <item x="297"/>
        <item x="878"/>
        <item x="1130"/>
        <item x="986"/>
        <item x="1203"/>
        <item x="679"/>
        <item x="24"/>
        <item x="1921"/>
        <item x="1638"/>
        <item x="927"/>
        <item x="801"/>
        <item x="1061"/>
        <item x="36"/>
        <item x="7"/>
        <item x="1985"/>
        <item x="898"/>
        <item x="665"/>
        <item x="1101"/>
        <item x="1122"/>
        <item x="1284"/>
        <item x="1726"/>
        <item x="1274"/>
        <item x="1384"/>
        <item x="1093"/>
        <item x="1244"/>
        <item x="1449"/>
        <item x="1406"/>
        <item x="550"/>
        <item x="998"/>
        <item x="672"/>
        <item x="915"/>
        <item x="823"/>
        <item x="1811"/>
        <item x="197"/>
        <item x="437"/>
        <item x="689"/>
        <item x="172"/>
        <item x="1611"/>
        <item x="182"/>
        <item x="590"/>
        <item x="797"/>
        <item x="1581"/>
        <item x="1067"/>
        <item x="944"/>
        <item x="8"/>
        <item x="1810"/>
        <item x="1220"/>
        <item x="751"/>
        <item x="1915"/>
        <item x="1637"/>
        <item x="340"/>
        <item x="424"/>
        <item x="1436"/>
        <item x="1217"/>
        <item x="851"/>
        <item x="1246"/>
        <item x="1222"/>
        <item x="1383"/>
        <item x="573"/>
        <item x="1486"/>
        <item x="714"/>
        <item x="884"/>
        <item x="427"/>
        <item x="782"/>
        <item x="208"/>
        <item x="1356"/>
        <item x="1372"/>
        <item x="436"/>
        <item x="1045"/>
        <item x="72"/>
        <item x="19"/>
        <item x="524"/>
        <item x="1676"/>
        <item x="1828"/>
        <item x="1166"/>
        <item x="682"/>
        <item x="236"/>
        <item x="123"/>
        <item x="1877"/>
        <item x="62"/>
        <item x="44"/>
        <item x="98"/>
        <item x="1750"/>
        <item x="483"/>
        <item x="487"/>
        <item x="1154"/>
        <item x="527"/>
        <item x="347"/>
        <item x="693"/>
        <item x="1380"/>
        <item x="1625"/>
        <item x="1344"/>
        <item x="97"/>
        <item x="1741"/>
        <item x="238"/>
        <item x="26"/>
        <item x="1841"/>
        <item x="226"/>
        <item x="882"/>
        <item x="1322"/>
        <item x="339"/>
        <item x="1407"/>
        <item x="244"/>
        <item x="277"/>
        <item x="948"/>
        <item x="1783"/>
        <item x="928"/>
        <item x="866"/>
        <item x="325"/>
        <item x="743"/>
        <item x="90"/>
        <item x="367"/>
        <item x="31"/>
        <item x="580"/>
        <item x="1454"/>
        <item x="1078"/>
        <item x="431"/>
        <item x="380"/>
        <item x="171"/>
        <item x="1948"/>
        <item x="1092"/>
        <item x="1901"/>
        <item x="398"/>
        <item x="420"/>
        <item x="911"/>
        <item x="1269"/>
        <item x="1977"/>
        <item x="1412"/>
        <item x="1687"/>
        <item x="1389"/>
        <item x="997"/>
        <item x="1234"/>
        <item x="1617"/>
        <item x="125"/>
        <item x="1821"/>
        <item x="1908"/>
        <item x="1447"/>
        <item x="1588"/>
        <item x="1291"/>
        <item x="1095"/>
        <item x="1471"/>
        <item x="327"/>
        <item x="621"/>
        <item x="1243"/>
        <item x="1968"/>
        <item x="1438"/>
        <item x="1738"/>
        <item x="293"/>
        <item x="1188"/>
        <item x="1766"/>
        <item x="1500"/>
        <item x="1021"/>
        <item x="1866"/>
        <item x="17"/>
        <item x="1472"/>
        <item x="1041"/>
        <item x="1086"/>
        <item x="1782"/>
        <item x="633"/>
        <item x="802"/>
        <item x="1488"/>
        <item x="333"/>
        <item x="199"/>
        <item x="1088"/>
        <item x="754"/>
        <item x="394"/>
        <item x="177"/>
        <item x="699"/>
        <item x="149"/>
        <item x="220"/>
        <item x="1427"/>
        <item x="430"/>
        <item x="1995"/>
        <item x="432"/>
        <item x="983"/>
        <item x="323"/>
        <item x="1196"/>
        <item x="513"/>
        <item x="924"/>
        <item x="35"/>
        <item x="1126"/>
        <item x="523"/>
        <item x="1104"/>
        <item x="1829"/>
        <item x="651"/>
        <item x="1050"/>
        <item x="810"/>
        <item x="735"/>
        <item x="552"/>
        <item x="612"/>
        <item x="977"/>
        <item x="1174"/>
        <item x="1809"/>
        <item x="877"/>
        <item x="1618"/>
        <item x="1746"/>
        <item x="567"/>
        <item x="344"/>
        <item x="1426"/>
        <item x="669"/>
        <item x="917"/>
        <item x="1058"/>
        <item x="971"/>
        <item x="859"/>
        <item x="1052"/>
        <item x="312"/>
        <item x="1556"/>
        <item x="1179"/>
        <item x="968"/>
        <item x="953"/>
        <item x="1369"/>
        <item x="486"/>
        <item x="1341"/>
        <item x="1678"/>
        <item x="1705"/>
        <item x="275"/>
        <item x="1524"/>
        <item x="212"/>
        <item x="1650"/>
        <item x="1329"/>
        <item x="1210"/>
        <item x="133"/>
        <item x="966"/>
        <item x="140"/>
        <item x="1544"/>
        <item x="1262"/>
        <item x="1057"/>
        <item x="1691"/>
        <item x="105"/>
        <item x="712"/>
        <item x="1817"/>
        <item x="1514"/>
        <item x="582"/>
        <item x="1121"/>
        <item x="1295"/>
        <item x="1990"/>
        <item x="1777"/>
        <item x="1304"/>
        <item x="99"/>
        <item x="262"/>
        <item x="415"/>
        <item x="1170"/>
        <item x="1540"/>
        <item x="1508"/>
        <item x="1235"/>
        <item x="1184"/>
        <item x="1781"/>
        <item x="458"/>
        <item x="167"/>
        <item x="32"/>
        <item x="1856"/>
        <item x="1342"/>
        <item x="841"/>
        <item x="283"/>
        <item x="1967"/>
        <item x="136"/>
        <item x="1607"/>
        <item x="1031"/>
        <item x="1834"/>
        <item x="857"/>
        <item x="251"/>
        <item x="124"/>
        <item x="1696"/>
        <item x="1801"/>
        <item x="855"/>
        <item x="1515"/>
        <item x="1949"/>
        <item x="306"/>
        <item x="399"/>
        <item x="1937"/>
        <item x="392"/>
        <item x="101"/>
        <item x="314"/>
        <item x="198"/>
        <item x="706"/>
        <item x="151"/>
        <item x="1910"/>
        <item x="1894"/>
        <item x="1363"/>
        <item x="715"/>
        <item x="1238"/>
        <item x="409"/>
        <item x="975"/>
        <item x="1670"/>
        <item x="1682"/>
        <item x="359"/>
        <item x="1091"/>
        <item x="1345"/>
        <item x="188"/>
        <item x="1365"/>
        <item x="952"/>
        <item x="1416"/>
        <item x="305"/>
        <item x="1469"/>
        <item x="317"/>
        <item x="827"/>
        <item x="1047"/>
        <item x="1482"/>
        <item x="1965"/>
        <item x="91"/>
        <item x="625"/>
        <item x="27"/>
        <item x="234"/>
        <item x="1478"/>
        <item x="1694"/>
        <item x="1132"/>
        <item x="1837"/>
        <item x="1198"/>
        <item x="142"/>
        <item x="1793"/>
        <item x="1579"/>
        <item x="1803"/>
        <item x="1909"/>
        <item x="636"/>
        <item x="410"/>
        <item x="112"/>
        <item x="709"/>
        <item x="368"/>
        <item x="604"/>
        <item x="165"/>
        <item x="147"/>
        <item x="1410"/>
        <item x="318"/>
        <item x="608"/>
        <item x="1634"/>
        <item x="274"/>
        <item x="67"/>
        <item x="1020"/>
        <item x="1346"/>
        <item x="1791"/>
        <item x="750"/>
        <item x="466"/>
        <item x="316"/>
        <item x="300"/>
        <item x="1989"/>
        <item x="1931"/>
        <item x="683"/>
        <item x="1672"/>
        <item x="1148"/>
        <item x="1321"/>
        <item x="1702"/>
        <item x="1386"/>
        <item x="534"/>
        <item x="1648"/>
        <item x="237"/>
        <item x="1655"/>
        <item x="578"/>
        <item x="1387"/>
        <item x="1232"/>
        <item x="462"/>
        <item x="871"/>
        <item x="1209"/>
        <item x="100"/>
        <item x="510"/>
        <item x="1336"/>
        <item x="1218"/>
        <item x="279"/>
        <item x="1280"/>
        <item x="45"/>
        <item x="844"/>
        <item x="1035"/>
        <item x="1207"/>
        <item x="875"/>
        <item x="1227"/>
        <item x="303"/>
        <item x="543"/>
        <item x="1216"/>
        <item x="542"/>
        <item x="476"/>
        <item x="1701"/>
        <item x="453"/>
        <item x="937"/>
        <item x="1044"/>
        <item x="1835"/>
        <item x="221"/>
        <item x="1181"/>
        <item x="192"/>
        <item x="834"/>
        <item x="14"/>
        <item x="1838"/>
        <item x="772"/>
        <item x="1567"/>
        <item x="1001"/>
        <item x="778"/>
        <item x="502"/>
        <item x="1707"/>
        <item x="1839"/>
        <item x="255"/>
        <item x="1226"/>
        <item x="645"/>
        <item x="657"/>
        <item x="1191"/>
        <item x="1422"/>
        <item x="824"/>
        <item x="1667"/>
        <item x="933"/>
        <item x="579"/>
        <item x="450"/>
        <item x="1033"/>
        <item x="1433"/>
        <item x="806"/>
        <item x="492"/>
        <item x="1717"/>
        <item x="1370"/>
        <item x="21"/>
        <item x="1200"/>
        <item x="1072"/>
        <item x="25"/>
        <item x="1731"/>
        <item x="1375"/>
        <item x="1743"/>
        <item x="1671"/>
        <item x="472"/>
        <item x="887"/>
        <item x="710"/>
        <item x="484"/>
        <item x="1376"/>
        <item x="1727"/>
        <item x="1640"/>
        <item x="154"/>
        <item x="1823"/>
        <item x="47"/>
        <item x="176"/>
        <item x="1662"/>
        <item x="58"/>
        <item x="1722"/>
        <item x="987"/>
        <item x="1978"/>
        <item x="1334"/>
        <item x="1527"/>
        <item x="113"/>
        <item x="164"/>
        <item x="533"/>
        <item x="1929"/>
        <item x="1271"/>
        <item x="609"/>
        <item x="614"/>
        <item x="454"/>
        <item x="936"/>
        <item x="965"/>
        <item x="1240"/>
        <item x="1036"/>
        <item x="1864"/>
        <item x="1543"/>
        <item x="163"/>
        <item x="1712"/>
        <item x="981"/>
        <item x="103"/>
        <item x="1616"/>
        <item x="1577"/>
        <item x="1549"/>
        <item x="341"/>
        <item x="1590"/>
        <item x="707"/>
        <item x="1373"/>
        <item x="1689"/>
        <item x="284"/>
        <item x="1580"/>
        <item x="1907"/>
        <item x="214"/>
        <item x="942"/>
        <item x="676"/>
        <item x="1100"/>
        <item x="442"/>
        <item x="1706"/>
        <item x="1890"/>
        <item x="792"/>
        <item x="733"/>
        <item x="511"/>
        <item x="946"/>
        <item x="1988"/>
        <item x="1714"/>
        <item x="308"/>
        <item x="1992"/>
        <item x="1632"/>
        <item x="1106"/>
        <item x="1736"/>
        <item x="1258"/>
        <item x="121"/>
        <item x="1506"/>
        <item x="1120"/>
        <item x="1657"/>
        <item x="620"/>
        <item x="1108"/>
        <item x="1357"/>
        <item x="874"/>
        <item x="925"/>
        <item x="1316"/>
        <item x="1315"/>
        <item x="728"/>
        <item x="336"/>
        <item x="867"/>
        <item x="1161"/>
        <item x="540"/>
        <item x="969"/>
        <item x="698"/>
        <item x="414"/>
        <item x="1112"/>
        <item x="1723"/>
        <item x="514"/>
        <item x="738"/>
        <item x="1881"/>
        <item x="1673"/>
        <item x="1924"/>
        <item x="1110"/>
        <item x="355"/>
        <item x="337"/>
        <item x="985"/>
        <item x="321"/>
        <item x="1134"/>
        <item x="1786"/>
        <item x="1214"/>
        <item x="776"/>
        <item x="1012"/>
        <item x="491"/>
        <item x="1283"/>
        <item x="280"/>
        <item x="1896"/>
        <item x="1381"/>
        <item x="890"/>
        <item x="1888"/>
        <item x="390"/>
        <item x="477"/>
        <item x="864"/>
        <item x="235"/>
        <item x="521"/>
        <item x="194"/>
        <item x="1195"/>
        <item x="1927"/>
        <item x="1601"/>
        <item x="1521"/>
        <item x="1409"/>
        <item x="695"/>
        <item x="384"/>
        <item x="71"/>
        <item x="1286"/>
        <item x="826"/>
        <item x="11"/>
        <item x="1056"/>
        <item x="1201"/>
        <item x="978"/>
        <item x="201"/>
        <item x="1296"/>
        <item x="0"/>
        <item x="46"/>
        <item x="756"/>
        <item x="441"/>
        <item x="984"/>
        <item x="1739"/>
        <item x="1143"/>
        <item x="1541"/>
        <item x="1116"/>
        <item x="967"/>
        <item x="1403"/>
        <item x="804"/>
        <item x="1231"/>
        <item x="117"/>
        <item x="330"/>
        <item x="576"/>
        <item x="536"/>
        <item x="265"/>
        <item x="1899"/>
        <item x="373"/>
        <item x="1205"/>
        <item x="1959"/>
        <item x="76"/>
        <item x="161"/>
        <item x="1683"/>
        <item x="1728"/>
        <item x="1917"/>
        <item x="880"/>
        <item x="1816"/>
        <item x="307"/>
        <item x="1944"/>
        <item x="250"/>
        <item x="891"/>
        <item x="649"/>
        <item x="1961"/>
        <item x="618"/>
        <item x="1765"/>
        <item x="1599"/>
        <item x="1497"/>
        <item x="137"/>
        <item x="1173"/>
        <item x="256"/>
        <item x="1510"/>
        <item x="520"/>
        <item x="190"/>
        <item x="895"/>
        <item x="811"/>
        <item x="1918"/>
        <item x="497"/>
        <item x="809"/>
        <item x="747"/>
        <item x="1202"/>
        <item x="187"/>
        <item x="1522"/>
        <item x="692"/>
        <item x="627"/>
        <item x="1221"/>
        <item x="1180"/>
        <item x="798"/>
        <item x="929"/>
        <item x="230"/>
        <item x="681"/>
        <item x="950"/>
        <item x="1955"/>
        <item x="495"/>
        <item x="1160"/>
        <item x="940"/>
        <item x="386"/>
        <item x="1552"/>
        <item x="1906"/>
        <item x="1256"/>
        <item x="1087"/>
        <item x="65"/>
        <item x="881"/>
        <item x="404"/>
        <item x="1455"/>
        <item x="748"/>
        <item x="934"/>
        <item x="1789"/>
        <item x="1302"/>
        <item x="820"/>
        <item x="1163"/>
        <item x="412"/>
        <item x="507"/>
        <item x="286"/>
        <item x="1735"/>
        <item x="794"/>
        <item x="852"/>
        <item x="1566"/>
        <item x="1643"/>
        <item x="1457"/>
        <item x="1250"/>
        <item x="1873"/>
        <item x="1305"/>
        <item x="696"/>
        <item x="991"/>
        <item x="638"/>
        <item x="1940"/>
        <item x="1461"/>
        <item x="1355"/>
        <item x="1254"/>
        <item x="1612"/>
        <item x="847"/>
        <item x="525"/>
        <item x="1589"/>
        <item x="544"/>
        <item x="1450"/>
        <item x="793"/>
        <item x="869"/>
        <item x="1064"/>
        <item x="1563"/>
        <item x="1252"/>
        <item x="1040"/>
        <item x="1377"/>
        <item x="551"/>
        <item x="1197"/>
        <item x="1029"/>
        <item x="784"/>
        <item x="1570"/>
        <item x="593"/>
        <item x="1011"/>
        <item x="1257"/>
        <item x="1981"/>
        <item x="1660"/>
        <item x="737"/>
        <item x="493"/>
        <item x="10"/>
        <item x="765"/>
        <item x="1424"/>
        <item x="60"/>
        <item x="611"/>
        <item x="1102"/>
        <item x="575"/>
        <item x="1561"/>
        <item x="644"/>
        <item x="554"/>
        <item x="1934"/>
        <item x="13"/>
        <item x="1891"/>
        <item x="1348"/>
        <item x="83"/>
        <item x="1453"/>
        <item x="258"/>
        <item x="1378"/>
        <item x="1652"/>
        <item x="719"/>
        <item x="388"/>
        <item x="28"/>
        <item x="1954"/>
        <item x="1499"/>
        <item x="1519"/>
        <item x="12"/>
        <item x="1431"/>
        <item x="923"/>
        <item x="691"/>
        <item x="1228"/>
        <item x="938"/>
        <item x="396"/>
        <item x="762"/>
        <item x="85"/>
        <item x="817"/>
        <item x="1483"/>
        <item x="193"/>
        <item x="1600"/>
        <item x="560"/>
        <item x="624"/>
        <item x="1270"/>
        <item x="1113"/>
        <item x="1719"/>
        <item x="896"/>
        <item x="1245"/>
        <item x="1755"/>
        <item x="269"/>
        <item x="535"/>
        <item x="1560"/>
        <item x="111"/>
        <item x="348"/>
        <item x="116"/>
        <item x="995"/>
        <item x="320"/>
        <item x="440"/>
        <item x="1945"/>
        <item x="571"/>
        <item x="143"/>
        <item x="1619"/>
        <item x="1749"/>
        <item x="910"/>
        <item x="1557"/>
        <item x="559"/>
        <item x="687"/>
        <item x="210"/>
        <item x="1077"/>
        <item x="243"/>
        <item x="563"/>
        <item x="1886"/>
        <item x="539"/>
        <item x="1674"/>
        <item x="541"/>
        <item x="1505"/>
        <item x="1266"/>
        <item x="1042"/>
        <item x="1395"/>
        <item x="88"/>
        <item x="789"/>
        <item x="1708"/>
        <item x="1595"/>
        <item x="1388"/>
        <item x="1343"/>
        <item x="1582"/>
        <item x="1737"/>
        <item x="205"/>
        <item x="1149"/>
        <item x="1024"/>
        <item x="1699"/>
        <item x="162"/>
        <item x="1176"/>
        <item x="426"/>
        <item x="328"/>
        <item x="189"/>
        <item x="836"/>
        <item x="231"/>
        <item x="480"/>
        <item x="675"/>
        <item x="501"/>
        <item x="1016"/>
        <item x="132"/>
        <item x="246"/>
        <item x="16"/>
        <item x="1124"/>
        <item x="1684"/>
        <item x="791"/>
        <item x="334"/>
        <item x="204"/>
        <item x="1477"/>
        <item x="1703"/>
        <item x="227"/>
        <item x="1504"/>
        <item x="1664"/>
        <item x="1644"/>
        <item x="1925"/>
        <item x="1261"/>
        <item x="1399"/>
        <item x="930"/>
        <item x="418"/>
        <item x="892"/>
        <item x="1598"/>
        <item x="1759"/>
        <item x="1757"/>
        <item x="837"/>
        <item x="821"/>
        <item x="1099"/>
        <item x="860"/>
        <item x="667"/>
        <item x="1569"/>
        <item x="630"/>
        <item x="1354"/>
        <item x="55"/>
        <item x="658"/>
        <item x="700"/>
        <item x="1492"/>
        <item x="1666"/>
        <item x="746"/>
        <item x="568"/>
        <item x="1548"/>
        <item x="434"/>
        <item x="1490"/>
        <item x="1442"/>
        <item x="1275"/>
        <item x="1319"/>
        <item x="1007"/>
        <item x="577"/>
        <item x="818"/>
        <item x="299"/>
        <item x="768"/>
        <item x="245"/>
        <item x="650"/>
        <item x="1473"/>
        <item x="592"/>
        <item x="1528"/>
        <item x="1624"/>
        <item x="202"/>
        <item x="1833"/>
        <item x="1605"/>
        <item x="775"/>
        <item x="876"/>
        <item x="752"/>
        <item x="935"/>
        <item x="263"/>
        <item x="1853"/>
        <item x="294"/>
        <item x="1168"/>
        <item x="1131"/>
        <item x="1182"/>
        <item x="1300"/>
        <item x="1513"/>
        <item x="800"/>
        <item x="377"/>
        <item x="1463"/>
        <item x="51"/>
        <item x="1265"/>
        <item x="742"/>
        <item x="781"/>
        <item x="1752"/>
        <item x="207"/>
        <item x="1928"/>
        <item x="240"/>
        <item x="30"/>
        <item x="894"/>
        <item x="1709"/>
        <item x="270"/>
        <item x="1030"/>
        <item x="363"/>
        <item x="157"/>
        <item x="1994"/>
        <item x="1913"/>
        <item x="587"/>
        <item x="901"/>
        <item x="1437"/>
        <item x="964"/>
        <item x="1018"/>
        <item x="1068"/>
        <item x="419"/>
        <item x="1826"/>
        <item x="653"/>
        <item x="1851"/>
        <item x="1330"/>
        <item x="1414"/>
        <item x="1350"/>
        <item x="1307"/>
        <item x="1573"/>
        <item x="248"/>
        <item x="1584"/>
        <item x="572"/>
        <item x="1247"/>
        <item x="931"/>
        <item x="1745"/>
        <item x="81"/>
        <item x="1551"/>
        <item x="505"/>
        <item x="180"/>
        <item x="1993"/>
        <item x="589"/>
        <item x="1017"/>
        <item x="268"/>
        <item x="1192"/>
        <item x="471"/>
        <item x="1444"/>
        <item x="830"/>
        <item x="838"/>
        <item x="1962"/>
        <item x="1713"/>
        <item x="52"/>
        <item x="1408"/>
        <item x="518"/>
        <item x="677"/>
        <item x="764"/>
        <item x="1267"/>
        <item x="1415"/>
        <item x="403"/>
        <item x="225"/>
        <item x="1496"/>
        <item x="239"/>
        <item x="95"/>
        <item x="1140"/>
        <item x="1613"/>
        <item x="1852"/>
        <item x="727"/>
        <item x="680"/>
        <item x="562"/>
        <item x="1464"/>
        <item x="529"/>
        <item x="1212"/>
        <item x="1467"/>
        <item x="1509"/>
        <item x="1279"/>
        <item x="1807"/>
        <item x="1391"/>
        <item x="127"/>
        <item x="731"/>
        <item x="1747"/>
        <item x="1859"/>
        <item x="473"/>
        <item x="1337"/>
        <item x="1411"/>
        <item x="1732"/>
        <item x="1996"/>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2"/>
  </rowFields>
  <rowItems count="14">
    <i>
      <x/>
    </i>
    <i>
      <x v="1"/>
    </i>
    <i>
      <x v="2"/>
    </i>
    <i>
      <x v="3"/>
    </i>
    <i>
      <x v="4"/>
    </i>
    <i>
      <x v="5"/>
    </i>
    <i>
      <x v="6"/>
    </i>
    <i>
      <x v="7"/>
    </i>
    <i>
      <x v="8"/>
    </i>
    <i>
      <x v="9"/>
    </i>
    <i>
      <x v="10"/>
    </i>
    <i>
      <x v="11"/>
    </i>
    <i>
      <x v="12"/>
    </i>
    <i t="grand">
      <x/>
    </i>
  </rowItems>
  <colItems count="1">
    <i/>
  </colItems>
  <dataFields count="1">
    <dataField name="Sum of ActualAmount" fld="11" baseField="0" baseItem="0"/>
  </dataFields>
  <chartFormats count="3">
    <chartFormat chart="0" format="2"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3B767B-449A-4FBB-9F21-A4A2A7FBF88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B10" firstHeaderRow="1" firstDataRow="1" firstDataCol="1"/>
  <pivotFields count="15">
    <pivotField showAll="0"/>
    <pivotField showAll="0">
      <items count="817">
        <item x="461"/>
        <item x="644"/>
        <item x="516"/>
        <item x="313"/>
        <item x="354"/>
        <item x="390"/>
        <item x="311"/>
        <item x="93"/>
        <item x="166"/>
        <item x="697"/>
        <item x="750"/>
        <item x="214"/>
        <item x="32"/>
        <item x="398"/>
        <item x="155"/>
        <item x="315"/>
        <item x="582"/>
        <item x="356"/>
        <item x="226"/>
        <item x="267"/>
        <item x="209"/>
        <item x="46"/>
        <item x="763"/>
        <item x="18"/>
        <item x="181"/>
        <item x="144"/>
        <item x="322"/>
        <item x="333"/>
        <item x="601"/>
        <item x="760"/>
        <item x="117"/>
        <item x="172"/>
        <item x="363"/>
        <item x="42"/>
        <item x="324"/>
        <item x="684"/>
        <item x="620"/>
        <item x="177"/>
        <item x="175"/>
        <item x="92"/>
        <item x="807"/>
        <item x="369"/>
        <item x="714"/>
        <item x="288"/>
        <item x="366"/>
        <item x="797"/>
        <item x="454"/>
        <item x="782"/>
        <item x="741"/>
        <item x="414"/>
        <item x="332"/>
        <item x="63"/>
        <item x="335"/>
        <item x="703"/>
        <item x="389"/>
        <item x="435"/>
        <item x="268"/>
        <item x="664"/>
        <item x="431"/>
        <item x="458"/>
        <item x="767"/>
        <item x="178"/>
        <item x="732"/>
        <item x="48"/>
        <item x="43"/>
        <item x="76"/>
        <item x="808"/>
        <item x="667"/>
        <item x="170"/>
        <item x="444"/>
        <item x="23"/>
        <item x="528"/>
        <item x="722"/>
        <item x="762"/>
        <item x="213"/>
        <item x="74"/>
        <item x="761"/>
        <item x="785"/>
        <item x="773"/>
        <item x="525"/>
        <item x="540"/>
        <item x="15"/>
        <item x="511"/>
        <item x="658"/>
        <item x="448"/>
        <item x="278"/>
        <item x="24"/>
        <item x="766"/>
        <item x="198"/>
        <item x="757"/>
        <item x="9"/>
        <item x="300"/>
        <item x="251"/>
        <item x="633"/>
        <item x="549"/>
        <item x="585"/>
        <item x="142"/>
        <item x="164"/>
        <item x="143"/>
        <item x="551"/>
        <item x="648"/>
        <item x="691"/>
        <item x="55"/>
        <item x="323"/>
        <item x="558"/>
        <item x="686"/>
        <item x="130"/>
        <item x="737"/>
        <item x="408"/>
        <item x="592"/>
        <item x="294"/>
        <item x="781"/>
        <item x="246"/>
        <item x="571"/>
        <item x="338"/>
        <item x="532"/>
        <item x="657"/>
        <item x="325"/>
        <item x="442"/>
        <item x="215"/>
        <item x="472"/>
        <item x="707"/>
        <item x="671"/>
        <item x="718"/>
        <item x="634"/>
        <item x="539"/>
        <item x="132"/>
        <item x="168"/>
        <item x="425"/>
        <item x="753"/>
        <item x="632"/>
        <item x="754"/>
        <item x="765"/>
        <item x="409"/>
        <item x="131"/>
        <item x="231"/>
        <item x="531"/>
        <item x="651"/>
        <item x="674"/>
        <item x="608"/>
        <item x="729"/>
        <item x="717"/>
        <item x="695"/>
        <item x="242"/>
        <item x="591"/>
        <item x="615"/>
        <item x="641"/>
        <item x="563"/>
        <item x="37"/>
        <item x="812"/>
        <item x="586"/>
        <item x="471"/>
        <item x="376"/>
        <item x="606"/>
        <item x="104"/>
        <item x="438"/>
        <item x="455"/>
        <item x="386"/>
        <item x="699"/>
        <item x="99"/>
        <item x="21"/>
        <item x="321"/>
        <item x="211"/>
        <item x="347"/>
        <item x="223"/>
        <item x="141"/>
        <item x="612"/>
        <item x="274"/>
        <item x="809"/>
        <item x="344"/>
        <item x="206"/>
        <item x="647"/>
        <item x="595"/>
        <item x="599"/>
        <item x="112"/>
        <item x="598"/>
        <item x="584"/>
        <item x="380"/>
        <item x="774"/>
        <item x="541"/>
        <item x="85"/>
        <item x="590"/>
        <item x="560"/>
        <item x="232"/>
        <item x="378"/>
        <item x="4"/>
        <item x="6"/>
        <item x="464"/>
        <item x="623"/>
        <item x="244"/>
        <item x="331"/>
        <item x="128"/>
        <item x="202"/>
        <item x="473"/>
        <item x="205"/>
        <item x="759"/>
        <item x="189"/>
        <item x="806"/>
        <item x="660"/>
        <item x="183"/>
        <item x="719"/>
        <item x="186"/>
        <item x="387"/>
        <item x="424"/>
        <item x="98"/>
        <item x="328"/>
        <item x="391"/>
        <item x="519"/>
        <item x="342"/>
        <item x="725"/>
        <item x="97"/>
        <item x="702"/>
        <item x="62"/>
        <item x="298"/>
        <item x="119"/>
        <item x="625"/>
        <item x="122"/>
        <item x="813"/>
        <item x="536"/>
        <item x="154"/>
        <item x="299"/>
        <item x="60"/>
        <item x="167"/>
        <item x="396"/>
        <item x="403"/>
        <item x="239"/>
        <item x="772"/>
        <item x="443"/>
        <item x="583"/>
        <item x="41"/>
        <item x="677"/>
        <item x="543"/>
        <item x="3"/>
        <item x="533"/>
        <item x="706"/>
        <item x="375"/>
        <item x="291"/>
        <item x="330"/>
        <item x="428"/>
        <item x="361"/>
        <item x="263"/>
        <item x="721"/>
        <item x="90"/>
        <item x="296"/>
        <item x="630"/>
        <item x="64"/>
        <item x="89"/>
        <item x="654"/>
        <item x="726"/>
        <item x="548"/>
        <item x="645"/>
        <item x="237"/>
        <item x="81"/>
        <item x="79"/>
        <item x="469"/>
        <item x="445"/>
        <item x="801"/>
        <item x="482"/>
        <item x="107"/>
        <item x="637"/>
        <item x="535"/>
        <item x="434"/>
        <item x="191"/>
        <item x="287"/>
        <item x="329"/>
        <item x="218"/>
        <item x="746"/>
        <item x="617"/>
        <item x="285"/>
        <item x="384"/>
        <item x="547"/>
        <item x="341"/>
        <item x="281"/>
        <item x="619"/>
        <item x="789"/>
        <item x="320"/>
        <item x="33"/>
        <item x="580"/>
        <item x="52"/>
        <item x="10"/>
        <item x="196"/>
        <item x="152"/>
        <item x="459"/>
        <item x="243"/>
        <item x="607"/>
        <item x="362"/>
        <item x="723"/>
        <item x="187"/>
        <item x="115"/>
        <item x="371"/>
        <item x="427"/>
        <item x="275"/>
        <item x="485"/>
        <item x="811"/>
        <item x="374"/>
        <item x="351"/>
        <item x="259"/>
        <item x="146"/>
        <item x="564"/>
        <item x="436"/>
        <item x="422"/>
        <item x="508"/>
        <item x="656"/>
        <item x="84"/>
        <item x="116"/>
        <item x="740"/>
        <item x="433"/>
        <item x="56"/>
        <item x="199"/>
        <item x="678"/>
        <item x="7"/>
        <item x="78"/>
        <item x="127"/>
        <item x="399"/>
        <item x="567"/>
        <item x="685"/>
        <item x="652"/>
        <item x="80"/>
        <item x="662"/>
        <item x="304"/>
        <item x="204"/>
        <item x="388"/>
        <item x="663"/>
        <item x="673"/>
        <item x="30"/>
        <item x="476"/>
        <item x="235"/>
        <item x="276"/>
        <item x="764"/>
        <item x="487"/>
        <item x="728"/>
        <item x="743"/>
        <item x="176"/>
        <item x="810"/>
        <item x="262"/>
        <item x="190"/>
        <item x="692"/>
        <item x="293"/>
        <item x="526"/>
        <item x="309"/>
        <item x="635"/>
        <item x="626"/>
        <item x="247"/>
        <item x="279"/>
        <item x="788"/>
        <item x="101"/>
        <item x="355"/>
        <item x="700"/>
        <item x="786"/>
        <item x="566"/>
        <item x="58"/>
        <item x="39"/>
        <item x="271"/>
        <item x="413"/>
        <item x="282"/>
        <item x="161"/>
        <item x="770"/>
        <item x="241"/>
        <item x="345"/>
        <item x="192"/>
        <item x="348"/>
        <item x="738"/>
        <item x="240"/>
        <item x="277"/>
        <item x="350"/>
        <item x="542"/>
        <item x="70"/>
        <item x="13"/>
        <item x="113"/>
        <item x="180"/>
        <item x="233"/>
        <item x="312"/>
        <item x="512"/>
        <item x="257"/>
        <item x="134"/>
        <item x="688"/>
        <item x="102"/>
        <item x="230"/>
        <item x="687"/>
        <item x="787"/>
        <item x="47"/>
        <item x="631"/>
        <item x="490"/>
        <item x="317"/>
        <item x="616"/>
        <item x="478"/>
        <item x="397"/>
        <item x="197"/>
        <item x="137"/>
        <item x="483"/>
        <item x="45"/>
        <item x="614"/>
        <item x="689"/>
        <item x="576"/>
        <item x="704"/>
        <item x="745"/>
        <item x="538"/>
        <item x="29"/>
        <item x="527"/>
        <item x="20"/>
        <item x="507"/>
        <item x="105"/>
        <item x="701"/>
        <item x="254"/>
        <item x="157"/>
        <item x="266"/>
        <item x="522"/>
        <item x="555"/>
        <item x="463"/>
        <item x="245"/>
        <item x="339"/>
        <item x="720"/>
        <item x="613"/>
        <item x="675"/>
        <item x="682"/>
        <item x="86"/>
        <item x="207"/>
        <item x="694"/>
        <item x="579"/>
        <item x="520"/>
        <item x="638"/>
        <item x="470"/>
        <item x="506"/>
        <item x="655"/>
        <item x="609"/>
        <item x="552"/>
        <item x="53"/>
        <item x="769"/>
        <item x="605"/>
        <item x="679"/>
        <item x="8"/>
        <item x="784"/>
        <item x="229"/>
        <item x="383"/>
        <item x="31"/>
        <item x="0"/>
        <item x="153"/>
        <item x="546"/>
        <item x="603"/>
        <item x="524"/>
        <item x="256"/>
        <item x="480"/>
        <item x="88"/>
        <item x="35"/>
        <item x="283"/>
        <item x="195"/>
        <item x="68"/>
        <item x="735"/>
        <item x="337"/>
        <item x="340"/>
        <item x="643"/>
        <item x="400"/>
        <item x="12"/>
        <item x="465"/>
        <item x="367"/>
        <item x="575"/>
        <item x="22"/>
        <item x="269"/>
        <item x="364"/>
        <item x="307"/>
        <item x="505"/>
        <item x="523"/>
        <item x="151"/>
        <item x="550"/>
        <item x="680"/>
        <item x="501"/>
        <item x="224"/>
        <item x="665"/>
        <item x="747"/>
        <item x="636"/>
        <item x="220"/>
        <item x="416"/>
        <item x="661"/>
        <item x="676"/>
        <item x="622"/>
        <item x="798"/>
        <item x="129"/>
        <item x="627"/>
        <item x="466"/>
        <item x="755"/>
        <item x="59"/>
        <item x="1"/>
        <item x="358"/>
        <item x="133"/>
        <item x="453"/>
        <item x="604"/>
        <item x="521"/>
        <item x="484"/>
        <item x="222"/>
        <item x="494"/>
        <item x="95"/>
        <item x="565"/>
        <item x="659"/>
        <item x="804"/>
        <item x="681"/>
        <item x="730"/>
        <item x="534"/>
        <item x="589"/>
        <item x="777"/>
        <item x="793"/>
        <item x="158"/>
        <item x="150"/>
        <item x="556"/>
        <item x="437"/>
        <item x="334"/>
        <item x="373"/>
        <item x="217"/>
        <item x="353"/>
        <item x="639"/>
        <item x="545"/>
        <item x="611"/>
        <item x="34"/>
        <item x="597"/>
        <item x="768"/>
        <item x="265"/>
        <item x="308"/>
        <item x="297"/>
        <item x="618"/>
        <item x="449"/>
        <item x="114"/>
        <item x="162"/>
        <item x="653"/>
        <item x="343"/>
        <item x="672"/>
        <item x="529"/>
        <item x="280"/>
        <item x="379"/>
        <item x="734"/>
        <item x="301"/>
        <item x="174"/>
        <item x="456"/>
        <item x="420"/>
        <item x="305"/>
        <item x="160"/>
        <item x="460"/>
        <item x="327"/>
        <item x="61"/>
        <item x="557"/>
        <item x="696"/>
        <item x="44"/>
        <item x="514"/>
        <item x="210"/>
        <item x="121"/>
        <item x="411"/>
        <item x="19"/>
        <item x="182"/>
        <item x="646"/>
        <item x="502"/>
        <item x="365"/>
        <item x="783"/>
        <item x="503"/>
        <item x="649"/>
        <item x="106"/>
        <item x="57"/>
        <item x="392"/>
        <item x="184"/>
        <item x="179"/>
        <item x="690"/>
        <item x="72"/>
        <item x="360"/>
        <item x="49"/>
        <item x="290"/>
        <item x="261"/>
        <item x="559"/>
        <item x="780"/>
        <item x="125"/>
        <item x="381"/>
        <item x="572"/>
        <item x="669"/>
        <item x="712"/>
        <item x="156"/>
        <item x="666"/>
        <item x="270"/>
        <item x="264"/>
        <item x="467"/>
        <item x="286"/>
        <item x="393"/>
        <item x="96"/>
        <item x="415"/>
        <item x="316"/>
        <item x="596"/>
        <item x="139"/>
        <item x="412"/>
        <item x="510"/>
        <item x="295"/>
        <item x="814"/>
        <item x="123"/>
        <item x="370"/>
        <item x="446"/>
        <item x="693"/>
        <item x="208"/>
        <item x="426"/>
        <item x="492"/>
        <item x="457"/>
        <item x="778"/>
        <item x="50"/>
        <item x="749"/>
        <item x="421"/>
        <item x="451"/>
        <item x="794"/>
        <item x="171"/>
        <item x="54"/>
        <item x="289"/>
        <item x="410"/>
        <item x="569"/>
        <item x="385"/>
        <item x="792"/>
        <item x="574"/>
        <item x="17"/>
        <item x="200"/>
        <item x="11"/>
        <item x="515"/>
        <item x="26"/>
        <item x="349"/>
        <item x="758"/>
        <item x="477"/>
        <item x="650"/>
        <item x="500"/>
        <item x="800"/>
        <item x="83"/>
        <item x="713"/>
        <item x="87"/>
        <item x="727"/>
        <item x="227"/>
        <item x="705"/>
        <item x="518"/>
        <item x="260"/>
        <item x="110"/>
        <item x="668"/>
        <item x="417"/>
        <item x="593"/>
        <item x="407"/>
        <item x="418"/>
        <item x="394"/>
        <item x="628"/>
        <item x="481"/>
        <item x="169"/>
        <item x="194"/>
        <item x="292"/>
        <item x="462"/>
        <item x="496"/>
        <item x="581"/>
        <item x="568"/>
        <item x="372"/>
        <item x="799"/>
        <item x="474"/>
        <item x="148"/>
        <item x="40"/>
        <item x="736"/>
        <item x="573"/>
        <item x="796"/>
        <item x="751"/>
        <item x="357"/>
        <item x="600"/>
        <item x="488"/>
        <item x="771"/>
        <item x="594"/>
        <item x="38"/>
        <item x="124"/>
        <item x="250"/>
        <item x="236"/>
        <item x="779"/>
        <item x="2"/>
        <item x="94"/>
        <item x="135"/>
        <item x="109"/>
        <item x="406"/>
        <item x="118"/>
        <item x="486"/>
        <item x="742"/>
        <item x="776"/>
        <item x="377"/>
        <item x="731"/>
        <item x="711"/>
        <item x="562"/>
        <item x="258"/>
        <item x="629"/>
        <item x="111"/>
        <item x="748"/>
        <item x="578"/>
        <item x="336"/>
        <item x="252"/>
        <item x="405"/>
        <item x="359"/>
        <item x="495"/>
        <item x="71"/>
        <item x="441"/>
        <item x="670"/>
        <item x="248"/>
        <item x="352"/>
        <item x="450"/>
        <item x="234"/>
        <item x="709"/>
        <item x="319"/>
        <item x="497"/>
        <item x="602"/>
        <item x="103"/>
        <item x="577"/>
        <item x="203"/>
        <item x="147"/>
        <item x="136"/>
        <item x="188"/>
        <item x="640"/>
        <item x="82"/>
        <item x="120"/>
        <item x="795"/>
        <item x="212"/>
        <item x="587"/>
        <item x="149"/>
        <item x="302"/>
        <item x="475"/>
        <item x="439"/>
        <item x="314"/>
        <item x="419"/>
        <item x="610"/>
        <item x="16"/>
        <item x="193"/>
        <item x="468"/>
        <item x="216"/>
        <item x="790"/>
        <item x="159"/>
        <item x="402"/>
        <item x="739"/>
        <item x="479"/>
        <item x="28"/>
        <item x="447"/>
        <item x="744"/>
        <item x="185"/>
        <item x="513"/>
        <item x="382"/>
        <item x="75"/>
        <item x="221"/>
        <item x="716"/>
        <item x="346"/>
        <item x="530"/>
        <item x="724"/>
        <item x="73"/>
        <item x="493"/>
        <item x="805"/>
        <item x="509"/>
        <item x="752"/>
        <item x="498"/>
        <item x="430"/>
        <item x="710"/>
        <item x="775"/>
        <item x="310"/>
        <item x="108"/>
        <item x="537"/>
        <item x="228"/>
        <item x="36"/>
        <item x="225"/>
        <item x="554"/>
        <item x="165"/>
        <item x="561"/>
        <item x="440"/>
        <item x="249"/>
        <item x="14"/>
        <item x="255"/>
        <item x="65"/>
        <item x="201"/>
        <item x="69"/>
        <item x="429"/>
        <item x="284"/>
        <item x="683"/>
        <item x="318"/>
        <item x="401"/>
        <item x="802"/>
        <item x="5"/>
        <item x="91"/>
        <item x="395"/>
        <item x="624"/>
        <item x="326"/>
        <item x="642"/>
        <item x="504"/>
        <item x="432"/>
        <item x="272"/>
        <item x="404"/>
        <item x="368"/>
        <item x="77"/>
        <item x="517"/>
        <item x="303"/>
        <item x="25"/>
        <item x="491"/>
        <item x="238"/>
        <item x="306"/>
        <item x="553"/>
        <item x="756"/>
        <item x="452"/>
        <item x="803"/>
        <item x="138"/>
        <item x="588"/>
        <item x="621"/>
        <item x="423"/>
        <item x="791"/>
        <item x="163"/>
        <item x="51"/>
        <item x="733"/>
        <item x="27"/>
        <item x="499"/>
        <item x="140"/>
        <item x="100"/>
        <item x="219"/>
        <item x="67"/>
        <item x="489"/>
        <item x="145"/>
        <item x="273"/>
        <item x="570"/>
        <item x="66"/>
        <item x="126"/>
        <item x="253"/>
        <item x="698"/>
        <item x="708"/>
        <item x="544"/>
        <item x="715"/>
        <item x="173"/>
        <item x="815"/>
        <item t="default"/>
      </items>
    </pivotField>
    <pivotField showAll="0">
      <items count="7">
        <item x="0"/>
        <item x="4"/>
        <item x="1"/>
        <item x="3"/>
        <item x="2"/>
        <item x="5"/>
        <item t="default"/>
      </items>
    </pivotField>
    <pivotField axis="axisRow" showAll="0" sortType="ascending">
      <items count="7">
        <item x="1"/>
        <item x="4"/>
        <item x="2"/>
        <item x="0"/>
        <item x="3"/>
        <item x="5"/>
        <item t="default"/>
      </items>
      <autoSortScope>
        <pivotArea dataOnly="0" outline="0" fieldPosition="0">
          <references count="1">
            <reference field="4294967294" count="1" selected="0">
              <x v="0"/>
            </reference>
          </references>
        </pivotArea>
      </autoSortScope>
    </pivotField>
    <pivotField showAll="0"/>
    <pivotField showAll="0"/>
    <pivotField showAll="0">
      <items count="8">
        <item x="4"/>
        <item x="1"/>
        <item x="2"/>
        <item x="3"/>
        <item x="5"/>
        <item x="0"/>
        <item x="6"/>
        <item t="default"/>
      </items>
    </pivotField>
    <pivotField showAll="0"/>
    <pivotField showAll="0"/>
    <pivotField showAll="0"/>
    <pivotField showAll="0"/>
    <pivotField dataField="1" showAll="0">
      <items count="1998">
        <item x="1277"/>
        <item x="1402"/>
        <item x="1767"/>
        <item x="1135"/>
        <item x="1293"/>
        <item x="1621"/>
        <item x="1289"/>
        <item x="584"/>
        <item x="843"/>
        <item x="1553"/>
        <item x="1009"/>
        <item x="1183"/>
        <item x="1529"/>
        <item x="1335"/>
        <item x="839"/>
        <item x="902"/>
        <item x="1366"/>
        <item x="1155"/>
        <item x="999"/>
        <item x="1658"/>
        <item x="1003"/>
        <item x="795"/>
        <item x="1338"/>
        <item x="1023"/>
        <item x="1761"/>
        <item x="397"/>
        <item x="490"/>
        <item x="1353"/>
        <item x="1760"/>
        <item x="732"/>
        <item x="1559"/>
        <item x="1558"/>
        <item x="1958"/>
        <item x="1790"/>
        <item x="38"/>
        <item x="1318"/>
        <item x="395"/>
        <item x="1645"/>
        <item x="1806"/>
        <item x="463"/>
        <item x="674"/>
        <item x="1911"/>
        <item x="1831"/>
        <item x="135"/>
        <item x="888"/>
        <item x="1814"/>
        <item x="957"/>
        <item x="906"/>
        <item x="603"/>
        <item x="1285"/>
        <item x="296"/>
        <item x="941"/>
        <item x="438"/>
        <item x="338"/>
        <item x="1794"/>
        <item x="1208"/>
        <item x="1401"/>
        <item x="1495"/>
        <item x="1048"/>
        <item x="780"/>
        <item x="1936"/>
        <item x="1326"/>
        <item x="1213"/>
        <item x="1481"/>
        <item x="908"/>
        <item x="1525"/>
        <item x="622"/>
        <item x="92"/>
        <item x="947"/>
        <item x="1051"/>
        <item x="1083"/>
        <item x="195"/>
        <item x="1903"/>
        <item x="1805"/>
        <item x="1876"/>
        <item x="1772"/>
        <item x="716"/>
        <item x="1912"/>
        <item x="1848"/>
        <item x="1440"/>
        <item x="726"/>
        <item x="813"/>
        <item x="1633"/>
        <item x="74"/>
        <item x="945"/>
        <item x="482"/>
        <item x="1512"/>
        <item x="489"/>
        <item x="1898"/>
        <item x="1394"/>
        <item x="1571"/>
        <item x="378"/>
        <item x="1554"/>
        <item x="1604"/>
        <item x="465"/>
        <item x="1681"/>
        <item x="54"/>
        <item x="694"/>
        <item x="1916"/>
        <item x="1004"/>
        <item x="1098"/>
        <item x="1169"/>
        <item x="1960"/>
        <item x="1105"/>
        <item x="196"/>
        <item x="1059"/>
        <item x="1242"/>
        <item x="516"/>
        <item x="319"/>
        <item x="301"/>
        <item x="842"/>
        <item x="1445"/>
        <item x="253"/>
        <item x="531"/>
        <item x="435"/>
        <item x="1603"/>
        <item x="1241"/>
        <item x="1808"/>
        <item x="766"/>
        <item x="708"/>
        <item x="569"/>
        <item x="517"/>
        <item x="178"/>
        <item x="961"/>
        <item x="94"/>
        <item x="659"/>
        <item x="1592"/>
        <item x="1165"/>
        <item x="1081"/>
        <item x="290"/>
        <item x="1651"/>
        <item x="721"/>
        <item x="331"/>
        <item x="298"/>
        <item x="663"/>
        <item x="1239"/>
        <item x="1892"/>
        <item x="769"/>
        <item x="854"/>
        <item x="581"/>
        <item x="1421"/>
        <item x="1677"/>
        <item x="914"/>
        <item x="1390"/>
        <item x="598"/>
        <item x="1798"/>
        <item x="1861"/>
        <item x="184"/>
        <item x="538"/>
        <item x="68"/>
        <item x="1938"/>
        <item x="960"/>
        <item x="1443"/>
        <item x="285"/>
        <item x="631"/>
        <item x="1327"/>
        <item x="548"/>
        <item x="652"/>
        <item x="1146"/>
        <item x="1756"/>
        <item x="1172"/>
        <item x="684"/>
        <item x="512"/>
        <item x="705"/>
        <item x="1860"/>
        <item x="1610"/>
        <item x="926"/>
        <item x="1175"/>
        <item x="958"/>
        <item x="1039"/>
        <item x="1575"/>
        <item x="1758"/>
        <item x="1869"/>
        <item x="155"/>
        <item x="1441"/>
        <item x="972"/>
        <item x="61"/>
        <item x="1507"/>
        <item x="1769"/>
        <item x="129"/>
        <item x="648"/>
        <item x="138"/>
        <item x="343"/>
        <item x="1139"/>
        <item x="1010"/>
        <item x="1754"/>
        <item x="1118"/>
        <item x="537"/>
        <item x="549"/>
        <item x="1474"/>
        <item x="1479"/>
        <item x="1773"/>
        <item x="78"/>
        <item x="1868"/>
        <item x="1795"/>
        <item x="1923"/>
        <item x="660"/>
        <item x="597"/>
        <item x="920"/>
        <item x="1649"/>
        <item x="1074"/>
        <item x="5"/>
        <item x="141"/>
        <item x="783"/>
        <item x="558"/>
        <item x="1446"/>
        <item x="509"/>
        <item x="41"/>
        <item x="411"/>
        <item x="613"/>
        <item x="302"/>
        <item x="59"/>
        <item x="889"/>
        <item x="849"/>
        <item x="989"/>
        <item x="1211"/>
        <item x="1973"/>
        <item x="1236"/>
        <item x="1820"/>
        <item x="185"/>
        <item x="858"/>
        <item x="211"/>
        <item x="1895"/>
        <item x="1476"/>
        <item x="1585"/>
        <item x="216"/>
        <item x="3"/>
        <item x="309"/>
        <item x="639"/>
        <item x="845"/>
        <item x="990"/>
        <item x="1855"/>
        <item x="1593"/>
        <item x="873"/>
        <item x="1046"/>
        <item x="1832"/>
        <item x="1536"/>
        <item x="351"/>
        <item x="1462"/>
        <item x="1724"/>
        <item x="1904"/>
        <item x="976"/>
        <item x="479"/>
        <item x="1854"/>
        <item x="352"/>
        <item x="805"/>
        <item x="1352"/>
        <item x="446"/>
        <item x="1885"/>
        <item x="478"/>
        <item x="980"/>
        <item x="767"/>
        <item x="160"/>
        <item x="1349"/>
        <item x="1792"/>
        <item x="1393"/>
        <item x="107"/>
        <item x="713"/>
        <item x="389"/>
        <item x="109"/>
        <item x="506"/>
        <item x="697"/>
        <item x="443"/>
        <item x="80"/>
        <item x="1626"/>
        <item x="233"/>
        <item x="1725"/>
        <item x="287"/>
        <item x="1147"/>
        <item x="1875"/>
        <item x="1947"/>
        <item x="153"/>
        <item x="1933"/>
        <item x="1308"/>
        <item x="1970"/>
        <item x="755"/>
        <item x="273"/>
        <item x="267"/>
        <item x="616"/>
        <item x="1565"/>
        <item x="753"/>
        <item x="1022"/>
        <item x="808"/>
        <item x="385"/>
        <item x="152"/>
        <item x="656"/>
        <item x="1332"/>
        <item x="288"/>
        <item x="158"/>
        <item x="690"/>
        <item x="1668"/>
        <item x="725"/>
        <item x="1665"/>
        <item x="954"/>
        <item x="1320"/>
        <item x="37"/>
        <item x="481"/>
        <item x="470"/>
        <item x="1622"/>
        <item x="475"/>
        <item x="1303"/>
        <item x="566"/>
        <item x="1206"/>
        <item x="526"/>
        <item x="704"/>
        <item x="642"/>
        <item x="1109"/>
        <item x="1941"/>
        <item x="1800"/>
        <item x="370"/>
        <item x="93"/>
        <item x="1796"/>
        <item x="89"/>
        <item x="1439"/>
        <item x="50"/>
        <item x="955"/>
        <item x="1385"/>
        <item x="282"/>
        <item x="87"/>
        <item x="223"/>
        <item x="635"/>
        <item x="629"/>
        <item x="1695"/>
        <item x="897"/>
        <item x="1434"/>
        <item x="655"/>
        <item x="1468"/>
        <item x="763"/>
        <item x="1026"/>
        <item x="63"/>
        <item x="1883"/>
        <item x="1762"/>
        <item x="796"/>
        <item x="77"/>
        <item x="1844"/>
        <item x="33"/>
        <item x="39"/>
        <item x="1253"/>
        <item x="451"/>
        <item x="685"/>
        <item x="191"/>
        <item x="1627"/>
        <item x="879"/>
        <item x="48"/>
        <item x="1340"/>
        <item x="122"/>
        <item x="988"/>
        <item x="1663"/>
        <item x="1313"/>
        <item x="1075"/>
        <item x="108"/>
        <item x="1071"/>
        <item x="1049"/>
        <item x="1542"/>
        <item x="86"/>
        <item x="1417"/>
        <item x="1237"/>
        <item x="433"/>
        <item x="840"/>
        <item x="217"/>
        <item x="779"/>
        <item x="862"/>
        <item x="1413"/>
        <item x="1324"/>
        <item x="150"/>
        <item x="1312"/>
        <item x="362"/>
        <item x="1511"/>
        <item x="1867"/>
        <item x="1920"/>
        <item x="168"/>
        <item x="75"/>
        <item x="145"/>
        <item x="799"/>
        <item x="760"/>
        <item x="1523"/>
        <item x="1224"/>
        <item x="499"/>
        <item x="1742"/>
        <item x="1080"/>
        <item x="555"/>
        <item x="1248"/>
        <item x="702"/>
        <item x="1299"/>
        <item x="266"/>
        <item x="626"/>
        <item x="1119"/>
        <item x="1922"/>
        <item x="996"/>
        <item x="1229"/>
        <item x="829"/>
        <item x="175"/>
        <item x="1288"/>
        <item x="1055"/>
        <item x="662"/>
        <item x="865"/>
        <item x="1656"/>
        <item x="1060"/>
        <item x="1951"/>
        <item x="1272"/>
        <item x="1347"/>
        <item x="1546"/>
        <item x="547"/>
        <item x="900"/>
        <item x="1493"/>
        <item x="1939"/>
        <item x="1014"/>
        <item x="1005"/>
        <item x="289"/>
        <item x="1578"/>
        <item x="1711"/>
        <item x="139"/>
        <item x="131"/>
        <item x="1053"/>
        <item x="736"/>
        <item x="508"/>
        <item x="1084"/>
        <item x="1787"/>
        <item x="1675"/>
        <item x="1609"/>
        <item x="356"/>
        <item x="405"/>
        <item x="848"/>
        <item x="515"/>
        <item x="1187"/>
        <item x="1889"/>
        <item x="1263"/>
        <item x="1107"/>
        <item x="1002"/>
        <item x="421"/>
        <item x="1517"/>
        <item x="1812"/>
        <item x="1494"/>
        <item x="1639"/>
        <item x="1768"/>
        <item x="1501"/>
        <item x="637"/>
        <item x="761"/>
        <item x="909"/>
        <item x="1715"/>
        <item x="1729"/>
        <item x="1882"/>
        <item x="1264"/>
        <item x="1827"/>
        <item x="1631"/>
        <item x="1225"/>
        <item x="1082"/>
        <item x="444"/>
        <item x="610"/>
        <item x="1975"/>
        <item x="315"/>
        <item x="602"/>
        <item x="73"/>
        <item x="1594"/>
        <item x="249"/>
        <item x="1858"/>
        <item x="661"/>
        <item x="459"/>
        <item x="1153"/>
        <item x="1125"/>
        <item x="66"/>
        <item x="1151"/>
        <item x="1680"/>
        <item x="1282"/>
        <item x="647"/>
        <item x="893"/>
        <item x="1396"/>
        <item x="1591"/>
        <item x="654"/>
        <item x="1259"/>
        <item x="1062"/>
        <item x="1987"/>
        <item x="1094"/>
        <item x="257"/>
        <item x="1"/>
        <item x="447"/>
        <item x="722"/>
        <item x="1597"/>
        <item x="803"/>
        <item x="921"/>
        <item x="1089"/>
        <item x="169"/>
        <item x="729"/>
        <item x="1646"/>
        <item x="110"/>
        <item x="1971"/>
        <item x="1635"/>
        <item x="1268"/>
        <item x="744"/>
        <item x="1776"/>
        <item x="84"/>
        <item x="1459"/>
        <item x="1423"/>
        <item x="342"/>
        <item x="1516"/>
        <item x="206"/>
        <item x="1520"/>
        <item x="1190"/>
        <item x="106"/>
        <item x="264"/>
        <item x="1539"/>
        <item x="973"/>
        <item x="1142"/>
        <item x="530"/>
        <item x="1661"/>
        <item x="1698"/>
        <item x="148"/>
        <item x="209"/>
        <item x="1079"/>
        <item x="1957"/>
        <item x="1734"/>
        <item x="1451"/>
        <item x="1164"/>
        <item x="369"/>
        <item x="1397"/>
        <item x="241"/>
        <item x="1572"/>
        <item x="119"/>
        <item x="15"/>
        <item x="295"/>
        <item x="833"/>
        <item x="166"/>
        <item x="586"/>
        <item x="632"/>
        <item x="1489"/>
        <item x="1642"/>
        <item x="82"/>
        <item x="1979"/>
        <item x="1233"/>
        <item x="96"/>
        <item x="1785"/>
        <item x="1404"/>
        <item x="69"/>
        <item x="260"/>
        <item x="723"/>
        <item x="9"/>
        <item x="607"/>
        <item x="1721"/>
        <item x="1456"/>
        <item x="146"/>
        <item x="1025"/>
        <item x="1152"/>
        <item x="628"/>
        <item x="856"/>
        <item x="774"/>
        <item x="408"/>
        <item x="886"/>
        <item x="1586"/>
        <item x="360"/>
        <item x="1137"/>
        <item x="1574"/>
        <item x="1764"/>
        <item x="455"/>
        <item x="218"/>
        <item x="643"/>
        <item x="1862"/>
        <item x="4"/>
        <item x="1953"/>
        <item x="1073"/>
        <item x="623"/>
        <item x="1379"/>
        <item x="1659"/>
        <item x="565"/>
        <item x="281"/>
        <item x="703"/>
        <item x="375"/>
        <item x="1614"/>
        <item x="379"/>
        <item x="1879"/>
        <item x="1815"/>
        <item x="1038"/>
        <item x="617"/>
        <item x="1392"/>
        <item x="372"/>
        <item x="815"/>
        <item x="1382"/>
        <item x="787"/>
        <item x="1935"/>
        <item x="532"/>
        <item x="1458"/>
        <item x="819"/>
        <item x="1697"/>
        <item x="916"/>
        <item x="304"/>
        <item x="561"/>
        <item x="1602"/>
        <item x="213"/>
        <item x="994"/>
        <item x="449"/>
        <item x="271"/>
        <item x="366"/>
        <item x="959"/>
        <item x="1070"/>
        <item x="1145"/>
        <item x="272"/>
        <item x="1015"/>
        <item x="382"/>
        <item x="1533"/>
        <item x="870"/>
        <item x="1255"/>
        <item x="1530"/>
        <item x="828"/>
        <item x="467"/>
        <item x="1028"/>
        <item x="1069"/>
        <item x="641"/>
        <item x="1964"/>
        <item x="428"/>
        <item x="1480"/>
        <item x="1128"/>
        <item x="899"/>
        <item x="718"/>
        <item x="332"/>
        <item x="1804"/>
        <item x="1317"/>
        <item x="1167"/>
        <item x="254"/>
        <item x="1425"/>
        <item x="29"/>
        <item x="42"/>
        <item x="922"/>
        <item x="416"/>
        <item x="43"/>
        <item x="1893"/>
        <item x="346"/>
        <item x="745"/>
        <item x="1249"/>
        <item x="1223"/>
        <item x="1178"/>
        <item x="863"/>
        <item x="429"/>
        <item x="601"/>
        <item x="730"/>
        <item x="570"/>
        <item x="528"/>
        <item x="816"/>
        <item x="128"/>
        <item x="519"/>
        <item x="932"/>
        <item x="1435"/>
        <item x="1311"/>
        <item x="1066"/>
        <item x="1748"/>
        <item x="457"/>
        <item x="1027"/>
        <item x="759"/>
        <item x="242"/>
        <item x="688"/>
        <item x="974"/>
        <item x="374"/>
        <item x="1138"/>
        <item x="1133"/>
        <item x="6"/>
        <item x="1608"/>
        <item x="606"/>
        <item x="814"/>
        <item x="381"/>
        <item x="445"/>
        <item x="1587"/>
        <item x="1538"/>
        <item x="354"/>
        <item x="724"/>
        <item x="1779"/>
        <item x="1615"/>
        <item x="868"/>
        <item x="1123"/>
        <item x="1630"/>
        <item x="786"/>
        <item x="1034"/>
        <item x="1788"/>
        <item x="1429"/>
        <item x="1309"/>
        <item x="668"/>
        <item x="232"/>
        <item x="1620"/>
        <item x="326"/>
        <item x="1799"/>
        <item x="1432"/>
        <item x="1946"/>
        <item x="720"/>
        <item x="174"/>
        <item x="224"/>
        <item x="1576"/>
        <item x="1914"/>
        <item x="1956"/>
        <item x="1491"/>
        <item x="1740"/>
        <item x="546"/>
        <item x="1362"/>
        <item x="1943"/>
        <item x="361"/>
        <item x="291"/>
        <item x="1963"/>
        <item x="364"/>
        <item x="757"/>
        <item x="1111"/>
        <item x="1076"/>
        <item x="664"/>
        <item x="1103"/>
        <item x="1984"/>
        <item x="1629"/>
        <item x="1193"/>
        <item x="335"/>
        <item x="1177"/>
        <item x="371"/>
        <item x="907"/>
        <item x="452"/>
        <item x="993"/>
        <item x="1260"/>
        <item x="1716"/>
        <item x="1194"/>
        <item x="1298"/>
        <item x="439"/>
        <item x="1693"/>
        <item x="34"/>
        <item x="469"/>
        <item x="358"/>
        <item x="1418"/>
        <item x="1351"/>
        <item x="1900"/>
        <item x="1983"/>
        <item x="1836"/>
        <item x="670"/>
        <item x="853"/>
        <item x="64"/>
        <item x="1333"/>
        <item x="322"/>
        <item x="771"/>
        <item x="292"/>
        <item x="951"/>
        <item x="758"/>
        <item x="1096"/>
        <item x="822"/>
        <item x="1460"/>
        <item x="181"/>
        <item x="1952"/>
        <item x="1301"/>
        <item x="1367"/>
        <item x="1718"/>
        <item x="1310"/>
        <item x="943"/>
        <item x="1278"/>
        <item x="903"/>
        <item x="104"/>
        <item x="173"/>
        <item x="200"/>
        <item x="391"/>
        <item x="963"/>
        <item x="1562"/>
        <item x="1744"/>
        <item x="992"/>
        <item x="686"/>
        <item x="402"/>
        <item x="2"/>
        <item x="956"/>
        <item x="329"/>
        <item x="741"/>
        <item x="904"/>
        <item x="835"/>
        <item x="1526"/>
        <item x="1688"/>
        <item x="919"/>
        <item x="313"/>
        <item x="247"/>
        <item x="1550"/>
        <item x="18"/>
        <item x="252"/>
        <item x="1339"/>
        <item x="1115"/>
        <item x="1884"/>
        <item x="1819"/>
        <item x="1157"/>
        <item x="1430"/>
        <item x="1919"/>
        <item x="825"/>
        <item x="1932"/>
        <item x="1991"/>
        <item x="144"/>
        <item x="1364"/>
        <item x="1314"/>
        <item x="595"/>
        <item x="1825"/>
        <item x="422"/>
        <item x="646"/>
        <item x="711"/>
        <item x="1771"/>
        <item x="1976"/>
        <item x="1215"/>
        <item x="1878"/>
        <item x="500"/>
        <item x="1730"/>
        <item x="1980"/>
        <item x="350"/>
        <item x="812"/>
        <item x="1219"/>
        <item x="1774"/>
        <item x="1813"/>
        <item x="1686"/>
        <item x="1986"/>
        <item x="1647"/>
        <item x="1013"/>
        <item x="717"/>
        <item x="1127"/>
        <item x="1371"/>
        <item x="1780"/>
        <item x="734"/>
        <item x="1710"/>
        <item x="1331"/>
        <item x="1230"/>
        <item x="1778"/>
        <item x="460"/>
        <item x="1532"/>
        <item x="1470"/>
        <item x="585"/>
        <item x="1475"/>
        <item x="739"/>
        <item x="1880"/>
        <item x="1824"/>
        <item x="522"/>
        <item x="574"/>
        <item x="1700"/>
        <item x="594"/>
        <item x="1498"/>
        <item x="671"/>
        <item x="1636"/>
        <item x="1290"/>
        <item x="1547"/>
        <item x="832"/>
        <item x="1398"/>
        <item x="1692"/>
        <item x="496"/>
        <item x="488"/>
        <item x="278"/>
        <item x="1162"/>
        <item x="1690"/>
        <item x="1845"/>
        <item x="605"/>
        <item x="1144"/>
        <item x="276"/>
        <item x="1159"/>
        <item x="393"/>
        <item x="557"/>
        <item x="1531"/>
        <item x="846"/>
        <item x="1596"/>
        <item x="504"/>
        <item x="56"/>
        <item x="634"/>
        <item x="912"/>
        <item x="1325"/>
        <item x="170"/>
        <item x="770"/>
        <item x="324"/>
        <item x="1199"/>
        <item x="1733"/>
        <item x="1840"/>
        <item x="773"/>
        <item x="186"/>
        <item x="905"/>
        <item x="1857"/>
        <item x="1150"/>
        <item x="228"/>
        <item x="883"/>
        <item x="918"/>
        <item x="461"/>
        <item x="406"/>
        <item x="1685"/>
        <item x="1502"/>
        <item x="1251"/>
        <item x="1090"/>
        <item x="401"/>
        <item x="159"/>
        <item x="1846"/>
        <item x="1926"/>
        <item x="640"/>
        <item x="666"/>
        <item x="1974"/>
        <item x="553"/>
        <item x="219"/>
        <item x="1323"/>
        <item x="1063"/>
        <item x="1466"/>
        <item x="70"/>
        <item x="1865"/>
        <item x="485"/>
        <item x="311"/>
        <item x="120"/>
        <item x="939"/>
        <item x="1704"/>
        <item x="23"/>
        <item x="1847"/>
        <item x="1653"/>
        <item x="831"/>
        <item x="387"/>
        <item x="229"/>
        <item x="1465"/>
        <item x="1141"/>
        <item x="1535"/>
        <item x="1679"/>
        <item x="1568"/>
        <item x="468"/>
        <item x="118"/>
        <item x="215"/>
        <item x="1870"/>
        <item x="1287"/>
        <item x="425"/>
        <item x="1361"/>
        <item x="1966"/>
        <item x="156"/>
        <item x="788"/>
        <item x="1822"/>
        <item x="349"/>
        <item x="1555"/>
        <item x="1054"/>
        <item x="872"/>
        <item x="1360"/>
        <item x="1485"/>
        <item x="1887"/>
        <item x="1942"/>
        <item x="1273"/>
        <item x="1751"/>
        <item x="1871"/>
        <item x="1204"/>
        <item x="1419"/>
        <item x="1849"/>
        <item x="79"/>
        <item x="1008"/>
        <item x="1487"/>
        <item x="456"/>
        <item x="203"/>
        <item x="222"/>
        <item x="1484"/>
        <item x="448"/>
        <item x="1359"/>
        <item x="1368"/>
        <item x="885"/>
        <item x="49"/>
        <item x="1623"/>
        <item x="1428"/>
        <item x="1186"/>
        <item x="1281"/>
        <item x="1306"/>
        <item x="1628"/>
        <item x="1297"/>
        <item x="1720"/>
        <item x="114"/>
        <item x="1000"/>
        <item x="785"/>
        <item x="417"/>
        <item x="183"/>
        <item x="345"/>
        <item x="1842"/>
        <item x="777"/>
        <item x="474"/>
        <item x="949"/>
        <item x="353"/>
        <item x="1405"/>
        <item x="615"/>
        <item x="259"/>
        <item x="1117"/>
        <item x="850"/>
        <item x="1802"/>
        <item x="1032"/>
        <item x="1129"/>
        <item x="1606"/>
        <item x="365"/>
        <item x="53"/>
        <item x="1972"/>
        <item x="1669"/>
        <item x="102"/>
        <item x="556"/>
        <item x="1564"/>
        <item x="1641"/>
        <item x="1452"/>
        <item x="464"/>
        <item x="619"/>
        <item x="1982"/>
        <item x="1420"/>
        <item x="1114"/>
        <item x="383"/>
        <item x="970"/>
        <item x="1654"/>
        <item x="1930"/>
        <item x="740"/>
        <item x="1503"/>
        <item x="1843"/>
        <item x="1085"/>
        <item x="591"/>
        <item x="1019"/>
        <item x="503"/>
        <item x="1374"/>
        <item x="1037"/>
        <item x="979"/>
        <item x="357"/>
        <item x="1950"/>
        <item x="1328"/>
        <item x="261"/>
        <item x="376"/>
        <item x="600"/>
        <item x="678"/>
        <item x="1518"/>
        <item x="1545"/>
        <item x="564"/>
        <item x="1583"/>
        <item x="126"/>
        <item x="1358"/>
        <item x="20"/>
        <item x="40"/>
        <item x="1043"/>
        <item x="423"/>
        <item x="134"/>
        <item x="1097"/>
        <item x="583"/>
        <item x="1537"/>
        <item x="310"/>
        <item x="1863"/>
        <item x="545"/>
        <item x="407"/>
        <item x="1400"/>
        <item x="1534"/>
        <item x="1784"/>
        <item x="807"/>
        <item x="1770"/>
        <item x="1897"/>
        <item x="1158"/>
        <item x="982"/>
        <item x="588"/>
        <item x="413"/>
        <item x="1902"/>
        <item x="115"/>
        <item x="1775"/>
        <item x="1818"/>
        <item x="1065"/>
        <item x="701"/>
        <item x="1156"/>
        <item x="22"/>
        <item x="749"/>
        <item x="1969"/>
        <item x="861"/>
        <item x="1006"/>
        <item x="1185"/>
        <item x="1874"/>
        <item x="1276"/>
        <item x="790"/>
        <item x="400"/>
        <item x="1753"/>
        <item x="1189"/>
        <item x="596"/>
        <item x="130"/>
        <item x="1448"/>
        <item x="673"/>
        <item x="1294"/>
        <item x="494"/>
        <item x="1797"/>
        <item x="1171"/>
        <item x="1763"/>
        <item x="1850"/>
        <item x="962"/>
        <item x="913"/>
        <item x="1136"/>
        <item x="1905"/>
        <item x="1830"/>
        <item x="1872"/>
        <item x="1292"/>
        <item x="57"/>
        <item x="179"/>
        <item x="599"/>
        <item x="498"/>
        <item x="297"/>
        <item x="878"/>
        <item x="1130"/>
        <item x="986"/>
        <item x="1203"/>
        <item x="679"/>
        <item x="24"/>
        <item x="1921"/>
        <item x="1638"/>
        <item x="927"/>
        <item x="801"/>
        <item x="1061"/>
        <item x="36"/>
        <item x="7"/>
        <item x="1985"/>
        <item x="898"/>
        <item x="665"/>
        <item x="1101"/>
        <item x="1122"/>
        <item x="1284"/>
        <item x="1726"/>
        <item x="1274"/>
        <item x="1384"/>
        <item x="1093"/>
        <item x="1244"/>
        <item x="1449"/>
        <item x="1406"/>
        <item x="550"/>
        <item x="998"/>
        <item x="672"/>
        <item x="915"/>
        <item x="823"/>
        <item x="1811"/>
        <item x="197"/>
        <item x="437"/>
        <item x="689"/>
        <item x="172"/>
        <item x="1611"/>
        <item x="182"/>
        <item x="590"/>
        <item x="797"/>
        <item x="1581"/>
        <item x="1067"/>
        <item x="944"/>
        <item x="8"/>
        <item x="1810"/>
        <item x="1220"/>
        <item x="751"/>
        <item x="1915"/>
        <item x="1637"/>
        <item x="340"/>
        <item x="424"/>
        <item x="1436"/>
        <item x="1217"/>
        <item x="851"/>
        <item x="1246"/>
        <item x="1222"/>
        <item x="1383"/>
        <item x="573"/>
        <item x="1486"/>
        <item x="714"/>
        <item x="884"/>
        <item x="427"/>
        <item x="782"/>
        <item x="208"/>
        <item x="1356"/>
        <item x="1372"/>
        <item x="436"/>
        <item x="1045"/>
        <item x="72"/>
        <item x="19"/>
        <item x="524"/>
        <item x="1676"/>
        <item x="1828"/>
        <item x="1166"/>
        <item x="682"/>
        <item x="236"/>
        <item x="123"/>
        <item x="1877"/>
        <item x="62"/>
        <item x="44"/>
        <item x="98"/>
        <item x="1750"/>
        <item x="483"/>
        <item x="487"/>
        <item x="1154"/>
        <item x="527"/>
        <item x="347"/>
        <item x="693"/>
        <item x="1380"/>
        <item x="1625"/>
        <item x="1344"/>
        <item x="97"/>
        <item x="1741"/>
        <item x="238"/>
        <item x="26"/>
        <item x="1841"/>
        <item x="226"/>
        <item x="882"/>
        <item x="1322"/>
        <item x="339"/>
        <item x="1407"/>
        <item x="244"/>
        <item x="277"/>
        <item x="948"/>
        <item x="1783"/>
        <item x="928"/>
        <item x="866"/>
        <item x="325"/>
        <item x="743"/>
        <item x="90"/>
        <item x="367"/>
        <item x="31"/>
        <item x="580"/>
        <item x="1454"/>
        <item x="1078"/>
        <item x="431"/>
        <item x="380"/>
        <item x="171"/>
        <item x="1948"/>
        <item x="1092"/>
        <item x="1901"/>
        <item x="398"/>
        <item x="420"/>
        <item x="911"/>
        <item x="1269"/>
        <item x="1977"/>
        <item x="1412"/>
        <item x="1687"/>
        <item x="1389"/>
        <item x="997"/>
        <item x="1234"/>
        <item x="1617"/>
        <item x="125"/>
        <item x="1821"/>
        <item x="1908"/>
        <item x="1447"/>
        <item x="1588"/>
        <item x="1291"/>
        <item x="1095"/>
        <item x="1471"/>
        <item x="327"/>
        <item x="621"/>
        <item x="1243"/>
        <item x="1968"/>
        <item x="1438"/>
        <item x="1738"/>
        <item x="293"/>
        <item x="1188"/>
        <item x="1766"/>
        <item x="1500"/>
        <item x="1021"/>
        <item x="1866"/>
        <item x="17"/>
        <item x="1472"/>
        <item x="1041"/>
        <item x="1086"/>
        <item x="1782"/>
        <item x="633"/>
        <item x="802"/>
        <item x="1488"/>
        <item x="333"/>
        <item x="199"/>
        <item x="1088"/>
        <item x="754"/>
        <item x="394"/>
        <item x="177"/>
        <item x="699"/>
        <item x="149"/>
        <item x="220"/>
        <item x="1427"/>
        <item x="430"/>
        <item x="1995"/>
        <item x="432"/>
        <item x="983"/>
        <item x="323"/>
        <item x="1196"/>
        <item x="513"/>
        <item x="924"/>
        <item x="35"/>
        <item x="1126"/>
        <item x="523"/>
        <item x="1104"/>
        <item x="1829"/>
        <item x="651"/>
        <item x="1050"/>
        <item x="810"/>
        <item x="735"/>
        <item x="552"/>
        <item x="612"/>
        <item x="977"/>
        <item x="1174"/>
        <item x="1809"/>
        <item x="877"/>
        <item x="1618"/>
        <item x="1746"/>
        <item x="567"/>
        <item x="344"/>
        <item x="1426"/>
        <item x="669"/>
        <item x="917"/>
        <item x="1058"/>
        <item x="971"/>
        <item x="859"/>
        <item x="1052"/>
        <item x="312"/>
        <item x="1556"/>
        <item x="1179"/>
        <item x="968"/>
        <item x="953"/>
        <item x="1369"/>
        <item x="486"/>
        <item x="1341"/>
        <item x="1678"/>
        <item x="1705"/>
        <item x="275"/>
        <item x="1524"/>
        <item x="212"/>
        <item x="1650"/>
        <item x="1329"/>
        <item x="1210"/>
        <item x="133"/>
        <item x="966"/>
        <item x="140"/>
        <item x="1544"/>
        <item x="1262"/>
        <item x="1057"/>
        <item x="1691"/>
        <item x="105"/>
        <item x="712"/>
        <item x="1817"/>
        <item x="1514"/>
        <item x="582"/>
        <item x="1121"/>
        <item x="1295"/>
        <item x="1990"/>
        <item x="1777"/>
        <item x="1304"/>
        <item x="99"/>
        <item x="262"/>
        <item x="415"/>
        <item x="1170"/>
        <item x="1540"/>
        <item x="1508"/>
        <item x="1235"/>
        <item x="1184"/>
        <item x="1781"/>
        <item x="458"/>
        <item x="167"/>
        <item x="32"/>
        <item x="1856"/>
        <item x="1342"/>
        <item x="841"/>
        <item x="283"/>
        <item x="1967"/>
        <item x="136"/>
        <item x="1607"/>
        <item x="1031"/>
        <item x="1834"/>
        <item x="857"/>
        <item x="251"/>
        <item x="124"/>
        <item x="1696"/>
        <item x="1801"/>
        <item x="855"/>
        <item x="1515"/>
        <item x="1949"/>
        <item x="306"/>
        <item x="399"/>
        <item x="1937"/>
        <item x="392"/>
        <item x="101"/>
        <item x="314"/>
        <item x="198"/>
        <item x="706"/>
        <item x="151"/>
        <item x="1910"/>
        <item x="1894"/>
        <item x="1363"/>
        <item x="715"/>
        <item x="1238"/>
        <item x="409"/>
        <item x="975"/>
        <item x="1670"/>
        <item x="1682"/>
        <item x="359"/>
        <item x="1091"/>
        <item x="1345"/>
        <item x="188"/>
        <item x="1365"/>
        <item x="952"/>
        <item x="1416"/>
        <item x="305"/>
        <item x="1469"/>
        <item x="317"/>
        <item x="827"/>
        <item x="1047"/>
        <item x="1482"/>
        <item x="1965"/>
        <item x="91"/>
        <item x="625"/>
        <item x="27"/>
        <item x="234"/>
        <item x="1478"/>
        <item x="1694"/>
        <item x="1132"/>
        <item x="1837"/>
        <item x="1198"/>
        <item x="142"/>
        <item x="1793"/>
        <item x="1579"/>
        <item x="1803"/>
        <item x="1909"/>
        <item x="636"/>
        <item x="410"/>
        <item x="112"/>
        <item x="709"/>
        <item x="368"/>
        <item x="604"/>
        <item x="165"/>
        <item x="147"/>
        <item x="1410"/>
        <item x="318"/>
        <item x="608"/>
        <item x="1634"/>
        <item x="274"/>
        <item x="67"/>
        <item x="1020"/>
        <item x="1346"/>
        <item x="1791"/>
        <item x="750"/>
        <item x="466"/>
        <item x="316"/>
        <item x="300"/>
        <item x="1989"/>
        <item x="1931"/>
        <item x="683"/>
        <item x="1672"/>
        <item x="1148"/>
        <item x="1321"/>
        <item x="1702"/>
        <item x="1386"/>
        <item x="534"/>
        <item x="1648"/>
        <item x="237"/>
        <item x="1655"/>
        <item x="578"/>
        <item x="1387"/>
        <item x="1232"/>
        <item x="462"/>
        <item x="871"/>
        <item x="1209"/>
        <item x="100"/>
        <item x="510"/>
        <item x="1336"/>
        <item x="1218"/>
        <item x="279"/>
        <item x="1280"/>
        <item x="45"/>
        <item x="844"/>
        <item x="1035"/>
        <item x="1207"/>
        <item x="875"/>
        <item x="1227"/>
        <item x="303"/>
        <item x="543"/>
        <item x="1216"/>
        <item x="542"/>
        <item x="476"/>
        <item x="1701"/>
        <item x="453"/>
        <item x="937"/>
        <item x="1044"/>
        <item x="1835"/>
        <item x="221"/>
        <item x="1181"/>
        <item x="192"/>
        <item x="834"/>
        <item x="14"/>
        <item x="1838"/>
        <item x="772"/>
        <item x="1567"/>
        <item x="1001"/>
        <item x="778"/>
        <item x="502"/>
        <item x="1707"/>
        <item x="1839"/>
        <item x="255"/>
        <item x="1226"/>
        <item x="645"/>
        <item x="657"/>
        <item x="1191"/>
        <item x="1422"/>
        <item x="824"/>
        <item x="1667"/>
        <item x="933"/>
        <item x="579"/>
        <item x="450"/>
        <item x="1033"/>
        <item x="1433"/>
        <item x="806"/>
        <item x="492"/>
        <item x="1717"/>
        <item x="1370"/>
        <item x="21"/>
        <item x="1200"/>
        <item x="1072"/>
        <item x="25"/>
        <item x="1731"/>
        <item x="1375"/>
        <item x="1743"/>
        <item x="1671"/>
        <item x="472"/>
        <item x="887"/>
        <item x="710"/>
        <item x="484"/>
        <item x="1376"/>
        <item x="1727"/>
        <item x="1640"/>
        <item x="154"/>
        <item x="1823"/>
        <item x="47"/>
        <item x="176"/>
        <item x="1662"/>
        <item x="58"/>
        <item x="1722"/>
        <item x="987"/>
        <item x="1978"/>
        <item x="1334"/>
        <item x="1527"/>
        <item x="113"/>
        <item x="164"/>
        <item x="533"/>
        <item x="1929"/>
        <item x="1271"/>
        <item x="609"/>
        <item x="614"/>
        <item x="454"/>
        <item x="936"/>
        <item x="965"/>
        <item x="1240"/>
        <item x="1036"/>
        <item x="1864"/>
        <item x="1543"/>
        <item x="163"/>
        <item x="1712"/>
        <item x="981"/>
        <item x="103"/>
        <item x="1616"/>
        <item x="1577"/>
        <item x="1549"/>
        <item x="341"/>
        <item x="1590"/>
        <item x="707"/>
        <item x="1373"/>
        <item x="1689"/>
        <item x="284"/>
        <item x="1580"/>
        <item x="1907"/>
        <item x="214"/>
        <item x="942"/>
        <item x="676"/>
        <item x="1100"/>
        <item x="442"/>
        <item x="1706"/>
        <item x="1890"/>
        <item x="792"/>
        <item x="733"/>
        <item x="511"/>
        <item x="946"/>
        <item x="1988"/>
        <item x="1714"/>
        <item x="308"/>
        <item x="1992"/>
        <item x="1632"/>
        <item x="1106"/>
        <item x="1736"/>
        <item x="1258"/>
        <item x="121"/>
        <item x="1506"/>
        <item x="1120"/>
        <item x="1657"/>
        <item x="620"/>
        <item x="1108"/>
        <item x="1357"/>
        <item x="874"/>
        <item x="925"/>
        <item x="1316"/>
        <item x="1315"/>
        <item x="728"/>
        <item x="336"/>
        <item x="867"/>
        <item x="1161"/>
        <item x="540"/>
        <item x="969"/>
        <item x="698"/>
        <item x="414"/>
        <item x="1112"/>
        <item x="1723"/>
        <item x="514"/>
        <item x="738"/>
        <item x="1881"/>
        <item x="1673"/>
        <item x="1924"/>
        <item x="1110"/>
        <item x="355"/>
        <item x="337"/>
        <item x="985"/>
        <item x="321"/>
        <item x="1134"/>
        <item x="1786"/>
        <item x="1214"/>
        <item x="776"/>
        <item x="1012"/>
        <item x="491"/>
        <item x="1283"/>
        <item x="280"/>
        <item x="1896"/>
        <item x="1381"/>
        <item x="890"/>
        <item x="1888"/>
        <item x="390"/>
        <item x="477"/>
        <item x="864"/>
        <item x="235"/>
        <item x="521"/>
        <item x="194"/>
        <item x="1195"/>
        <item x="1927"/>
        <item x="1601"/>
        <item x="1521"/>
        <item x="1409"/>
        <item x="695"/>
        <item x="384"/>
        <item x="71"/>
        <item x="1286"/>
        <item x="826"/>
        <item x="11"/>
        <item x="1056"/>
        <item x="1201"/>
        <item x="978"/>
        <item x="201"/>
        <item x="1296"/>
        <item x="0"/>
        <item x="46"/>
        <item x="756"/>
        <item x="441"/>
        <item x="984"/>
        <item x="1739"/>
        <item x="1143"/>
        <item x="1541"/>
        <item x="1116"/>
        <item x="967"/>
        <item x="1403"/>
        <item x="804"/>
        <item x="1231"/>
        <item x="117"/>
        <item x="330"/>
        <item x="576"/>
        <item x="536"/>
        <item x="265"/>
        <item x="1899"/>
        <item x="373"/>
        <item x="1205"/>
        <item x="1959"/>
        <item x="76"/>
        <item x="161"/>
        <item x="1683"/>
        <item x="1728"/>
        <item x="1917"/>
        <item x="880"/>
        <item x="1816"/>
        <item x="307"/>
        <item x="1944"/>
        <item x="250"/>
        <item x="891"/>
        <item x="649"/>
        <item x="1961"/>
        <item x="618"/>
        <item x="1765"/>
        <item x="1599"/>
        <item x="1497"/>
        <item x="137"/>
        <item x="1173"/>
        <item x="256"/>
        <item x="1510"/>
        <item x="520"/>
        <item x="190"/>
        <item x="895"/>
        <item x="811"/>
        <item x="1918"/>
        <item x="497"/>
        <item x="809"/>
        <item x="747"/>
        <item x="1202"/>
        <item x="187"/>
        <item x="1522"/>
        <item x="692"/>
        <item x="627"/>
        <item x="1221"/>
        <item x="1180"/>
        <item x="798"/>
        <item x="929"/>
        <item x="230"/>
        <item x="681"/>
        <item x="950"/>
        <item x="1955"/>
        <item x="495"/>
        <item x="1160"/>
        <item x="940"/>
        <item x="386"/>
        <item x="1552"/>
        <item x="1906"/>
        <item x="1256"/>
        <item x="1087"/>
        <item x="65"/>
        <item x="881"/>
        <item x="404"/>
        <item x="1455"/>
        <item x="748"/>
        <item x="934"/>
        <item x="1789"/>
        <item x="1302"/>
        <item x="820"/>
        <item x="1163"/>
        <item x="412"/>
        <item x="507"/>
        <item x="286"/>
        <item x="1735"/>
        <item x="794"/>
        <item x="852"/>
        <item x="1566"/>
        <item x="1643"/>
        <item x="1457"/>
        <item x="1250"/>
        <item x="1873"/>
        <item x="1305"/>
        <item x="696"/>
        <item x="991"/>
        <item x="638"/>
        <item x="1940"/>
        <item x="1461"/>
        <item x="1355"/>
        <item x="1254"/>
        <item x="1612"/>
        <item x="847"/>
        <item x="525"/>
        <item x="1589"/>
        <item x="544"/>
        <item x="1450"/>
        <item x="793"/>
        <item x="869"/>
        <item x="1064"/>
        <item x="1563"/>
        <item x="1252"/>
        <item x="1040"/>
        <item x="1377"/>
        <item x="551"/>
        <item x="1197"/>
        <item x="1029"/>
        <item x="784"/>
        <item x="1570"/>
        <item x="593"/>
        <item x="1011"/>
        <item x="1257"/>
        <item x="1981"/>
        <item x="1660"/>
        <item x="737"/>
        <item x="493"/>
        <item x="10"/>
        <item x="765"/>
        <item x="1424"/>
        <item x="60"/>
        <item x="611"/>
        <item x="1102"/>
        <item x="575"/>
        <item x="1561"/>
        <item x="644"/>
        <item x="554"/>
        <item x="1934"/>
        <item x="13"/>
        <item x="1891"/>
        <item x="1348"/>
        <item x="83"/>
        <item x="1453"/>
        <item x="258"/>
        <item x="1378"/>
        <item x="1652"/>
        <item x="719"/>
        <item x="388"/>
        <item x="28"/>
        <item x="1954"/>
        <item x="1499"/>
        <item x="1519"/>
        <item x="12"/>
        <item x="1431"/>
        <item x="923"/>
        <item x="691"/>
        <item x="1228"/>
        <item x="938"/>
        <item x="396"/>
        <item x="762"/>
        <item x="85"/>
        <item x="817"/>
        <item x="1483"/>
        <item x="193"/>
        <item x="1600"/>
        <item x="560"/>
        <item x="624"/>
        <item x="1270"/>
        <item x="1113"/>
        <item x="1719"/>
        <item x="896"/>
        <item x="1245"/>
        <item x="1755"/>
        <item x="269"/>
        <item x="535"/>
        <item x="1560"/>
        <item x="111"/>
        <item x="348"/>
        <item x="116"/>
        <item x="995"/>
        <item x="320"/>
        <item x="440"/>
        <item x="1945"/>
        <item x="571"/>
        <item x="143"/>
        <item x="1619"/>
        <item x="1749"/>
        <item x="910"/>
        <item x="1557"/>
        <item x="559"/>
        <item x="687"/>
        <item x="210"/>
        <item x="1077"/>
        <item x="243"/>
        <item x="563"/>
        <item x="1886"/>
        <item x="539"/>
        <item x="1674"/>
        <item x="541"/>
        <item x="1505"/>
        <item x="1266"/>
        <item x="1042"/>
        <item x="1395"/>
        <item x="88"/>
        <item x="789"/>
        <item x="1708"/>
        <item x="1595"/>
        <item x="1388"/>
        <item x="1343"/>
        <item x="1582"/>
        <item x="1737"/>
        <item x="205"/>
        <item x="1149"/>
        <item x="1024"/>
        <item x="1699"/>
        <item x="162"/>
        <item x="1176"/>
        <item x="426"/>
        <item x="328"/>
        <item x="189"/>
        <item x="836"/>
        <item x="231"/>
        <item x="480"/>
        <item x="675"/>
        <item x="501"/>
        <item x="1016"/>
        <item x="132"/>
        <item x="246"/>
        <item x="16"/>
        <item x="1124"/>
        <item x="1684"/>
        <item x="791"/>
        <item x="334"/>
        <item x="204"/>
        <item x="1477"/>
        <item x="1703"/>
        <item x="227"/>
        <item x="1504"/>
        <item x="1664"/>
        <item x="1644"/>
        <item x="1925"/>
        <item x="1261"/>
        <item x="1399"/>
        <item x="930"/>
        <item x="418"/>
        <item x="892"/>
        <item x="1598"/>
        <item x="1759"/>
        <item x="1757"/>
        <item x="837"/>
        <item x="821"/>
        <item x="1099"/>
        <item x="860"/>
        <item x="667"/>
        <item x="1569"/>
        <item x="630"/>
        <item x="1354"/>
        <item x="55"/>
        <item x="658"/>
        <item x="700"/>
        <item x="1492"/>
        <item x="1666"/>
        <item x="746"/>
        <item x="568"/>
        <item x="1548"/>
        <item x="434"/>
        <item x="1490"/>
        <item x="1442"/>
        <item x="1275"/>
        <item x="1319"/>
        <item x="1007"/>
        <item x="577"/>
        <item x="818"/>
        <item x="299"/>
        <item x="768"/>
        <item x="245"/>
        <item x="650"/>
        <item x="1473"/>
        <item x="592"/>
        <item x="1528"/>
        <item x="1624"/>
        <item x="202"/>
        <item x="1833"/>
        <item x="1605"/>
        <item x="775"/>
        <item x="876"/>
        <item x="752"/>
        <item x="935"/>
        <item x="263"/>
        <item x="1853"/>
        <item x="294"/>
        <item x="1168"/>
        <item x="1131"/>
        <item x="1182"/>
        <item x="1300"/>
        <item x="1513"/>
        <item x="800"/>
        <item x="377"/>
        <item x="1463"/>
        <item x="51"/>
        <item x="1265"/>
        <item x="742"/>
        <item x="781"/>
        <item x="1752"/>
        <item x="207"/>
        <item x="1928"/>
        <item x="240"/>
        <item x="30"/>
        <item x="894"/>
        <item x="1709"/>
        <item x="270"/>
        <item x="1030"/>
        <item x="363"/>
        <item x="157"/>
        <item x="1994"/>
        <item x="1913"/>
        <item x="587"/>
        <item x="901"/>
        <item x="1437"/>
        <item x="964"/>
        <item x="1018"/>
        <item x="1068"/>
        <item x="419"/>
        <item x="1826"/>
        <item x="653"/>
        <item x="1851"/>
        <item x="1330"/>
        <item x="1414"/>
        <item x="1350"/>
        <item x="1307"/>
        <item x="1573"/>
        <item x="248"/>
        <item x="1584"/>
        <item x="572"/>
        <item x="1247"/>
        <item x="931"/>
        <item x="1745"/>
        <item x="81"/>
        <item x="1551"/>
        <item x="505"/>
        <item x="180"/>
        <item x="1993"/>
        <item x="589"/>
        <item x="1017"/>
        <item x="268"/>
        <item x="1192"/>
        <item x="471"/>
        <item x="1444"/>
        <item x="830"/>
        <item x="838"/>
        <item x="1962"/>
        <item x="1713"/>
        <item x="52"/>
        <item x="1408"/>
        <item x="518"/>
        <item x="677"/>
        <item x="764"/>
        <item x="1267"/>
        <item x="1415"/>
        <item x="403"/>
        <item x="225"/>
        <item x="1496"/>
        <item x="239"/>
        <item x="95"/>
        <item x="1140"/>
        <item x="1613"/>
        <item x="1852"/>
        <item x="727"/>
        <item x="680"/>
        <item x="562"/>
        <item x="1464"/>
        <item x="529"/>
        <item x="1212"/>
        <item x="1467"/>
        <item x="1509"/>
        <item x="1279"/>
        <item x="1807"/>
        <item x="1391"/>
        <item x="127"/>
        <item x="731"/>
        <item x="1747"/>
        <item x="1859"/>
        <item x="473"/>
        <item x="1337"/>
        <item x="1411"/>
        <item x="1732"/>
        <item x="1996"/>
        <item t="default"/>
      </items>
    </pivotField>
    <pivotField showAll="0" defaultSubtotal="0"/>
    <pivotField showAll="0" defaultSubtotal="0"/>
    <pivotField showAll="0" defaultSubtotal="0">
      <items count="5">
        <item x="0"/>
        <item x="1"/>
        <item x="2"/>
        <item x="3"/>
        <item x="4"/>
      </items>
    </pivotField>
  </pivotFields>
  <rowFields count="1">
    <field x="3"/>
  </rowFields>
  <rowItems count="7">
    <i>
      <x v="4"/>
    </i>
    <i>
      <x v="2"/>
    </i>
    <i>
      <x/>
    </i>
    <i>
      <x v="5"/>
    </i>
    <i>
      <x v="3"/>
    </i>
    <i>
      <x v="1"/>
    </i>
    <i t="grand">
      <x/>
    </i>
  </rowItems>
  <colItems count="1">
    <i/>
  </colItems>
  <dataFields count="1">
    <dataField name="Sum of ActualAmount" fld="11" baseField="0" baseItem="0"/>
  </dataFields>
  <chartFormats count="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BFA3DA-8974-46E9-8116-204B539CCA3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6" firstHeaderRow="1" firstDataRow="1" firstDataCol="1"/>
  <pivotFields count="15">
    <pivotField showAll="0"/>
    <pivotField showAll="0">
      <items count="817">
        <item x="461"/>
        <item x="644"/>
        <item x="516"/>
        <item x="313"/>
        <item x="354"/>
        <item x="390"/>
        <item x="311"/>
        <item x="93"/>
        <item x="166"/>
        <item x="697"/>
        <item x="750"/>
        <item x="214"/>
        <item x="32"/>
        <item x="398"/>
        <item x="155"/>
        <item x="315"/>
        <item x="582"/>
        <item x="356"/>
        <item x="226"/>
        <item x="267"/>
        <item x="209"/>
        <item x="46"/>
        <item x="763"/>
        <item x="18"/>
        <item x="181"/>
        <item x="144"/>
        <item x="322"/>
        <item x="333"/>
        <item x="601"/>
        <item x="760"/>
        <item x="117"/>
        <item x="172"/>
        <item x="363"/>
        <item x="42"/>
        <item x="324"/>
        <item x="684"/>
        <item x="620"/>
        <item x="177"/>
        <item x="175"/>
        <item x="92"/>
        <item x="807"/>
        <item x="369"/>
        <item x="714"/>
        <item x="288"/>
        <item x="366"/>
        <item x="797"/>
        <item x="454"/>
        <item x="782"/>
        <item x="741"/>
        <item x="414"/>
        <item x="332"/>
        <item x="63"/>
        <item x="335"/>
        <item x="703"/>
        <item x="389"/>
        <item x="435"/>
        <item x="268"/>
        <item x="664"/>
        <item x="431"/>
        <item x="458"/>
        <item x="767"/>
        <item x="178"/>
        <item x="732"/>
        <item x="48"/>
        <item x="43"/>
        <item x="76"/>
        <item x="808"/>
        <item x="667"/>
        <item x="170"/>
        <item x="444"/>
        <item x="23"/>
        <item x="528"/>
        <item x="722"/>
        <item x="762"/>
        <item x="213"/>
        <item x="74"/>
        <item x="761"/>
        <item x="785"/>
        <item x="773"/>
        <item x="525"/>
        <item x="540"/>
        <item x="15"/>
        <item x="511"/>
        <item x="658"/>
        <item x="448"/>
        <item x="278"/>
        <item x="24"/>
        <item x="766"/>
        <item x="198"/>
        <item x="757"/>
        <item x="9"/>
        <item x="300"/>
        <item x="251"/>
        <item x="633"/>
        <item x="549"/>
        <item x="585"/>
        <item x="142"/>
        <item x="164"/>
        <item x="143"/>
        <item x="551"/>
        <item x="648"/>
        <item x="691"/>
        <item x="55"/>
        <item x="323"/>
        <item x="558"/>
        <item x="686"/>
        <item x="130"/>
        <item x="737"/>
        <item x="408"/>
        <item x="592"/>
        <item x="294"/>
        <item x="781"/>
        <item x="246"/>
        <item x="571"/>
        <item x="338"/>
        <item x="532"/>
        <item x="657"/>
        <item x="325"/>
        <item x="442"/>
        <item x="215"/>
        <item x="472"/>
        <item x="707"/>
        <item x="671"/>
        <item x="718"/>
        <item x="634"/>
        <item x="539"/>
        <item x="132"/>
        <item x="168"/>
        <item x="425"/>
        <item x="753"/>
        <item x="632"/>
        <item x="754"/>
        <item x="765"/>
        <item x="409"/>
        <item x="131"/>
        <item x="231"/>
        <item x="531"/>
        <item x="651"/>
        <item x="674"/>
        <item x="608"/>
        <item x="729"/>
        <item x="717"/>
        <item x="695"/>
        <item x="242"/>
        <item x="591"/>
        <item x="615"/>
        <item x="641"/>
        <item x="563"/>
        <item x="37"/>
        <item x="812"/>
        <item x="586"/>
        <item x="471"/>
        <item x="376"/>
        <item x="606"/>
        <item x="104"/>
        <item x="438"/>
        <item x="455"/>
        <item x="386"/>
        <item x="699"/>
        <item x="99"/>
        <item x="21"/>
        <item x="321"/>
        <item x="211"/>
        <item x="347"/>
        <item x="223"/>
        <item x="141"/>
        <item x="612"/>
        <item x="274"/>
        <item x="809"/>
        <item x="344"/>
        <item x="206"/>
        <item x="647"/>
        <item x="595"/>
        <item x="599"/>
        <item x="112"/>
        <item x="598"/>
        <item x="584"/>
        <item x="380"/>
        <item x="774"/>
        <item x="541"/>
        <item x="85"/>
        <item x="590"/>
        <item x="560"/>
        <item x="232"/>
        <item x="378"/>
        <item x="4"/>
        <item x="6"/>
        <item x="464"/>
        <item x="623"/>
        <item x="244"/>
        <item x="331"/>
        <item x="128"/>
        <item x="202"/>
        <item x="473"/>
        <item x="205"/>
        <item x="759"/>
        <item x="189"/>
        <item x="806"/>
        <item x="660"/>
        <item x="183"/>
        <item x="719"/>
        <item x="186"/>
        <item x="387"/>
        <item x="424"/>
        <item x="98"/>
        <item x="328"/>
        <item x="391"/>
        <item x="519"/>
        <item x="342"/>
        <item x="725"/>
        <item x="97"/>
        <item x="702"/>
        <item x="62"/>
        <item x="298"/>
        <item x="119"/>
        <item x="625"/>
        <item x="122"/>
        <item x="813"/>
        <item x="536"/>
        <item x="154"/>
        <item x="299"/>
        <item x="60"/>
        <item x="167"/>
        <item x="396"/>
        <item x="403"/>
        <item x="239"/>
        <item x="772"/>
        <item x="443"/>
        <item x="583"/>
        <item x="41"/>
        <item x="677"/>
        <item x="543"/>
        <item x="3"/>
        <item x="533"/>
        <item x="706"/>
        <item x="375"/>
        <item x="291"/>
        <item x="330"/>
        <item x="428"/>
        <item x="361"/>
        <item x="263"/>
        <item x="721"/>
        <item x="90"/>
        <item x="296"/>
        <item x="630"/>
        <item x="64"/>
        <item x="89"/>
        <item x="654"/>
        <item x="726"/>
        <item x="548"/>
        <item x="645"/>
        <item x="237"/>
        <item x="81"/>
        <item x="79"/>
        <item x="469"/>
        <item x="445"/>
        <item x="801"/>
        <item x="482"/>
        <item x="107"/>
        <item x="637"/>
        <item x="535"/>
        <item x="434"/>
        <item x="191"/>
        <item x="287"/>
        <item x="329"/>
        <item x="218"/>
        <item x="746"/>
        <item x="617"/>
        <item x="285"/>
        <item x="384"/>
        <item x="547"/>
        <item x="341"/>
        <item x="281"/>
        <item x="619"/>
        <item x="789"/>
        <item x="320"/>
        <item x="33"/>
        <item x="580"/>
        <item x="52"/>
        <item x="10"/>
        <item x="196"/>
        <item x="152"/>
        <item x="459"/>
        <item x="243"/>
        <item x="607"/>
        <item x="362"/>
        <item x="723"/>
        <item x="187"/>
        <item x="115"/>
        <item x="371"/>
        <item x="427"/>
        <item x="275"/>
        <item x="485"/>
        <item x="811"/>
        <item x="374"/>
        <item x="351"/>
        <item x="259"/>
        <item x="146"/>
        <item x="564"/>
        <item x="436"/>
        <item x="422"/>
        <item x="508"/>
        <item x="656"/>
        <item x="84"/>
        <item x="116"/>
        <item x="740"/>
        <item x="433"/>
        <item x="56"/>
        <item x="199"/>
        <item x="678"/>
        <item x="7"/>
        <item x="78"/>
        <item x="127"/>
        <item x="399"/>
        <item x="567"/>
        <item x="685"/>
        <item x="652"/>
        <item x="80"/>
        <item x="662"/>
        <item x="304"/>
        <item x="204"/>
        <item x="388"/>
        <item x="663"/>
        <item x="673"/>
        <item x="30"/>
        <item x="476"/>
        <item x="235"/>
        <item x="276"/>
        <item x="764"/>
        <item x="487"/>
        <item x="728"/>
        <item x="743"/>
        <item x="176"/>
        <item x="810"/>
        <item x="262"/>
        <item x="190"/>
        <item x="692"/>
        <item x="293"/>
        <item x="526"/>
        <item x="309"/>
        <item x="635"/>
        <item x="626"/>
        <item x="247"/>
        <item x="279"/>
        <item x="788"/>
        <item x="101"/>
        <item x="355"/>
        <item x="700"/>
        <item x="786"/>
        <item x="566"/>
        <item x="58"/>
        <item x="39"/>
        <item x="271"/>
        <item x="413"/>
        <item x="282"/>
        <item x="161"/>
        <item x="770"/>
        <item x="241"/>
        <item x="345"/>
        <item x="192"/>
        <item x="348"/>
        <item x="738"/>
        <item x="240"/>
        <item x="277"/>
        <item x="350"/>
        <item x="542"/>
        <item x="70"/>
        <item x="13"/>
        <item x="113"/>
        <item x="180"/>
        <item x="233"/>
        <item x="312"/>
        <item x="512"/>
        <item x="257"/>
        <item x="134"/>
        <item x="688"/>
        <item x="102"/>
        <item x="230"/>
        <item x="687"/>
        <item x="787"/>
        <item x="47"/>
        <item x="631"/>
        <item x="490"/>
        <item x="317"/>
        <item x="616"/>
        <item x="478"/>
        <item x="397"/>
        <item x="197"/>
        <item x="137"/>
        <item x="483"/>
        <item x="45"/>
        <item x="614"/>
        <item x="689"/>
        <item x="576"/>
        <item x="704"/>
        <item x="745"/>
        <item x="538"/>
        <item x="29"/>
        <item x="527"/>
        <item x="20"/>
        <item x="507"/>
        <item x="105"/>
        <item x="701"/>
        <item x="254"/>
        <item x="157"/>
        <item x="266"/>
        <item x="522"/>
        <item x="555"/>
        <item x="463"/>
        <item x="245"/>
        <item x="339"/>
        <item x="720"/>
        <item x="613"/>
        <item x="675"/>
        <item x="682"/>
        <item x="86"/>
        <item x="207"/>
        <item x="694"/>
        <item x="579"/>
        <item x="520"/>
        <item x="638"/>
        <item x="470"/>
        <item x="506"/>
        <item x="655"/>
        <item x="609"/>
        <item x="552"/>
        <item x="53"/>
        <item x="769"/>
        <item x="605"/>
        <item x="679"/>
        <item x="8"/>
        <item x="784"/>
        <item x="229"/>
        <item x="383"/>
        <item x="31"/>
        <item x="0"/>
        <item x="153"/>
        <item x="546"/>
        <item x="603"/>
        <item x="524"/>
        <item x="256"/>
        <item x="480"/>
        <item x="88"/>
        <item x="35"/>
        <item x="283"/>
        <item x="195"/>
        <item x="68"/>
        <item x="735"/>
        <item x="337"/>
        <item x="340"/>
        <item x="643"/>
        <item x="400"/>
        <item x="12"/>
        <item x="465"/>
        <item x="367"/>
        <item x="575"/>
        <item x="22"/>
        <item x="269"/>
        <item x="364"/>
        <item x="307"/>
        <item x="505"/>
        <item x="523"/>
        <item x="151"/>
        <item x="550"/>
        <item x="680"/>
        <item x="501"/>
        <item x="224"/>
        <item x="665"/>
        <item x="747"/>
        <item x="636"/>
        <item x="220"/>
        <item x="416"/>
        <item x="661"/>
        <item x="676"/>
        <item x="622"/>
        <item x="798"/>
        <item x="129"/>
        <item x="627"/>
        <item x="466"/>
        <item x="755"/>
        <item x="59"/>
        <item x="1"/>
        <item x="358"/>
        <item x="133"/>
        <item x="453"/>
        <item x="604"/>
        <item x="521"/>
        <item x="484"/>
        <item x="222"/>
        <item x="494"/>
        <item x="95"/>
        <item x="565"/>
        <item x="659"/>
        <item x="804"/>
        <item x="681"/>
        <item x="730"/>
        <item x="534"/>
        <item x="589"/>
        <item x="777"/>
        <item x="793"/>
        <item x="158"/>
        <item x="150"/>
        <item x="556"/>
        <item x="437"/>
        <item x="334"/>
        <item x="373"/>
        <item x="217"/>
        <item x="353"/>
        <item x="639"/>
        <item x="545"/>
        <item x="611"/>
        <item x="34"/>
        <item x="597"/>
        <item x="768"/>
        <item x="265"/>
        <item x="308"/>
        <item x="297"/>
        <item x="618"/>
        <item x="449"/>
        <item x="114"/>
        <item x="162"/>
        <item x="653"/>
        <item x="343"/>
        <item x="672"/>
        <item x="529"/>
        <item x="280"/>
        <item x="379"/>
        <item x="734"/>
        <item x="301"/>
        <item x="174"/>
        <item x="456"/>
        <item x="420"/>
        <item x="305"/>
        <item x="160"/>
        <item x="460"/>
        <item x="327"/>
        <item x="61"/>
        <item x="557"/>
        <item x="696"/>
        <item x="44"/>
        <item x="514"/>
        <item x="210"/>
        <item x="121"/>
        <item x="411"/>
        <item x="19"/>
        <item x="182"/>
        <item x="646"/>
        <item x="502"/>
        <item x="365"/>
        <item x="783"/>
        <item x="503"/>
        <item x="649"/>
        <item x="106"/>
        <item x="57"/>
        <item x="392"/>
        <item x="184"/>
        <item x="179"/>
        <item x="690"/>
        <item x="72"/>
        <item x="360"/>
        <item x="49"/>
        <item x="290"/>
        <item x="261"/>
        <item x="559"/>
        <item x="780"/>
        <item x="125"/>
        <item x="381"/>
        <item x="572"/>
        <item x="669"/>
        <item x="712"/>
        <item x="156"/>
        <item x="666"/>
        <item x="270"/>
        <item x="264"/>
        <item x="467"/>
        <item x="286"/>
        <item x="393"/>
        <item x="96"/>
        <item x="415"/>
        <item x="316"/>
        <item x="596"/>
        <item x="139"/>
        <item x="412"/>
        <item x="510"/>
        <item x="295"/>
        <item x="814"/>
        <item x="123"/>
        <item x="370"/>
        <item x="446"/>
        <item x="693"/>
        <item x="208"/>
        <item x="426"/>
        <item x="492"/>
        <item x="457"/>
        <item x="778"/>
        <item x="50"/>
        <item x="749"/>
        <item x="421"/>
        <item x="451"/>
        <item x="794"/>
        <item x="171"/>
        <item x="54"/>
        <item x="289"/>
        <item x="410"/>
        <item x="569"/>
        <item x="385"/>
        <item x="792"/>
        <item x="574"/>
        <item x="17"/>
        <item x="200"/>
        <item x="11"/>
        <item x="515"/>
        <item x="26"/>
        <item x="349"/>
        <item x="758"/>
        <item x="477"/>
        <item x="650"/>
        <item x="500"/>
        <item x="800"/>
        <item x="83"/>
        <item x="713"/>
        <item x="87"/>
        <item x="727"/>
        <item x="227"/>
        <item x="705"/>
        <item x="518"/>
        <item x="260"/>
        <item x="110"/>
        <item x="668"/>
        <item x="417"/>
        <item x="593"/>
        <item x="407"/>
        <item x="418"/>
        <item x="394"/>
        <item x="628"/>
        <item x="481"/>
        <item x="169"/>
        <item x="194"/>
        <item x="292"/>
        <item x="462"/>
        <item x="496"/>
        <item x="581"/>
        <item x="568"/>
        <item x="372"/>
        <item x="799"/>
        <item x="474"/>
        <item x="148"/>
        <item x="40"/>
        <item x="736"/>
        <item x="573"/>
        <item x="796"/>
        <item x="751"/>
        <item x="357"/>
        <item x="600"/>
        <item x="488"/>
        <item x="771"/>
        <item x="594"/>
        <item x="38"/>
        <item x="124"/>
        <item x="250"/>
        <item x="236"/>
        <item x="779"/>
        <item x="2"/>
        <item x="94"/>
        <item x="135"/>
        <item x="109"/>
        <item x="406"/>
        <item x="118"/>
        <item x="486"/>
        <item x="742"/>
        <item x="776"/>
        <item x="377"/>
        <item x="731"/>
        <item x="711"/>
        <item x="562"/>
        <item x="258"/>
        <item x="629"/>
        <item x="111"/>
        <item x="748"/>
        <item x="578"/>
        <item x="336"/>
        <item x="252"/>
        <item x="405"/>
        <item x="359"/>
        <item x="495"/>
        <item x="71"/>
        <item x="441"/>
        <item x="670"/>
        <item x="248"/>
        <item x="352"/>
        <item x="450"/>
        <item x="234"/>
        <item x="709"/>
        <item x="319"/>
        <item x="497"/>
        <item x="602"/>
        <item x="103"/>
        <item x="577"/>
        <item x="203"/>
        <item x="147"/>
        <item x="136"/>
        <item x="188"/>
        <item x="640"/>
        <item x="82"/>
        <item x="120"/>
        <item x="795"/>
        <item x="212"/>
        <item x="587"/>
        <item x="149"/>
        <item x="302"/>
        <item x="475"/>
        <item x="439"/>
        <item x="314"/>
        <item x="419"/>
        <item x="610"/>
        <item x="16"/>
        <item x="193"/>
        <item x="468"/>
        <item x="216"/>
        <item x="790"/>
        <item x="159"/>
        <item x="402"/>
        <item x="739"/>
        <item x="479"/>
        <item x="28"/>
        <item x="447"/>
        <item x="744"/>
        <item x="185"/>
        <item x="513"/>
        <item x="382"/>
        <item x="75"/>
        <item x="221"/>
        <item x="716"/>
        <item x="346"/>
        <item x="530"/>
        <item x="724"/>
        <item x="73"/>
        <item x="493"/>
        <item x="805"/>
        <item x="509"/>
        <item x="752"/>
        <item x="498"/>
        <item x="430"/>
        <item x="710"/>
        <item x="775"/>
        <item x="310"/>
        <item x="108"/>
        <item x="537"/>
        <item x="228"/>
        <item x="36"/>
        <item x="225"/>
        <item x="554"/>
        <item x="165"/>
        <item x="561"/>
        <item x="440"/>
        <item x="249"/>
        <item x="14"/>
        <item x="255"/>
        <item x="65"/>
        <item x="201"/>
        <item x="69"/>
        <item x="429"/>
        <item x="284"/>
        <item x="683"/>
        <item x="318"/>
        <item x="401"/>
        <item x="802"/>
        <item x="5"/>
        <item x="91"/>
        <item x="395"/>
        <item x="624"/>
        <item x="326"/>
        <item x="642"/>
        <item x="504"/>
        <item x="432"/>
        <item x="272"/>
        <item x="404"/>
        <item x="368"/>
        <item x="77"/>
        <item x="517"/>
        <item x="303"/>
        <item x="25"/>
        <item x="491"/>
        <item x="238"/>
        <item x="306"/>
        <item x="553"/>
        <item x="756"/>
        <item x="452"/>
        <item x="803"/>
        <item x="138"/>
        <item x="588"/>
        <item x="621"/>
        <item x="423"/>
        <item x="791"/>
        <item x="163"/>
        <item x="51"/>
        <item x="733"/>
        <item x="27"/>
        <item x="499"/>
        <item x="140"/>
        <item x="100"/>
        <item x="219"/>
        <item x="67"/>
        <item x="489"/>
        <item x="145"/>
        <item x="273"/>
        <item x="570"/>
        <item x="66"/>
        <item x="126"/>
        <item x="253"/>
        <item x="698"/>
        <item x="708"/>
        <item x="544"/>
        <item x="715"/>
        <item x="173"/>
        <item x="815"/>
        <item t="default"/>
      </items>
    </pivotField>
    <pivotField axis="axisRow" showAll="0">
      <items count="7">
        <item x="0"/>
        <item x="4"/>
        <item x="1"/>
        <item x="3"/>
        <item x="2"/>
        <item x="5"/>
        <item t="default"/>
      </items>
    </pivotField>
    <pivotField axis="axisRow" showAll="0">
      <items count="7">
        <item x="1"/>
        <item x="4"/>
        <item x="2"/>
        <item x="0"/>
        <item x="3"/>
        <item x="5"/>
        <item t="default"/>
      </items>
    </pivotField>
    <pivotField showAll="0"/>
    <pivotField showAll="0"/>
    <pivotField showAll="0"/>
    <pivotField showAll="0"/>
    <pivotField showAll="0"/>
    <pivotField showAll="0"/>
    <pivotField showAll="0"/>
    <pivotField dataField="1" showAll="0"/>
    <pivotField showAll="0" defaultSubtotal="0"/>
    <pivotField showAll="0" defaultSubtotal="0"/>
    <pivotField showAll="0" defaultSubtotal="0">
      <items count="5">
        <item x="0"/>
        <item x="1"/>
        <item x="2"/>
        <item x="3"/>
        <item x="4"/>
      </items>
    </pivotField>
  </pivotFields>
  <rowFields count="2">
    <field x="2"/>
    <field x="3"/>
  </rowFields>
  <rowItems count="13">
    <i>
      <x/>
    </i>
    <i r="1">
      <x v="3"/>
    </i>
    <i>
      <x v="1"/>
    </i>
    <i r="1">
      <x v="1"/>
    </i>
    <i>
      <x v="2"/>
    </i>
    <i r="1">
      <x/>
    </i>
    <i>
      <x v="3"/>
    </i>
    <i r="1">
      <x v="4"/>
    </i>
    <i>
      <x v="4"/>
    </i>
    <i r="1">
      <x v="2"/>
    </i>
    <i>
      <x v="5"/>
    </i>
    <i r="1">
      <x v="5"/>
    </i>
    <i t="grand">
      <x/>
    </i>
  </rowItems>
  <colItems count="1">
    <i/>
  </colItems>
  <dataFields count="1">
    <dataField name="Sum of ActualAmount"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03E85C-7CFD-4FB6-82F1-6569D1C018A2}"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6" firstHeaderRow="1" firstDataRow="1" firstDataCol="1"/>
  <pivotFields count="15">
    <pivotField showAll="0"/>
    <pivotField showAll="0">
      <items count="817">
        <item x="461"/>
        <item x="644"/>
        <item x="516"/>
        <item x="313"/>
        <item x="354"/>
        <item x="390"/>
        <item x="311"/>
        <item x="93"/>
        <item x="166"/>
        <item x="697"/>
        <item x="750"/>
        <item x="214"/>
        <item x="32"/>
        <item x="398"/>
        <item x="155"/>
        <item x="315"/>
        <item x="582"/>
        <item x="356"/>
        <item x="226"/>
        <item x="267"/>
        <item x="209"/>
        <item x="46"/>
        <item x="763"/>
        <item x="18"/>
        <item x="181"/>
        <item x="144"/>
        <item x="322"/>
        <item x="333"/>
        <item x="601"/>
        <item x="760"/>
        <item x="117"/>
        <item x="172"/>
        <item x="363"/>
        <item x="42"/>
        <item x="324"/>
        <item x="684"/>
        <item x="620"/>
        <item x="177"/>
        <item x="175"/>
        <item x="92"/>
        <item x="807"/>
        <item x="369"/>
        <item x="714"/>
        <item x="288"/>
        <item x="366"/>
        <item x="797"/>
        <item x="454"/>
        <item x="782"/>
        <item x="741"/>
        <item x="414"/>
        <item x="332"/>
        <item x="63"/>
        <item x="335"/>
        <item x="703"/>
        <item x="389"/>
        <item x="435"/>
        <item x="268"/>
        <item x="664"/>
        <item x="431"/>
        <item x="458"/>
        <item x="767"/>
        <item x="178"/>
        <item x="732"/>
        <item x="48"/>
        <item x="43"/>
        <item x="76"/>
        <item x="808"/>
        <item x="667"/>
        <item x="170"/>
        <item x="444"/>
        <item x="23"/>
        <item x="528"/>
        <item x="722"/>
        <item x="762"/>
        <item x="213"/>
        <item x="74"/>
        <item x="761"/>
        <item x="785"/>
        <item x="773"/>
        <item x="525"/>
        <item x="540"/>
        <item x="15"/>
        <item x="511"/>
        <item x="658"/>
        <item x="448"/>
        <item x="278"/>
        <item x="24"/>
        <item x="766"/>
        <item x="198"/>
        <item x="757"/>
        <item x="9"/>
        <item x="300"/>
        <item x="251"/>
        <item x="633"/>
        <item x="549"/>
        <item x="585"/>
        <item x="142"/>
        <item x="164"/>
        <item x="143"/>
        <item x="551"/>
        <item x="648"/>
        <item x="691"/>
        <item x="55"/>
        <item x="323"/>
        <item x="558"/>
        <item x="686"/>
        <item x="130"/>
        <item x="737"/>
        <item x="408"/>
        <item x="592"/>
        <item x="294"/>
        <item x="781"/>
        <item x="246"/>
        <item x="571"/>
        <item x="338"/>
        <item x="532"/>
        <item x="657"/>
        <item x="325"/>
        <item x="442"/>
        <item x="215"/>
        <item x="472"/>
        <item x="707"/>
        <item x="671"/>
        <item x="718"/>
        <item x="634"/>
        <item x="539"/>
        <item x="132"/>
        <item x="168"/>
        <item x="425"/>
        <item x="753"/>
        <item x="632"/>
        <item x="754"/>
        <item x="765"/>
        <item x="409"/>
        <item x="131"/>
        <item x="231"/>
        <item x="531"/>
        <item x="651"/>
        <item x="674"/>
        <item x="608"/>
        <item x="729"/>
        <item x="717"/>
        <item x="695"/>
        <item x="242"/>
        <item x="591"/>
        <item x="615"/>
        <item x="641"/>
        <item x="563"/>
        <item x="37"/>
        <item x="812"/>
        <item x="586"/>
        <item x="471"/>
        <item x="376"/>
        <item x="606"/>
        <item x="104"/>
        <item x="438"/>
        <item x="455"/>
        <item x="386"/>
        <item x="699"/>
        <item x="99"/>
        <item x="21"/>
        <item x="321"/>
        <item x="211"/>
        <item x="347"/>
        <item x="223"/>
        <item x="141"/>
        <item x="612"/>
        <item x="274"/>
        <item x="809"/>
        <item x="344"/>
        <item x="206"/>
        <item x="647"/>
        <item x="595"/>
        <item x="599"/>
        <item x="112"/>
        <item x="598"/>
        <item x="584"/>
        <item x="380"/>
        <item x="774"/>
        <item x="541"/>
        <item x="85"/>
        <item x="590"/>
        <item x="560"/>
        <item x="232"/>
        <item x="378"/>
        <item x="4"/>
        <item x="6"/>
        <item x="464"/>
        <item x="623"/>
        <item x="244"/>
        <item x="331"/>
        <item x="128"/>
        <item x="202"/>
        <item x="473"/>
        <item x="205"/>
        <item x="759"/>
        <item x="189"/>
        <item x="806"/>
        <item x="660"/>
        <item x="183"/>
        <item x="719"/>
        <item x="186"/>
        <item x="387"/>
        <item x="424"/>
        <item x="98"/>
        <item x="328"/>
        <item x="391"/>
        <item x="519"/>
        <item x="342"/>
        <item x="725"/>
        <item x="97"/>
        <item x="702"/>
        <item x="62"/>
        <item x="298"/>
        <item x="119"/>
        <item x="625"/>
        <item x="122"/>
        <item x="813"/>
        <item x="536"/>
        <item x="154"/>
        <item x="299"/>
        <item x="60"/>
        <item x="167"/>
        <item x="396"/>
        <item x="403"/>
        <item x="239"/>
        <item x="772"/>
        <item x="443"/>
        <item x="583"/>
        <item x="41"/>
        <item x="677"/>
        <item x="543"/>
        <item x="3"/>
        <item x="533"/>
        <item x="706"/>
        <item x="375"/>
        <item x="291"/>
        <item x="330"/>
        <item x="428"/>
        <item x="361"/>
        <item x="263"/>
        <item x="721"/>
        <item x="90"/>
        <item x="296"/>
        <item x="630"/>
        <item x="64"/>
        <item x="89"/>
        <item x="654"/>
        <item x="726"/>
        <item x="548"/>
        <item x="645"/>
        <item x="237"/>
        <item x="81"/>
        <item x="79"/>
        <item x="469"/>
        <item x="445"/>
        <item x="801"/>
        <item x="482"/>
        <item x="107"/>
        <item x="637"/>
        <item x="535"/>
        <item x="434"/>
        <item x="191"/>
        <item x="287"/>
        <item x="329"/>
        <item x="218"/>
        <item x="746"/>
        <item x="617"/>
        <item x="285"/>
        <item x="384"/>
        <item x="547"/>
        <item x="341"/>
        <item x="281"/>
        <item x="619"/>
        <item x="789"/>
        <item x="320"/>
        <item x="33"/>
        <item x="580"/>
        <item x="52"/>
        <item x="10"/>
        <item x="196"/>
        <item x="152"/>
        <item x="459"/>
        <item x="243"/>
        <item x="607"/>
        <item x="362"/>
        <item x="723"/>
        <item x="187"/>
        <item x="115"/>
        <item x="371"/>
        <item x="427"/>
        <item x="275"/>
        <item x="485"/>
        <item x="811"/>
        <item x="374"/>
        <item x="351"/>
        <item x="259"/>
        <item x="146"/>
        <item x="564"/>
        <item x="436"/>
        <item x="422"/>
        <item x="508"/>
        <item x="656"/>
        <item x="84"/>
        <item x="116"/>
        <item x="740"/>
        <item x="433"/>
        <item x="56"/>
        <item x="199"/>
        <item x="678"/>
        <item x="7"/>
        <item x="78"/>
        <item x="127"/>
        <item x="399"/>
        <item x="567"/>
        <item x="685"/>
        <item x="652"/>
        <item x="80"/>
        <item x="662"/>
        <item x="304"/>
        <item x="204"/>
        <item x="388"/>
        <item x="663"/>
        <item x="673"/>
        <item x="30"/>
        <item x="476"/>
        <item x="235"/>
        <item x="276"/>
        <item x="764"/>
        <item x="487"/>
        <item x="728"/>
        <item x="743"/>
        <item x="176"/>
        <item x="810"/>
        <item x="262"/>
        <item x="190"/>
        <item x="692"/>
        <item x="293"/>
        <item x="526"/>
        <item x="309"/>
        <item x="635"/>
        <item x="626"/>
        <item x="247"/>
        <item x="279"/>
        <item x="788"/>
        <item x="101"/>
        <item x="355"/>
        <item x="700"/>
        <item x="786"/>
        <item x="566"/>
        <item x="58"/>
        <item x="39"/>
        <item x="271"/>
        <item x="413"/>
        <item x="282"/>
        <item x="161"/>
        <item x="770"/>
        <item x="241"/>
        <item x="345"/>
        <item x="192"/>
        <item x="348"/>
        <item x="738"/>
        <item x="240"/>
        <item x="277"/>
        <item x="350"/>
        <item x="542"/>
        <item x="70"/>
        <item x="13"/>
        <item x="113"/>
        <item x="180"/>
        <item x="233"/>
        <item x="312"/>
        <item x="512"/>
        <item x="257"/>
        <item x="134"/>
        <item x="688"/>
        <item x="102"/>
        <item x="230"/>
        <item x="687"/>
        <item x="787"/>
        <item x="47"/>
        <item x="631"/>
        <item x="490"/>
        <item x="317"/>
        <item x="616"/>
        <item x="478"/>
        <item x="397"/>
        <item x="197"/>
        <item x="137"/>
        <item x="483"/>
        <item x="45"/>
        <item x="614"/>
        <item x="689"/>
        <item x="576"/>
        <item x="704"/>
        <item x="745"/>
        <item x="538"/>
        <item x="29"/>
        <item x="527"/>
        <item x="20"/>
        <item x="507"/>
        <item x="105"/>
        <item x="701"/>
        <item x="254"/>
        <item x="157"/>
        <item x="266"/>
        <item x="522"/>
        <item x="555"/>
        <item x="463"/>
        <item x="245"/>
        <item x="339"/>
        <item x="720"/>
        <item x="613"/>
        <item x="675"/>
        <item x="682"/>
        <item x="86"/>
        <item x="207"/>
        <item x="694"/>
        <item x="579"/>
        <item x="520"/>
        <item x="638"/>
        <item x="470"/>
        <item x="506"/>
        <item x="655"/>
        <item x="609"/>
        <item x="552"/>
        <item x="53"/>
        <item x="769"/>
        <item x="605"/>
        <item x="679"/>
        <item x="8"/>
        <item x="784"/>
        <item x="229"/>
        <item x="383"/>
        <item x="31"/>
        <item x="0"/>
        <item x="153"/>
        <item x="546"/>
        <item x="603"/>
        <item x="524"/>
        <item x="256"/>
        <item x="480"/>
        <item x="88"/>
        <item x="35"/>
        <item x="283"/>
        <item x="195"/>
        <item x="68"/>
        <item x="735"/>
        <item x="337"/>
        <item x="340"/>
        <item x="643"/>
        <item x="400"/>
        <item x="12"/>
        <item x="465"/>
        <item x="367"/>
        <item x="575"/>
        <item x="22"/>
        <item x="269"/>
        <item x="364"/>
        <item x="307"/>
        <item x="505"/>
        <item x="523"/>
        <item x="151"/>
        <item x="550"/>
        <item x="680"/>
        <item x="501"/>
        <item x="224"/>
        <item x="665"/>
        <item x="747"/>
        <item x="636"/>
        <item x="220"/>
        <item x="416"/>
        <item x="661"/>
        <item x="676"/>
        <item x="622"/>
        <item x="798"/>
        <item x="129"/>
        <item x="627"/>
        <item x="466"/>
        <item x="755"/>
        <item x="59"/>
        <item x="1"/>
        <item x="358"/>
        <item x="133"/>
        <item x="453"/>
        <item x="604"/>
        <item x="521"/>
        <item x="484"/>
        <item x="222"/>
        <item x="494"/>
        <item x="95"/>
        <item x="565"/>
        <item x="659"/>
        <item x="804"/>
        <item x="681"/>
        <item x="730"/>
        <item x="534"/>
        <item x="589"/>
        <item x="777"/>
        <item x="793"/>
        <item x="158"/>
        <item x="150"/>
        <item x="556"/>
        <item x="437"/>
        <item x="334"/>
        <item x="373"/>
        <item x="217"/>
        <item x="353"/>
        <item x="639"/>
        <item x="545"/>
        <item x="611"/>
        <item x="34"/>
        <item x="597"/>
        <item x="768"/>
        <item x="265"/>
        <item x="308"/>
        <item x="297"/>
        <item x="618"/>
        <item x="449"/>
        <item x="114"/>
        <item x="162"/>
        <item x="653"/>
        <item x="343"/>
        <item x="672"/>
        <item x="529"/>
        <item x="280"/>
        <item x="379"/>
        <item x="734"/>
        <item x="301"/>
        <item x="174"/>
        <item x="456"/>
        <item x="420"/>
        <item x="305"/>
        <item x="160"/>
        <item x="460"/>
        <item x="327"/>
        <item x="61"/>
        <item x="557"/>
        <item x="696"/>
        <item x="44"/>
        <item x="514"/>
        <item x="210"/>
        <item x="121"/>
        <item x="411"/>
        <item x="19"/>
        <item x="182"/>
        <item x="646"/>
        <item x="502"/>
        <item x="365"/>
        <item x="783"/>
        <item x="503"/>
        <item x="649"/>
        <item x="106"/>
        <item x="57"/>
        <item x="392"/>
        <item x="184"/>
        <item x="179"/>
        <item x="690"/>
        <item x="72"/>
        <item x="360"/>
        <item x="49"/>
        <item x="290"/>
        <item x="261"/>
        <item x="559"/>
        <item x="780"/>
        <item x="125"/>
        <item x="381"/>
        <item x="572"/>
        <item x="669"/>
        <item x="712"/>
        <item x="156"/>
        <item x="666"/>
        <item x="270"/>
        <item x="264"/>
        <item x="467"/>
        <item x="286"/>
        <item x="393"/>
        <item x="96"/>
        <item x="415"/>
        <item x="316"/>
        <item x="596"/>
        <item x="139"/>
        <item x="412"/>
        <item x="510"/>
        <item x="295"/>
        <item x="814"/>
        <item x="123"/>
        <item x="370"/>
        <item x="446"/>
        <item x="693"/>
        <item x="208"/>
        <item x="426"/>
        <item x="492"/>
        <item x="457"/>
        <item x="778"/>
        <item x="50"/>
        <item x="749"/>
        <item x="421"/>
        <item x="451"/>
        <item x="794"/>
        <item x="171"/>
        <item x="54"/>
        <item x="289"/>
        <item x="410"/>
        <item x="569"/>
        <item x="385"/>
        <item x="792"/>
        <item x="574"/>
        <item x="17"/>
        <item x="200"/>
        <item x="11"/>
        <item x="515"/>
        <item x="26"/>
        <item x="349"/>
        <item x="758"/>
        <item x="477"/>
        <item x="650"/>
        <item x="500"/>
        <item x="800"/>
        <item x="83"/>
        <item x="713"/>
        <item x="87"/>
        <item x="727"/>
        <item x="227"/>
        <item x="705"/>
        <item x="518"/>
        <item x="260"/>
        <item x="110"/>
        <item x="668"/>
        <item x="417"/>
        <item x="593"/>
        <item x="407"/>
        <item x="418"/>
        <item x="394"/>
        <item x="628"/>
        <item x="481"/>
        <item x="169"/>
        <item x="194"/>
        <item x="292"/>
        <item x="462"/>
        <item x="496"/>
        <item x="581"/>
        <item x="568"/>
        <item x="372"/>
        <item x="799"/>
        <item x="474"/>
        <item x="148"/>
        <item x="40"/>
        <item x="736"/>
        <item x="573"/>
        <item x="796"/>
        <item x="751"/>
        <item x="357"/>
        <item x="600"/>
        <item x="488"/>
        <item x="771"/>
        <item x="594"/>
        <item x="38"/>
        <item x="124"/>
        <item x="250"/>
        <item x="236"/>
        <item x="779"/>
        <item x="2"/>
        <item x="94"/>
        <item x="135"/>
        <item x="109"/>
        <item x="406"/>
        <item x="118"/>
        <item x="486"/>
        <item x="742"/>
        <item x="776"/>
        <item x="377"/>
        <item x="731"/>
        <item x="711"/>
        <item x="562"/>
        <item x="258"/>
        <item x="629"/>
        <item x="111"/>
        <item x="748"/>
        <item x="578"/>
        <item x="336"/>
        <item x="252"/>
        <item x="405"/>
        <item x="359"/>
        <item x="495"/>
        <item x="71"/>
        <item x="441"/>
        <item x="670"/>
        <item x="248"/>
        <item x="352"/>
        <item x="450"/>
        <item x="234"/>
        <item x="709"/>
        <item x="319"/>
        <item x="497"/>
        <item x="602"/>
        <item x="103"/>
        <item x="577"/>
        <item x="203"/>
        <item x="147"/>
        <item x="136"/>
        <item x="188"/>
        <item x="640"/>
        <item x="82"/>
        <item x="120"/>
        <item x="795"/>
        <item x="212"/>
        <item x="587"/>
        <item x="149"/>
        <item x="302"/>
        <item x="475"/>
        <item x="439"/>
        <item x="314"/>
        <item x="419"/>
        <item x="610"/>
        <item x="16"/>
        <item x="193"/>
        <item x="468"/>
        <item x="216"/>
        <item x="790"/>
        <item x="159"/>
        <item x="402"/>
        <item x="739"/>
        <item x="479"/>
        <item x="28"/>
        <item x="447"/>
        <item x="744"/>
        <item x="185"/>
        <item x="513"/>
        <item x="382"/>
        <item x="75"/>
        <item x="221"/>
        <item x="716"/>
        <item x="346"/>
        <item x="530"/>
        <item x="724"/>
        <item x="73"/>
        <item x="493"/>
        <item x="805"/>
        <item x="509"/>
        <item x="752"/>
        <item x="498"/>
        <item x="430"/>
        <item x="710"/>
        <item x="775"/>
        <item x="310"/>
        <item x="108"/>
        <item x="537"/>
        <item x="228"/>
        <item x="36"/>
        <item x="225"/>
        <item x="554"/>
        <item x="165"/>
        <item x="561"/>
        <item x="440"/>
        <item x="249"/>
        <item x="14"/>
        <item x="255"/>
        <item x="65"/>
        <item x="201"/>
        <item x="69"/>
        <item x="429"/>
        <item x="284"/>
        <item x="683"/>
        <item x="318"/>
        <item x="401"/>
        <item x="802"/>
        <item x="5"/>
        <item x="91"/>
        <item x="395"/>
        <item x="624"/>
        <item x="326"/>
        <item x="642"/>
        <item x="504"/>
        <item x="432"/>
        <item x="272"/>
        <item x="404"/>
        <item x="368"/>
        <item x="77"/>
        <item x="517"/>
        <item x="303"/>
        <item x="25"/>
        <item x="491"/>
        <item x="238"/>
        <item x="306"/>
        <item x="553"/>
        <item x="756"/>
        <item x="452"/>
        <item x="803"/>
        <item x="138"/>
        <item x="588"/>
        <item x="621"/>
        <item x="423"/>
        <item x="791"/>
        <item x="163"/>
        <item x="51"/>
        <item x="733"/>
        <item x="27"/>
        <item x="499"/>
        <item x="140"/>
        <item x="100"/>
        <item x="219"/>
        <item x="67"/>
        <item x="489"/>
        <item x="145"/>
        <item x="273"/>
        <item x="570"/>
        <item x="66"/>
        <item x="126"/>
        <item x="253"/>
        <item x="698"/>
        <item x="708"/>
        <item x="544"/>
        <item x="715"/>
        <item x="173"/>
        <item x="815"/>
        <item t="default"/>
      </items>
    </pivotField>
    <pivotField axis="axisRow" showAll="0">
      <items count="7">
        <item x="0"/>
        <item x="4"/>
        <item x="1"/>
        <item x="3"/>
        <item x="2"/>
        <item x="5"/>
        <item t="default"/>
      </items>
    </pivotField>
    <pivotField axis="axisRow" showAll="0">
      <items count="7">
        <item x="1"/>
        <item x="4"/>
        <item x="2"/>
        <item x="0"/>
        <item x="3"/>
        <item x="5"/>
        <item t="default"/>
      </items>
    </pivotField>
    <pivotField showAll="0"/>
    <pivotField showAll="0"/>
    <pivotField dataField="1"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2">
    <field x="2"/>
    <field x="3"/>
  </rowFields>
  <rowItems count="13">
    <i>
      <x/>
    </i>
    <i r="1">
      <x v="3"/>
    </i>
    <i>
      <x v="1"/>
    </i>
    <i r="1">
      <x v="1"/>
    </i>
    <i>
      <x v="2"/>
    </i>
    <i r="1">
      <x/>
    </i>
    <i>
      <x v="3"/>
    </i>
    <i r="1">
      <x v="4"/>
    </i>
    <i>
      <x v="4"/>
    </i>
    <i r="1">
      <x v="2"/>
    </i>
    <i>
      <x v="5"/>
    </i>
    <i r="1">
      <x v="5"/>
    </i>
    <i t="grand">
      <x/>
    </i>
  </rowItems>
  <colItems count="1">
    <i/>
  </colItems>
  <dataFields count="1">
    <dataField name="Count of Dept" fld="6"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3568EAB-6EF2-434F-879D-C921D5FFD5B4}" name="PivotTable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name="Count of Metric" fld="0" subtotal="count" baseField="0" baseItem="0"/>
    <dataField name="Sum of Actual" fld="1" baseField="0" baseItem="0"/>
    <dataField name="Sum of Budget" fld="2" baseField="0" baseItem="0"/>
    <dataField name="Sum of Variance %" fld="3" baseField="0" baseItem="0"/>
    <dataField name="Sum of Variance" fld="4" baseField="0" baseItem="0"/>
  </dataFields>
  <pivotHierarchies count="12">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 fil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ED4E3DB-0B4F-432E-9A8C-B25BB548B0FD}"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E12" firstHeaderRow="1" firstDataRow="2" firstDataCol="1"/>
  <pivotFields count="8">
    <pivotField axis="axisCol" showAll="0">
      <items count="4">
        <item x="0"/>
        <item x="1"/>
        <item x="2"/>
        <item t="default"/>
      </items>
    </pivotField>
    <pivotField axis="axisRow" showAll="0">
      <items count="8">
        <item x="0"/>
        <item x="1"/>
        <item x="2"/>
        <item x="4"/>
        <item x="5"/>
        <item x="3"/>
        <item x="6"/>
        <item t="default"/>
      </items>
    </pivotField>
    <pivotField showAll="0"/>
    <pivotField dataField="1" showAll="0"/>
    <pivotField showAll="0"/>
    <pivotField showAll="0"/>
    <pivotField showAll="0"/>
    <pivotField showAll="0"/>
  </pivotFields>
  <rowFields count="1">
    <field x="1"/>
  </rowFields>
  <rowItems count="8">
    <i>
      <x/>
    </i>
    <i>
      <x v="1"/>
    </i>
    <i>
      <x v="2"/>
    </i>
    <i>
      <x v="3"/>
    </i>
    <i>
      <x v="4"/>
    </i>
    <i>
      <x v="5"/>
    </i>
    <i>
      <x v="6"/>
    </i>
    <i t="grand">
      <x/>
    </i>
  </rowItems>
  <colFields count="1">
    <field x="0"/>
  </colFields>
  <colItems count="4">
    <i>
      <x/>
    </i>
    <i>
      <x v="1"/>
    </i>
    <i>
      <x v="2"/>
    </i>
    <i t="grand">
      <x/>
    </i>
  </colItems>
  <dataFields count="1">
    <dataField name="Sum of BudgetUSD" fld="3" baseField="0" baseItem="0"/>
  </dataFields>
  <chartFormats count="3">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D4AA6A3-3C4F-4136-9AEB-FE0A40E36A81}"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5" firstHeaderRow="0" firstDataRow="1" firstDataCol="1"/>
  <pivotFields count="13">
    <pivotField showAll="0"/>
    <pivotField showAll="0"/>
    <pivotField showAll="0"/>
    <pivotField axis="axisRow" showAll="0">
      <items count="7">
        <item h="1" x="1"/>
        <item h="1" x="4"/>
        <item h="1" x="2"/>
        <item x="0"/>
        <item h="1" x="3"/>
        <item h="1" x="5"/>
        <item t="default"/>
      </items>
    </pivotField>
    <pivotField showAll="0"/>
    <pivotField showAll="0"/>
    <pivotField showAll="0"/>
    <pivotField showAll="0"/>
    <pivotField showAll="0"/>
    <pivotField showAll="0"/>
    <pivotField showAll="0"/>
    <pivotField dataField="1" showAll="0"/>
    <pivotField dataField="1" showAll="0"/>
  </pivotFields>
  <rowFields count="1">
    <field x="3"/>
  </rowFields>
  <rowItems count="2">
    <i>
      <x v="3"/>
    </i>
    <i t="grand">
      <x/>
    </i>
  </rowItems>
  <colFields count="1">
    <field x="-2"/>
  </colFields>
  <colItems count="2">
    <i>
      <x/>
    </i>
    <i i="1">
      <x v="1"/>
    </i>
  </colItems>
  <dataFields count="2">
    <dataField name="Sum of ActualAmount" fld="11" baseField="0" baseItem="0"/>
    <dataField name="Sum of BudgetUSD" fld="1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8433646-C709-45BF-B25D-D216BB79F2D0}"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1" firstHeaderRow="0" firstDataRow="1" firstDataCol="1"/>
  <pivotFields count="13">
    <pivotField showAll="0"/>
    <pivotField showAll="0"/>
    <pivotField showAll="0"/>
    <pivotField showAll="0"/>
    <pivotField showAll="0"/>
    <pivotField showAll="0"/>
    <pivotField axis="axisRow" showAll="0">
      <items count="8">
        <item x="4"/>
        <item x="1"/>
        <item x="2"/>
        <item x="3"/>
        <item x="5"/>
        <item x="0"/>
        <item x="6"/>
        <item t="default"/>
      </items>
    </pivotField>
    <pivotField showAll="0"/>
    <pivotField showAll="0"/>
    <pivotField showAll="0"/>
    <pivotField showAll="0"/>
    <pivotField dataField="1" showAll="0"/>
    <pivotField dataField="1" showAll="0"/>
  </pivotFields>
  <rowFields count="1">
    <field x="6"/>
  </rowFields>
  <rowItems count="8">
    <i>
      <x/>
    </i>
    <i>
      <x v="1"/>
    </i>
    <i>
      <x v="2"/>
    </i>
    <i>
      <x v="3"/>
    </i>
    <i>
      <x v="4"/>
    </i>
    <i>
      <x v="5"/>
    </i>
    <i>
      <x v="6"/>
    </i>
    <i t="grand">
      <x/>
    </i>
  </rowItems>
  <colFields count="1">
    <field x="-2"/>
  </colFields>
  <colItems count="2">
    <i>
      <x/>
    </i>
    <i i="1">
      <x v="1"/>
    </i>
  </colItems>
  <dataFields count="2">
    <dataField name="Sum of ActualAmount" fld="11" baseField="0" baseItem="0"/>
    <dataField name="Sum of BudgetUSD" fld="1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BD67C50-2A4A-4AA1-A26E-4A40D8BEB4F2}"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4" firstHeaderRow="0" firstDataRow="1" firstDataCol="0"/>
  <pivotFields count="13">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s>
  <rowItems count="1">
    <i/>
  </rowItems>
  <colFields count="1">
    <field x="-2"/>
  </colFields>
  <colItems count="2">
    <i>
      <x/>
    </i>
    <i i="1">
      <x v="1"/>
    </i>
  </colItems>
  <dataFields count="2">
    <dataField name="Sum of ActualAmount" fld="11" baseField="0" baseItem="0"/>
    <dataField name="Sum of BudgetUSD" fld="1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4F911F7-1F6B-40DC-BC21-F209A63825AB}"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1" firstHeaderRow="1" firstDataRow="1" firstDataCol="1"/>
  <pivotFields count="19">
    <pivotField showAll="0"/>
    <pivotField showAll="0">
      <items count="817">
        <item x="461"/>
        <item x="644"/>
        <item x="516"/>
        <item x="313"/>
        <item x="354"/>
        <item x="390"/>
        <item x="311"/>
        <item x="93"/>
        <item x="166"/>
        <item x="697"/>
        <item x="750"/>
        <item x="214"/>
        <item x="32"/>
        <item x="398"/>
        <item x="155"/>
        <item x="315"/>
        <item x="582"/>
        <item x="356"/>
        <item x="226"/>
        <item x="267"/>
        <item x="209"/>
        <item x="46"/>
        <item x="763"/>
        <item x="18"/>
        <item x="181"/>
        <item x="144"/>
        <item x="322"/>
        <item x="333"/>
        <item x="601"/>
        <item x="760"/>
        <item x="117"/>
        <item x="172"/>
        <item x="363"/>
        <item x="42"/>
        <item x="324"/>
        <item x="684"/>
        <item x="620"/>
        <item x="177"/>
        <item x="175"/>
        <item x="92"/>
        <item x="807"/>
        <item x="369"/>
        <item x="714"/>
        <item x="288"/>
        <item x="366"/>
        <item x="797"/>
        <item x="454"/>
        <item x="782"/>
        <item x="741"/>
        <item x="414"/>
        <item x="332"/>
        <item x="63"/>
        <item x="335"/>
        <item x="703"/>
        <item x="389"/>
        <item x="435"/>
        <item x="268"/>
        <item x="664"/>
        <item x="431"/>
        <item x="458"/>
        <item x="767"/>
        <item x="178"/>
        <item x="732"/>
        <item x="48"/>
        <item x="43"/>
        <item x="76"/>
        <item x="808"/>
        <item x="667"/>
        <item x="170"/>
        <item x="444"/>
        <item x="23"/>
        <item x="528"/>
        <item x="722"/>
        <item x="762"/>
        <item x="213"/>
        <item x="74"/>
        <item x="761"/>
        <item x="785"/>
        <item x="773"/>
        <item x="525"/>
        <item x="540"/>
        <item x="15"/>
        <item x="511"/>
        <item x="658"/>
        <item x="448"/>
        <item x="278"/>
        <item x="24"/>
        <item x="766"/>
        <item x="198"/>
        <item x="757"/>
        <item x="9"/>
        <item x="300"/>
        <item x="251"/>
        <item x="633"/>
        <item x="549"/>
        <item x="585"/>
        <item x="142"/>
        <item x="164"/>
        <item x="143"/>
        <item x="551"/>
        <item x="648"/>
        <item x="691"/>
        <item x="55"/>
        <item x="323"/>
        <item x="558"/>
        <item x="686"/>
        <item x="130"/>
        <item x="737"/>
        <item x="408"/>
        <item x="592"/>
        <item x="294"/>
        <item x="781"/>
        <item x="246"/>
        <item x="571"/>
        <item x="338"/>
        <item x="532"/>
        <item x="657"/>
        <item x="325"/>
        <item x="442"/>
        <item x="215"/>
        <item x="472"/>
        <item x="707"/>
        <item x="671"/>
        <item x="718"/>
        <item x="634"/>
        <item x="539"/>
        <item x="132"/>
        <item x="168"/>
        <item x="425"/>
        <item x="753"/>
        <item x="632"/>
        <item x="754"/>
        <item x="765"/>
        <item x="409"/>
        <item x="131"/>
        <item x="231"/>
        <item x="531"/>
        <item x="651"/>
        <item x="674"/>
        <item x="608"/>
        <item x="729"/>
        <item x="717"/>
        <item x="695"/>
        <item x="242"/>
        <item x="591"/>
        <item x="615"/>
        <item x="641"/>
        <item x="563"/>
        <item x="37"/>
        <item x="812"/>
        <item x="586"/>
        <item x="471"/>
        <item x="376"/>
        <item x="606"/>
        <item x="104"/>
        <item x="438"/>
        <item x="455"/>
        <item x="386"/>
        <item x="699"/>
        <item x="99"/>
        <item x="21"/>
        <item x="321"/>
        <item x="211"/>
        <item x="347"/>
        <item x="223"/>
        <item x="141"/>
        <item x="612"/>
        <item x="274"/>
        <item x="809"/>
        <item x="344"/>
        <item x="206"/>
        <item x="647"/>
        <item x="595"/>
        <item x="599"/>
        <item x="112"/>
        <item x="598"/>
        <item x="584"/>
        <item x="380"/>
        <item x="774"/>
        <item x="541"/>
        <item x="85"/>
        <item x="590"/>
        <item x="560"/>
        <item x="232"/>
        <item x="378"/>
        <item x="4"/>
        <item x="6"/>
        <item x="464"/>
        <item x="623"/>
        <item x="244"/>
        <item x="331"/>
        <item x="128"/>
        <item x="202"/>
        <item x="473"/>
        <item x="205"/>
        <item x="759"/>
        <item x="189"/>
        <item x="806"/>
        <item x="660"/>
        <item x="183"/>
        <item x="719"/>
        <item x="186"/>
        <item x="387"/>
        <item x="424"/>
        <item x="98"/>
        <item x="328"/>
        <item x="391"/>
        <item x="519"/>
        <item x="342"/>
        <item x="725"/>
        <item x="97"/>
        <item x="702"/>
        <item x="62"/>
        <item x="298"/>
        <item x="119"/>
        <item x="625"/>
        <item x="122"/>
        <item x="813"/>
        <item x="536"/>
        <item x="154"/>
        <item x="299"/>
        <item x="60"/>
        <item x="167"/>
        <item x="396"/>
        <item x="403"/>
        <item x="239"/>
        <item x="772"/>
        <item x="443"/>
        <item x="583"/>
        <item x="41"/>
        <item x="677"/>
        <item x="543"/>
        <item x="3"/>
        <item x="533"/>
        <item x="706"/>
        <item x="375"/>
        <item x="291"/>
        <item x="330"/>
        <item x="428"/>
        <item x="361"/>
        <item x="263"/>
        <item x="721"/>
        <item x="90"/>
        <item x="296"/>
        <item x="630"/>
        <item x="64"/>
        <item x="89"/>
        <item x="654"/>
        <item x="726"/>
        <item x="548"/>
        <item x="645"/>
        <item x="237"/>
        <item x="81"/>
        <item x="79"/>
        <item x="469"/>
        <item x="445"/>
        <item x="801"/>
        <item x="482"/>
        <item x="107"/>
        <item x="637"/>
        <item x="535"/>
        <item x="434"/>
        <item x="191"/>
        <item x="287"/>
        <item x="329"/>
        <item x="218"/>
        <item x="746"/>
        <item x="617"/>
        <item x="285"/>
        <item x="384"/>
        <item x="547"/>
        <item x="341"/>
        <item x="281"/>
        <item x="619"/>
        <item x="789"/>
        <item x="320"/>
        <item x="33"/>
        <item x="580"/>
        <item x="52"/>
        <item x="10"/>
        <item x="196"/>
        <item x="152"/>
        <item x="459"/>
        <item x="243"/>
        <item x="607"/>
        <item x="362"/>
        <item x="723"/>
        <item x="187"/>
        <item x="115"/>
        <item x="371"/>
        <item x="427"/>
        <item x="275"/>
        <item x="485"/>
        <item x="811"/>
        <item x="374"/>
        <item x="351"/>
        <item x="259"/>
        <item x="146"/>
        <item x="564"/>
        <item x="436"/>
        <item x="422"/>
        <item x="508"/>
        <item x="656"/>
        <item x="84"/>
        <item x="116"/>
        <item x="740"/>
        <item x="433"/>
        <item x="56"/>
        <item x="199"/>
        <item x="678"/>
        <item x="7"/>
        <item x="78"/>
        <item x="127"/>
        <item x="399"/>
        <item x="567"/>
        <item x="685"/>
        <item x="652"/>
        <item x="80"/>
        <item x="662"/>
        <item x="304"/>
        <item x="204"/>
        <item x="388"/>
        <item x="663"/>
        <item x="673"/>
        <item x="30"/>
        <item x="476"/>
        <item x="235"/>
        <item x="276"/>
        <item x="764"/>
        <item x="487"/>
        <item x="728"/>
        <item x="743"/>
        <item x="176"/>
        <item x="810"/>
        <item x="262"/>
        <item x="190"/>
        <item x="692"/>
        <item x="293"/>
        <item x="526"/>
        <item x="309"/>
        <item x="635"/>
        <item x="626"/>
        <item x="247"/>
        <item x="279"/>
        <item x="788"/>
        <item x="101"/>
        <item x="355"/>
        <item x="700"/>
        <item x="786"/>
        <item x="566"/>
        <item x="58"/>
        <item x="39"/>
        <item x="271"/>
        <item x="413"/>
        <item x="282"/>
        <item x="161"/>
        <item x="770"/>
        <item x="241"/>
        <item x="345"/>
        <item x="192"/>
        <item x="348"/>
        <item x="738"/>
        <item x="240"/>
        <item x="277"/>
        <item x="350"/>
        <item x="542"/>
        <item x="70"/>
        <item x="13"/>
        <item x="113"/>
        <item x="180"/>
        <item x="233"/>
        <item x="312"/>
        <item x="512"/>
        <item x="257"/>
        <item x="134"/>
        <item x="688"/>
        <item x="102"/>
        <item x="230"/>
        <item x="687"/>
        <item x="787"/>
        <item x="47"/>
        <item x="631"/>
        <item x="490"/>
        <item x="317"/>
        <item x="616"/>
        <item x="478"/>
        <item x="397"/>
        <item x="197"/>
        <item x="137"/>
        <item x="483"/>
        <item x="45"/>
        <item x="614"/>
        <item x="689"/>
        <item x="576"/>
        <item x="704"/>
        <item x="745"/>
        <item x="538"/>
        <item x="29"/>
        <item x="527"/>
        <item x="20"/>
        <item x="507"/>
        <item x="105"/>
        <item x="701"/>
        <item x="254"/>
        <item x="157"/>
        <item x="266"/>
        <item x="522"/>
        <item x="555"/>
        <item x="463"/>
        <item x="245"/>
        <item x="339"/>
        <item x="720"/>
        <item x="613"/>
        <item x="675"/>
        <item x="682"/>
        <item x="86"/>
        <item x="207"/>
        <item x="694"/>
        <item x="579"/>
        <item x="520"/>
        <item x="638"/>
        <item x="470"/>
        <item x="506"/>
        <item x="655"/>
        <item x="609"/>
        <item x="552"/>
        <item x="53"/>
        <item x="769"/>
        <item x="605"/>
        <item x="679"/>
        <item x="8"/>
        <item x="784"/>
        <item x="229"/>
        <item x="383"/>
        <item x="31"/>
        <item x="0"/>
        <item x="153"/>
        <item x="546"/>
        <item x="603"/>
        <item x="524"/>
        <item x="256"/>
        <item x="480"/>
        <item x="88"/>
        <item x="35"/>
        <item x="283"/>
        <item x="195"/>
        <item x="68"/>
        <item x="735"/>
        <item x="337"/>
        <item x="340"/>
        <item x="643"/>
        <item x="400"/>
        <item x="12"/>
        <item x="465"/>
        <item x="367"/>
        <item x="575"/>
        <item x="22"/>
        <item x="269"/>
        <item x="364"/>
        <item x="307"/>
        <item x="505"/>
        <item x="523"/>
        <item x="151"/>
        <item x="550"/>
        <item x="680"/>
        <item x="501"/>
        <item x="224"/>
        <item x="665"/>
        <item x="747"/>
        <item x="636"/>
        <item x="220"/>
        <item x="416"/>
        <item x="661"/>
        <item x="676"/>
        <item x="622"/>
        <item x="798"/>
        <item x="129"/>
        <item x="627"/>
        <item x="466"/>
        <item x="755"/>
        <item x="59"/>
        <item x="1"/>
        <item x="358"/>
        <item x="133"/>
        <item x="453"/>
        <item x="604"/>
        <item x="521"/>
        <item x="484"/>
        <item x="222"/>
        <item x="494"/>
        <item x="95"/>
        <item x="565"/>
        <item x="659"/>
        <item x="804"/>
        <item x="681"/>
        <item x="730"/>
        <item x="534"/>
        <item x="589"/>
        <item x="777"/>
        <item x="793"/>
        <item x="158"/>
        <item x="150"/>
        <item x="556"/>
        <item x="437"/>
        <item x="334"/>
        <item x="373"/>
        <item x="217"/>
        <item x="353"/>
        <item x="639"/>
        <item x="545"/>
        <item x="611"/>
        <item x="34"/>
        <item x="597"/>
        <item x="768"/>
        <item x="265"/>
        <item x="308"/>
        <item x="297"/>
        <item x="618"/>
        <item x="449"/>
        <item x="114"/>
        <item x="162"/>
        <item x="653"/>
        <item x="343"/>
        <item x="672"/>
        <item x="529"/>
        <item x="280"/>
        <item x="379"/>
        <item x="734"/>
        <item x="301"/>
        <item x="174"/>
        <item x="456"/>
        <item x="420"/>
        <item x="305"/>
        <item x="160"/>
        <item x="460"/>
        <item x="327"/>
        <item x="61"/>
        <item x="557"/>
        <item x="696"/>
        <item x="44"/>
        <item x="514"/>
        <item x="210"/>
        <item x="121"/>
        <item x="411"/>
        <item x="19"/>
        <item x="182"/>
        <item x="646"/>
        <item x="502"/>
        <item x="365"/>
        <item x="783"/>
        <item x="503"/>
        <item x="649"/>
        <item x="106"/>
        <item x="57"/>
        <item x="392"/>
        <item x="184"/>
        <item x="179"/>
        <item x="690"/>
        <item x="72"/>
        <item x="360"/>
        <item x="49"/>
        <item x="290"/>
        <item x="261"/>
        <item x="559"/>
        <item x="780"/>
        <item x="125"/>
        <item x="381"/>
        <item x="572"/>
        <item x="669"/>
        <item x="712"/>
        <item x="156"/>
        <item x="666"/>
        <item x="270"/>
        <item x="264"/>
        <item x="467"/>
        <item x="286"/>
        <item x="393"/>
        <item x="96"/>
        <item x="415"/>
        <item x="316"/>
        <item x="596"/>
        <item x="139"/>
        <item x="412"/>
        <item x="510"/>
        <item x="295"/>
        <item x="814"/>
        <item x="123"/>
        <item x="370"/>
        <item x="446"/>
        <item x="693"/>
        <item x="208"/>
        <item x="426"/>
        <item x="492"/>
        <item x="457"/>
        <item x="778"/>
        <item x="50"/>
        <item x="749"/>
        <item x="421"/>
        <item x="451"/>
        <item x="794"/>
        <item x="171"/>
        <item x="54"/>
        <item x="289"/>
        <item x="410"/>
        <item x="569"/>
        <item x="385"/>
        <item x="792"/>
        <item x="574"/>
        <item x="17"/>
        <item x="200"/>
        <item x="11"/>
        <item x="515"/>
        <item x="26"/>
        <item x="349"/>
        <item x="758"/>
        <item x="477"/>
        <item x="650"/>
        <item x="500"/>
        <item x="800"/>
        <item x="83"/>
        <item x="713"/>
        <item x="87"/>
        <item x="727"/>
        <item x="227"/>
        <item x="705"/>
        <item x="518"/>
        <item x="260"/>
        <item x="110"/>
        <item x="668"/>
        <item x="417"/>
        <item x="593"/>
        <item x="407"/>
        <item x="418"/>
        <item x="394"/>
        <item x="628"/>
        <item x="481"/>
        <item x="169"/>
        <item x="194"/>
        <item x="292"/>
        <item x="462"/>
        <item x="496"/>
        <item x="581"/>
        <item x="568"/>
        <item x="372"/>
        <item x="799"/>
        <item x="474"/>
        <item x="148"/>
        <item x="40"/>
        <item x="736"/>
        <item x="573"/>
        <item x="796"/>
        <item x="751"/>
        <item x="357"/>
        <item x="600"/>
        <item x="488"/>
        <item x="771"/>
        <item x="594"/>
        <item x="38"/>
        <item x="124"/>
        <item x="250"/>
        <item x="236"/>
        <item x="779"/>
        <item x="2"/>
        <item x="94"/>
        <item x="135"/>
        <item x="109"/>
        <item x="406"/>
        <item x="118"/>
        <item x="486"/>
        <item x="742"/>
        <item x="776"/>
        <item x="377"/>
        <item x="731"/>
        <item x="711"/>
        <item x="562"/>
        <item x="258"/>
        <item x="629"/>
        <item x="111"/>
        <item x="748"/>
        <item x="578"/>
        <item x="336"/>
        <item x="252"/>
        <item x="405"/>
        <item x="359"/>
        <item x="495"/>
        <item x="71"/>
        <item x="441"/>
        <item x="670"/>
        <item x="248"/>
        <item x="352"/>
        <item x="450"/>
        <item x="234"/>
        <item x="709"/>
        <item x="319"/>
        <item x="497"/>
        <item x="602"/>
        <item x="103"/>
        <item x="577"/>
        <item x="203"/>
        <item x="147"/>
        <item x="136"/>
        <item x="188"/>
        <item x="640"/>
        <item x="82"/>
        <item x="120"/>
        <item x="795"/>
        <item x="212"/>
        <item x="587"/>
        <item x="149"/>
        <item x="302"/>
        <item x="475"/>
        <item x="439"/>
        <item x="314"/>
        <item x="419"/>
        <item x="610"/>
        <item x="16"/>
        <item x="193"/>
        <item x="468"/>
        <item x="216"/>
        <item x="790"/>
        <item x="159"/>
        <item x="402"/>
        <item x="739"/>
        <item x="479"/>
        <item x="28"/>
        <item x="447"/>
        <item x="744"/>
        <item x="185"/>
        <item x="513"/>
        <item x="382"/>
        <item x="75"/>
        <item x="221"/>
        <item x="716"/>
        <item x="346"/>
        <item x="530"/>
        <item x="724"/>
        <item x="73"/>
        <item x="493"/>
        <item x="805"/>
        <item x="509"/>
        <item x="752"/>
        <item x="498"/>
        <item x="430"/>
        <item x="710"/>
        <item x="775"/>
        <item x="310"/>
        <item x="108"/>
        <item x="537"/>
        <item x="228"/>
        <item x="36"/>
        <item x="225"/>
        <item x="554"/>
        <item x="165"/>
        <item x="561"/>
        <item x="440"/>
        <item x="249"/>
        <item x="14"/>
        <item x="255"/>
        <item x="65"/>
        <item x="201"/>
        <item x="69"/>
        <item x="429"/>
        <item x="284"/>
        <item x="683"/>
        <item x="318"/>
        <item x="401"/>
        <item x="802"/>
        <item x="5"/>
        <item x="91"/>
        <item x="395"/>
        <item x="624"/>
        <item x="326"/>
        <item x="642"/>
        <item x="504"/>
        <item x="432"/>
        <item x="272"/>
        <item x="404"/>
        <item x="368"/>
        <item x="77"/>
        <item x="517"/>
        <item x="303"/>
        <item x="25"/>
        <item x="491"/>
        <item x="238"/>
        <item x="306"/>
        <item x="553"/>
        <item x="756"/>
        <item x="452"/>
        <item x="803"/>
        <item x="138"/>
        <item x="588"/>
        <item x="621"/>
        <item x="423"/>
        <item x="791"/>
        <item x="163"/>
        <item x="51"/>
        <item x="733"/>
        <item x="27"/>
        <item x="499"/>
        <item x="140"/>
        <item x="100"/>
        <item x="219"/>
        <item x="67"/>
        <item x="489"/>
        <item x="145"/>
        <item x="273"/>
        <item x="570"/>
        <item x="66"/>
        <item x="126"/>
        <item x="253"/>
        <item x="698"/>
        <item x="708"/>
        <item x="544"/>
        <item x="715"/>
        <item x="173"/>
        <item x="815"/>
        <item t="default"/>
      </items>
    </pivotField>
    <pivotField showAll="0"/>
    <pivotField showAll="0">
      <items count="7">
        <item x="1"/>
        <item x="4"/>
        <item x="2"/>
        <item x="0"/>
        <item x="3"/>
        <item x="5"/>
        <item t="default"/>
      </items>
    </pivotField>
    <pivotField showAll="0"/>
    <pivotField showAll="0"/>
    <pivotField axis="axisRow" showAll="0">
      <items count="8">
        <item x="4"/>
        <item x="1"/>
        <item x="2"/>
        <item x="3"/>
        <item x="5"/>
        <item x="0"/>
        <item x="6"/>
        <item t="default"/>
      </items>
    </pivotField>
    <pivotField showAll="0"/>
    <pivotField showAll="0"/>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8">
    <i>
      <x/>
    </i>
    <i>
      <x v="1"/>
    </i>
    <i>
      <x v="2"/>
    </i>
    <i>
      <x v="3"/>
    </i>
    <i>
      <x v="4"/>
    </i>
    <i>
      <x v="5"/>
    </i>
    <i>
      <x v="6"/>
    </i>
    <i t="grand">
      <x/>
    </i>
  </rowItems>
  <colItems count="1">
    <i/>
  </colItems>
  <dataFields count="1">
    <dataField name="Sum of Variance" fld="13" baseField="0" baseItem="0"/>
  </dataFields>
  <chartFormats count="1">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B0F069F-3167-4E9E-8E42-A2F1508741D5}"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4" firstHeaderRow="0" firstDataRow="1" firstDataCol="0"/>
  <pivotFields count="19">
    <pivotField showAll="0"/>
    <pivotField showAll="0">
      <items count="817">
        <item x="461"/>
        <item x="644"/>
        <item x="516"/>
        <item x="313"/>
        <item x="354"/>
        <item x="390"/>
        <item x="311"/>
        <item x="93"/>
        <item x="166"/>
        <item x="697"/>
        <item x="750"/>
        <item x="214"/>
        <item x="32"/>
        <item x="398"/>
        <item x="155"/>
        <item x="315"/>
        <item x="582"/>
        <item x="356"/>
        <item x="226"/>
        <item x="267"/>
        <item x="209"/>
        <item x="46"/>
        <item x="763"/>
        <item x="18"/>
        <item x="181"/>
        <item x="144"/>
        <item x="322"/>
        <item x="333"/>
        <item x="601"/>
        <item x="760"/>
        <item x="117"/>
        <item x="172"/>
        <item x="363"/>
        <item x="42"/>
        <item x="324"/>
        <item x="684"/>
        <item x="620"/>
        <item x="177"/>
        <item x="175"/>
        <item x="92"/>
        <item x="807"/>
        <item x="369"/>
        <item x="714"/>
        <item x="288"/>
        <item x="366"/>
        <item x="797"/>
        <item x="454"/>
        <item x="782"/>
        <item x="741"/>
        <item x="414"/>
        <item x="332"/>
        <item x="63"/>
        <item x="335"/>
        <item x="703"/>
        <item x="389"/>
        <item x="435"/>
        <item x="268"/>
        <item x="664"/>
        <item x="431"/>
        <item x="458"/>
        <item x="767"/>
        <item x="178"/>
        <item x="732"/>
        <item x="48"/>
        <item x="43"/>
        <item x="76"/>
        <item x="808"/>
        <item x="667"/>
        <item x="170"/>
        <item x="444"/>
        <item x="23"/>
        <item x="528"/>
        <item x="722"/>
        <item x="762"/>
        <item x="213"/>
        <item x="74"/>
        <item x="761"/>
        <item x="785"/>
        <item x="773"/>
        <item x="525"/>
        <item x="540"/>
        <item x="15"/>
        <item x="511"/>
        <item x="658"/>
        <item x="448"/>
        <item x="278"/>
        <item x="24"/>
        <item x="766"/>
        <item x="198"/>
        <item x="757"/>
        <item x="9"/>
        <item x="300"/>
        <item x="251"/>
        <item x="633"/>
        <item x="549"/>
        <item x="585"/>
        <item x="142"/>
        <item x="164"/>
        <item x="143"/>
        <item x="551"/>
        <item x="648"/>
        <item x="691"/>
        <item x="55"/>
        <item x="323"/>
        <item x="558"/>
        <item x="686"/>
        <item x="130"/>
        <item x="737"/>
        <item x="408"/>
        <item x="592"/>
        <item x="294"/>
        <item x="781"/>
        <item x="246"/>
        <item x="571"/>
        <item x="338"/>
        <item x="532"/>
        <item x="657"/>
        <item x="325"/>
        <item x="442"/>
        <item x="215"/>
        <item x="472"/>
        <item x="707"/>
        <item x="671"/>
        <item x="718"/>
        <item x="634"/>
        <item x="539"/>
        <item x="132"/>
        <item x="168"/>
        <item x="425"/>
        <item x="753"/>
        <item x="632"/>
        <item x="754"/>
        <item x="765"/>
        <item x="409"/>
        <item x="131"/>
        <item x="231"/>
        <item x="531"/>
        <item x="651"/>
        <item x="674"/>
        <item x="608"/>
        <item x="729"/>
        <item x="717"/>
        <item x="695"/>
        <item x="242"/>
        <item x="591"/>
        <item x="615"/>
        <item x="641"/>
        <item x="563"/>
        <item x="37"/>
        <item x="812"/>
        <item x="586"/>
        <item x="471"/>
        <item x="376"/>
        <item x="606"/>
        <item x="104"/>
        <item x="438"/>
        <item x="455"/>
        <item x="386"/>
        <item x="699"/>
        <item x="99"/>
        <item x="21"/>
        <item x="321"/>
        <item x="211"/>
        <item x="347"/>
        <item x="223"/>
        <item x="141"/>
        <item x="612"/>
        <item x="274"/>
        <item x="809"/>
        <item x="344"/>
        <item x="206"/>
        <item x="647"/>
        <item x="595"/>
        <item x="599"/>
        <item x="112"/>
        <item x="598"/>
        <item x="584"/>
        <item x="380"/>
        <item x="774"/>
        <item x="541"/>
        <item x="85"/>
        <item x="590"/>
        <item x="560"/>
        <item x="232"/>
        <item x="378"/>
        <item x="4"/>
        <item x="6"/>
        <item x="464"/>
        <item x="623"/>
        <item x="244"/>
        <item x="331"/>
        <item x="128"/>
        <item x="202"/>
        <item x="473"/>
        <item x="205"/>
        <item x="759"/>
        <item x="189"/>
        <item x="806"/>
        <item x="660"/>
        <item x="183"/>
        <item x="719"/>
        <item x="186"/>
        <item x="387"/>
        <item x="424"/>
        <item x="98"/>
        <item x="328"/>
        <item x="391"/>
        <item x="519"/>
        <item x="342"/>
        <item x="725"/>
        <item x="97"/>
        <item x="702"/>
        <item x="62"/>
        <item x="298"/>
        <item x="119"/>
        <item x="625"/>
        <item x="122"/>
        <item x="813"/>
        <item x="536"/>
        <item x="154"/>
        <item x="299"/>
        <item x="60"/>
        <item x="167"/>
        <item x="396"/>
        <item x="403"/>
        <item x="239"/>
        <item x="772"/>
        <item x="443"/>
        <item x="583"/>
        <item x="41"/>
        <item x="677"/>
        <item x="543"/>
        <item x="3"/>
        <item x="533"/>
        <item x="706"/>
        <item x="375"/>
        <item x="291"/>
        <item x="330"/>
        <item x="428"/>
        <item x="361"/>
        <item x="263"/>
        <item x="721"/>
        <item x="90"/>
        <item x="296"/>
        <item x="630"/>
        <item x="64"/>
        <item x="89"/>
        <item x="654"/>
        <item x="726"/>
        <item x="548"/>
        <item x="645"/>
        <item x="237"/>
        <item x="81"/>
        <item x="79"/>
        <item x="469"/>
        <item x="445"/>
        <item x="801"/>
        <item x="482"/>
        <item x="107"/>
        <item x="637"/>
        <item x="535"/>
        <item x="434"/>
        <item x="191"/>
        <item x="287"/>
        <item x="329"/>
        <item x="218"/>
        <item x="746"/>
        <item x="617"/>
        <item x="285"/>
        <item x="384"/>
        <item x="547"/>
        <item x="341"/>
        <item x="281"/>
        <item x="619"/>
        <item x="789"/>
        <item x="320"/>
        <item x="33"/>
        <item x="580"/>
        <item x="52"/>
        <item x="10"/>
        <item x="196"/>
        <item x="152"/>
        <item x="459"/>
        <item x="243"/>
        <item x="607"/>
        <item x="362"/>
        <item x="723"/>
        <item x="187"/>
        <item x="115"/>
        <item x="371"/>
        <item x="427"/>
        <item x="275"/>
        <item x="485"/>
        <item x="811"/>
        <item x="374"/>
        <item x="351"/>
        <item x="259"/>
        <item x="146"/>
        <item x="564"/>
        <item x="436"/>
        <item x="422"/>
        <item x="508"/>
        <item x="656"/>
        <item x="84"/>
        <item x="116"/>
        <item x="740"/>
        <item x="433"/>
        <item x="56"/>
        <item x="199"/>
        <item x="678"/>
        <item x="7"/>
        <item x="78"/>
        <item x="127"/>
        <item x="399"/>
        <item x="567"/>
        <item x="685"/>
        <item x="652"/>
        <item x="80"/>
        <item x="662"/>
        <item x="304"/>
        <item x="204"/>
        <item x="388"/>
        <item x="663"/>
        <item x="673"/>
        <item x="30"/>
        <item x="476"/>
        <item x="235"/>
        <item x="276"/>
        <item x="764"/>
        <item x="487"/>
        <item x="728"/>
        <item x="743"/>
        <item x="176"/>
        <item x="810"/>
        <item x="262"/>
        <item x="190"/>
        <item x="692"/>
        <item x="293"/>
        <item x="526"/>
        <item x="309"/>
        <item x="635"/>
        <item x="626"/>
        <item x="247"/>
        <item x="279"/>
        <item x="788"/>
        <item x="101"/>
        <item x="355"/>
        <item x="700"/>
        <item x="786"/>
        <item x="566"/>
        <item x="58"/>
        <item x="39"/>
        <item x="271"/>
        <item x="413"/>
        <item x="282"/>
        <item x="161"/>
        <item x="770"/>
        <item x="241"/>
        <item x="345"/>
        <item x="192"/>
        <item x="348"/>
        <item x="738"/>
        <item x="240"/>
        <item x="277"/>
        <item x="350"/>
        <item x="542"/>
        <item x="70"/>
        <item x="13"/>
        <item x="113"/>
        <item x="180"/>
        <item x="233"/>
        <item x="312"/>
        <item x="512"/>
        <item x="257"/>
        <item x="134"/>
        <item x="688"/>
        <item x="102"/>
        <item x="230"/>
        <item x="687"/>
        <item x="787"/>
        <item x="47"/>
        <item x="631"/>
        <item x="490"/>
        <item x="317"/>
        <item x="616"/>
        <item x="478"/>
        <item x="397"/>
        <item x="197"/>
        <item x="137"/>
        <item x="483"/>
        <item x="45"/>
        <item x="614"/>
        <item x="689"/>
        <item x="576"/>
        <item x="704"/>
        <item x="745"/>
        <item x="538"/>
        <item x="29"/>
        <item x="527"/>
        <item x="20"/>
        <item x="507"/>
        <item x="105"/>
        <item x="701"/>
        <item x="254"/>
        <item x="157"/>
        <item x="266"/>
        <item x="522"/>
        <item x="555"/>
        <item x="463"/>
        <item x="245"/>
        <item x="339"/>
        <item x="720"/>
        <item x="613"/>
        <item x="675"/>
        <item x="682"/>
        <item x="86"/>
        <item x="207"/>
        <item x="694"/>
        <item x="579"/>
        <item x="520"/>
        <item x="638"/>
        <item x="470"/>
        <item x="506"/>
        <item x="655"/>
        <item x="609"/>
        <item x="552"/>
        <item x="53"/>
        <item x="769"/>
        <item x="605"/>
        <item x="679"/>
        <item x="8"/>
        <item x="784"/>
        <item x="229"/>
        <item x="383"/>
        <item x="31"/>
        <item x="0"/>
        <item x="153"/>
        <item x="546"/>
        <item x="603"/>
        <item x="524"/>
        <item x="256"/>
        <item x="480"/>
        <item x="88"/>
        <item x="35"/>
        <item x="283"/>
        <item x="195"/>
        <item x="68"/>
        <item x="735"/>
        <item x="337"/>
        <item x="340"/>
        <item x="643"/>
        <item x="400"/>
        <item x="12"/>
        <item x="465"/>
        <item x="367"/>
        <item x="575"/>
        <item x="22"/>
        <item x="269"/>
        <item x="364"/>
        <item x="307"/>
        <item x="505"/>
        <item x="523"/>
        <item x="151"/>
        <item x="550"/>
        <item x="680"/>
        <item x="501"/>
        <item x="224"/>
        <item x="665"/>
        <item x="747"/>
        <item x="636"/>
        <item x="220"/>
        <item x="416"/>
        <item x="661"/>
        <item x="676"/>
        <item x="622"/>
        <item x="798"/>
        <item x="129"/>
        <item x="627"/>
        <item x="466"/>
        <item x="755"/>
        <item x="59"/>
        <item x="1"/>
        <item x="358"/>
        <item x="133"/>
        <item x="453"/>
        <item x="604"/>
        <item x="521"/>
        <item x="484"/>
        <item x="222"/>
        <item x="494"/>
        <item x="95"/>
        <item x="565"/>
        <item x="659"/>
        <item x="804"/>
        <item x="681"/>
        <item x="730"/>
        <item x="534"/>
        <item x="589"/>
        <item x="777"/>
        <item x="793"/>
        <item x="158"/>
        <item x="150"/>
        <item x="556"/>
        <item x="437"/>
        <item x="334"/>
        <item x="373"/>
        <item x="217"/>
        <item x="353"/>
        <item x="639"/>
        <item x="545"/>
        <item x="611"/>
        <item x="34"/>
        <item x="597"/>
        <item x="768"/>
        <item x="265"/>
        <item x="308"/>
        <item x="297"/>
        <item x="618"/>
        <item x="449"/>
        <item x="114"/>
        <item x="162"/>
        <item x="653"/>
        <item x="343"/>
        <item x="672"/>
        <item x="529"/>
        <item x="280"/>
        <item x="379"/>
        <item x="734"/>
        <item x="301"/>
        <item x="174"/>
        <item x="456"/>
        <item x="420"/>
        <item x="305"/>
        <item x="160"/>
        <item x="460"/>
        <item x="327"/>
        <item x="61"/>
        <item x="557"/>
        <item x="696"/>
        <item x="44"/>
        <item x="514"/>
        <item x="210"/>
        <item x="121"/>
        <item x="411"/>
        <item x="19"/>
        <item x="182"/>
        <item x="646"/>
        <item x="502"/>
        <item x="365"/>
        <item x="783"/>
        <item x="503"/>
        <item x="649"/>
        <item x="106"/>
        <item x="57"/>
        <item x="392"/>
        <item x="184"/>
        <item x="179"/>
        <item x="690"/>
        <item x="72"/>
        <item x="360"/>
        <item x="49"/>
        <item x="290"/>
        <item x="261"/>
        <item x="559"/>
        <item x="780"/>
        <item x="125"/>
        <item x="381"/>
        <item x="572"/>
        <item x="669"/>
        <item x="712"/>
        <item x="156"/>
        <item x="666"/>
        <item x="270"/>
        <item x="264"/>
        <item x="467"/>
        <item x="286"/>
        <item x="393"/>
        <item x="96"/>
        <item x="415"/>
        <item x="316"/>
        <item x="596"/>
        <item x="139"/>
        <item x="412"/>
        <item x="510"/>
        <item x="295"/>
        <item x="814"/>
        <item x="123"/>
        <item x="370"/>
        <item x="446"/>
        <item x="693"/>
        <item x="208"/>
        <item x="426"/>
        <item x="492"/>
        <item x="457"/>
        <item x="778"/>
        <item x="50"/>
        <item x="749"/>
        <item x="421"/>
        <item x="451"/>
        <item x="794"/>
        <item x="171"/>
        <item x="54"/>
        <item x="289"/>
        <item x="410"/>
        <item x="569"/>
        <item x="385"/>
        <item x="792"/>
        <item x="574"/>
        <item x="17"/>
        <item x="200"/>
        <item x="11"/>
        <item x="515"/>
        <item x="26"/>
        <item x="349"/>
        <item x="758"/>
        <item x="477"/>
        <item x="650"/>
        <item x="500"/>
        <item x="800"/>
        <item x="83"/>
        <item x="713"/>
        <item x="87"/>
        <item x="727"/>
        <item x="227"/>
        <item x="705"/>
        <item x="518"/>
        <item x="260"/>
        <item x="110"/>
        <item x="668"/>
        <item x="417"/>
        <item x="593"/>
        <item x="407"/>
        <item x="418"/>
        <item x="394"/>
        <item x="628"/>
        <item x="481"/>
        <item x="169"/>
        <item x="194"/>
        <item x="292"/>
        <item x="462"/>
        <item x="496"/>
        <item x="581"/>
        <item x="568"/>
        <item x="372"/>
        <item x="799"/>
        <item x="474"/>
        <item x="148"/>
        <item x="40"/>
        <item x="736"/>
        <item x="573"/>
        <item x="796"/>
        <item x="751"/>
        <item x="357"/>
        <item x="600"/>
        <item x="488"/>
        <item x="771"/>
        <item x="594"/>
        <item x="38"/>
        <item x="124"/>
        <item x="250"/>
        <item x="236"/>
        <item x="779"/>
        <item x="2"/>
        <item x="94"/>
        <item x="135"/>
        <item x="109"/>
        <item x="406"/>
        <item x="118"/>
        <item x="486"/>
        <item x="742"/>
        <item x="776"/>
        <item x="377"/>
        <item x="731"/>
        <item x="711"/>
        <item x="562"/>
        <item x="258"/>
        <item x="629"/>
        <item x="111"/>
        <item x="748"/>
        <item x="578"/>
        <item x="336"/>
        <item x="252"/>
        <item x="405"/>
        <item x="359"/>
        <item x="495"/>
        <item x="71"/>
        <item x="441"/>
        <item x="670"/>
        <item x="248"/>
        <item x="352"/>
        <item x="450"/>
        <item x="234"/>
        <item x="709"/>
        <item x="319"/>
        <item x="497"/>
        <item x="602"/>
        <item x="103"/>
        <item x="577"/>
        <item x="203"/>
        <item x="147"/>
        <item x="136"/>
        <item x="188"/>
        <item x="640"/>
        <item x="82"/>
        <item x="120"/>
        <item x="795"/>
        <item x="212"/>
        <item x="587"/>
        <item x="149"/>
        <item x="302"/>
        <item x="475"/>
        <item x="439"/>
        <item x="314"/>
        <item x="419"/>
        <item x="610"/>
        <item x="16"/>
        <item x="193"/>
        <item x="468"/>
        <item x="216"/>
        <item x="790"/>
        <item x="159"/>
        <item x="402"/>
        <item x="739"/>
        <item x="479"/>
        <item x="28"/>
        <item x="447"/>
        <item x="744"/>
        <item x="185"/>
        <item x="513"/>
        <item x="382"/>
        <item x="75"/>
        <item x="221"/>
        <item x="716"/>
        <item x="346"/>
        <item x="530"/>
        <item x="724"/>
        <item x="73"/>
        <item x="493"/>
        <item x="805"/>
        <item x="509"/>
        <item x="752"/>
        <item x="498"/>
        <item x="430"/>
        <item x="710"/>
        <item x="775"/>
        <item x="310"/>
        <item x="108"/>
        <item x="537"/>
        <item x="228"/>
        <item x="36"/>
        <item x="225"/>
        <item x="554"/>
        <item x="165"/>
        <item x="561"/>
        <item x="440"/>
        <item x="249"/>
        <item x="14"/>
        <item x="255"/>
        <item x="65"/>
        <item x="201"/>
        <item x="69"/>
        <item x="429"/>
        <item x="284"/>
        <item x="683"/>
        <item x="318"/>
        <item x="401"/>
        <item x="802"/>
        <item x="5"/>
        <item x="91"/>
        <item x="395"/>
        <item x="624"/>
        <item x="326"/>
        <item x="642"/>
        <item x="504"/>
        <item x="432"/>
        <item x="272"/>
        <item x="404"/>
        <item x="368"/>
        <item x="77"/>
        <item x="517"/>
        <item x="303"/>
        <item x="25"/>
        <item x="491"/>
        <item x="238"/>
        <item x="306"/>
        <item x="553"/>
        <item x="756"/>
        <item x="452"/>
        <item x="803"/>
        <item x="138"/>
        <item x="588"/>
        <item x="621"/>
        <item x="423"/>
        <item x="791"/>
        <item x="163"/>
        <item x="51"/>
        <item x="733"/>
        <item x="27"/>
        <item x="499"/>
        <item x="140"/>
        <item x="100"/>
        <item x="219"/>
        <item x="67"/>
        <item x="489"/>
        <item x="145"/>
        <item x="273"/>
        <item x="570"/>
        <item x="66"/>
        <item x="126"/>
        <item x="253"/>
        <item x="698"/>
        <item x="708"/>
        <item x="544"/>
        <item x="715"/>
        <item x="173"/>
        <item x="815"/>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2">
    <i>
      <x/>
    </i>
    <i i="1">
      <x v="1"/>
    </i>
  </colItems>
  <dataFields count="2">
    <dataField name="Sum of Variance" fld="13" baseField="0" baseItem="0"/>
    <dataField name="Count of VARIANCE %" fld="14"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8B4BBDC-17EB-4B6D-86B4-0CB04E5A4014}"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2" firstHeaderRow="1" firstDataRow="1" firstDataCol="1"/>
  <pivotFields count="17">
    <pivotField showAll="0"/>
    <pivotField showAll="0"/>
    <pivotField axis="axisRow" showAll="0">
      <items count="7">
        <item x="0"/>
        <item h="1" x="4"/>
        <item h="1" x="1"/>
        <item h="1" x="3"/>
        <item h="1" x="2"/>
        <item h="1" x="5"/>
        <item t="default"/>
      </items>
    </pivotField>
    <pivotField axis="axisRow" showAll="0">
      <items count="7">
        <item x="1"/>
        <item x="4"/>
        <item x="2"/>
        <item x="0"/>
        <item x="3"/>
        <item x="5"/>
        <item t="default"/>
      </items>
    </pivotField>
    <pivotField showAll="0"/>
    <pivotField showAll="0"/>
    <pivotField axis="axisRow" showAll="0">
      <items count="8">
        <item x="4"/>
        <item x="1"/>
        <item x="2"/>
        <item x="3"/>
        <item x="5"/>
        <item x="0"/>
        <item x="6"/>
        <item t="default"/>
      </items>
    </pivotField>
    <pivotField showAll="0">
      <items count="7">
        <item x="4"/>
        <item x="3"/>
        <item x="1"/>
        <item x="2"/>
        <item x="0"/>
        <item x="5"/>
        <item t="default"/>
      </items>
    </pivotField>
    <pivotField showAll="0"/>
    <pivotField showAll="0"/>
    <pivotField showAll="0">
      <items count="32">
        <item x="14"/>
        <item x="24"/>
        <item x="18"/>
        <item x="8"/>
        <item x="29"/>
        <item x="22"/>
        <item x="17"/>
        <item x="4"/>
        <item x="3"/>
        <item x="27"/>
        <item x="9"/>
        <item x="6"/>
        <item x="20"/>
        <item x="11"/>
        <item x="16"/>
        <item x="7"/>
        <item x="0"/>
        <item x="1"/>
        <item x="21"/>
        <item x="25"/>
        <item x="15"/>
        <item x="26"/>
        <item x="10"/>
        <item x="23"/>
        <item x="2"/>
        <item x="28"/>
        <item x="13"/>
        <item x="12"/>
        <item x="5"/>
        <item x="19"/>
        <item x="30"/>
        <item t="default"/>
      </items>
    </pivotField>
    <pivotField showAll="0"/>
    <pivotField showAll="0"/>
    <pivotField showAll="0"/>
    <pivotField showAll="0"/>
    <pivotField showAll="0">
      <items count="4">
        <item x="1"/>
        <item x="0"/>
        <item x="2"/>
        <item t="default"/>
      </items>
    </pivotField>
    <pivotField dataField="1" showAll="0">
      <items count="4">
        <item x="1"/>
        <item x="0"/>
        <item x="2"/>
        <item t="default"/>
      </items>
    </pivotField>
  </pivotFields>
  <rowFields count="3">
    <field x="2"/>
    <field x="3"/>
    <field x="6"/>
  </rowFields>
  <rowItems count="9">
    <i>
      <x/>
    </i>
    <i r="1">
      <x v="3"/>
    </i>
    <i r="2">
      <x/>
    </i>
    <i r="2">
      <x v="1"/>
    </i>
    <i r="2">
      <x v="2"/>
    </i>
    <i r="2">
      <x v="3"/>
    </i>
    <i r="2">
      <x v="4"/>
    </i>
    <i r="2">
      <x v="5"/>
    </i>
    <i t="grand">
      <x/>
    </i>
  </rowItems>
  <colItems count="1">
    <i/>
  </colItems>
  <dataFields count="1">
    <dataField name="Count of CLASSIFY PERFORMANCE" fld="16"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C53457E-D528-4C4D-BD62-90CFC8AAE743}"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4" firstHeaderRow="0" firstDataRow="1" firstDataCol="0"/>
  <pivotFields count="17">
    <pivotField showAll="0"/>
    <pivotField showAll="0"/>
    <pivotField showAll="0">
      <items count="7">
        <item x="0"/>
        <item h="1" x="4"/>
        <item h="1" x="1"/>
        <item h="1" x="3"/>
        <item h="1" x="2"/>
        <item h="1" x="5"/>
        <item t="default"/>
      </items>
    </pivotField>
    <pivotField showAll="0">
      <items count="7">
        <item x="1"/>
        <item x="4"/>
        <item x="2"/>
        <item x="0"/>
        <item x="3"/>
        <item x="5"/>
        <item t="default"/>
      </items>
    </pivotField>
    <pivotField showAll="0"/>
    <pivotField showAll="0"/>
    <pivotField showAll="0">
      <items count="8">
        <item x="4"/>
        <item x="1"/>
        <item x="2"/>
        <item x="3"/>
        <item x="5"/>
        <item x="0"/>
        <item x="6"/>
        <item t="default"/>
      </items>
    </pivotField>
    <pivotField showAll="0">
      <items count="7">
        <item x="4"/>
        <item x="3"/>
        <item x="1"/>
        <item x="2"/>
        <item x="0"/>
        <item x="5"/>
        <item t="default"/>
      </items>
    </pivotField>
    <pivotField showAll="0"/>
    <pivotField showAll="0"/>
    <pivotField showAll="0">
      <items count="32">
        <item x="14"/>
        <item x="24"/>
        <item x="18"/>
        <item x="8"/>
        <item x="29"/>
        <item x="22"/>
        <item x="17"/>
        <item x="4"/>
        <item x="3"/>
        <item x="27"/>
        <item x="9"/>
        <item x="6"/>
        <item x="20"/>
        <item x="11"/>
        <item x="16"/>
        <item x="7"/>
        <item x="0"/>
        <item x="1"/>
        <item x="21"/>
        <item x="25"/>
        <item x="15"/>
        <item x="26"/>
        <item x="10"/>
        <item x="23"/>
        <item x="2"/>
        <item x="28"/>
        <item x="13"/>
        <item x="12"/>
        <item x="5"/>
        <item x="19"/>
        <item x="30"/>
        <item t="default"/>
      </items>
    </pivotField>
    <pivotField dataField="1" showAll="0"/>
    <pivotField dataField="1" showAll="0"/>
    <pivotField showAll="0"/>
    <pivotField showAll="0"/>
    <pivotField showAll="0">
      <items count="4">
        <item x="1"/>
        <item x="0"/>
        <item x="2"/>
        <item t="default"/>
      </items>
    </pivotField>
    <pivotField showAll="0">
      <items count="4">
        <item x="1"/>
        <item x="0"/>
        <item x="2"/>
        <item t="default"/>
      </items>
    </pivotField>
  </pivotFields>
  <rowItems count="1">
    <i/>
  </rowItems>
  <colFields count="1">
    <field x="-2"/>
  </colFields>
  <colItems count="2">
    <i>
      <x/>
    </i>
    <i i="1">
      <x v="1"/>
    </i>
  </colItems>
  <dataFields count="2">
    <dataField name="Sum of ActualAmount" fld="11" baseField="0" baseItem="0"/>
    <dataField name="Sum of BudgetUSD" fld="1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88BCFB2-5D45-422C-B9C2-BFA83B516BFE}"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showAll="0"/>
    <pivotField showAll="0"/>
    <pivotField showAll="0">
      <items count="7">
        <item x="0"/>
        <item h="1" x="4"/>
        <item h="1" x="1"/>
        <item h="1" x="3"/>
        <item h="1" x="2"/>
        <item h="1" x="5"/>
        <item t="default"/>
      </items>
    </pivotField>
    <pivotField showAll="0">
      <items count="7">
        <item x="1"/>
        <item x="4"/>
        <item x="2"/>
        <item x="0"/>
        <item x="3"/>
        <item x="5"/>
        <item t="default"/>
      </items>
    </pivotField>
    <pivotField showAll="0"/>
    <pivotField showAll="0"/>
    <pivotField showAll="0">
      <items count="8">
        <item x="4"/>
        <item x="1"/>
        <item x="2"/>
        <item x="3"/>
        <item x="5"/>
        <item x="0"/>
        <item x="6"/>
        <item t="default"/>
      </items>
    </pivotField>
    <pivotField showAll="0">
      <items count="7">
        <item x="4"/>
        <item x="3"/>
        <item x="1"/>
        <item x="2"/>
        <item x="0"/>
        <item x="5"/>
        <item t="default"/>
      </items>
    </pivotField>
    <pivotField showAll="0"/>
    <pivotField showAll="0"/>
    <pivotField showAll="0">
      <items count="32">
        <item x="14"/>
        <item x="24"/>
        <item x="18"/>
        <item x="8"/>
        <item x="29"/>
        <item x="22"/>
        <item x="17"/>
        <item x="4"/>
        <item x="3"/>
        <item x="27"/>
        <item x="9"/>
        <item x="6"/>
        <item x="20"/>
        <item x="11"/>
        <item x="16"/>
        <item x="7"/>
        <item x="0"/>
        <item x="1"/>
        <item x="21"/>
        <item x="25"/>
        <item x="15"/>
        <item x="26"/>
        <item x="10"/>
        <item x="23"/>
        <item x="2"/>
        <item x="28"/>
        <item x="13"/>
        <item x="12"/>
        <item x="5"/>
        <item x="19"/>
        <item x="30"/>
        <item t="default"/>
      </items>
    </pivotField>
    <pivotField dataField="1" showAll="0"/>
    <pivotField showAll="0"/>
    <pivotField showAll="0"/>
    <pivotField showAll="0"/>
    <pivotField showAll="0">
      <items count="4">
        <item x="1"/>
        <item x="0"/>
        <item x="2"/>
        <item t="default"/>
      </items>
    </pivotField>
    <pivotField showAll="0">
      <items count="4">
        <item x="1"/>
        <item x="0"/>
        <item x="2"/>
        <item t="default"/>
      </items>
    </pivotField>
  </pivotFields>
  <rowItems count="1">
    <i/>
  </rowItems>
  <colItems count="1">
    <i/>
  </colItems>
  <dataFields count="1">
    <dataField name="Sum of ActualAmoun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F374BCA-4024-47BF-9155-D99AE81B0C8E}"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C11" firstHeaderRow="0" firstDataRow="1" firstDataCol="1"/>
  <pivotFields count="17">
    <pivotField showAll="0"/>
    <pivotField showAll="0"/>
    <pivotField showAll="0">
      <items count="7">
        <item x="0"/>
        <item h="1" x="4"/>
        <item h="1" x="1"/>
        <item h="1" x="3"/>
        <item h="1" x="2"/>
        <item h="1" x="5"/>
        <item t="default"/>
      </items>
    </pivotField>
    <pivotField showAll="0">
      <items count="7">
        <item x="1"/>
        <item x="4"/>
        <item x="2"/>
        <item x="0"/>
        <item x="3"/>
        <item x="5"/>
        <item t="default"/>
      </items>
    </pivotField>
    <pivotField showAll="0"/>
    <pivotField showAll="0"/>
    <pivotField axis="axisRow" showAll="0">
      <items count="8">
        <item x="4"/>
        <item x="1"/>
        <item x="2"/>
        <item x="3"/>
        <item x="5"/>
        <item x="0"/>
        <item x="6"/>
        <item t="default"/>
      </items>
    </pivotField>
    <pivotField showAll="0">
      <items count="7">
        <item x="4"/>
        <item x="3"/>
        <item x="1"/>
        <item x="2"/>
        <item x="0"/>
        <item x="5"/>
        <item t="default"/>
      </items>
    </pivotField>
    <pivotField showAll="0"/>
    <pivotField showAll="0"/>
    <pivotField showAll="0">
      <items count="32">
        <item x="14"/>
        <item x="24"/>
        <item x="18"/>
        <item x="8"/>
        <item x="29"/>
        <item x="22"/>
        <item x="17"/>
        <item x="4"/>
        <item x="3"/>
        <item x="27"/>
        <item x="9"/>
        <item x="6"/>
        <item x="20"/>
        <item x="11"/>
        <item x="16"/>
        <item x="7"/>
        <item x="0"/>
        <item x="1"/>
        <item x="21"/>
        <item x="25"/>
        <item x="15"/>
        <item x="26"/>
        <item x="10"/>
        <item x="23"/>
        <item x="2"/>
        <item x="28"/>
        <item x="13"/>
        <item x="12"/>
        <item x="5"/>
        <item x="19"/>
        <item x="30"/>
        <item t="default"/>
      </items>
    </pivotField>
    <pivotField dataField="1" showAll="0"/>
    <pivotField dataField="1" showAll="0"/>
    <pivotField showAll="0"/>
    <pivotField showAll="0"/>
    <pivotField showAll="0">
      <items count="4">
        <item x="1"/>
        <item x="0"/>
        <item x="2"/>
        <item t="default"/>
      </items>
    </pivotField>
    <pivotField showAll="0">
      <items count="4">
        <item x="1"/>
        <item x="0"/>
        <item x="2"/>
        <item t="default"/>
      </items>
    </pivotField>
  </pivotFields>
  <rowFields count="1">
    <field x="6"/>
  </rowFields>
  <rowItems count="8">
    <i>
      <x/>
    </i>
    <i>
      <x v="1"/>
    </i>
    <i>
      <x v="2"/>
    </i>
    <i>
      <x v="3"/>
    </i>
    <i>
      <x v="4"/>
    </i>
    <i>
      <x v="5"/>
    </i>
    <i>
      <x v="6"/>
    </i>
    <i t="grand">
      <x/>
    </i>
  </rowItems>
  <colFields count="1">
    <field x="-2"/>
  </colFields>
  <colItems count="2">
    <i>
      <x/>
    </i>
    <i i="1">
      <x v="1"/>
    </i>
  </colItems>
  <dataFields count="2">
    <dataField name="Sum of ActualAmount" fld="11" baseField="0" baseItem="0"/>
    <dataField name="Sum of BudgetUSD" fld="12"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20" format="4"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1728625-5628-4BA5-9522-87E307D022DA}" name="PivotTable1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1" firstHeaderRow="1" firstDataRow="1" firstDataCol="1"/>
  <pivotFields count="17">
    <pivotField showAll="0"/>
    <pivotField showAll="0"/>
    <pivotField showAll="0">
      <items count="7">
        <item x="0"/>
        <item h="1" x="4"/>
        <item h="1" x="1"/>
        <item h="1" x="3"/>
        <item h="1" x="2"/>
        <item h="1" x="5"/>
        <item t="default"/>
      </items>
    </pivotField>
    <pivotField showAll="0">
      <items count="7">
        <item x="1"/>
        <item x="4"/>
        <item x="2"/>
        <item x="0"/>
        <item x="3"/>
        <item x="5"/>
        <item t="default"/>
      </items>
    </pivotField>
    <pivotField showAll="0"/>
    <pivotField showAll="0"/>
    <pivotField axis="axisRow" showAll="0">
      <items count="8">
        <item x="4"/>
        <item x="1"/>
        <item x="2"/>
        <item x="3"/>
        <item x="5"/>
        <item x="0"/>
        <item x="6"/>
        <item t="default"/>
      </items>
    </pivotField>
    <pivotField showAll="0">
      <items count="7">
        <item x="4"/>
        <item x="3"/>
        <item x="1"/>
        <item x="2"/>
        <item x="0"/>
        <item x="5"/>
        <item t="default"/>
      </items>
    </pivotField>
    <pivotField showAll="0"/>
    <pivotField showAll="0"/>
    <pivotField showAll="0">
      <items count="32">
        <item x="14"/>
        <item x="24"/>
        <item x="18"/>
        <item x="8"/>
        <item x="29"/>
        <item x="22"/>
        <item x="17"/>
        <item x="4"/>
        <item x="3"/>
        <item x="27"/>
        <item x="9"/>
        <item x="6"/>
        <item x="20"/>
        <item x="11"/>
        <item x="16"/>
        <item x="7"/>
        <item x="0"/>
        <item x="1"/>
        <item x="21"/>
        <item x="25"/>
        <item x="15"/>
        <item x="26"/>
        <item x="10"/>
        <item x="23"/>
        <item x="2"/>
        <item x="28"/>
        <item x="13"/>
        <item x="12"/>
        <item x="5"/>
        <item x="19"/>
        <item x="30"/>
        <item t="default"/>
      </items>
    </pivotField>
    <pivotField showAll="0"/>
    <pivotField showAll="0"/>
    <pivotField dataField="1" showAll="0"/>
    <pivotField showAll="0"/>
    <pivotField showAll="0">
      <items count="4">
        <item x="1"/>
        <item x="0"/>
        <item x="2"/>
        <item t="default"/>
      </items>
    </pivotField>
    <pivotField showAll="0">
      <items count="4">
        <item x="1"/>
        <item x="0"/>
        <item x="2"/>
        <item t="default"/>
      </items>
    </pivotField>
  </pivotFields>
  <rowFields count="1">
    <field x="6"/>
  </rowFields>
  <rowItems count="8">
    <i>
      <x/>
    </i>
    <i>
      <x v="1"/>
    </i>
    <i>
      <x v="2"/>
    </i>
    <i>
      <x v="3"/>
    </i>
    <i>
      <x v="4"/>
    </i>
    <i>
      <x v="5"/>
    </i>
    <i>
      <x v="6"/>
    </i>
    <i t="grand">
      <x/>
    </i>
  </rowItems>
  <colItems count="1">
    <i/>
  </colItems>
  <dataFields count="1">
    <dataField name="Sum of Variance" fld="13" baseField="0" baseItem="0"/>
  </dataFields>
  <chartFormats count="3">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009D52E-4080-4711-AD75-491CC198B1A9}" name="PivotTable1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35" firstHeaderRow="1" firstDataRow="1" firstDataCol="1"/>
  <pivotFields count="17">
    <pivotField showAll="0"/>
    <pivotField showAll="0"/>
    <pivotField showAll="0">
      <items count="7">
        <item x="0"/>
        <item h="1" x="4"/>
        <item h="1" x="1"/>
        <item h="1" x="3"/>
        <item h="1" x="2"/>
        <item h="1" x="5"/>
        <item t="default"/>
      </items>
    </pivotField>
    <pivotField showAll="0">
      <items count="7">
        <item x="1"/>
        <item x="4"/>
        <item x="2"/>
        <item x="0"/>
        <item x="3"/>
        <item x="5"/>
        <item t="default"/>
      </items>
    </pivotField>
    <pivotField showAll="0"/>
    <pivotField showAll="0"/>
    <pivotField showAll="0">
      <items count="8">
        <item x="4"/>
        <item x="1"/>
        <item x="2"/>
        <item x="3"/>
        <item x="5"/>
        <item x="0"/>
        <item x="6"/>
        <item t="default"/>
      </items>
    </pivotField>
    <pivotField showAll="0">
      <items count="7">
        <item x="4"/>
        <item x="3"/>
        <item x="1"/>
        <item x="2"/>
        <item x="0"/>
        <item x="5"/>
        <item t="default"/>
      </items>
    </pivotField>
    <pivotField showAll="0"/>
    <pivotField showAll="0"/>
    <pivotField axis="axisRow" showAll="0">
      <items count="32">
        <item x="14"/>
        <item x="24"/>
        <item x="18"/>
        <item x="8"/>
        <item x="29"/>
        <item x="22"/>
        <item x="17"/>
        <item x="4"/>
        <item x="3"/>
        <item x="27"/>
        <item x="9"/>
        <item x="6"/>
        <item x="20"/>
        <item x="11"/>
        <item x="16"/>
        <item x="7"/>
        <item x="0"/>
        <item x="1"/>
        <item x="21"/>
        <item x="25"/>
        <item x="15"/>
        <item x="26"/>
        <item x="10"/>
        <item x="23"/>
        <item x="2"/>
        <item x="28"/>
        <item x="13"/>
        <item x="12"/>
        <item x="5"/>
        <item x="19"/>
        <item x="30"/>
        <item t="default"/>
      </items>
    </pivotField>
    <pivotField dataField="1" showAll="0"/>
    <pivotField showAll="0"/>
    <pivotField showAll="0"/>
    <pivotField showAll="0"/>
    <pivotField showAll="0">
      <items count="4">
        <item x="1"/>
        <item x="0"/>
        <item x="2"/>
        <item t="default"/>
      </items>
    </pivotField>
    <pivotField showAll="0">
      <items count="4">
        <item x="1"/>
        <item x="0"/>
        <item x="2"/>
        <item t="default"/>
      </items>
    </pivotField>
  </pivotFields>
  <rowFields count="1">
    <field x="1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ActualAmount" fld="11" baseField="0" baseItem="0"/>
  </dataFields>
  <chartFormats count="3">
    <chartFormat chart="8" format="77"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0" format="7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DB7F133-E1C4-432B-A6D7-0124A8EF67C3}" name="PivotTable1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E12" firstHeaderRow="1" firstDataRow="2" firstDataCol="1"/>
  <pivotFields count="17">
    <pivotField showAll="0"/>
    <pivotField showAll="0"/>
    <pivotField showAll="0">
      <items count="7">
        <item x="0"/>
        <item h="1" x="4"/>
        <item h="1" x="1"/>
        <item h="1" x="3"/>
        <item h="1" x="2"/>
        <item h="1" x="5"/>
        <item t="default"/>
      </items>
    </pivotField>
    <pivotField showAll="0">
      <items count="7">
        <item x="1"/>
        <item x="4"/>
        <item x="2"/>
        <item x="0"/>
        <item x="3"/>
        <item x="5"/>
        <item t="default"/>
      </items>
    </pivotField>
    <pivotField showAll="0"/>
    <pivotField showAll="0"/>
    <pivotField axis="axisRow" showAll="0">
      <items count="8">
        <item x="4"/>
        <item x="1"/>
        <item x="2"/>
        <item x="3"/>
        <item x="5"/>
        <item x="0"/>
        <item x="6"/>
        <item t="default"/>
      </items>
    </pivotField>
    <pivotField showAll="0">
      <items count="7">
        <item x="4"/>
        <item x="3"/>
        <item x="1"/>
        <item x="2"/>
        <item x="0"/>
        <item x="5"/>
        <item t="default"/>
      </items>
    </pivotField>
    <pivotField showAll="0"/>
    <pivotField showAll="0"/>
    <pivotField showAll="0">
      <items count="32">
        <item x="14"/>
        <item x="24"/>
        <item x="18"/>
        <item x="8"/>
        <item x="29"/>
        <item x="22"/>
        <item x="17"/>
        <item x="4"/>
        <item x="3"/>
        <item x="27"/>
        <item x="9"/>
        <item x="6"/>
        <item x="20"/>
        <item x="11"/>
        <item x="16"/>
        <item x="7"/>
        <item x="0"/>
        <item x="1"/>
        <item x="21"/>
        <item x="25"/>
        <item x="15"/>
        <item x="26"/>
        <item x="10"/>
        <item x="23"/>
        <item x="2"/>
        <item x="28"/>
        <item x="13"/>
        <item x="12"/>
        <item x="5"/>
        <item x="19"/>
        <item x="30"/>
        <item t="default"/>
      </items>
    </pivotField>
    <pivotField showAll="0"/>
    <pivotField showAll="0"/>
    <pivotField showAll="0"/>
    <pivotField showAll="0"/>
    <pivotField showAll="0">
      <items count="4">
        <item x="1"/>
        <item x="0"/>
        <item x="2"/>
        <item t="default"/>
      </items>
    </pivotField>
    <pivotField axis="axisCol" dataField="1" showAll="0">
      <items count="4">
        <item x="1"/>
        <item x="0"/>
        <item x="2"/>
        <item t="default"/>
      </items>
    </pivotField>
  </pivotFields>
  <rowFields count="1">
    <field x="6"/>
  </rowFields>
  <rowItems count="8">
    <i>
      <x/>
    </i>
    <i>
      <x v="1"/>
    </i>
    <i>
      <x v="2"/>
    </i>
    <i>
      <x v="3"/>
    </i>
    <i>
      <x v="4"/>
    </i>
    <i>
      <x v="5"/>
    </i>
    <i>
      <x v="6"/>
    </i>
    <i t="grand">
      <x/>
    </i>
  </rowItems>
  <colFields count="1">
    <field x="16"/>
  </colFields>
  <colItems count="4">
    <i>
      <x/>
    </i>
    <i>
      <x v="1"/>
    </i>
    <i>
      <x v="2"/>
    </i>
    <i t="grand">
      <x/>
    </i>
  </colItems>
  <dataFields count="1">
    <dataField name="Count of CLASSIFY PERFORMANCE" fld="16" subtotal="count" baseField="0" baseItem="0"/>
  </dataFields>
  <chartFormats count="14">
    <chartFormat chart="7" format="11" series="1">
      <pivotArea type="data" outline="0" fieldPosition="0">
        <references count="1">
          <reference field="16" count="1" selected="0">
            <x v="1"/>
          </reference>
        </references>
      </pivotArea>
    </chartFormat>
    <chartFormat chart="7" format="12" series="1">
      <pivotArea type="data" outline="0" fieldPosition="0">
        <references count="1">
          <reference field="16" count="1" selected="0">
            <x v="2"/>
          </reference>
        </references>
      </pivotArea>
    </chartFormat>
    <chartFormat chart="7" format="13" series="1">
      <pivotArea type="data" outline="0" fieldPosition="0">
        <references count="1">
          <reference field="16" count="1" selected="0">
            <x v="0"/>
          </reference>
        </references>
      </pivotArea>
    </chartFormat>
    <chartFormat chart="0" format="4" series="1">
      <pivotArea type="data" outline="0" fieldPosition="0">
        <references count="1">
          <reference field="16" count="1" selected="0">
            <x v="1"/>
          </reference>
        </references>
      </pivotArea>
    </chartFormat>
    <chartFormat chart="0" format="5" series="1">
      <pivotArea type="data" outline="0" fieldPosition="0">
        <references count="1">
          <reference field="16" count="1" selected="0">
            <x v="2"/>
          </reference>
        </references>
      </pivotArea>
    </chartFormat>
    <chartFormat chart="0" format="6" series="1">
      <pivotArea type="data" outline="0" fieldPosition="0">
        <references count="1">
          <reference field="16" count="1" selected="0">
            <x v="0"/>
          </reference>
        </references>
      </pivotArea>
    </chartFormat>
    <chartFormat chart="7" format="14" series="1">
      <pivotArea type="data" outline="0" fieldPosition="0">
        <references count="2">
          <reference field="4294967294" count="1" selected="0">
            <x v="0"/>
          </reference>
          <reference field="16" count="1" selected="0">
            <x v="0"/>
          </reference>
        </references>
      </pivotArea>
    </chartFormat>
    <chartFormat chart="7" format="15" series="1">
      <pivotArea type="data" outline="0" fieldPosition="0">
        <references count="2">
          <reference field="4294967294" count="1" selected="0">
            <x v="0"/>
          </reference>
          <reference field="16" count="1" selected="0">
            <x v="2"/>
          </reference>
        </references>
      </pivotArea>
    </chartFormat>
    <chartFormat chart="0" format="7" series="1">
      <pivotArea type="data" outline="0" fieldPosition="0">
        <references count="2">
          <reference field="4294967294" count="1" selected="0">
            <x v="0"/>
          </reference>
          <reference field="16" count="1" selected="0">
            <x v="2"/>
          </reference>
        </references>
      </pivotArea>
    </chartFormat>
    <chartFormat chart="7" format="16" series="1">
      <pivotArea type="data" outline="0" fieldPosition="0">
        <references count="1">
          <reference field="4294967294" count="1" selected="0">
            <x v="0"/>
          </reference>
        </references>
      </pivotArea>
    </chartFormat>
    <chartFormat chart="0" format="8" series="1">
      <pivotArea type="data" outline="0" fieldPosition="0">
        <references count="1">
          <reference field="4294967294" count="1" selected="0">
            <x v="0"/>
          </reference>
        </references>
      </pivotArea>
    </chartFormat>
    <chartFormat chart="7" format="17" series="1">
      <pivotArea type="data" outline="0" fieldPosition="0">
        <references count="2">
          <reference field="4294967294" count="1" selected="0">
            <x v="0"/>
          </reference>
          <reference field="16" count="1" selected="0">
            <x v="1"/>
          </reference>
        </references>
      </pivotArea>
    </chartFormat>
    <chartFormat chart="0" format="9" series="1">
      <pivotArea type="data" outline="0" fieldPosition="0">
        <references count="2">
          <reference field="4294967294" count="1" selected="0">
            <x v="0"/>
          </reference>
          <reference field="16" count="1" selected="0">
            <x v="1"/>
          </reference>
        </references>
      </pivotArea>
    </chartFormat>
    <chartFormat chart="0" format="10" series="1">
      <pivotArea type="data" outline="0" fieldPosition="0">
        <references count="2">
          <reference field="4294967294" count="1" selected="0">
            <x v="0"/>
          </reference>
          <reference field="1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BA7633C-AD08-4897-A617-3BCB3F9EEAC1}" name="PivotTable1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H3" firstHeaderRow="0" firstDataRow="1" firstDataCol="0"/>
  <pivotFields count="5">
    <pivotField dataField="1" showAll="0">
      <items count="4">
        <item x="1"/>
        <item x="2"/>
        <item x="0"/>
        <item t="default"/>
      </items>
    </pivotField>
    <pivotField dataField="1" showAll="0">
      <items count="4">
        <item x="2"/>
        <item x="0"/>
        <item x="1"/>
        <item t="default"/>
      </items>
    </pivotField>
    <pivotField dataField="1" showAll="0">
      <items count="4">
        <item x="1"/>
        <item x="2"/>
        <item x="0"/>
        <item t="default"/>
      </items>
    </pivotField>
    <pivotField dataField="1" showAll="0">
      <items count="4">
        <item x="2"/>
        <item x="0"/>
        <item x="1"/>
        <item t="default"/>
      </items>
    </pivotField>
    <pivotField dataField="1" showAll="0">
      <items count="4">
        <item x="2"/>
        <item x="0"/>
        <item x="1"/>
        <item t="default"/>
      </items>
    </pivotField>
  </pivotFields>
  <rowItems count="1">
    <i/>
  </rowItems>
  <colFields count="1">
    <field x="-2"/>
  </colFields>
  <colItems count="5">
    <i>
      <x/>
    </i>
    <i i="1">
      <x v="1"/>
    </i>
    <i i="2">
      <x v="2"/>
    </i>
    <i i="3">
      <x v="3"/>
    </i>
    <i i="4">
      <x v="4"/>
    </i>
  </colItems>
  <dataFields count="5">
    <dataField name="Count of Metric" fld="0" subtotal="count" baseField="0" baseItem="0"/>
    <dataField name="Sum of Actual" fld="1" baseField="0" baseItem="0"/>
    <dataField name="Sum of Budget" fld="2" baseField="0" baseItem="0"/>
    <dataField name="Sum of Variance" fld="3" baseField="0" baseItem="0"/>
    <dataField name="Sum of Variance %" fld="4" baseField="0" baseItem="0"/>
  </dataFields>
  <formats count="8">
    <format dxfId="14">
      <pivotArea dataOnly="0" outline="0" fieldPosition="0">
        <references count="1">
          <reference field="4294967294" count="5">
            <x v="0"/>
            <x v="1"/>
            <x v="2"/>
            <x v="3"/>
            <x v="4"/>
          </reference>
        </references>
      </pivotArea>
    </format>
    <format dxfId="13">
      <pivotArea dataOnly="0" outline="0" fieldPosition="0">
        <references count="1">
          <reference field="4294967294" count="5">
            <x v="0"/>
            <x v="1"/>
            <x v="2"/>
            <x v="3"/>
            <x v="4"/>
          </reference>
        </references>
      </pivotArea>
    </format>
    <format dxfId="12">
      <pivotArea type="all" dataOnly="0" outline="0" fieldPosition="0"/>
    </format>
    <format dxfId="11">
      <pivotArea outline="0" collapsedLevelsAreSubtotals="1" fieldPosition="0"/>
    </format>
    <format dxfId="10">
      <pivotArea dataOnly="0" labelOnly="1" outline="0" fieldPosition="0">
        <references count="1">
          <reference field="4294967294" count="5">
            <x v="0"/>
            <x v="1"/>
            <x v="2"/>
            <x v="3"/>
            <x v="4"/>
          </reference>
        </references>
      </pivotArea>
    </format>
    <format dxfId="9">
      <pivotArea type="all" dataOnly="0" outline="0" fieldPosition="0"/>
    </format>
    <format dxfId="8">
      <pivotArea outline="0" collapsedLevelsAreSubtotals="1" fieldPosition="0"/>
    </format>
    <format dxfId="7">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66079CBA-AA06-4D17-84F9-F5ADDC9F9448}"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D5" firstHeaderRow="0" firstDataRow="1" firstDataCol="1"/>
  <pivotFields count="17">
    <pivotField showAll="0"/>
    <pivotField showAll="0"/>
    <pivotField showAll="0"/>
    <pivotField axis="axisRow" showAll="0">
      <items count="7">
        <item h="1" x="1"/>
        <item h="1" x="4"/>
        <item h="1" x="2"/>
        <item x="0"/>
        <item h="1" x="3"/>
        <item h="1" x="5"/>
        <item t="default"/>
      </items>
    </pivotField>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s>
  <rowFields count="1">
    <field x="3"/>
  </rowFields>
  <rowItems count="2">
    <i>
      <x v="3"/>
    </i>
    <i t="grand">
      <x/>
    </i>
  </rowItems>
  <colFields count="1">
    <field x="-2"/>
  </colFields>
  <colItems count="3">
    <i>
      <x/>
    </i>
    <i i="1">
      <x v="1"/>
    </i>
    <i i="2">
      <x v="2"/>
    </i>
  </colItems>
  <dataFields count="3">
    <dataField name="Sum of ActualAmount" fld="11" baseField="0" baseItem="0"/>
    <dataField name="Sum of BudgetUSD" fld="12" baseField="0" baseItem="0"/>
    <dataField name="Sum of Variance" fld="13"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1CADBEAE-C1DA-482C-847F-0A7E211F8A99}"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D11" firstHeaderRow="0" firstDataRow="1" firstDataCol="1"/>
  <pivotFields count="17">
    <pivotField showAll="0"/>
    <pivotField showAll="0"/>
    <pivotField showAll="0"/>
    <pivotField showAll="0">
      <items count="7">
        <item x="1"/>
        <item x="4"/>
        <item x="2"/>
        <item x="0"/>
        <item x="3"/>
        <item x="5"/>
        <item t="default"/>
      </items>
    </pivotField>
    <pivotField showAll="0"/>
    <pivotField showAll="0"/>
    <pivotField axis="axisRow" showAll="0">
      <items count="8">
        <item x="4"/>
        <item x="1"/>
        <item x="2"/>
        <item x="3"/>
        <item x="5"/>
        <item x="0"/>
        <item x="6"/>
        <item t="default"/>
      </items>
    </pivotField>
    <pivotField showAll="0"/>
    <pivotField showAll="0"/>
    <pivotField showAll="0"/>
    <pivotField showAll="0"/>
    <pivotField dataField="1" showAll="0"/>
    <pivotField dataField="1" showAll="0"/>
    <pivotField dataField="1" showAll="0"/>
    <pivotField showAll="0"/>
    <pivotField showAll="0"/>
    <pivotField showAll="0"/>
  </pivotFields>
  <rowFields count="1">
    <field x="6"/>
  </rowFields>
  <rowItems count="8">
    <i>
      <x/>
    </i>
    <i>
      <x v="1"/>
    </i>
    <i>
      <x v="2"/>
    </i>
    <i>
      <x v="3"/>
    </i>
    <i>
      <x v="4"/>
    </i>
    <i>
      <x v="5"/>
    </i>
    <i>
      <x v="6"/>
    </i>
    <i t="grand">
      <x/>
    </i>
  </rowItems>
  <colFields count="1">
    <field x="-2"/>
  </colFields>
  <colItems count="3">
    <i>
      <x/>
    </i>
    <i i="1">
      <x v="1"/>
    </i>
    <i i="2">
      <x v="2"/>
    </i>
  </colItems>
  <dataFields count="3">
    <dataField name="Sum of ActualAmount" fld="11" baseField="0" baseItem="0"/>
    <dataField name="Sum of BudgetUSD" fld="12" baseField="0" baseItem="0"/>
    <dataField name="Sum of Variance" fld="13"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Name" xr10:uid="{4259B15E-8DE2-4DEB-8B8E-31988E1166C2}" sourceName="AccountName">
  <pivotTables>
    <pivotTable tabId="43" name="PivotTable10"/>
    <pivotTable tabId="42" name="PivotTable9"/>
    <pivotTable tabId="44" name="PivotTable11"/>
    <pivotTable tabId="45" name="PivotTable12"/>
    <pivotTable tabId="33" name="PivotTable7"/>
    <pivotTable tabId="36" name="PivotTable4"/>
    <pivotTable tabId="41" name="PivotTable8"/>
  </pivotTables>
  <data>
    <tabular pivotCacheId="1346149742">
      <items count="6">
        <i x="1" s="1"/>
        <i x="4" s="1"/>
        <i x="2" s="1"/>
        <i x="0" s="1"/>
        <i x="3"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t1" xr10:uid="{0739072E-79B5-43E7-B5CB-02EC60102901}" sourceName="Dept">
  <pivotTables>
    <pivotTable tabId="43" name="PivotTable10"/>
    <pivotTable tabId="42" name="PivotTable9"/>
    <pivotTable tabId="44" name="PivotTable11"/>
    <pivotTable tabId="45" name="PivotTable12"/>
    <pivotTable tabId="33" name="PivotTable7"/>
    <pivotTable tabId="36" name="PivotTable4"/>
    <pivotTable tabId="41" name="PivotTable8"/>
  </pivotTables>
  <data>
    <tabular pivotCacheId="1346149742">
      <items count="7">
        <i x="4" s="1"/>
        <i x="1" s="1"/>
        <i x="2" s="1"/>
        <i x="3" s="1"/>
        <i x="5" s="1"/>
        <i x="0" s="1"/>
        <i x="6"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Month" xr10:uid="{EACDCD01-FF60-4FA8-B95F-3E692C3A4D47}" sourceName="YearMonth">
  <pivotTables>
    <pivotTable tabId="43" name="PivotTable10"/>
    <pivotTable tabId="42" name="PivotTable9"/>
    <pivotTable tabId="44" name="PivotTable11"/>
    <pivotTable tabId="45" name="PivotTable12"/>
    <pivotTable tabId="33" name="PivotTable7"/>
    <pivotTable tabId="36" name="PivotTable4"/>
    <pivotTable tabId="41" name="PivotTable8"/>
  </pivotTables>
  <data>
    <tabular pivotCacheId="1346149742">
      <items count="31">
        <i x="14" s="1"/>
        <i x="24" s="1"/>
        <i x="18" s="1"/>
        <i x="8" s="1"/>
        <i x="29" s="1"/>
        <i x="22" s="1"/>
        <i x="17" s="1"/>
        <i x="4" s="1"/>
        <i x="3" s="1"/>
        <i x="27" s="1"/>
        <i x="9" s="1"/>
        <i x="6" s="1"/>
        <i x="20" s="1"/>
        <i x="11" s="1"/>
        <i x="16" s="1"/>
        <i x="7" s="1"/>
        <i x="0" s="1"/>
        <i x="1" s="1"/>
        <i x="21" s="1"/>
        <i x="25" s="1"/>
        <i x="15" s="1"/>
        <i x="26" s="1"/>
        <i x="10" s="1"/>
        <i x="23" s="1"/>
        <i x="2" s="1"/>
        <i x="28" s="1"/>
        <i x="13" s="1"/>
        <i x="12" s="1"/>
        <i x="5" s="1"/>
        <i x="19" s="1"/>
        <i x="3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erial_Flag" xr10:uid="{86570F08-DA64-4CF8-B1A7-4BBECC4E6C11}" sourceName="Material_Flag">
  <pivotTables>
    <pivotTable tabId="43" name="PivotTable10"/>
    <pivotTable tabId="42" name="PivotTable9"/>
    <pivotTable tabId="44" name="PivotTable11"/>
    <pivotTable tabId="45" name="PivotTable12"/>
    <pivotTable tabId="33" name="PivotTable7"/>
    <pivotTable tabId="36" name="PivotTable4"/>
    <pivotTable tabId="41" name="PivotTable8"/>
  </pivotTables>
  <data>
    <tabular pivotCacheId="1346149742">
      <items count="3">
        <i x="1" s="1"/>
        <i x="0" s="1"/>
        <i x="2"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SSIFY_PERFORMANCE" xr10:uid="{A13BB47C-212B-45C1-8E97-55F8B576C5A5}" sourceName="CLASSIFY PERFORMANCE">
  <pivotTables>
    <pivotTable tabId="44" name="PivotTable11"/>
    <pivotTable tabId="42" name="PivotTable9"/>
    <pivotTable tabId="45" name="PivotTable12"/>
    <pivotTable tabId="33" name="PivotTable7"/>
    <pivotTable tabId="36" name="PivotTable4"/>
    <pivotTable tabId="41" name="PivotTable8"/>
    <pivotTable tabId="43" name="PivotTable10"/>
  </pivotTables>
  <data>
    <tabular pivotCacheId="1346149742">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Name 1" xr10:uid="{A144C641-1F7B-40BD-9F19-C8BE5E113381}" cache="Slicer_AccountName" caption="AccountName" rowHeight="241300"/>
  <slicer name="Dept" xr10:uid="{3E8AF018-2CDC-4F3B-979D-FA410D641C81}" cache="Slicer_Dept1" caption="Dept" rowHeight="241300"/>
  <slicer name="YearMonth 1" xr10:uid="{E2B6C0A3-1273-4CD3-A086-B0854944EB69}" cache="Slicer_YearMonth" caption="YearMonth" rowHeight="241300"/>
  <slicer name="Material_Flag 1" xr10:uid="{21784F9C-93CD-4DA5-AD18-22153C7E7160}" cache="Slicer_Material_Flag" caption="Material_Flag" rowHeight="241300"/>
  <slicer name="CLASSIFY PERFORMANCE" xr10:uid="{E434B034-08EF-47D7-B103-7D9EED2DFC36}" cache="Slicer_CLASSIFY_PERFORMANCE" caption="CLASSIFY PERFORMANC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3E98E5-0CA5-4B94-A031-DF80F076B3B6}" name="Table1" displayName="Table1" ref="A2:E5" totalsRowShown="0" headerRowDxfId="19" dataDxfId="18">
  <autoFilter ref="A2:E5" xr:uid="{173E98E5-0CA5-4B94-A031-DF80F076B3B6}"/>
  <tableColumns count="5">
    <tableColumn id="1" xr3:uid="{DD3E25D7-86ED-4C8A-ABC7-15999457FCC3}" name="Metric" dataDxfId="17"/>
    <tableColumn id="2" xr3:uid="{804FAE1F-D8FC-4C05-B66F-3D6D9AEA7F06}" name="Actual"/>
    <tableColumn id="3" xr3:uid="{A928D908-C002-48FA-9F67-823A2AC6B859}" name="Budget"/>
    <tableColumn id="4" xr3:uid="{765E15F3-C276-4060-A67F-A99D7EF4D346}" name="Variance" dataDxfId="16"/>
    <tableColumn id="5" xr3:uid="{079AF93F-B7D1-4245-9CA3-FF6E8DEF52EF}" name="Variance %" dataDxfId="15">
      <calculatedColumnFormula>D3/C3</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1.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3.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4.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bin"/><Relationship Id="rId1" Type="http://schemas.openxmlformats.org/officeDocument/2006/relationships/pivotTable" Target="../pivotTables/pivotTable16.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7.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ivotTable" Target="../pivotTables/pivotTable18.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ivotTable" Target="../pivotTables/pivotTable19.xml"/></Relationships>
</file>

<file path=xl/worksheets/_rels/sheet2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7.xml"/><Relationship Id="rId1" Type="http://schemas.openxmlformats.org/officeDocument/2006/relationships/pivotTable" Target="../pivotTables/pivotTable20.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ivotTable" Target="../pivotTables/pivotTable21.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ivotTable" Target="../pivotTables/pivotTable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88EF8-689A-43CC-B493-7A42D908DA74}">
  <dimension ref="A1:G11"/>
  <sheetViews>
    <sheetView workbookViewId="0">
      <selection activeCell="G21" sqref="G21"/>
    </sheetView>
  </sheetViews>
  <sheetFormatPr defaultRowHeight="15"/>
  <cols>
    <col min="1" max="1" width="13.140625" bestFit="1" customWidth="1"/>
    <col min="2" max="2" width="20.5703125" bestFit="1" customWidth="1"/>
  </cols>
  <sheetData>
    <row r="1" spans="1:7" ht="31.5">
      <c r="A1" s="8" t="s">
        <v>4076</v>
      </c>
      <c r="B1" s="8"/>
      <c r="C1" s="8"/>
      <c r="D1" s="8"/>
      <c r="G1" s="23" t="s">
        <v>4122</v>
      </c>
    </row>
    <row r="3" spans="1:7">
      <c r="A3" s="3" t="s">
        <v>4070</v>
      </c>
      <c r="B3" t="s">
        <v>4073</v>
      </c>
    </row>
    <row r="4" spans="1:7">
      <c r="A4" s="4" t="s">
        <v>2021</v>
      </c>
      <c r="B4">
        <v>162279.24000000019</v>
      </c>
    </row>
    <row r="5" spans="1:7">
      <c r="A5" s="4" t="s">
        <v>2018</v>
      </c>
      <c r="B5">
        <v>93048.339999999924</v>
      </c>
    </row>
    <row r="6" spans="1:7">
      <c r="A6" s="4" t="s">
        <v>2019</v>
      </c>
      <c r="B6">
        <v>122080.79</v>
      </c>
    </row>
    <row r="7" spans="1:7">
      <c r="A7" s="4" t="s">
        <v>2020</v>
      </c>
      <c r="B7">
        <v>117831.01000000005</v>
      </c>
    </row>
    <row r="8" spans="1:7">
      <c r="A8" s="4" t="s">
        <v>2022</v>
      </c>
      <c r="B8">
        <v>145631.91000000009</v>
      </c>
    </row>
    <row r="9" spans="1:7">
      <c r="A9" s="4" t="s">
        <v>2017</v>
      </c>
      <c r="B9">
        <v>122170.16999999994</v>
      </c>
    </row>
    <row r="10" spans="1:7">
      <c r="A10" s="4" t="s">
        <v>4071</v>
      </c>
    </row>
    <row r="11" spans="1:7">
      <c r="A11" s="4" t="s">
        <v>4072</v>
      </c>
      <c r="B11">
        <v>763041.4600000002</v>
      </c>
    </row>
  </sheetData>
  <conditionalFormatting sqref="A1:XFD3 A4:A42 C4:XFD42 A43:XFD1048576">
    <cfRule type="cellIs" dxfId="6" priority="1" operator="greaterThan">
      <formula>"Highlight cells &gt; 10% above monthly average  Highlight cells &lt; 10% below monthly average"</formula>
    </cfRule>
  </conditionalFormatting>
  <conditionalFormatting sqref="B3">
    <cfRule type="cellIs" dxfId="5" priority="2" operator="greaterThan">
      <formula>0.1</formula>
    </cfRule>
  </conditionalFormatting>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8EE76-831F-4AC8-9991-DC714A30858B}">
  <dimension ref="A1:N17"/>
  <sheetViews>
    <sheetView workbookViewId="0">
      <selection activeCell="B15" sqref="B15"/>
    </sheetView>
  </sheetViews>
  <sheetFormatPr defaultRowHeight="15"/>
  <cols>
    <col min="1" max="1" width="13.140625" bestFit="1" customWidth="1"/>
    <col min="2" max="4" width="20.5703125" bestFit="1" customWidth="1"/>
  </cols>
  <sheetData>
    <row r="1" spans="1:14" ht="36">
      <c r="A1" s="6" t="s">
        <v>4074</v>
      </c>
      <c r="B1" s="6"/>
      <c r="C1" s="5"/>
      <c r="D1" s="24" t="s">
        <v>4122</v>
      </c>
      <c r="E1" s="20" t="s">
        <v>4123</v>
      </c>
      <c r="N1" s="23"/>
    </row>
    <row r="3" spans="1:14">
      <c r="A3" s="3" t="s">
        <v>4070</v>
      </c>
      <c r="B3" t="s">
        <v>4073</v>
      </c>
    </row>
    <row r="4" spans="1:14">
      <c r="A4" s="4" t="s">
        <v>4102</v>
      </c>
    </row>
    <row r="5" spans="1:14">
      <c r="A5" s="4" t="s">
        <v>4077</v>
      </c>
      <c r="B5">
        <v>77989.75</v>
      </c>
    </row>
    <row r="6" spans="1:14">
      <c r="A6" s="4" t="s">
        <v>4078</v>
      </c>
      <c r="B6">
        <v>64552.149999999951</v>
      </c>
    </row>
    <row r="7" spans="1:14">
      <c r="A7" s="4" t="s">
        <v>4079</v>
      </c>
      <c r="B7">
        <v>109614.98000000003</v>
      </c>
    </row>
    <row r="8" spans="1:14">
      <c r="A8" s="4" t="s">
        <v>4080</v>
      </c>
      <c r="B8">
        <v>55206.580000000031</v>
      </c>
    </row>
    <row r="9" spans="1:14">
      <c r="A9" s="4" t="s">
        <v>4081</v>
      </c>
      <c r="B9">
        <v>91451.769999999917</v>
      </c>
    </row>
    <row r="10" spans="1:14">
      <c r="A10" s="4" t="s">
        <v>4082</v>
      </c>
      <c r="B10">
        <v>65344.41</v>
      </c>
    </row>
    <row r="11" spans="1:14">
      <c r="A11" s="4" t="s">
        <v>4083</v>
      </c>
      <c r="B11">
        <v>34225.71</v>
      </c>
    </row>
    <row r="12" spans="1:14">
      <c r="A12" s="4" t="s">
        <v>4084</v>
      </c>
      <c r="B12">
        <v>40346.129999999983</v>
      </c>
    </row>
    <row r="13" spans="1:14">
      <c r="A13" s="4" t="s">
        <v>4085</v>
      </c>
      <c r="B13">
        <v>9458.4799999999977</v>
      </c>
    </row>
    <row r="14" spans="1:14">
      <c r="A14" s="4" t="s">
        <v>4086</v>
      </c>
      <c r="B14">
        <v>53904.219999999987</v>
      </c>
    </row>
    <row r="15" spans="1:14">
      <c r="A15" s="4" t="s">
        <v>4087</v>
      </c>
      <c r="B15">
        <v>79096.850000000006</v>
      </c>
    </row>
    <row r="16" spans="1:14">
      <c r="A16" s="4" t="s">
        <v>4088</v>
      </c>
      <c r="B16">
        <v>81850.429999999935</v>
      </c>
    </row>
    <row r="17" spans="1:2">
      <c r="A17" s="4" t="s">
        <v>4072</v>
      </c>
      <c r="B17">
        <v>763041.45999999973</v>
      </c>
    </row>
  </sheetData>
  <conditionalFormatting sqref="N1">
    <cfRule type="cellIs" dxfId="4" priority="1" operator="greaterThan">
      <formula>"Highlight cells &gt; 10% above monthly average  Highlight cells &lt; 10% below monthly average"</formula>
    </cfRule>
  </conditionalFormatting>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DC441-81BB-4118-89FA-0AAE41180989}">
  <dimension ref="A1:E13"/>
  <sheetViews>
    <sheetView workbookViewId="0">
      <selection activeCell="G21" sqref="G21"/>
    </sheetView>
  </sheetViews>
  <sheetFormatPr defaultRowHeight="15"/>
  <cols>
    <col min="1" max="1" width="15.140625" bestFit="1" customWidth="1"/>
    <col min="2" max="2" width="22.85546875" bestFit="1" customWidth="1"/>
  </cols>
  <sheetData>
    <row r="1" spans="1:5" ht="33.75">
      <c r="A1" s="7" t="s">
        <v>4075</v>
      </c>
      <c r="B1" s="7"/>
      <c r="D1" s="25" t="s">
        <v>4124</v>
      </c>
      <c r="E1" s="25"/>
    </row>
    <row r="3" spans="1:5">
      <c r="A3" s="3" t="s">
        <v>4070</v>
      </c>
      <c r="B3" t="s">
        <v>4073</v>
      </c>
    </row>
    <row r="4" spans="1:5">
      <c r="A4" s="4" t="s">
        <v>2015</v>
      </c>
      <c r="B4">
        <v>-412380.47999999992</v>
      </c>
    </row>
    <row r="5" spans="1:5">
      <c r="A5" s="4" t="s">
        <v>2014</v>
      </c>
      <c r="B5">
        <v>-399923.6599999998</v>
      </c>
    </row>
    <row r="6" spans="1:5">
      <c r="A6" s="4" t="s">
        <v>2013</v>
      </c>
      <c r="B6">
        <v>-397936.33000000013</v>
      </c>
    </row>
    <row r="7" spans="1:5">
      <c r="A7" s="4" t="s">
        <v>4071</v>
      </c>
    </row>
    <row r="8" spans="1:5">
      <c r="A8" s="4" t="s">
        <v>2012</v>
      </c>
      <c r="B8">
        <v>959134.06999999972</v>
      </c>
    </row>
    <row r="9" spans="1:5">
      <c r="A9" s="4" t="s">
        <v>2016</v>
      </c>
      <c r="B9">
        <v>1014147.8599999991</v>
      </c>
    </row>
    <row r="10" spans="1:5">
      <c r="A10" s="4" t="s">
        <v>4072</v>
      </c>
      <c r="B10">
        <v>763041.4599999988</v>
      </c>
    </row>
    <row r="13" spans="1:5" ht="23.25">
      <c r="B13" s="23" t="s">
        <v>4122</v>
      </c>
    </row>
  </sheetData>
  <autoFilter ref="A3:B10" xr:uid="{1CCDC441-81BB-4118-89FA-0AAE41180989}"/>
  <conditionalFormatting sqref="B13">
    <cfRule type="cellIs" dxfId="3" priority="1" operator="greaterThan">
      <formula>"Highlight cells &gt; 10% above monthly average  Highlight cells &lt; 10% below monthly average"</formula>
    </cfRule>
  </conditionalFormatting>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41E0F-4C30-4688-8D66-A35CFE9C7E71}">
  <dimension ref="A1:F16"/>
  <sheetViews>
    <sheetView workbookViewId="0">
      <selection activeCell="M18" sqref="M18"/>
    </sheetView>
  </sheetViews>
  <sheetFormatPr defaultRowHeight="15"/>
  <cols>
    <col min="1" max="1" width="18.85546875" bestFit="1" customWidth="1"/>
    <col min="2" max="2" width="20.5703125" bestFit="1" customWidth="1"/>
  </cols>
  <sheetData>
    <row r="1" spans="1:6" ht="23.25">
      <c r="F1" s="23" t="s">
        <v>4122</v>
      </c>
    </row>
    <row r="3" spans="1:6">
      <c r="A3" s="3" t="s">
        <v>4070</v>
      </c>
      <c r="B3" t="s">
        <v>4073</v>
      </c>
    </row>
    <row r="4" spans="1:6">
      <c r="A4" s="4">
        <v>4000</v>
      </c>
      <c r="B4">
        <v>959134.06999999972</v>
      </c>
    </row>
    <row r="5" spans="1:6">
      <c r="A5" s="9" t="s">
        <v>2012</v>
      </c>
      <c r="B5">
        <v>959134.06999999972</v>
      </c>
    </row>
    <row r="6" spans="1:6">
      <c r="A6" s="4">
        <v>4010</v>
      </c>
      <c r="B6">
        <v>1014147.8599999991</v>
      </c>
    </row>
    <row r="7" spans="1:6">
      <c r="A7" s="9" t="s">
        <v>2016</v>
      </c>
      <c r="B7">
        <v>1014147.8599999991</v>
      </c>
    </row>
    <row r="8" spans="1:6">
      <c r="A8" s="4">
        <v>5000</v>
      </c>
      <c r="B8">
        <v>-397936.33000000013</v>
      </c>
    </row>
    <row r="9" spans="1:6">
      <c r="A9" s="9" t="s">
        <v>2013</v>
      </c>
      <c r="B9">
        <v>-397936.33000000013</v>
      </c>
    </row>
    <row r="10" spans="1:6">
      <c r="A10" s="4">
        <v>5010</v>
      </c>
      <c r="B10">
        <v>-412380.47999999992</v>
      </c>
    </row>
    <row r="11" spans="1:6">
      <c r="A11" s="9" t="s">
        <v>2015</v>
      </c>
      <c r="B11">
        <v>-412380.47999999992</v>
      </c>
    </row>
    <row r="12" spans="1:6">
      <c r="A12" s="4">
        <v>6000</v>
      </c>
      <c r="B12">
        <v>-399923.6599999998</v>
      </c>
    </row>
    <row r="13" spans="1:6">
      <c r="A13" s="9" t="s">
        <v>2014</v>
      </c>
      <c r="B13">
        <v>-399923.6599999998</v>
      </c>
    </row>
    <row r="14" spans="1:6">
      <c r="A14" s="4" t="s">
        <v>4071</v>
      </c>
    </row>
    <row r="15" spans="1:6">
      <c r="A15" s="9" t="s">
        <v>4071</v>
      </c>
    </row>
    <row r="16" spans="1:6">
      <c r="A16" s="4" t="s">
        <v>4072</v>
      </c>
      <c r="B16">
        <v>763041.45999999892</v>
      </c>
    </row>
  </sheetData>
  <autoFilter ref="A3:B16" xr:uid="{3C341E0F-4C30-4688-8D66-A35CFE9C7E71}"/>
  <conditionalFormatting sqref="F1">
    <cfRule type="cellIs" dxfId="2" priority="1" operator="greaterThan">
      <formula>"Highlight cells &gt; 10% above monthly average  Highlight cells &lt; 10% below monthly average"</formula>
    </cfRule>
  </conditionalFormatting>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68376-0D94-4D01-97EC-F18E5FD9A2BA}">
  <dimension ref="A3:G16"/>
  <sheetViews>
    <sheetView workbookViewId="0">
      <selection activeCell="A3" sqref="A3:B16"/>
    </sheetView>
  </sheetViews>
  <sheetFormatPr defaultRowHeight="15"/>
  <cols>
    <col min="1" max="1" width="18.85546875" bestFit="1" customWidth="1"/>
    <col min="2" max="2" width="13.42578125" bestFit="1" customWidth="1"/>
  </cols>
  <sheetData>
    <row r="3" spans="1:7">
      <c r="A3" s="3" t="s">
        <v>4070</v>
      </c>
      <c r="B3" t="s">
        <v>4099</v>
      </c>
    </row>
    <row r="4" spans="1:7">
      <c r="A4" s="4">
        <v>4000</v>
      </c>
      <c r="B4">
        <v>401</v>
      </c>
    </row>
    <row r="5" spans="1:7">
      <c r="A5" s="9" t="s">
        <v>2012</v>
      </c>
      <c r="B5">
        <v>401</v>
      </c>
    </row>
    <row r="6" spans="1:7">
      <c r="A6" s="4">
        <v>4010</v>
      </c>
      <c r="B6">
        <v>402</v>
      </c>
      <c r="E6">
        <f>GETPIVOTDATA("Dept",$A$3)</f>
        <v>2000</v>
      </c>
      <c r="G6">
        <f>GETPIVOTDATA("Dept",$A$3,"AccountNumber",6000,"AccountName","Payroll Expense")</f>
        <v>392</v>
      </c>
    </row>
    <row r="7" spans="1:7">
      <c r="A7" s="9" t="s">
        <v>2016</v>
      </c>
      <c r="B7">
        <v>402</v>
      </c>
    </row>
    <row r="8" spans="1:7">
      <c r="A8" s="4">
        <v>5000</v>
      </c>
      <c r="B8">
        <v>393</v>
      </c>
    </row>
    <row r="9" spans="1:7">
      <c r="A9" s="9" t="s">
        <v>2013</v>
      </c>
      <c r="B9">
        <v>393</v>
      </c>
    </row>
    <row r="10" spans="1:7">
      <c r="A10" s="4">
        <v>5010</v>
      </c>
      <c r="B10">
        <v>412</v>
      </c>
    </row>
    <row r="11" spans="1:7">
      <c r="A11" s="9" t="s">
        <v>2015</v>
      </c>
      <c r="B11">
        <v>412</v>
      </c>
    </row>
    <row r="12" spans="1:7" ht="23.25">
      <c r="A12" s="4">
        <v>6000</v>
      </c>
      <c r="B12">
        <v>392</v>
      </c>
      <c r="D12">
        <f>GETPIVOTDATA("Dept",$A$3)</f>
        <v>2000</v>
      </c>
      <c r="G12" s="23" t="s">
        <v>4122</v>
      </c>
    </row>
    <row r="13" spans="1:7">
      <c r="A13" s="9" t="s">
        <v>2014</v>
      </c>
      <c r="B13">
        <v>392</v>
      </c>
    </row>
    <row r="14" spans="1:7">
      <c r="A14" s="4" t="s">
        <v>4071</v>
      </c>
    </row>
    <row r="15" spans="1:7">
      <c r="A15" s="9" t="s">
        <v>4071</v>
      </c>
      <c r="D15">
        <f>GETPIVOTDATA("Dept",$A$3)</f>
        <v>2000</v>
      </c>
    </row>
    <row r="16" spans="1:7">
      <c r="A16" s="4" t="s">
        <v>4072</v>
      </c>
      <c r="B16">
        <v>2000</v>
      </c>
    </row>
  </sheetData>
  <conditionalFormatting sqref="G12">
    <cfRule type="cellIs" dxfId="1" priority="1" operator="greaterThan">
      <formula>"Highlight cells &gt; 10% above monthly average  Highlight cells &lt; 10% below monthly average"</formula>
    </cfRule>
  </conditionalFormatting>
  <pageMargins left="0.7" right="0.7" top="0.75" bottom="0.75" header="0.3" footer="0.3"/>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01"/>
  <sheetViews>
    <sheetView workbookViewId="0">
      <selection sqref="A1:XFD1048576"/>
    </sheetView>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s="2">
        <v>45417</v>
      </c>
      <c r="C2">
        <v>4000</v>
      </c>
      <c r="D2" t="s">
        <v>2012</v>
      </c>
      <c r="E2">
        <v>0</v>
      </c>
      <c r="F2">
        <v>2505.15</v>
      </c>
      <c r="G2" t="s">
        <v>2017</v>
      </c>
      <c r="H2" t="s">
        <v>2023</v>
      </c>
      <c r="I2" t="s">
        <v>2028</v>
      </c>
      <c r="J2" t="s">
        <v>4028</v>
      </c>
      <c r="K2" t="s">
        <v>4033</v>
      </c>
      <c r="L2">
        <v>2505.15</v>
      </c>
    </row>
    <row r="3" spans="1:12">
      <c r="A3" t="s">
        <v>13</v>
      </c>
      <c r="B3" s="2">
        <v>45466</v>
      </c>
      <c r="C3">
        <v>5000</v>
      </c>
      <c r="D3" t="s">
        <v>2013</v>
      </c>
      <c r="E3">
        <v>1184.73</v>
      </c>
      <c r="F3">
        <v>0</v>
      </c>
      <c r="G3" t="s">
        <v>2018</v>
      </c>
      <c r="H3" t="s">
        <v>2023</v>
      </c>
      <c r="I3" t="s">
        <v>2029</v>
      </c>
      <c r="J3" t="s">
        <v>4028</v>
      </c>
      <c r="K3" t="s">
        <v>4034</v>
      </c>
      <c r="L3">
        <v>-1184.73</v>
      </c>
    </row>
    <row r="4" spans="1:12">
      <c r="A4" t="s">
        <v>14</v>
      </c>
      <c r="B4" s="2">
        <v>45666</v>
      </c>
      <c r="C4">
        <v>5000</v>
      </c>
      <c r="D4" t="s">
        <v>2013</v>
      </c>
      <c r="E4">
        <v>748.25</v>
      </c>
      <c r="F4">
        <v>0</v>
      </c>
      <c r="G4" t="s">
        <v>2019</v>
      </c>
      <c r="H4" t="s">
        <v>2024</v>
      </c>
      <c r="I4" t="s">
        <v>2030</v>
      </c>
      <c r="J4" t="s">
        <v>4029</v>
      </c>
      <c r="K4" t="s">
        <v>4035</v>
      </c>
      <c r="L4">
        <v>-748.25</v>
      </c>
    </row>
    <row r="5" spans="1:12">
      <c r="A5" t="s">
        <v>15</v>
      </c>
      <c r="B5" s="2">
        <v>45199</v>
      </c>
      <c r="C5">
        <v>6000</v>
      </c>
      <c r="D5" t="s">
        <v>2014</v>
      </c>
      <c r="E5">
        <v>1610.64</v>
      </c>
      <c r="F5">
        <v>0</v>
      </c>
      <c r="G5" t="s">
        <v>2017</v>
      </c>
      <c r="H5" t="s">
        <v>2025</v>
      </c>
      <c r="I5" t="s">
        <v>2031</v>
      </c>
      <c r="J5" t="s">
        <v>4030</v>
      </c>
      <c r="K5" t="s">
        <v>4036</v>
      </c>
      <c r="L5">
        <v>-1610.64</v>
      </c>
    </row>
    <row r="6" spans="1:12">
      <c r="A6" t="s">
        <v>16</v>
      </c>
      <c r="B6" s="2">
        <v>45141</v>
      </c>
      <c r="C6">
        <v>5000</v>
      </c>
      <c r="D6" t="s">
        <v>2013</v>
      </c>
      <c r="E6">
        <v>1053.1199999999999</v>
      </c>
      <c r="F6">
        <v>0</v>
      </c>
      <c r="G6" t="s">
        <v>2018</v>
      </c>
      <c r="H6" t="s">
        <v>2025</v>
      </c>
      <c r="I6" t="s">
        <v>2032</v>
      </c>
      <c r="J6" t="s">
        <v>4031</v>
      </c>
      <c r="K6" t="s">
        <v>4037</v>
      </c>
      <c r="L6">
        <v>-1053.1199999999999</v>
      </c>
    </row>
    <row r="7" spans="1:12">
      <c r="A7" t="s">
        <v>17</v>
      </c>
      <c r="B7" s="2">
        <v>45788</v>
      </c>
      <c r="C7">
        <v>6000</v>
      </c>
      <c r="D7" t="s">
        <v>2014</v>
      </c>
      <c r="E7">
        <v>1653.64</v>
      </c>
      <c r="F7">
        <v>0</v>
      </c>
      <c r="G7" t="s">
        <v>2020</v>
      </c>
      <c r="H7" t="s">
        <v>2025</v>
      </c>
      <c r="I7" t="s">
        <v>2033</v>
      </c>
      <c r="J7" t="s">
        <v>4031</v>
      </c>
      <c r="K7" t="s">
        <v>4038</v>
      </c>
      <c r="L7">
        <v>-1653.64</v>
      </c>
    </row>
    <row r="8" spans="1:12">
      <c r="A8" t="s">
        <v>18</v>
      </c>
      <c r="B8" s="2">
        <v>45142</v>
      </c>
      <c r="C8">
        <v>5010</v>
      </c>
      <c r="D8" t="s">
        <v>2015</v>
      </c>
      <c r="E8">
        <v>899.55</v>
      </c>
      <c r="F8">
        <v>0</v>
      </c>
      <c r="G8" t="s">
        <v>2018</v>
      </c>
      <c r="H8" t="s">
        <v>2026</v>
      </c>
      <c r="I8" t="s">
        <v>2034</v>
      </c>
      <c r="J8" t="s">
        <v>4031</v>
      </c>
      <c r="K8" t="s">
        <v>4037</v>
      </c>
      <c r="L8">
        <v>-899.55</v>
      </c>
    </row>
    <row r="9" spans="1:12">
      <c r="A9" t="s">
        <v>19</v>
      </c>
      <c r="B9" s="2">
        <v>45282</v>
      </c>
      <c r="C9">
        <v>6000</v>
      </c>
      <c r="D9" t="s">
        <v>2014</v>
      </c>
      <c r="E9">
        <v>247.27</v>
      </c>
      <c r="F9">
        <v>0</v>
      </c>
      <c r="G9" t="s">
        <v>2020</v>
      </c>
      <c r="H9" t="s">
        <v>2023</v>
      </c>
      <c r="I9" t="s">
        <v>2035</v>
      </c>
      <c r="J9" t="s">
        <v>4031</v>
      </c>
      <c r="K9" t="s">
        <v>4039</v>
      </c>
      <c r="L9">
        <v>-247.27</v>
      </c>
    </row>
    <row r="10" spans="1:12">
      <c r="A10" t="s">
        <v>20</v>
      </c>
      <c r="B10" s="2">
        <v>45412</v>
      </c>
      <c r="C10">
        <v>5000</v>
      </c>
      <c r="D10" t="s">
        <v>2013</v>
      </c>
      <c r="E10">
        <v>202.02</v>
      </c>
      <c r="F10">
        <v>0</v>
      </c>
      <c r="G10" t="s">
        <v>2021</v>
      </c>
      <c r="H10" t="s">
        <v>2024</v>
      </c>
      <c r="I10" t="s">
        <v>2036</v>
      </c>
      <c r="J10" t="s">
        <v>4028</v>
      </c>
      <c r="K10" t="s">
        <v>4040</v>
      </c>
      <c r="L10">
        <v>-202.02</v>
      </c>
    </row>
    <row r="11" spans="1:12">
      <c r="A11" t="s">
        <v>21</v>
      </c>
      <c r="B11" s="2">
        <v>45029</v>
      </c>
      <c r="C11">
        <v>5000</v>
      </c>
      <c r="D11" t="s">
        <v>2013</v>
      </c>
      <c r="E11">
        <v>1093.72</v>
      </c>
      <c r="F11">
        <v>0</v>
      </c>
      <c r="G11" t="s">
        <v>2018</v>
      </c>
      <c r="H11" t="s">
        <v>2025</v>
      </c>
      <c r="I11" t="s">
        <v>2037</v>
      </c>
      <c r="J11" t="s">
        <v>4031</v>
      </c>
      <c r="K11" t="s">
        <v>4041</v>
      </c>
      <c r="L11">
        <v>-1093.72</v>
      </c>
    </row>
    <row r="12" spans="1:12">
      <c r="A12" t="s">
        <v>22</v>
      </c>
      <c r="B12" s="2">
        <v>45250</v>
      </c>
      <c r="C12">
        <v>4010</v>
      </c>
      <c r="D12" t="s">
        <v>2016</v>
      </c>
      <c r="E12">
        <v>0</v>
      </c>
      <c r="F12">
        <v>3282.35</v>
      </c>
      <c r="G12" t="s">
        <v>2020</v>
      </c>
      <c r="H12" t="s">
        <v>2027</v>
      </c>
      <c r="I12" t="s">
        <v>2038</v>
      </c>
      <c r="J12" t="s">
        <v>4032</v>
      </c>
      <c r="K12" t="s">
        <v>4042</v>
      </c>
      <c r="L12">
        <v>3282.35</v>
      </c>
    </row>
    <row r="13" spans="1:12">
      <c r="A13" t="s">
        <v>23</v>
      </c>
      <c r="B13" s="2">
        <v>45608</v>
      </c>
      <c r="C13">
        <v>4000</v>
      </c>
      <c r="D13" t="s">
        <v>2012</v>
      </c>
      <c r="E13">
        <v>0</v>
      </c>
      <c r="F13">
        <v>2452.1999999999998</v>
      </c>
      <c r="G13" t="s">
        <v>2020</v>
      </c>
      <c r="H13" t="s">
        <v>2026</v>
      </c>
      <c r="I13" t="s">
        <v>2039</v>
      </c>
      <c r="J13" t="s">
        <v>4029</v>
      </c>
      <c r="K13" t="s">
        <v>4043</v>
      </c>
      <c r="L13">
        <v>2452.1999999999998</v>
      </c>
    </row>
    <row r="14" spans="1:12">
      <c r="A14" t="s">
        <v>24</v>
      </c>
      <c r="B14" s="2">
        <v>45437</v>
      </c>
      <c r="C14">
        <v>4000</v>
      </c>
      <c r="D14" t="s">
        <v>2012</v>
      </c>
      <c r="E14">
        <v>0</v>
      </c>
      <c r="F14">
        <v>3490.39</v>
      </c>
      <c r="G14" t="s">
        <v>2020</v>
      </c>
      <c r="H14" t="s">
        <v>2023</v>
      </c>
      <c r="I14" t="s">
        <v>2040</v>
      </c>
      <c r="J14" t="s">
        <v>4032</v>
      </c>
      <c r="K14" t="s">
        <v>4033</v>
      </c>
      <c r="L14">
        <v>3490.39</v>
      </c>
    </row>
    <row r="15" spans="1:12">
      <c r="A15" t="s">
        <v>25</v>
      </c>
      <c r="B15" s="2">
        <v>45344</v>
      </c>
      <c r="C15">
        <v>4000</v>
      </c>
      <c r="D15" t="s">
        <v>2012</v>
      </c>
      <c r="E15">
        <v>0</v>
      </c>
      <c r="F15">
        <v>3379.63</v>
      </c>
      <c r="G15" t="s">
        <v>2017</v>
      </c>
      <c r="H15" t="s">
        <v>2027</v>
      </c>
      <c r="I15" t="s">
        <v>2041</v>
      </c>
      <c r="J15" t="s">
        <v>4032</v>
      </c>
      <c r="K15" t="s">
        <v>4044</v>
      </c>
      <c r="L15">
        <v>3379.63</v>
      </c>
    </row>
    <row r="16" spans="1:12">
      <c r="A16" t="s">
        <v>26</v>
      </c>
      <c r="B16" s="2">
        <v>45776</v>
      </c>
      <c r="C16">
        <v>4010</v>
      </c>
      <c r="D16" t="s">
        <v>2016</v>
      </c>
      <c r="E16">
        <v>0</v>
      </c>
      <c r="F16">
        <v>1490.43</v>
      </c>
      <c r="G16" t="s">
        <v>2017</v>
      </c>
      <c r="H16" t="s">
        <v>2025</v>
      </c>
      <c r="I16" t="s">
        <v>2042</v>
      </c>
      <c r="J16" t="s">
        <v>4028</v>
      </c>
      <c r="K16" t="s">
        <v>4045</v>
      </c>
      <c r="L16">
        <v>1490.43</v>
      </c>
    </row>
    <row r="17" spans="1:12">
      <c r="A17" t="s">
        <v>27</v>
      </c>
      <c r="B17" s="2">
        <v>45018</v>
      </c>
      <c r="C17">
        <v>5000</v>
      </c>
      <c r="D17" t="s">
        <v>2013</v>
      </c>
      <c r="E17">
        <v>1119.05</v>
      </c>
      <c r="F17">
        <v>0</v>
      </c>
      <c r="G17" t="s">
        <v>2018</v>
      </c>
      <c r="H17" t="s">
        <v>2027</v>
      </c>
      <c r="I17" t="s">
        <v>2043</v>
      </c>
      <c r="J17" t="s">
        <v>4030</v>
      </c>
      <c r="K17" t="s">
        <v>4041</v>
      </c>
      <c r="L17">
        <v>-1119.05</v>
      </c>
    </row>
    <row r="18" spans="1:12">
      <c r="A18" t="s">
        <v>28</v>
      </c>
      <c r="B18" s="2">
        <v>45722</v>
      </c>
      <c r="C18">
        <v>4010</v>
      </c>
      <c r="D18" t="s">
        <v>2016</v>
      </c>
      <c r="E18">
        <v>0</v>
      </c>
      <c r="F18">
        <v>4006.73</v>
      </c>
      <c r="G18" t="s">
        <v>2017</v>
      </c>
      <c r="H18" t="s">
        <v>2026</v>
      </c>
      <c r="I18" t="s">
        <v>2044</v>
      </c>
      <c r="J18" t="s">
        <v>4029</v>
      </c>
      <c r="K18" t="s">
        <v>4046</v>
      </c>
      <c r="L18">
        <v>4006.73</v>
      </c>
    </row>
    <row r="19" spans="1:12">
      <c r="A19" t="s">
        <v>29</v>
      </c>
      <c r="B19" s="2">
        <v>45605</v>
      </c>
      <c r="C19">
        <v>4000</v>
      </c>
      <c r="D19" t="s">
        <v>2012</v>
      </c>
      <c r="E19">
        <v>0</v>
      </c>
      <c r="F19">
        <v>259.83999999999997</v>
      </c>
      <c r="G19" t="s">
        <v>2022</v>
      </c>
      <c r="H19" t="s">
        <v>2027</v>
      </c>
      <c r="I19" t="s">
        <v>2045</v>
      </c>
      <c r="J19" t="s">
        <v>4030</v>
      </c>
      <c r="K19" t="s">
        <v>4043</v>
      </c>
      <c r="L19">
        <v>259.83999999999997</v>
      </c>
    </row>
    <row r="20" spans="1:12">
      <c r="A20" t="s">
        <v>30</v>
      </c>
      <c r="B20" s="2">
        <v>44953</v>
      </c>
      <c r="C20">
        <v>5010</v>
      </c>
      <c r="D20" t="s">
        <v>2015</v>
      </c>
      <c r="E20">
        <v>735.45</v>
      </c>
      <c r="F20">
        <v>0</v>
      </c>
      <c r="G20" t="s">
        <v>2019</v>
      </c>
      <c r="H20" t="s">
        <v>2027</v>
      </c>
      <c r="I20" t="s">
        <v>2046</v>
      </c>
      <c r="J20" t="s">
        <v>4032</v>
      </c>
      <c r="K20" t="s">
        <v>4047</v>
      </c>
      <c r="L20">
        <v>-735.45</v>
      </c>
    </row>
    <row r="21" spans="1:12">
      <c r="A21" t="s">
        <v>31</v>
      </c>
      <c r="B21" s="2">
        <v>45537</v>
      </c>
      <c r="C21">
        <v>5000</v>
      </c>
      <c r="D21" t="s">
        <v>2013</v>
      </c>
      <c r="E21">
        <v>154.43</v>
      </c>
      <c r="F21">
        <v>0</v>
      </c>
      <c r="G21" t="s">
        <v>2022</v>
      </c>
      <c r="H21" t="s">
        <v>2024</v>
      </c>
      <c r="I21" t="s">
        <v>2047</v>
      </c>
      <c r="J21" t="s">
        <v>4032</v>
      </c>
      <c r="K21" t="s">
        <v>4048</v>
      </c>
      <c r="L21">
        <v>-154.43</v>
      </c>
    </row>
    <row r="22" spans="1:12">
      <c r="A22" t="s">
        <v>32</v>
      </c>
      <c r="B22" s="2">
        <v>45379</v>
      </c>
      <c r="C22">
        <v>6000</v>
      </c>
      <c r="D22" t="s">
        <v>2014</v>
      </c>
      <c r="E22">
        <v>359.1</v>
      </c>
      <c r="F22">
        <v>0</v>
      </c>
      <c r="G22" t="s">
        <v>2019</v>
      </c>
      <c r="H22" t="s">
        <v>2024</v>
      </c>
      <c r="I22" t="s">
        <v>2048</v>
      </c>
      <c r="J22" t="s">
        <v>4032</v>
      </c>
      <c r="K22" t="s">
        <v>4049</v>
      </c>
      <c r="L22">
        <v>-359.1</v>
      </c>
    </row>
    <row r="23" spans="1:12">
      <c r="A23" t="s">
        <v>33</v>
      </c>
      <c r="B23" s="2">
        <v>45108</v>
      </c>
      <c r="C23">
        <v>4010</v>
      </c>
      <c r="D23" t="s">
        <v>2016</v>
      </c>
      <c r="E23">
        <v>0</v>
      </c>
      <c r="F23">
        <v>1632.86</v>
      </c>
      <c r="G23" t="s">
        <v>2019</v>
      </c>
      <c r="H23" t="s">
        <v>2023</v>
      </c>
      <c r="I23" t="s">
        <v>2049</v>
      </c>
      <c r="J23" t="s">
        <v>4032</v>
      </c>
      <c r="K23" t="s">
        <v>4050</v>
      </c>
      <c r="L23">
        <v>1632.86</v>
      </c>
    </row>
    <row r="24" spans="1:12">
      <c r="A24" t="s">
        <v>34</v>
      </c>
      <c r="B24" s="2">
        <v>45441</v>
      </c>
      <c r="C24">
        <v>5000</v>
      </c>
      <c r="D24" t="s">
        <v>2013</v>
      </c>
      <c r="E24">
        <v>319.7</v>
      </c>
      <c r="F24">
        <v>0</v>
      </c>
      <c r="G24" t="s">
        <v>2019</v>
      </c>
      <c r="H24" t="s">
        <v>2023</v>
      </c>
      <c r="I24" t="s">
        <v>2050</v>
      </c>
      <c r="J24" t="s">
        <v>4031</v>
      </c>
      <c r="K24" t="s">
        <v>4033</v>
      </c>
      <c r="L24">
        <v>-319.7</v>
      </c>
    </row>
    <row r="25" spans="1:12">
      <c r="A25" t="s">
        <v>35</v>
      </c>
      <c r="B25" s="2">
        <v>45007</v>
      </c>
      <c r="C25">
        <v>5000</v>
      </c>
      <c r="D25" t="s">
        <v>2013</v>
      </c>
      <c r="E25">
        <v>546.02</v>
      </c>
      <c r="F25">
        <v>0</v>
      </c>
      <c r="G25" t="s">
        <v>2019</v>
      </c>
      <c r="H25" t="s">
        <v>2026</v>
      </c>
      <c r="I25" t="s">
        <v>2051</v>
      </c>
      <c r="J25" t="s">
        <v>4032</v>
      </c>
      <c r="K25" t="s">
        <v>4051</v>
      </c>
      <c r="L25">
        <v>-546.02</v>
      </c>
    </row>
    <row r="26" spans="1:12">
      <c r="A26" t="s">
        <v>36</v>
      </c>
      <c r="B26" s="2">
        <v>45025</v>
      </c>
      <c r="C26">
        <v>5010</v>
      </c>
      <c r="D26" t="s">
        <v>2015</v>
      </c>
      <c r="E26">
        <v>267.04000000000002</v>
      </c>
      <c r="F26">
        <v>0</v>
      </c>
      <c r="G26" t="s">
        <v>2018</v>
      </c>
      <c r="H26" t="s">
        <v>2026</v>
      </c>
      <c r="I26" t="s">
        <v>2052</v>
      </c>
      <c r="J26" t="s">
        <v>4030</v>
      </c>
      <c r="K26" t="s">
        <v>4041</v>
      </c>
      <c r="L26">
        <v>-267.04000000000002</v>
      </c>
    </row>
    <row r="27" spans="1:12">
      <c r="A27" t="s">
        <v>37</v>
      </c>
      <c r="B27" s="2">
        <v>45802</v>
      </c>
      <c r="C27">
        <v>4000</v>
      </c>
      <c r="D27" t="s">
        <v>2012</v>
      </c>
      <c r="E27">
        <v>0</v>
      </c>
      <c r="F27">
        <v>1650.08</v>
      </c>
      <c r="G27" t="s">
        <v>2019</v>
      </c>
      <c r="H27" t="s">
        <v>2026</v>
      </c>
      <c r="I27" t="s">
        <v>2053</v>
      </c>
      <c r="J27" t="s">
        <v>4031</v>
      </c>
      <c r="K27" t="s">
        <v>4038</v>
      </c>
      <c r="L27">
        <v>1650.08</v>
      </c>
    </row>
    <row r="28" spans="1:12">
      <c r="A28" t="s">
        <v>38</v>
      </c>
      <c r="B28" s="2">
        <v>45610</v>
      </c>
      <c r="C28">
        <v>5000</v>
      </c>
      <c r="D28" t="s">
        <v>2013</v>
      </c>
      <c r="E28">
        <v>115</v>
      </c>
      <c r="F28">
        <v>0</v>
      </c>
      <c r="G28" t="s">
        <v>2017</v>
      </c>
      <c r="H28" t="s">
        <v>2027</v>
      </c>
      <c r="I28" t="s">
        <v>2054</v>
      </c>
      <c r="J28" t="s">
        <v>4030</v>
      </c>
      <c r="K28" t="s">
        <v>4043</v>
      </c>
      <c r="L28">
        <v>-115</v>
      </c>
    </row>
    <row r="29" spans="1:12">
      <c r="A29" t="s">
        <v>39</v>
      </c>
      <c r="B29" s="2">
        <v>45820</v>
      </c>
      <c r="C29">
        <v>4010</v>
      </c>
      <c r="D29" t="s">
        <v>2016</v>
      </c>
      <c r="E29">
        <v>0</v>
      </c>
      <c r="F29">
        <v>1073.4100000000001</v>
      </c>
      <c r="G29" t="s">
        <v>2017</v>
      </c>
      <c r="H29" t="s">
        <v>2025</v>
      </c>
      <c r="I29" t="s">
        <v>2055</v>
      </c>
      <c r="J29" t="s">
        <v>4030</v>
      </c>
      <c r="K29" t="s">
        <v>4052</v>
      </c>
      <c r="L29">
        <v>1073.4100000000001</v>
      </c>
    </row>
    <row r="30" spans="1:12">
      <c r="A30" t="s">
        <v>40</v>
      </c>
      <c r="B30" s="2">
        <v>45735</v>
      </c>
      <c r="C30">
        <v>4010</v>
      </c>
      <c r="D30" t="s">
        <v>2016</v>
      </c>
      <c r="E30">
        <v>0</v>
      </c>
      <c r="F30">
        <v>3466</v>
      </c>
      <c r="G30" t="s">
        <v>2021</v>
      </c>
      <c r="H30" t="s">
        <v>2025</v>
      </c>
      <c r="I30" t="s">
        <v>2056</v>
      </c>
      <c r="J30" t="s">
        <v>4028</v>
      </c>
      <c r="K30" t="s">
        <v>4046</v>
      </c>
      <c r="L30">
        <v>3466</v>
      </c>
    </row>
    <row r="31" spans="1:12">
      <c r="A31" t="s">
        <v>41</v>
      </c>
      <c r="B31" s="2">
        <v>45377</v>
      </c>
      <c r="C31">
        <v>5010</v>
      </c>
      <c r="D31" t="s">
        <v>2015</v>
      </c>
      <c r="E31">
        <v>947.43</v>
      </c>
      <c r="F31">
        <v>0</v>
      </c>
      <c r="G31" t="s">
        <v>2017</v>
      </c>
      <c r="H31" t="s">
        <v>2024</v>
      </c>
      <c r="I31" t="s">
        <v>2057</v>
      </c>
      <c r="J31" t="s">
        <v>4032</v>
      </c>
      <c r="K31" t="s">
        <v>4049</v>
      </c>
      <c r="L31">
        <v>-947.43</v>
      </c>
    </row>
    <row r="32" spans="1:12">
      <c r="A32" t="s">
        <v>42</v>
      </c>
      <c r="B32" s="2">
        <v>45298</v>
      </c>
      <c r="C32">
        <v>4010</v>
      </c>
      <c r="D32" t="s">
        <v>2016</v>
      </c>
      <c r="E32">
        <v>0</v>
      </c>
      <c r="F32">
        <v>4495.8900000000003</v>
      </c>
      <c r="G32" t="s">
        <v>2017</v>
      </c>
      <c r="H32" t="s">
        <v>2025</v>
      </c>
      <c r="I32" t="s">
        <v>2058</v>
      </c>
      <c r="J32" t="s">
        <v>4028</v>
      </c>
      <c r="K32" t="s">
        <v>4053</v>
      </c>
      <c r="L32">
        <v>4495.8900000000003</v>
      </c>
    </row>
    <row r="33" spans="1:12">
      <c r="A33" t="s">
        <v>43</v>
      </c>
      <c r="B33" s="2">
        <v>45416</v>
      </c>
      <c r="C33">
        <v>5000</v>
      </c>
      <c r="D33" t="s">
        <v>2013</v>
      </c>
      <c r="E33">
        <v>72.88</v>
      </c>
      <c r="F33">
        <v>0</v>
      </c>
      <c r="G33" t="s">
        <v>2017</v>
      </c>
      <c r="H33" t="s">
        <v>2023</v>
      </c>
      <c r="I33" t="s">
        <v>2059</v>
      </c>
      <c r="J33" t="s">
        <v>4032</v>
      </c>
      <c r="K33" t="s">
        <v>4033</v>
      </c>
      <c r="L33">
        <v>-72.88</v>
      </c>
    </row>
    <row r="34" spans="1:12">
      <c r="A34" t="s">
        <v>44</v>
      </c>
      <c r="B34" s="2">
        <v>44941</v>
      </c>
      <c r="C34">
        <v>4010</v>
      </c>
      <c r="D34" t="s">
        <v>2016</v>
      </c>
      <c r="E34">
        <v>0</v>
      </c>
      <c r="F34">
        <v>867.61</v>
      </c>
      <c r="G34" t="s">
        <v>2019</v>
      </c>
      <c r="H34" t="s">
        <v>2023</v>
      </c>
      <c r="I34" t="s">
        <v>2060</v>
      </c>
      <c r="J34" t="s">
        <v>4030</v>
      </c>
      <c r="K34" t="s">
        <v>4047</v>
      </c>
      <c r="L34">
        <v>867.61</v>
      </c>
    </row>
    <row r="35" spans="1:12">
      <c r="A35" t="s">
        <v>45</v>
      </c>
      <c r="B35" s="2">
        <v>45247</v>
      </c>
      <c r="C35">
        <v>5010</v>
      </c>
      <c r="D35" t="s">
        <v>2015</v>
      </c>
      <c r="E35">
        <v>1416.83</v>
      </c>
      <c r="F35">
        <v>0</v>
      </c>
      <c r="G35" t="s">
        <v>2022</v>
      </c>
      <c r="H35" t="s">
        <v>2023</v>
      </c>
      <c r="I35" t="s">
        <v>2061</v>
      </c>
      <c r="J35" t="s">
        <v>4031</v>
      </c>
      <c r="K35" t="s">
        <v>4042</v>
      </c>
      <c r="L35">
        <v>-1416.83</v>
      </c>
    </row>
    <row r="36" spans="1:12">
      <c r="A36" t="s">
        <v>46</v>
      </c>
      <c r="B36" s="2">
        <v>45501</v>
      </c>
      <c r="C36">
        <v>5010</v>
      </c>
      <c r="D36" t="s">
        <v>2015</v>
      </c>
      <c r="E36">
        <v>806.72</v>
      </c>
      <c r="F36">
        <v>0</v>
      </c>
      <c r="G36" t="s">
        <v>2017</v>
      </c>
      <c r="H36" t="s">
        <v>2027</v>
      </c>
      <c r="I36" t="s">
        <v>2062</v>
      </c>
      <c r="J36" t="s">
        <v>4030</v>
      </c>
      <c r="K36" t="s">
        <v>4054</v>
      </c>
      <c r="L36">
        <v>-806.72</v>
      </c>
    </row>
    <row r="37" spans="1:12">
      <c r="A37" t="s">
        <v>47</v>
      </c>
      <c r="B37" s="2">
        <v>45425</v>
      </c>
      <c r="C37">
        <v>4000</v>
      </c>
      <c r="D37" t="s">
        <v>2012</v>
      </c>
      <c r="E37">
        <v>0</v>
      </c>
      <c r="F37">
        <v>391.57</v>
      </c>
      <c r="G37" t="s">
        <v>2021</v>
      </c>
      <c r="H37" t="s">
        <v>2026</v>
      </c>
      <c r="I37" t="s">
        <v>2063</v>
      </c>
      <c r="J37" t="s">
        <v>4029</v>
      </c>
      <c r="K37" t="s">
        <v>4033</v>
      </c>
      <c r="L37">
        <v>391.57</v>
      </c>
    </row>
    <row r="38" spans="1:12">
      <c r="A38" t="s">
        <v>48</v>
      </c>
      <c r="B38" s="2">
        <v>45767</v>
      </c>
      <c r="C38">
        <v>5000</v>
      </c>
      <c r="D38" t="s">
        <v>2013</v>
      </c>
      <c r="E38">
        <v>248.09</v>
      </c>
      <c r="F38">
        <v>0</v>
      </c>
      <c r="G38" t="s">
        <v>2021</v>
      </c>
      <c r="H38" t="s">
        <v>2023</v>
      </c>
      <c r="I38" t="s">
        <v>2064</v>
      </c>
      <c r="J38" t="s">
        <v>4029</v>
      </c>
      <c r="K38" t="s">
        <v>4045</v>
      </c>
      <c r="L38">
        <v>-248.09</v>
      </c>
    </row>
    <row r="39" spans="1:12">
      <c r="A39" t="s">
        <v>49</v>
      </c>
      <c r="B39" s="2">
        <v>45096</v>
      </c>
      <c r="C39">
        <v>5010</v>
      </c>
      <c r="D39" t="s">
        <v>2015</v>
      </c>
      <c r="E39">
        <v>1469.2</v>
      </c>
      <c r="F39">
        <v>0</v>
      </c>
      <c r="G39" t="s">
        <v>2019</v>
      </c>
      <c r="H39" t="s">
        <v>2023</v>
      </c>
      <c r="I39" t="s">
        <v>2065</v>
      </c>
      <c r="J39" t="s">
        <v>4031</v>
      </c>
      <c r="K39" t="s">
        <v>4055</v>
      </c>
      <c r="L39">
        <v>-1469.2</v>
      </c>
    </row>
    <row r="40" spans="1:12">
      <c r="A40" t="s">
        <v>50</v>
      </c>
      <c r="B40" s="2">
        <v>45660</v>
      </c>
      <c r="C40">
        <v>6000</v>
      </c>
      <c r="D40" t="s">
        <v>2014</v>
      </c>
      <c r="E40">
        <v>1924.85</v>
      </c>
      <c r="F40">
        <v>0</v>
      </c>
      <c r="G40" t="s">
        <v>2021</v>
      </c>
      <c r="H40" t="s">
        <v>2027</v>
      </c>
      <c r="I40" t="s">
        <v>2066</v>
      </c>
      <c r="J40" t="s">
        <v>4029</v>
      </c>
      <c r="K40" t="s">
        <v>4035</v>
      </c>
      <c r="L40">
        <v>-1924.85</v>
      </c>
    </row>
    <row r="41" spans="1:12">
      <c r="A41" t="s">
        <v>51</v>
      </c>
      <c r="B41" s="2">
        <v>45325</v>
      </c>
      <c r="C41">
        <v>5010</v>
      </c>
      <c r="D41" t="s">
        <v>2015</v>
      </c>
      <c r="E41">
        <v>1416.63</v>
      </c>
      <c r="F41">
        <v>0</v>
      </c>
      <c r="G41" t="s">
        <v>2019</v>
      </c>
      <c r="H41" t="s">
        <v>2025</v>
      </c>
      <c r="I41" t="s">
        <v>2067</v>
      </c>
      <c r="J41" t="s">
        <v>4032</v>
      </c>
      <c r="K41" t="s">
        <v>4044</v>
      </c>
      <c r="L41">
        <v>-1416.63</v>
      </c>
    </row>
    <row r="42" spans="1:12">
      <c r="A42" t="s">
        <v>52</v>
      </c>
      <c r="B42" s="2">
        <v>45648</v>
      </c>
      <c r="C42">
        <v>6000</v>
      </c>
      <c r="D42" t="s">
        <v>2014</v>
      </c>
      <c r="E42">
        <v>358.23</v>
      </c>
      <c r="F42">
        <v>0</v>
      </c>
      <c r="G42" t="s">
        <v>2017</v>
      </c>
      <c r="H42" t="s">
        <v>2025</v>
      </c>
      <c r="I42" t="s">
        <v>2068</v>
      </c>
      <c r="J42" t="s">
        <v>4030</v>
      </c>
      <c r="K42" t="s">
        <v>4056</v>
      </c>
      <c r="L42">
        <v>-358.23</v>
      </c>
    </row>
    <row r="43" spans="1:12">
      <c r="A43" t="s">
        <v>53</v>
      </c>
      <c r="B43" s="2">
        <v>45196</v>
      </c>
      <c r="C43">
        <v>5010</v>
      </c>
      <c r="D43" t="s">
        <v>2015</v>
      </c>
      <c r="E43">
        <v>1647.4</v>
      </c>
      <c r="F43">
        <v>0</v>
      </c>
      <c r="G43" t="s">
        <v>2018</v>
      </c>
      <c r="H43" t="s">
        <v>2027</v>
      </c>
      <c r="I43" t="s">
        <v>2069</v>
      </c>
      <c r="J43" t="s">
        <v>4029</v>
      </c>
      <c r="K43" t="s">
        <v>4036</v>
      </c>
      <c r="L43">
        <v>-1647.4</v>
      </c>
    </row>
    <row r="44" spans="1:12">
      <c r="A44" t="s">
        <v>54</v>
      </c>
      <c r="B44" s="2">
        <v>44965</v>
      </c>
      <c r="C44">
        <v>5000</v>
      </c>
      <c r="D44" t="s">
        <v>2013</v>
      </c>
      <c r="E44">
        <v>945.76</v>
      </c>
      <c r="F44">
        <v>0</v>
      </c>
      <c r="G44" t="s">
        <v>2020</v>
      </c>
      <c r="H44" t="s">
        <v>2024</v>
      </c>
      <c r="I44" t="s">
        <v>2070</v>
      </c>
      <c r="J44" t="s">
        <v>4030</v>
      </c>
      <c r="K44" t="s">
        <v>4057</v>
      </c>
      <c r="L44">
        <v>-945.76</v>
      </c>
    </row>
    <row r="45" spans="1:12">
      <c r="A45" t="s">
        <v>55</v>
      </c>
      <c r="B45" s="2">
        <v>45000</v>
      </c>
      <c r="C45">
        <v>6000</v>
      </c>
      <c r="D45" t="s">
        <v>2014</v>
      </c>
      <c r="E45">
        <v>941.14</v>
      </c>
      <c r="F45">
        <v>0</v>
      </c>
      <c r="G45" t="s">
        <v>2021</v>
      </c>
      <c r="H45" t="s">
        <v>2025</v>
      </c>
      <c r="I45" t="s">
        <v>2071</v>
      </c>
      <c r="J45" t="s">
        <v>4029</v>
      </c>
      <c r="K45" t="s">
        <v>4051</v>
      </c>
      <c r="L45">
        <v>-941.14</v>
      </c>
    </row>
    <row r="46" spans="1:12">
      <c r="A46" t="s">
        <v>56</v>
      </c>
      <c r="B46" s="2">
        <v>45532</v>
      </c>
      <c r="C46">
        <v>6000</v>
      </c>
      <c r="D46" t="s">
        <v>2014</v>
      </c>
      <c r="E46">
        <v>142.16</v>
      </c>
      <c r="F46">
        <v>0</v>
      </c>
      <c r="G46" t="s">
        <v>2022</v>
      </c>
      <c r="H46" t="s">
        <v>2026</v>
      </c>
      <c r="I46" t="s">
        <v>2072</v>
      </c>
      <c r="J46" t="s">
        <v>4029</v>
      </c>
      <c r="K46" t="s">
        <v>4058</v>
      </c>
      <c r="L46">
        <v>-142.16</v>
      </c>
    </row>
    <row r="47" spans="1:12">
      <c r="A47" t="s">
        <v>57</v>
      </c>
      <c r="B47" s="2">
        <v>45370</v>
      </c>
      <c r="C47">
        <v>4010</v>
      </c>
      <c r="D47" t="s">
        <v>2016</v>
      </c>
      <c r="E47">
        <v>0</v>
      </c>
      <c r="F47">
        <v>1368.77</v>
      </c>
      <c r="G47" t="s">
        <v>2020</v>
      </c>
      <c r="H47" t="s">
        <v>2023</v>
      </c>
      <c r="I47" t="s">
        <v>2073</v>
      </c>
      <c r="J47" t="s">
        <v>4029</v>
      </c>
      <c r="K47" t="s">
        <v>4049</v>
      </c>
      <c r="L47">
        <v>1368.77</v>
      </c>
    </row>
    <row r="48" spans="1:12">
      <c r="A48" t="s">
        <v>58</v>
      </c>
      <c r="B48" s="2">
        <v>44951</v>
      </c>
      <c r="C48">
        <v>4000</v>
      </c>
      <c r="D48" t="s">
        <v>2012</v>
      </c>
      <c r="E48">
        <v>0</v>
      </c>
      <c r="F48">
        <v>2507.52</v>
      </c>
      <c r="G48" t="s">
        <v>2020</v>
      </c>
      <c r="H48" t="s">
        <v>2025</v>
      </c>
      <c r="I48" t="s">
        <v>2074</v>
      </c>
      <c r="J48" t="s">
        <v>4029</v>
      </c>
      <c r="K48" t="s">
        <v>4047</v>
      </c>
      <c r="L48">
        <v>2507.52</v>
      </c>
    </row>
    <row r="49" spans="1:12">
      <c r="A49" t="s">
        <v>59</v>
      </c>
      <c r="B49" s="2">
        <v>45359</v>
      </c>
      <c r="C49">
        <v>4000</v>
      </c>
      <c r="D49" t="s">
        <v>2012</v>
      </c>
      <c r="E49">
        <v>0</v>
      </c>
      <c r="F49">
        <v>1744.89</v>
      </c>
      <c r="G49" t="s">
        <v>2021</v>
      </c>
      <c r="H49" t="s">
        <v>2025</v>
      </c>
      <c r="I49" t="s">
        <v>2075</v>
      </c>
      <c r="J49" t="s">
        <v>4031</v>
      </c>
      <c r="K49" t="s">
        <v>4049</v>
      </c>
      <c r="L49">
        <v>1744.89</v>
      </c>
    </row>
    <row r="50" spans="1:12">
      <c r="A50" t="s">
        <v>60</v>
      </c>
      <c r="B50" s="2">
        <v>45788</v>
      </c>
      <c r="C50">
        <v>6000</v>
      </c>
      <c r="D50" t="s">
        <v>2014</v>
      </c>
      <c r="E50">
        <v>1408.09</v>
      </c>
      <c r="F50">
        <v>0</v>
      </c>
      <c r="G50" t="s">
        <v>2019</v>
      </c>
      <c r="H50" t="s">
        <v>2025</v>
      </c>
      <c r="I50" t="s">
        <v>2076</v>
      </c>
      <c r="J50" t="s">
        <v>4032</v>
      </c>
      <c r="K50" t="s">
        <v>4038</v>
      </c>
      <c r="L50">
        <v>-1408.09</v>
      </c>
    </row>
    <row r="51" spans="1:12">
      <c r="A51" t="s">
        <v>61</v>
      </c>
      <c r="B51" s="2">
        <v>44999</v>
      </c>
      <c r="C51">
        <v>6000</v>
      </c>
      <c r="D51" t="s">
        <v>2014</v>
      </c>
      <c r="E51">
        <v>480.19</v>
      </c>
      <c r="F51">
        <v>0</v>
      </c>
      <c r="G51" t="s">
        <v>2020</v>
      </c>
      <c r="H51" t="s">
        <v>2027</v>
      </c>
      <c r="I51" t="s">
        <v>2077</v>
      </c>
      <c r="J51" t="s">
        <v>4029</v>
      </c>
      <c r="K51" t="s">
        <v>4051</v>
      </c>
      <c r="L51">
        <v>-480.19</v>
      </c>
    </row>
    <row r="52" spans="1:12">
      <c r="A52" t="s">
        <v>62</v>
      </c>
      <c r="B52" s="2">
        <v>45553</v>
      </c>
      <c r="C52">
        <v>5000</v>
      </c>
      <c r="D52" t="s">
        <v>2013</v>
      </c>
      <c r="E52">
        <v>1444.62</v>
      </c>
      <c r="F52">
        <v>0</v>
      </c>
      <c r="G52" t="s">
        <v>2020</v>
      </c>
      <c r="H52" t="s">
        <v>2027</v>
      </c>
      <c r="I52" t="s">
        <v>2078</v>
      </c>
      <c r="J52" t="s">
        <v>4032</v>
      </c>
      <c r="K52" t="s">
        <v>4048</v>
      </c>
      <c r="L52">
        <v>-1444.62</v>
      </c>
    </row>
    <row r="53" spans="1:12">
      <c r="A53" t="s">
        <v>63</v>
      </c>
      <c r="B53" s="2">
        <v>45591</v>
      </c>
      <c r="C53">
        <v>4000</v>
      </c>
      <c r="D53" t="s">
        <v>2012</v>
      </c>
      <c r="E53">
        <v>0</v>
      </c>
      <c r="F53">
        <v>4456.24</v>
      </c>
      <c r="G53" t="s">
        <v>2018</v>
      </c>
      <c r="H53" t="s">
        <v>2025</v>
      </c>
      <c r="I53" t="s">
        <v>2079</v>
      </c>
      <c r="J53" t="s">
        <v>4032</v>
      </c>
      <c r="K53" t="s">
        <v>4059</v>
      </c>
      <c r="L53">
        <v>4456.24</v>
      </c>
    </row>
    <row r="54" spans="1:12">
      <c r="A54" t="s">
        <v>64</v>
      </c>
      <c r="B54" s="2">
        <v>45817</v>
      </c>
      <c r="C54">
        <v>4000</v>
      </c>
      <c r="D54" t="s">
        <v>2012</v>
      </c>
      <c r="E54">
        <v>0</v>
      </c>
      <c r="F54">
        <v>4800.28</v>
      </c>
      <c r="G54" t="s">
        <v>2022</v>
      </c>
      <c r="H54" t="s">
        <v>2025</v>
      </c>
      <c r="I54" t="s">
        <v>2080</v>
      </c>
      <c r="J54" t="s">
        <v>4032</v>
      </c>
      <c r="K54" t="s">
        <v>4052</v>
      </c>
      <c r="L54">
        <v>4800.28</v>
      </c>
    </row>
    <row r="55" spans="1:12">
      <c r="A55" t="s">
        <v>65</v>
      </c>
      <c r="B55" s="2">
        <v>45249</v>
      </c>
      <c r="C55">
        <v>5000</v>
      </c>
      <c r="D55" t="s">
        <v>2013</v>
      </c>
      <c r="E55">
        <v>425.12</v>
      </c>
      <c r="F55">
        <v>0</v>
      </c>
      <c r="G55" t="s">
        <v>2020</v>
      </c>
      <c r="H55" t="s">
        <v>2023</v>
      </c>
      <c r="I55" t="s">
        <v>2081</v>
      </c>
      <c r="J55" t="s">
        <v>4030</v>
      </c>
      <c r="K55" t="s">
        <v>4042</v>
      </c>
      <c r="L55">
        <v>-425.12</v>
      </c>
    </row>
    <row r="56" spans="1:12">
      <c r="A56" t="s">
        <v>66</v>
      </c>
      <c r="B56" s="2">
        <v>45408</v>
      </c>
      <c r="C56">
        <v>6000</v>
      </c>
      <c r="D56" t="s">
        <v>2014</v>
      </c>
      <c r="E56">
        <v>1830.18</v>
      </c>
      <c r="F56">
        <v>0</v>
      </c>
      <c r="G56" t="s">
        <v>2021</v>
      </c>
      <c r="H56" t="s">
        <v>2023</v>
      </c>
      <c r="I56" t="s">
        <v>2082</v>
      </c>
      <c r="J56" t="s">
        <v>4029</v>
      </c>
      <c r="K56" t="s">
        <v>4040</v>
      </c>
      <c r="L56">
        <v>-1830.18</v>
      </c>
    </row>
    <row r="57" spans="1:12">
      <c r="A57" t="s">
        <v>67</v>
      </c>
      <c r="B57" s="2">
        <v>45598</v>
      </c>
      <c r="C57">
        <v>4000</v>
      </c>
      <c r="D57" t="s">
        <v>2012</v>
      </c>
      <c r="E57">
        <v>0</v>
      </c>
      <c r="F57">
        <v>4128.6400000000003</v>
      </c>
      <c r="G57" t="s">
        <v>2017</v>
      </c>
      <c r="H57" t="s">
        <v>2027</v>
      </c>
      <c r="I57" t="s">
        <v>2083</v>
      </c>
      <c r="J57" t="s">
        <v>4030</v>
      </c>
      <c r="K57" t="s">
        <v>4043</v>
      </c>
      <c r="L57">
        <v>4128.6400000000003</v>
      </c>
    </row>
    <row r="58" spans="1:12">
      <c r="A58" t="s">
        <v>68</v>
      </c>
      <c r="B58" s="2">
        <v>45041</v>
      </c>
      <c r="C58">
        <v>5000</v>
      </c>
      <c r="D58" t="s">
        <v>2013</v>
      </c>
      <c r="E58">
        <v>609.79999999999995</v>
      </c>
      <c r="F58">
        <v>0</v>
      </c>
      <c r="G58" t="s">
        <v>2018</v>
      </c>
      <c r="H58" t="s">
        <v>2024</v>
      </c>
      <c r="I58" t="s">
        <v>2084</v>
      </c>
      <c r="J58" t="s">
        <v>4032</v>
      </c>
      <c r="K58" t="s">
        <v>4041</v>
      </c>
      <c r="L58">
        <v>-609.79999999999995</v>
      </c>
    </row>
    <row r="59" spans="1:12">
      <c r="A59" t="s">
        <v>69</v>
      </c>
      <c r="B59" s="2">
        <v>45279</v>
      </c>
      <c r="C59">
        <v>5010</v>
      </c>
      <c r="D59" t="s">
        <v>2015</v>
      </c>
      <c r="E59">
        <v>279.32</v>
      </c>
      <c r="F59">
        <v>0</v>
      </c>
      <c r="G59" t="s">
        <v>2020</v>
      </c>
      <c r="H59" t="s">
        <v>2025</v>
      </c>
      <c r="I59" t="s">
        <v>2085</v>
      </c>
      <c r="J59" t="s">
        <v>4031</v>
      </c>
      <c r="K59" t="s">
        <v>4039</v>
      </c>
      <c r="L59">
        <v>-279.32</v>
      </c>
    </row>
    <row r="60" spans="1:12">
      <c r="A60" t="s">
        <v>70</v>
      </c>
      <c r="B60" s="2">
        <v>45546</v>
      </c>
      <c r="C60">
        <v>4010</v>
      </c>
      <c r="D60" t="s">
        <v>2016</v>
      </c>
      <c r="E60">
        <v>0</v>
      </c>
      <c r="F60">
        <v>1790.31</v>
      </c>
      <c r="G60" t="s">
        <v>2021</v>
      </c>
      <c r="H60" t="s">
        <v>2023</v>
      </c>
      <c r="I60" t="s">
        <v>2086</v>
      </c>
      <c r="J60" t="s">
        <v>4032</v>
      </c>
      <c r="K60" t="s">
        <v>4048</v>
      </c>
      <c r="L60">
        <v>1790.31</v>
      </c>
    </row>
    <row r="61" spans="1:12">
      <c r="A61" t="s">
        <v>71</v>
      </c>
      <c r="B61" s="2">
        <v>45324</v>
      </c>
      <c r="C61">
        <v>5010</v>
      </c>
      <c r="D61" t="s">
        <v>2015</v>
      </c>
      <c r="E61">
        <v>1635.65</v>
      </c>
      <c r="F61">
        <v>0</v>
      </c>
      <c r="G61" t="s">
        <v>2018</v>
      </c>
      <c r="H61" t="s">
        <v>2025</v>
      </c>
      <c r="I61" t="s">
        <v>2087</v>
      </c>
      <c r="J61" t="s">
        <v>4032</v>
      </c>
      <c r="K61" t="s">
        <v>4044</v>
      </c>
      <c r="L61">
        <v>-1635.65</v>
      </c>
    </row>
    <row r="62" spans="1:12">
      <c r="A62" t="s">
        <v>72</v>
      </c>
      <c r="B62" s="2">
        <v>45412</v>
      </c>
      <c r="C62">
        <v>4000</v>
      </c>
      <c r="D62" t="s">
        <v>2012</v>
      </c>
      <c r="E62">
        <v>0</v>
      </c>
      <c r="F62">
        <v>3300.5</v>
      </c>
      <c r="G62" t="s">
        <v>2021</v>
      </c>
      <c r="H62" t="s">
        <v>2025</v>
      </c>
      <c r="I62" t="s">
        <v>2088</v>
      </c>
      <c r="J62" t="s">
        <v>4031</v>
      </c>
      <c r="K62" t="s">
        <v>4040</v>
      </c>
      <c r="L62">
        <v>3300.5</v>
      </c>
    </row>
    <row r="63" spans="1:12">
      <c r="A63" t="s">
        <v>73</v>
      </c>
      <c r="B63" s="2">
        <v>45465</v>
      </c>
      <c r="C63">
        <v>6000</v>
      </c>
      <c r="D63" t="s">
        <v>2014</v>
      </c>
      <c r="E63">
        <v>1704.76</v>
      </c>
      <c r="F63">
        <v>0</v>
      </c>
      <c r="G63" t="s">
        <v>2020</v>
      </c>
      <c r="H63" t="s">
        <v>2024</v>
      </c>
      <c r="I63" t="s">
        <v>2089</v>
      </c>
      <c r="J63" t="s">
        <v>4030</v>
      </c>
      <c r="K63" t="s">
        <v>4034</v>
      </c>
      <c r="L63">
        <v>-1704.76</v>
      </c>
    </row>
    <row r="64" spans="1:12">
      <c r="A64" t="s">
        <v>74</v>
      </c>
      <c r="B64" s="2">
        <v>45185</v>
      </c>
      <c r="C64">
        <v>5010</v>
      </c>
      <c r="D64" t="s">
        <v>2015</v>
      </c>
      <c r="E64">
        <v>145.25</v>
      </c>
      <c r="F64">
        <v>0</v>
      </c>
      <c r="G64" t="s">
        <v>2019</v>
      </c>
      <c r="H64" t="s">
        <v>2024</v>
      </c>
      <c r="I64" t="s">
        <v>2090</v>
      </c>
      <c r="J64" t="s">
        <v>4029</v>
      </c>
      <c r="K64" t="s">
        <v>4036</v>
      </c>
      <c r="L64">
        <v>-145.25</v>
      </c>
    </row>
    <row r="65" spans="1:12">
      <c r="A65" t="s">
        <v>75</v>
      </c>
      <c r="B65" s="2">
        <v>45529</v>
      </c>
      <c r="C65">
        <v>6000</v>
      </c>
      <c r="D65" t="s">
        <v>2014</v>
      </c>
      <c r="E65">
        <v>1423.44</v>
      </c>
      <c r="F65">
        <v>0</v>
      </c>
      <c r="G65" t="s">
        <v>2020</v>
      </c>
      <c r="H65" t="s">
        <v>2024</v>
      </c>
      <c r="I65" t="s">
        <v>2091</v>
      </c>
      <c r="J65" t="s">
        <v>4029</v>
      </c>
      <c r="K65" t="s">
        <v>4058</v>
      </c>
      <c r="L65">
        <v>-1423.44</v>
      </c>
    </row>
    <row r="66" spans="1:12">
      <c r="A66" t="s">
        <v>76</v>
      </c>
      <c r="B66" s="2">
        <v>45172</v>
      </c>
      <c r="C66">
        <v>5010</v>
      </c>
      <c r="D66" t="s">
        <v>2015</v>
      </c>
      <c r="E66">
        <v>793.01</v>
      </c>
      <c r="F66">
        <v>0</v>
      </c>
      <c r="G66" t="s">
        <v>2019</v>
      </c>
      <c r="H66" t="s">
        <v>2027</v>
      </c>
      <c r="I66" t="s">
        <v>2092</v>
      </c>
      <c r="J66" t="s">
        <v>4032</v>
      </c>
      <c r="K66" t="s">
        <v>4036</v>
      </c>
      <c r="L66">
        <v>-793.01</v>
      </c>
    </row>
    <row r="67" spans="1:12">
      <c r="A67" t="s">
        <v>77</v>
      </c>
      <c r="B67" s="2">
        <v>44984</v>
      </c>
      <c r="C67">
        <v>4010</v>
      </c>
      <c r="D67" t="s">
        <v>2016</v>
      </c>
      <c r="E67">
        <v>0</v>
      </c>
      <c r="F67">
        <v>2977.78</v>
      </c>
      <c r="G67" t="s">
        <v>2020</v>
      </c>
      <c r="H67" t="s">
        <v>2024</v>
      </c>
      <c r="I67" t="s">
        <v>2093</v>
      </c>
      <c r="J67" t="s">
        <v>4031</v>
      </c>
      <c r="K67" t="s">
        <v>4057</v>
      </c>
      <c r="L67">
        <v>2977.78</v>
      </c>
    </row>
    <row r="68" spans="1:12">
      <c r="A68" t="s">
        <v>78</v>
      </c>
      <c r="B68" s="2">
        <v>45214</v>
      </c>
      <c r="C68">
        <v>5010</v>
      </c>
      <c r="D68" t="s">
        <v>2015</v>
      </c>
      <c r="E68">
        <v>1212.6500000000001</v>
      </c>
      <c r="F68">
        <v>0</v>
      </c>
      <c r="G68" t="s">
        <v>2022</v>
      </c>
      <c r="H68" t="s">
        <v>2023</v>
      </c>
      <c r="I68" t="s">
        <v>2094</v>
      </c>
      <c r="J68" t="s">
        <v>4029</v>
      </c>
      <c r="K68" t="s">
        <v>4060</v>
      </c>
      <c r="L68">
        <v>-1212.6500000000001</v>
      </c>
    </row>
    <row r="69" spans="1:12">
      <c r="A69" t="s">
        <v>79</v>
      </c>
      <c r="B69" s="2">
        <v>45778</v>
      </c>
      <c r="C69">
        <v>4000</v>
      </c>
      <c r="D69" t="s">
        <v>2012</v>
      </c>
      <c r="E69">
        <v>0</v>
      </c>
      <c r="F69">
        <v>1204.96</v>
      </c>
      <c r="G69" t="s">
        <v>2022</v>
      </c>
      <c r="H69" t="s">
        <v>2024</v>
      </c>
      <c r="I69" t="s">
        <v>2095</v>
      </c>
      <c r="J69" t="s">
        <v>4028</v>
      </c>
      <c r="K69" t="s">
        <v>4038</v>
      </c>
      <c r="L69">
        <v>1204.96</v>
      </c>
    </row>
    <row r="70" spans="1:12">
      <c r="A70" t="s">
        <v>80</v>
      </c>
      <c r="B70" s="2">
        <v>45831</v>
      </c>
      <c r="C70">
        <v>5010</v>
      </c>
      <c r="D70" t="s">
        <v>2015</v>
      </c>
      <c r="E70">
        <v>1735.7</v>
      </c>
      <c r="F70">
        <v>0</v>
      </c>
      <c r="G70" t="s">
        <v>2020</v>
      </c>
      <c r="H70" t="s">
        <v>2027</v>
      </c>
      <c r="I70" t="s">
        <v>2096</v>
      </c>
      <c r="J70" t="s">
        <v>4031</v>
      </c>
      <c r="K70" t="s">
        <v>4052</v>
      </c>
      <c r="L70">
        <v>-1735.7</v>
      </c>
    </row>
    <row r="71" spans="1:12">
      <c r="A71" t="s">
        <v>81</v>
      </c>
      <c r="B71" s="2">
        <v>45826</v>
      </c>
      <c r="C71">
        <v>6000</v>
      </c>
      <c r="D71" t="s">
        <v>2014</v>
      </c>
      <c r="E71">
        <v>1095.32</v>
      </c>
      <c r="F71">
        <v>0</v>
      </c>
      <c r="G71" t="s">
        <v>2021</v>
      </c>
      <c r="H71" t="s">
        <v>2023</v>
      </c>
      <c r="I71" t="s">
        <v>2097</v>
      </c>
      <c r="J71" t="s">
        <v>4030</v>
      </c>
      <c r="K71" t="s">
        <v>4052</v>
      </c>
      <c r="L71">
        <v>-1095.32</v>
      </c>
    </row>
    <row r="72" spans="1:12">
      <c r="A72" t="s">
        <v>82</v>
      </c>
      <c r="B72" s="2">
        <v>45430</v>
      </c>
      <c r="C72">
        <v>6000</v>
      </c>
      <c r="D72" t="s">
        <v>2014</v>
      </c>
      <c r="E72">
        <v>553.17999999999995</v>
      </c>
      <c r="F72">
        <v>0</v>
      </c>
      <c r="G72" t="s">
        <v>2019</v>
      </c>
      <c r="H72" t="s">
        <v>2024</v>
      </c>
      <c r="I72" t="s">
        <v>2098</v>
      </c>
      <c r="J72" t="s">
        <v>4031</v>
      </c>
      <c r="K72" t="s">
        <v>4033</v>
      </c>
      <c r="L72">
        <v>-553.17999999999995</v>
      </c>
    </row>
    <row r="73" spans="1:12">
      <c r="A73" t="s">
        <v>83</v>
      </c>
      <c r="B73" s="2">
        <v>45781</v>
      </c>
      <c r="C73">
        <v>4000</v>
      </c>
      <c r="D73" t="s">
        <v>2012</v>
      </c>
      <c r="E73">
        <v>0</v>
      </c>
      <c r="F73">
        <v>2434.5500000000002</v>
      </c>
      <c r="G73" t="s">
        <v>2021</v>
      </c>
      <c r="H73" t="s">
        <v>2024</v>
      </c>
      <c r="I73" t="s">
        <v>2099</v>
      </c>
      <c r="J73" t="s">
        <v>4032</v>
      </c>
      <c r="K73" t="s">
        <v>4038</v>
      </c>
      <c r="L73">
        <v>2434.5500000000002</v>
      </c>
    </row>
    <row r="74" spans="1:12">
      <c r="A74" t="s">
        <v>84</v>
      </c>
      <c r="B74" s="2">
        <v>45343</v>
      </c>
      <c r="C74">
        <v>5000</v>
      </c>
      <c r="D74" t="s">
        <v>2013</v>
      </c>
      <c r="E74">
        <v>156.53</v>
      </c>
      <c r="F74">
        <v>0</v>
      </c>
      <c r="G74" t="s">
        <v>2021</v>
      </c>
      <c r="H74" t="s">
        <v>2023</v>
      </c>
      <c r="I74" t="s">
        <v>2100</v>
      </c>
      <c r="J74" t="s">
        <v>4031</v>
      </c>
      <c r="K74" t="s">
        <v>4044</v>
      </c>
      <c r="L74">
        <v>-156.53</v>
      </c>
    </row>
    <row r="75" spans="1:12">
      <c r="A75" t="s">
        <v>85</v>
      </c>
      <c r="B75" s="2">
        <v>45690</v>
      </c>
      <c r="C75">
        <v>6000</v>
      </c>
      <c r="D75" t="s">
        <v>2014</v>
      </c>
      <c r="E75">
        <v>1231.32</v>
      </c>
      <c r="F75">
        <v>0</v>
      </c>
      <c r="G75" t="s">
        <v>2018</v>
      </c>
      <c r="H75" t="s">
        <v>2026</v>
      </c>
      <c r="I75" t="s">
        <v>2101</v>
      </c>
      <c r="J75" t="s">
        <v>4028</v>
      </c>
      <c r="K75" t="s">
        <v>4061</v>
      </c>
      <c r="L75">
        <v>-1231.32</v>
      </c>
    </row>
    <row r="76" spans="1:12">
      <c r="A76" t="s">
        <v>86</v>
      </c>
      <c r="B76" s="2">
        <v>45551</v>
      </c>
      <c r="C76">
        <v>5010</v>
      </c>
      <c r="D76" t="s">
        <v>2015</v>
      </c>
      <c r="E76">
        <v>1844.88</v>
      </c>
      <c r="F76">
        <v>0</v>
      </c>
      <c r="G76" t="s">
        <v>2017</v>
      </c>
      <c r="H76" t="s">
        <v>2027</v>
      </c>
      <c r="I76" t="s">
        <v>2102</v>
      </c>
      <c r="J76" t="s">
        <v>4030</v>
      </c>
      <c r="K76" t="s">
        <v>4048</v>
      </c>
      <c r="L76">
        <v>-1844.88</v>
      </c>
    </row>
    <row r="77" spans="1:12">
      <c r="A77" t="s">
        <v>87</v>
      </c>
      <c r="B77" s="2">
        <v>45751</v>
      </c>
      <c r="C77">
        <v>5010</v>
      </c>
      <c r="D77" t="s">
        <v>2015</v>
      </c>
      <c r="E77">
        <v>1368.26</v>
      </c>
      <c r="F77">
        <v>0</v>
      </c>
      <c r="G77" t="s">
        <v>2021</v>
      </c>
      <c r="H77" t="s">
        <v>2023</v>
      </c>
      <c r="I77" t="s">
        <v>2103</v>
      </c>
      <c r="J77" t="s">
        <v>4028</v>
      </c>
      <c r="K77" t="s">
        <v>4045</v>
      </c>
      <c r="L77">
        <v>-1368.26</v>
      </c>
    </row>
    <row r="78" spans="1:12">
      <c r="A78" t="s">
        <v>88</v>
      </c>
      <c r="B78" s="2">
        <v>45437</v>
      </c>
      <c r="C78">
        <v>4000</v>
      </c>
      <c r="D78" t="s">
        <v>2012</v>
      </c>
      <c r="E78">
        <v>0</v>
      </c>
      <c r="F78">
        <v>2609.56</v>
      </c>
      <c r="G78" t="s">
        <v>2017</v>
      </c>
      <c r="H78" t="s">
        <v>2025</v>
      </c>
      <c r="I78" t="s">
        <v>2104</v>
      </c>
      <c r="J78" t="s">
        <v>4028</v>
      </c>
      <c r="K78" t="s">
        <v>4033</v>
      </c>
      <c r="L78">
        <v>2609.56</v>
      </c>
    </row>
    <row r="79" spans="1:12">
      <c r="A79" t="s">
        <v>89</v>
      </c>
      <c r="B79" s="2">
        <v>45012</v>
      </c>
      <c r="C79">
        <v>6000</v>
      </c>
      <c r="D79" t="s">
        <v>2014</v>
      </c>
      <c r="E79">
        <v>1420.84</v>
      </c>
      <c r="F79">
        <v>0</v>
      </c>
      <c r="G79" t="s">
        <v>2019</v>
      </c>
      <c r="H79" t="s">
        <v>2025</v>
      </c>
      <c r="I79" t="s">
        <v>2105</v>
      </c>
      <c r="J79" t="s">
        <v>4030</v>
      </c>
      <c r="K79" t="s">
        <v>4051</v>
      </c>
      <c r="L79">
        <v>-1420.84</v>
      </c>
    </row>
    <row r="80" spans="1:12">
      <c r="A80" t="s">
        <v>90</v>
      </c>
      <c r="B80" s="2">
        <v>45742</v>
      </c>
      <c r="C80">
        <v>5000</v>
      </c>
      <c r="D80" t="s">
        <v>2013</v>
      </c>
      <c r="E80">
        <v>1671.57</v>
      </c>
      <c r="F80">
        <v>0</v>
      </c>
      <c r="G80" t="s">
        <v>2021</v>
      </c>
      <c r="H80" t="s">
        <v>2024</v>
      </c>
      <c r="I80" t="s">
        <v>2106</v>
      </c>
      <c r="J80" t="s">
        <v>4028</v>
      </c>
      <c r="K80" t="s">
        <v>4046</v>
      </c>
      <c r="L80">
        <v>-1671.57</v>
      </c>
    </row>
    <row r="81" spans="1:12">
      <c r="A81" t="s">
        <v>91</v>
      </c>
      <c r="B81" s="2">
        <v>45001</v>
      </c>
      <c r="C81">
        <v>6000</v>
      </c>
      <c r="D81" t="s">
        <v>2014</v>
      </c>
      <c r="E81">
        <v>498.83</v>
      </c>
      <c r="F81">
        <v>0</v>
      </c>
      <c r="G81" t="s">
        <v>2022</v>
      </c>
      <c r="H81" t="s">
        <v>2024</v>
      </c>
      <c r="I81" t="s">
        <v>2107</v>
      </c>
      <c r="J81" t="s">
        <v>4030</v>
      </c>
      <c r="K81" t="s">
        <v>4051</v>
      </c>
      <c r="L81">
        <v>-498.83</v>
      </c>
    </row>
    <row r="82" spans="1:12">
      <c r="A82" t="s">
        <v>92</v>
      </c>
      <c r="B82" s="2">
        <v>45799</v>
      </c>
      <c r="C82">
        <v>5010</v>
      </c>
      <c r="D82" t="s">
        <v>2015</v>
      </c>
      <c r="E82">
        <v>1528.9</v>
      </c>
      <c r="F82">
        <v>0</v>
      </c>
      <c r="G82" t="s">
        <v>2017</v>
      </c>
      <c r="H82" t="s">
        <v>2026</v>
      </c>
      <c r="I82" t="s">
        <v>2108</v>
      </c>
      <c r="J82" t="s">
        <v>4031</v>
      </c>
      <c r="K82" t="s">
        <v>4038</v>
      </c>
      <c r="L82">
        <v>-1528.9</v>
      </c>
    </row>
    <row r="83" spans="1:12">
      <c r="A83" t="s">
        <v>93</v>
      </c>
      <c r="B83" s="2">
        <v>45172</v>
      </c>
      <c r="C83">
        <v>4000</v>
      </c>
      <c r="D83" t="s">
        <v>2012</v>
      </c>
      <c r="E83">
        <v>0</v>
      </c>
      <c r="F83">
        <v>4706.6099999999997</v>
      </c>
      <c r="G83" t="s">
        <v>2019</v>
      </c>
      <c r="H83" t="s">
        <v>2024</v>
      </c>
      <c r="I83" t="s">
        <v>2109</v>
      </c>
      <c r="J83" t="s">
        <v>4029</v>
      </c>
      <c r="K83" t="s">
        <v>4036</v>
      </c>
      <c r="L83">
        <v>4706.6099999999997</v>
      </c>
    </row>
    <row r="84" spans="1:12">
      <c r="A84" t="s">
        <v>94</v>
      </c>
      <c r="B84" s="2">
        <v>45284</v>
      </c>
      <c r="C84">
        <v>5010</v>
      </c>
      <c r="D84" t="s">
        <v>2015</v>
      </c>
      <c r="E84">
        <v>1105.6300000000001</v>
      </c>
      <c r="F84">
        <v>0</v>
      </c>
      <c r="G84" t="s">
        <v>2017</v>
      </c>
      <c r="H84" t="s">
        <v>2024</v>
      </c>
      <c r="I84" t="s">
        <v>2110</v>
      </c>
      <c r="J84" t="s">
        <v>4030</v>
      </c>
      <c r="K84" t="s">
        <v>4039</v>
      </c>
      <c r="L84">
        <v>-1105.6300000000001</v>
      </c>
    </row>
    <row r="85" spans="1:12">
      <c r="A85" t="s">
        <v>95</v>
      </c>
      <c r="B85" s="2">
        <v>45222</v>
      </c>
      <c r="C85">
        <v>4010</v>
      </c>
      <c r="D85" t="s">
        <v>2016</v>
      </c>
      <c r="E85">
        <v>0</v>
      </c>
      <c r="F85">
        <v>3399.04</v>
      </c>
      <c r="G85" t="s">
        <v>2019</v>
      </c>
      <c r="H85" t="s">
        <v>2026</v>
      </c>
      <c r="I85" t="s">
        <v>2111</v>
      </c>
      <c r="J85" t="s">
        <v>4030</v>
      </c>
      <c r="K85" t="s">
        <v>4060</v>
      </c>
      <c r="L85">
        <v>3399.04</v>
      </c>
    </row>
    <row r="86" spans="1:12">
      <c r="A86" t="s">
        <v>96</v>
      </c>
      <c r="B86" s="2">
        <v>45291</v>
      </c>
      <c r="C86">
        <v>5010</v>
      </c>
      <c r="D86" t="s">
        <v>2015</v>
      </c>
      <c r="E86">
        <v>1163.98</v>
      </c>
      <c r="F86">
        <v>0</v>
      </c>
      <c r="G86" t="s">
        <v>2017</v>
      </c>
      <c r="H86" t="s">
        <v>2027</v>
      </c>
      <c r="I86" t="s">
        <v>2112</v>
      </c>
      <c r="J86" t="s">
        <v>4028</v>
      </c>
      <c r="K86" t="s">
        <v>4039</v>
      </c>
      <c r="L86">
        <v>-1163.98</v>
      </c>
    </row>
    <row r="87" spans="1:12">
      <c r="A87" t="s">
        <v>97</v>
      </c>
      <c r="B87" s="2">
        <v>45221</v>
      </c>
      <c r="C87">
        <v>4000</v>
      </c>
      <c r="D87" t="s">
        <v>2012</v>
      </c>
      <c r="E87">
        <v>0</v>
      </c>
      <c r="F87">
        <v>3532.66</v>
      </c>
      <c r="G87" t="s">
        <v>2019</v>
      </c>
      <c r="H87" t="s">
        <v>2024</v>
      </c>
      <c r="I87" t="s">
        <v>2113</v>
      </c>
      <c r="J87" t="s">
        <v>4031</v>
      </c>
      <c r="K87" t="s">
        <v>4060</v>
      </c>
      <c r="L87">
        <v>3532.66</v>
      </c>
    </row>
    <row r="88" spans="1:12">
      <c r="A88" t="s">
        <v>98</v>
      </c>
      <c r="B88" s="2">
        <v>45709</v>
      </c>
      <c r="C88">
        <v>5010</v>
      </c>
      <c r="D88" t="s">
        <v>2015</v>
      </c>
      <c r="E88">
        <v>1395.59</v>
      </c>
      <c r="F88">
        <v>0</v>
      </c>
      <c r="G88" t="s">
        <v>2018</v>
      </c>
      <c r="H88" t="s">
        <v>2027</v>
      </c>
      <c r="I88" t="s">
        <v>2114</v>
      </c>
      <c r="J88" t="s">
        <v>4031</v>
      </c>
      <c r="K88" t="s">
        <v>4061</v>
      </c>
      <c r="L88">
        <v>-1395.59</v>
      </c>
    </row>
    <row r="89" spans="1:12">
      <c r="A89" t="s">
        <v>99</v>
      </c>
      <c r="B89" s="2">
        <v>45618</v>
      </c>
      <c r="C89">
        <v>5000</v>
      </c>
      <c r="D89" t="s">
        <v>2013</v>
      </c>
      <c r="E89">
        <v>1441.07</v>
      </c>
      <c r="F89">
        <v>0</v>
      </c>
      <c r="G89" t="s">
        <v>2021</v>
      </c>
      <c r="H89" t="s">
        <v>2027</v>
      </c>
      <c r="I89" t="s">
        <v>2115</v>
      </c>
      <c r="J89" t="s">
        <v>4032</v>
      </c>
      <c r="K89" t="s">
        <v>4043</v>
      </c>
      <c r="L89">
        <v>-1441.07</v>
      </c>
    </row>
    <row r="90" spans="1:12">
      <c r="A90" t="s">
        <v>100</v>
      </c>
      <c r="B90" s="2">
        <v>45275</v>
      </c>
      <c r="C90">
        <v>4010</v>
      </c>
      <c r="D90" t="s">
        <v>2016</v>
      </c>
      <c r="E90">
        <v>0</v>
      </c>
      <c r="F90">
        <v>3845.76</v>
      </c>
      <c r="G90" t="s">
        <v>2017</v>
      </c>
      <c r="H90" t="s">
        <v>2023</v>
      </c>
      <c r="I90" t="s">
        <v>2116</v>
      </c>
      <c r="J90" t="s">
        <v>4031</v>
      </c>
      <c r="K90" t="s">
        <v>4039</v>
      </c>
      <c r="L90">
        <v>3845.76</v>
      </c>
    </row>
    <row r="91" spans="1:12">
      <c r="A91" t="s">
        <v>101</v>
      </c>
      <c r="B91" s="2">
        <v>45135</v>
      </c>
      <c r="C91">
        <v>6000</v>
      </c>
      <c r="D91" t="s">
        <v>2014</v>
      </c>
      <c r="E91">
        <v>1448.69</v>
      </c>
      <c r="F91">
        <v>0</v>
      </c>
      <c r="G91" t="s">
        <v>2020</v>
      </c>
      <c r="H91" t="s">
        <v>2024</v>
      </c>
      <c r="I91" t="s">
        <v>2117</v>
      </c>
      <c r="J91" t="s">
        <v>4032</v>
      </c>
      <c r="K91" t="s">
        <v>4050</v>
      </c>
      <c r="L91">
        <v>-1448.69</v>
      </c>
    </row>
    <row r="92" spans="1:12">
      <c r="A92" t="s">
        <v>102</v>
      </c>
      <c r="B92" s="2">
        <v>45396</v>
      </c>
      <c r="C92">
        <v>5000</v>
      </c>
      <c r="D92" t="s">
        <v>2013</v>
      </c>
      <c r="E92">
        <v>74.5</v>
      </c>
      <c r="F92">
        <v>0</v>
      </c>
      <c r="G92" t="s">
        <v>2019</v>
      </c>
      <c r="H92" t="s">
        <v>2023</v>
      </c>
      <c r="I92" t="s">
        <v>2118</v>
      </c>
      <c r="J92" t="s">
        <v>4028</v>
      </c>
      <c r="K92" t="s">
        <v>4040</v>
      </c>
      <c r="L92">
        <v>-74.5</v>
      </c>
    </row>
    <row r="93" spans="1:12">
      <c r="A93" t="s">
        <v>103</v>
      </c>
      <c r="B93" s="2">
        <v>45620</v>
      </c>
      <c r="C93">
        <v>4000</v>
      </c>
      <c r="D93" t="s">
        <v>2012</v>
      </c>
      <c r="E93">
        <v>0</v>
      </c>
      <c r="F93">
        <v>1071.73</v>
      </c>
      <c r="G93" t="s">
        <v>2022</v>
      </c>
      <c r="H93" t="s">
        <v>2025</v>
      </c>
      <c r="I93" t="s">
        <v>2119</v>
      </c>
      <c r="J93" t="s">
        <v>4031</v>
      </c>
      <c r="K93" t="s">
        <v>4043</v>
      </c>
      <c r="L93">
        <v>1071.73</v>
      </c>
    </row>
    <row r="94" spans="1:12">
      <c r="A94" t="s">
        <v>104</v>
      </c>
      <c r="B94" s="2">
        <v>45709</v>
      </c>
      <c r="C94">
        <v>5000</v>
      </c>
      <c r="D94" t="s">
        <v>2013</v>
      </c>
      <c r="E94">
        <v>1875.56</v>
      </c>
      <c r="F94">
        <v>0</v>
      </c>
      <c r="G94" t="s">
        <v>2021</v>
      </c>
      <c r="H94" t="s">
        <v>2024</v>
      </c>
      <c r="I94" t="s">
        <v>2120</v>
      </c>
      <c r="J94" t="s">
        <v>4028</v>
      </c>
      <c r="K94" t="s">
        <v>4061</v>
      </c>
      <c r="L94">
        <v>-1875.56</v>
      </c>
    </row>
    <row r="95" spans="1:12">
      <c r="A95" t="s">
        <v>105</v>
      </c>
      <c r="B95" s="2">
        <v>45424</v>
      </c>
      <c r="C95">
        <v>6000</v>
      </c>
      <c r="D95" t="s">
        <v>2014</v>
      </c>
      <c r="E95">
        <v>1449.67</v>
      </c>
      <c r="F95">
        <v>0</v>
      </c>
      <c r="G95" t="s">
        <v>2017</v>
      </c>
      <c r="H95" t="s">
        <v>2026</v>
      </c>
      <c r="I95" t="s">
        <v>2121</v>
      </c>
      <c r="J95" t="s">
        <v>4031</v>
      </c>
      <c r="K95" t="s">
        <v>4033</v>
      </c>
      <c r="L95">
        <v>-1449.67</v>
      </c>
    </row>
    <row r="96" spans="1:12">
      <c r="A96" t="s">
        <v>106</v>
      </c>
      <c r="B96" s="2">
        <v>45215</v>
      </c>
      <c r="C96">
        <v>5000</v>
      </c>
      <c r="D96" t="s">
        <v>2013</v>
      </c>
      <c r="E96">
        <v>1782.21</v>
      </c>
      <c r="F96">
        <v>0</v>
      </c>
      <c r="G96" t="s">
        <v>2022</v>
      </c>
      <c r="H96" t="s">
        <v>2023</v>
      </c>
      <c r="I96" t="s">
        <v>2122</v>
      </c>
      <c r="J96" t="s">
        <v>4030</v>
      </c>
      <c r="K96" t="s">
        <v>4060</v>
      </c>
      <c r="L96">
        <v>-1782.21</v>
      </c>
    </row>
    <row r="97" spans="1:12">
      <c r="A97" t="s">
        <v>107</v>
      </c>
      <c r="B97" s="2">
        <v>45041</v>
      </c>
      <c r="C97">
        <v>4010</v>
      </c>
      <c r="D97" t="s">
        <v>2016</v>
      </c>
      <c r="E97">
        <v>0</v>
      </c>
      <c r="F97">
        <v>4889.25</v>
      </c>
      <c r="G97" t="s">
        <v>2022</v>
      </c>
      <c r="H97" t="s">
        <v>2024</v>
      </c>
      <c r="I97" t="s">
        <v>2123</v>
      </c>
      <c r="J97" t="s">
        <v>4030</v>
      </c>
      <c r="K97" t="s">
        <v>4041</v>
      </c>
      <c r="L97">
        <v>4889.25</v>
      </c>
    </row>
    <row r="98" spans="1:12">
      <c r="A98" t="s">
        <v>108</v>
      </c>
      <c r="B98" s="2">
        <v>45211</v>
      </c>
      <c r="C98">
        <v>6000</v>
      </c>
      <c r="D98" t="s">
        <v>2014</v>
      </c>
      <c r="E98">
        <v>1101.33</v>
      </c>
      <c r="F98">
        <v>0</v>
      </c>
      <c r="G98" t="s">
        <v>2017</v>
      </c>
      <c r="H98" t="s">
        <v>2023</v>
      </c>
      <c r="I98" t="s">
        <v>2124</v>
      </c>
      <c r="J98" t="s">
        <v>4028</v>
      </c>
      <c r="K98" t="s">
        <v>4060</v>
      </c>
      <c r="L98">
        <v>-1101.33</v>
      </c>
    </row>
    <row r="99" spans="1:12">
      <c r="A99" t="s">
        <v>109</v>
      </c>
      <c r="B99" s="2">
        <v>45789</v>
      </c>
      <c r="C99">
        <v>5010</v>
      </c>
      <c r="D99" t="s">
        <v>2015</v>
      </c>
      <c r="E99">
        <v>121.65</v>
      </c>
      <c r="F99">
        <v>0</v>
      </c>
      <c r="G99" t="s">
        <v>2018</v>
      </c>
      <c r="H99" t="s">
        <v>2026</v>
      </c>
      <c r="I99" t="s">
        <v>2125</v>
      </c>
      <c r="J99" t="s">
        <v>4031</v>
      </c>
      <c r="K99" t="s">
        <v>4038</v>
      </c>
      <c r="L99">
        <v>-121.65</v>
      </c>
    </row>
    <row r="100" spans="1:12">
      <c r="A100" t="s">
        <v>110</v>
      </c>
      <c r="B100" s="2">
        <v>44972</v>
      </c>
      <c r="C100">
        <v>5010</v>
      </c>
      <c r="D100" t="s">
        <v>2015</v>
      </c>
      <c r="E100">
        <v>137.87</v>
      </c>
      <c r="F100">
        <v>0</v>
      </c>
      <c r="G100" t="s">
        <v>2017</v>
      </c>
      <c r="H100" t="s">
        <v>2023</v>
      </c>
      <c r="I100" t="s">
        <v>2126</v>
      </c>
      <c r="J100" t="s">
        <v>4030</v>
      </c>
      <c r="K100" t="s">
        <v>4057</v>
      </c>
      <c r="L100">
        <v>-137.87</v>
      </c>
    </row>
    <row r="101" spans="1:12">
      <c r="A101" t="s">
        <v>111</v>
      </c>
      <c r="B101" s="2">
        <v>44935</v>
      </c>
      <c r="C101">
        <v>4000</v>
      </c>
      <c r="D101" t="s">
        <v>2012</v>
      </c>
      <c r="E101">
        <v>0</v>
      </c>
      <c r="F101">
        <v>792.94</v>
      </c>
      <c r="G101" t="s">
        <v>2021</v>
      </c>
      <c r="H101" t="s">
        <v>2025</v>
      </c>
      <c r="I101" t="s">
        <v>2127</v>
      </c>
      <c r="J101" t="s">
        <v>4032</v>
      </c>
      <c r="K101" t="s">
        <v>4047</v>
      </c>
      <c r="L101">
        <v>792.94</v>
      </c>
    </row>
    <row r="102" spans="1:12">
      <c r="A102" t="s">
        <v>112</v>
      </c>
      <c r="B102" s="2">
        <v>45667</v>
      </c>
      <c r="C102">
        <v>4010</v>
      </c>
      <c r="D102" t="s">
        <v>2016</v>
      </c>
      <c r="E102">
        <v>0</v>
      </c>
      <c r="F102">
        <v>1346.1</v>
      </c>
      <c r="G102" t="s">
        <v>2018</v>
      </c>
      <c r="H102" t="s">
        <v>2024</v>
      </c>
      <c r="I102" t="s">
        <v>2128</v>
      </c>
      <c r="J102" t="s">
        <v>4031</v>
      </c>
      <c r="K102" t="s">
        <v>4035</v>
      </c>
      <c r="L102">
        <v>1346.1</v>
      </c>
    </row>
    <row r="103" spans="1:12">
      <c r="A103" t="s">
        <v>113</v>
      </c>
      <c r="B103" s="2">
        <v>45478</v>
      </c>
      <c r="C103">
        <v>4010</v>
      </c>
      <c r="D103" t="s">
        <v>2016</v>
      </c>
      <c r="E103">
        <v>0</v>
      </c>
      <c r="F103">
        <v>961.26</v>
      </c>
      <c r="G103" t="s">
        <v>2022</v>
      </c>
      <c r="H103" t="s">
        <v>2024</v>
      </c>
      <c r="I103" t="s">
        <v>2129</v>
      </c>
      <c r="J103" t="s">
        <v>4032</v>
      </c>
      <c r="K103" t="s">
        <v>4054</v>
      </c>
      <c r="L103">
        <v>961.26</v>
      </c>
    </row>
    <row r="104" spans="1:12">
      <c r="A104" t="s">
        <v>114</v>
      </c>
      <c r="B104" s="2">
        <v>45572</v>
      </c>
      <c r="C104">
        <v>5000</v>
      </c>
      <c r="D104" t="s">
        <v>2013</v>
      </c>
      <c r="E104">
        <v>421.91</v>
      </c>
      <c r="F104">
        <v>0</v>
      </c>
      <c r="G104" t="s">
        <v>2022</v>
      </c>
      <c r="H104" t="s">
        <v>2024</v>
      </c>
      <c r="I104" t="s">
        <v>2130</v>
      </c>
      <c r="J104" t="s">
        <v>4029</v>
      </c>
      <c r="K104" t="s">
        <v>4059</v>
      </c>
      <c r="L104">
        <v>-421.91</v>
      </c>
    </row>
    <row r="105" spans="1:12">
      <c r="A105" t="s">
        <v>115</v>
      </c>
      <c r="B105" s="2">
        <v>45799</v>
      </c>
      <c r="C105">
        <v>4000</v>
      </c>
      <c r="D105" t="s">
        <v>2012</v>
      </c>
      <c r="E105">
        <v>0</v>
      </c>
      <c r="F105">
        <v>1902.45</v>
      </c>
      <c r="G105" t="s">
        <v>2019</v>
      </c>
      <c r="H105" t="s">
        <v>2023</v>
      </c>
      <c r="I105" t="s">
        <v>2131</v>
      </c>
      <c r="J105" t="s">
        <v>4028</v>
      </c>
      <c r="K105" t="s">
        <v>4038</v>
      </c>
      <c r="L105">
        <v>1902.45</v>
      </c>
    </row>
    <row r="106" spans="1:12">
      <c r="A106" t="s">
        <v>116</v>
      </c>
      <c r="B106" s="2">
        <v>45170</v>
      </c>
      <c r="C106">
        <v>6000</v>
      </c>
      <c r="D106" t="s">
        <v>2014</v>
      </c>
      <c r="E106">
        <v>764.96</v>
      </c>
      <c r="F106">
        <v>0</v>
      </c>
      <c r="G106" t="s">
        <v>2021</v>
      </c>
      <c r="H106" t="s">
        <v>2026</v>
      </c>
      <c r="I106" t="s">
        <v>2132</v>
      </c>
      <c r="J106" t="s">
        <v>4031</v>
      </c>
      <c r="K106" t="s">
        <v>4036</v>
      </c>
      <c r="L106">
        <v>-764.96</v>
      </c>
    </row>
    <row r="107" spans="1:12">
      <c r="A107" t="s">
        <v>117</v>
      </c>
      <c r="B107" s="2">
        <v>45162</v>
      </c>
      <c r="C107">
        <v>4000</v>
      </c>
      <c r="D107" t="s">
        <v>2012</v>
      </c>
      <c r="E107">
        <v>0</v>
      </c>
      <c r="F107">
        <v>734.03</v>
      </c>
      <c r="G107" t="s">
        <v>2017</v>
      </c>
      <c r="H107" t="s">
        <v>2027</v>
      </c>
      <c r="I107" t="s">
        <v>2133</v>
      </c>
      <c r="J107" t="s">
        <v>4029</v>
      </c>
      <c r="K107" t="s">
        <v>4037</v>
      </c>
      <c r="L107">
        <v>734.03</v>
      </c>
    </row>
    <row r="108" spans="1:12">
      <c r="A108" t="s">
        <v>118</v>
      </c>
      <c r="B108" s="2">
        <v>45107</v>
      </c>
      <c r="C108">
        <v>5000</v>
      </c>
      <c r="D108" t="s">
        <v>2013</v>
      </c>
      <c r="E108">
        <v>1157.81</v>
      </c>
      <c r="F108">
        <v>0</v>
      </c>
      <c r="G108" t="s">
        <v>2020</v>
      </c>
      <c r="H108" t="s">
        <v>2025</v>
      </c>
      <c r="I108" t="s">
        <v>2134</v>
      </c>
      <c r="J108" t="s">
        <v>4030</v>
      </c>
      <c r="K108" t="s">
        <v>4055</v>
      </c>
      <c r="L108">
        <v>-1157.81</v>
      </c>
    </row>
    <row r="109" spans="1:12">
      <c r="A109" t="s">
        <v>119</v>
      </c>
      <c r="B109" s="2">
        <v>45823</v>
      </c>
      <c r="C109">
        <v>5010</v>
      </c>
      <c r="D109" t="s">
        <v>2015</v>
      </c>
      <c r="E109">
        <v>1552.29</v>
      </c>
      <c r="F109">
        <v>0</v>
      </c>
      <c r="G109" t="s">
        <v>2021</v>
      </c>
      <c r="H109" t="s">
        <v>2025</v>
      </c>
      <c r="I109" t="s">
        <v>2135</v>
      </c>
      <c r="J109" t="s">
        <v>4028</v>
      </c>
      <c r="K109" t="s">
        <v>4052</v>
      </c>
      <c r="L109">
        <v>-1552.29</v>
      </c>
    </row>
    <row r="110" spans="1:12">
      <c r="A110" t="s">
        <v>120</v>
      </c>
      <c r="B110" s="2">
        <v>45319</v>
      </c>
      <c r="C110">
        <v>6000</v>
      </c>
      <c r="D110" t="s">
        <v>2014</v>
      </c>
      <c r="E110">
        <v>1400.69</v>
      </c>
      <c r="F110">
        <v>0</v>
      </c>
      <c r="G110" t="s">
        <v>2018</v>
      </c>
      <c r="H110" t="s">
        <v>2025</v>
      </c>
      <c r="I110" t="s">
        <v>2136</v>
      </c>
      <c r="J110" t="s">
        <v>4028</v>
      </c>
      <c r="K110" t="s">
        <v>4053</v>
      </c>
      <c r="L110">
        <v>-1400.69</v>
      </c>
    </row>
    <row r="111" spans="1:12">
      <c r="A111" t="s">
        <v>121</v>
      </c>
      <c r="B111" s="2">
        <v>45355</v>
      </c>
      <c r="C111">
        <v>5010</v>
      </c>
      <c r="D111" t="s">
        <v>2015</v>
      </c>
      <c r="E111">
        <v>1548.81</v>
      </c>
      <c r="F111">
        <v>0</v>
      </c>
      <c r="G111" t="s">
        <v>2022</v>
      </c>
      <c r="H111" t="s">
        <v>2027</v>
      </c>
      <c r="I111" t="s">
        <v>2137</v>
      </c>
      <c r="J111" t="s">
        <v>4030</v>
      </c>
      <c r="K111" t="s">
        <v>4049</v>
      </c>
      <c r="L111">
        <v>-1548.81</v>
      </c>
    </row>
    <row r="112" spans="1:12">
      <c r="A112" t="s">
        <v>122</v>
      </c>
      <c r="B112" s="2">
        <v>45702</v>
      </c>
      <c r="C112">
        <v>6000</v>
      </c>
      <c r="D112" t="s">
        <v>2014</v>
      </c>
      <c r="E112">
        <v>1166.95</v>
      </c>
      <c r="F112">
        <v>0</v>
      </c>
      <c r="G112" t="s">
        <v>2017</v>
      </c>
      <c r="H112" t="s">
        <v>2027</v>
      </c>
      <c r="I112" t="s">
        <v>2138</v>
      </c>
      <c r="J112" t="s">
        <v>4028</v>
      </c>
      <c r="K112" t="s">
        <v>4061</v>
      </c>
      <c r="L112">
        <v>-1166.95</v>
      </c>
    </row>
    <row r="113" spans="1:12">
      <c r="A113" t="s">
        <v>123</v>
      </c>
      <c r="B113" s="2">
        <v>45102</v>
      </c>
      <c r="C113">
        <v>4000</v>
      </c>
      <c r="D113" t="s">
        <v>2012</v>
      </c>
      <c r="E113">
        <v>0</v>
      </c>
      <c r="F113">
        <v>3630.78</v>
      </c>
      <c r="G113" t="s">
        <v>2021</v>
      </c>
      <c r="H113" t="s">
        <v>2024</v>
      </c>
      <c r="I113" t="s">
        <v>2139</v>
      </c>
      <c r="J113" t="s">
        <v>4032</v>
      </c>
      <c r="K113" t="s">
        <v>4055</v>
      </c>
      <c r="L113">
        <v>3630.78</v>
      </c>
    </row>
    <row r="114" spans="1:12">
      <c r="A114" t="s">
        <v>124</v>
      </c>
      <c r="B114" s="2">
        <v>45381</v>
      </c>
      <c r="C114">
        <v>4000</v>
      </c>
      <c r="D114" t="s">
        <v>2012</v>
      </c>
      <c r="E114">
        <v>0</v>
      </c>
      <c r="F114">
        <v>1148.97</v>
      </c>
      <c r="G114" t="s">
        <v>2018</v>
      </c>
      <c r="H114" t="s">
        <v>2027</v>
      </c>
      <c r="I114" t="s">
        <v>2140</v>
      </c>
      <c r="J114" t="s">
        <v>4032</v>
      </c>
      <c r="K114" t="s">
        <v>4049</v>
      </c>
      <c r="L114">
        <v>1148.97</v>
      </c>
    </row>
    <row r="115" spans="1:12">
      <c r="A115" t="s">
        <v>125</v>
      </c>
      <c r="B115" s="2">
        <v>45545</v>
      </c>
      <c r="C115">
        <v>4000</v>
      </c>
      <c r="D115" t="s">
        <v>2012</v>
      </c>
      <c r="E115">
        <v>0</v>
      </c>
      <c r="F115">
        <v>1826.98</v>
      </c>
      <c r="G115" t="s">
        <v>2021</v>
      </c>
      <c r="H115" t="s">
        <v>2026</v>
      </c>
      <c r="I115" t="s">
        <v>2141</v>
      </c>
      <c r="J115" t="s">
        <v>4030</v>
      </c>
      <c r="K115" t="s">
        <v>4048</v>
      </c>
      <c r="L115">
        <v>1826.98</v>
      </c>
    </row>
    <row r="116" spans="1:12">
      <c r="A116" t="s">
        <v>126</v>
      </c>
      <c r="B116" s="2">
        <v>45227</v>
      </c>
      <c r="C116">
        <v>5010</v>
      </c>
      <c r="D116" t="s">
        <v>2015</v>
      </c>
      <c r="E116">
        <v>464.27</v>
      </c>
      <c r="F116">
        <v>0</v>
      </c>
      <c r="G116" t="s">
        <v>2021</v>
      </c>
      <c r="H116" t="s">
        <v>2023</v>
      </c>
      <c r="I116" t="s">
        <v>2142</v>
      </c>
      <c r="J116" t="s">
        <v>4031</v>
      </c>
      <c r="K116" t="s">
        <v>4060</v>
      </c>
      <c r="L116">
        <v>-464.27</v>
      </c>
    </row>
    <row r="117" spans="1:12">
      <c r="A117" t="s">
        <v>127</v>
      </c>
      <c r="B117" s="2">
        <v>45762</v>
      </c>
      <c r="C117">
        <v>5010</v>
      </c>
      <c r="D117" t="s">
        <v>2015</v>
      </c>
      <c r="E117">
        <v>325.08999999999997</v>
      </c>
      <c r="F117">
        <v>0</v>
      </c>
      <c r="G117" t="s">
        <v>2021</v>
      </c>
      <c r="H117" t="s">
        <v>2025</v>
      </c>
      <c r="I117" t="s">
        <v>2143</v>
      </c>
      <c r="J117" t="s">
        <v>4031</v>
      </c>
      <c r="K117" t="s">
        <v>4045</v>
      </c>
      <c r="L117">
        <v>-325.08999999999997</v>
      </c>
    </row>
    <row r="118" spans="1:12">
      <c r="A118" t="s">
        <v>128</v>
      </c>
      <c r="B118" s="2">
        <v>45029</v>
      </c>
      <c r="C118">
        <v>4000</v>
      </c>
      <c r="D118" t="s">
        <v>2012</v>
      </c>
      <c r="E118">
        <v>0</v>
      </c>
      <c r="F118">
        <v>3674.13</v>
      </c>
      <c r="G118" t="s">
        <v>2018</v>
      </c>
      <c r="H118" t="s">
        <v>2027</v>
      </c>
      <c r="I118" t="s">
        <v>2144</v>
      </c>
      <c r="J118" t="s">
        <v>4032</v>
      </c>
      <c r="K118" t="s">
        <v>4041</v>
      </c>
      <c r="L118">
        <v>3674.13</v>
      </c>
    </row>
    <row r="119" spans="1:12">
      <c r="A119" t="s">
        <v>129</v>
      </c>
      <c r="B119" s="2">
        <v>45170</v>
      </c>
      <c r="C119">
        <v>4010</v>
      </c>
      <c r="D119" t="s">
        <v>2016</v>
      </c>
      <c r="E119">
        <v>0</v>
      </c>
      <c r="F119">
        <v>2578.4299999999998</v>
      </c>
      <c r="G119" t="s">
        <v>2021</v>
      </c>
      <c r="H119" t="s">
        <v>2024</v>
      </c>
      <c r="I119" t="s">
        <v>2145</v>
      </c>
      <c r="J119" t="s">
        <v>4028</v>
      </c>
      <c r="K119" t="s">
        <v>4036</v>
      </c>
      <c r="L119">
        <v>2578.4299999999998</v>
      </c>
    </row>
    <row r="120" spans="1:12">
      <c r="A120" t="s">
        <v>130</v>
      </c>
      <c r="B120" s="2">
        <v>45669</v>
      </c>
      <c r="C120">
        <v>6000</v>
      </c>
      <c r="D120" t="s">
        <v>2014</v>
      </c>
      <c r="E120">
        <v>523.80999999999995</v>
      </c>
      <c r="F120">
        <v>0</v>
      </c>
      <c r="G120" t="s">
        <v>2020</v>
      </c>
      <c r="H120" t="s">
        <v>2023</v>
      </c>
      <c r="I120" t="s">
        <v>2146</v>
      </c>
      <c r="J120" t="s">
        <v>4030</v>
      </c>
      <c r="K120" t="s">
        <v>4035</v>
      </c>
      <c r="L120">
        <v>-523.80999999999995</v>
      </c>
    </row>
    <row r="121" spans="1:12">
      <c r="A121" t="s">
        <v>131</v>
      </c>
      <c r="B121" s="2">
        <v>45626</v>
      </c>
      <c r="C121">
        <v>5010</v>
      </c>
      <c r="D121" t="s">
        <v>2015</v>
      </c>
      <c r="E121">
        <v>1120.46</v>
      </c>
      <c r="F121">
        <v>0</v>
      </c>
      <c r="G121" t="s">
        <v>2021</v>
      </c>
      <c r="H121" t="s">
        <v>2024</v>
      </c>
      <c r="I121" t="s">
        <v>2147</v>
      </c>
      <c r="J121" t="s">
        <v>4030</v>
      </c>
      <c r="K121" t="s">
        <v>4043</v>
      </c>
      <c r="L121">
        <v>-1120.46</v>
      </c>
    </row>
    <row r="122" spans="1:12">
      <c r="A122" t="s">
        <v>132</v>
      </c>
      <c r="B122" s="2">
        <v>45000</v>
      </c>
      <c r="C122">
        <v>5000</v>
      </c>
      <c r="D122" t="s">
        <v>2013</v>
      </c>
      <c r="E122">
        <v>547.59</v>
      </c>
      <c r="F122">
        <v>0</v>
      </c>
      <c r="G122" t="s">
        <v>2019</v>
      </c>
      <c r="H122" t="s">
        <v>2023</v>
      </c>
      <c r="I122" t="s">
        <v>2148</v>
      </c>
      <c r="J122" t="s">
        <v>4030</v>
      </c>
      <c r="K122" t="s">
        <v>4051</v>
      </c>
      <c r="L122">
        <v>-547.59</v>
      </c>
    </row>
    <row r="123" spans="1:12">
      <c r="A123" t="s">
        <v>133</v>
      </c>
      <c r="B123" s="2">
        <v>45681</v>
      </c>
      <c r="C123">
        <v>4010</v>
      </c>
      <c r="D123" t="s">
        <v>2016</v>
      </c>
      <c r="E123">
        <v>0</v>
      </c>
      <c r="F123">
        <v>2032.52</v>
      </c>
      <c r="G123" t="s">
        <v>2022</v>
      </c>
      <c r="H123" t="s">
        <v>2025</v>
      </c>
      <c r="I123" t="s">
        <v>2149</v>
      </c>
      <c r="J123" t="s">
        <v>4032</v>
      </c>
      <c r="K123" t="s">
        <v>4035</v>
      </c>
      <c r="L123">
        <v>2032.52</v>
      </c>
    </row>
    <row r="124" spans="1:12">
      <c r="A124" t="s">
        <v>134</v>
      </c>
      <c r="B124" s="2">
        <v>45128</v>
      </c>
      <c r="C124">
        <v>6000</v>
      </c>
      <c r="D124" t="s">
        <v>2014</v>
      </c>
      <c r="E124">
        <v>1405.18</v>
      </c>
      <c r="F124">
        <v>0</v>
      </c>
      <c r="G124" t="s">
        <v>2022</v>
      </c>
      <c r="H124" t="s">
        <v>2024</v>
      </c>
      <c r="I124" t="s">
        <v>2150</v>
      </c>
      <c r="J124" t="s">
        <v>4028</v>
      </c>
      <c r="K124" t="s">
        <v>4050</v>
      </c>
      <c r="L124">
        <v>-1405.18</v>
      </c>
    </row>
    <row r="125" spans="1:12">
      <c r="A125" t="s">
        <v>135</v>
      </c>
      <c r="B125" s="2">
        <v>45345</v>
      </c>
      <c r="C125">
        <v>5000</v>
      </c>
      <c r="D125" t="s">
        <v>2013</v>
      </c>
      <c r="E125">
        <v>150.66999999999999</v>
      </c>
      <c r="F125">
        <v>0</v>
      </c>
      <c r="G125" t="s">
        <v>2020</v>
      </c>
      <c r="H125" t="s">
        <v>2023</v>
      </c>
      <c r="I125" t="s">
        <v>2151</v>
      </c>
      <c r="J125" t="s">
        <v>4032</v>
      </c>
      <c r="K125" t="s">
        <v>4044</v>
      </c>
      <c r="L125">
        <v>-150.66999999999999</v>
      </c>
    </row>
    <row r="126" spans="1:12">
      <c r="A126" t="s">
        <v>136</v>
      </c>
      <c r="B126" s="2">
        <v>45510</v>
      </c>
      <c r="C126">
        <v>4010</v>
      </c>
      <c r="D126" t="s">
        <v>2016</v>
      </c>
      <c r="E126">
        <v>0</v>
      </c>
      <c r="F126">
        <v>902.67</v>
      </c>
      <c r="G126" t="s">
        <v>2019</v>
      </c>
      <c r="H126" t="s">
        <v>2024</v>
      </c>
      <c r="I126" t="s">
        <v>2152</v>
      </c>
      <c r="J126" t="s">
        <v>4032</v>
      </c>
      <c r="K126" t="s">
        <v>4058</v>
      </c>
      <c r="L126">
        <v>902.67</v>
      </c>
    </row>
    <row r="127" spans="1:12">
      <c r="A127" t="s">
        <v>137</v>
      </c>
      <c r="B127" s="2">
        <v>45260</v>
      </c>
      <c r="C127">
        <v>4000</v>
      </c>
      <c r="D127" t="s">
        <v>2012</v>
      </c>
      <c r="E127">
        <v>0</v>
      </c>
      <c r="F127">
        <v>160.09</v>
      </c>
      <c r="G127" t="s">
        <v>2021</v>
      </c>
      <c r="H127" t="s">
        <v>2023</v>
      </c>
      <c r="I127" t="s">
        <v>2153</v>
      </c>
      <c r="J127" t="s">
        <v>4032</v>
      </c>
      <c r="K127" t="s">
        <v>4042</v>
      </c>
      <c r="L127">
        <v>160.09</v>
      </c>
    </row>
    <row r="128" spans="1:12">
      <c r="A128" t="s">
        <v>138</v>
      </c>
      <c r="B128" s="2">
        <v>45276</v>
      </c>
      <c r="C128">
        <v>5010</v>
      </c>
      <c r="D128" t="s">
        <v>2015</v>
      </c>
      <c r="E128">
        <v>367.4</v>
      </c>
      <c r="F128">
        <v>0</v>
      </c>
      <c r="G128" t="s">
        <v>2019</v>
      </c>
      <c r="H128" t="s">
        <v>2023</v>
      </c>
      <c r="I128" t="s">
        <v>2154</v>
      </c>
      <c r="J128" t="s">
        <v>4030</v>
      </c>
      <c r="K128" t="s">
        <v>4039</v>
      </c>
      <c r="L128">
        <v>-367.4</v>
      </c>
    </row>
    <row r="129" spans="1:12">
      <c r="A129" t="s">
        <v>139</v>
      </c>
      <c r="B129" s="2">
        <v>44962</v>
      </c>
      <c r="C129">
        <v>4000</v>
      </c>
      <c r="D129" t="s">
        <v>2012</v>
      </c>
      <c r="E129">
        <v>0</v>
      </c>
      <c r="F129">
        <v>4964.84</v>
      </c>
      <c r="G129" t="s">
        <v>2018</v>
      </c>
      <c r="H129" t="s">
        <v>2023</v>
      </c>
      <c r="I129" t="s">
        <v>2155</v>
      </c>
      <c r="J129" t="s">
        <v>4028</v>
      </c>
      <c r="K129" t="s">
        <v>4057</v>
      </c>
      <c r="L129">
        <v>4964.84</v>
      </c>
    </row>
    <row r="130" spans="1:12">
      <c r="A130" t="s">
        <v>140</v>
      </c>
      <c r="B130" s="2">
        <v>45762</v>
      </c>
      <c r="C130">
        <v>5010</v>
      </c>
      <c r="D130" t="s">
        <v>2015</v>
      </c>
      <c r="E130">
        <v>925</v>
      </c>
      <c r="F130">
        <v>0</v>
      </c>
      <c r="G130" t="s">
        <v>2017</v>
      </c>
      <c r="H130" t="s">
        <v>2023</v>
      </c>
      <c r="I130" t="s">
        <v>2156</v>
      </c>
      <c r="J130" t="s">
        <v>4029</v>
      </c>
      <c r="K130" t="s">
        <v>4045</v>
      </c>
      <c r="L130">
        <v>-925</v>
      </c>
    </row>
    <row r="131" spans="1:12">
      <c r="A131" t="s">
        <v>141</v>
      </c>
      <c r="B131" s="2">
        <v>45671</v>
      </c>
      <c r="C131">
        <v>5000</v>
      </c>
      <c r="D131" t="s">
        <v>2013</v>
      </c>
      <c r="E131">
        <v>1697.34</v>
      </c>
      <c r="F131">
        <v>0</v>
      </c>
      <c r="G131" t="s">
        <v>2019</v>
      </c>
      <c r="H131" t="s">
        <v>2023</v>
      </c>
      <c r="I131" t="s">
        <v>2157</v>
      </c>
      <c r="J131" t="s">
        <v>4029</v>
      </c>
      <c r="K131" t="s">
        <v>4035</v>
      </c>
      <c r="L131">
        <v>-1697.34</v>
      </c>
    </row>
    <row r="132" spans="1:12">
      <c r="A132" t="s">
        <v>142</v>
      </c>
      <c r="B132" s="2">
        <v>45174</v>
      </c>
      <c r="C132">
        <v>5000</v>
      </c>
      <c r="D132" t="s">
        <v>2013</v>
      </c>
      <c r="E132">
        <v>308.37</v>
      </c>
      <c r="F132">
        <v>0</v>
      </c>
      <c r="G132" t="s">
        <v>2022</v>
      </c>
      <c r="H132" t="s">
        <v>2023</v>
      </c>
      <c r="I132" t="s">
        <v>2158</v>
      </c>
      <c r="J132" t="s">
        <v>4032</v>
      </c>
      <c r="K132" t="s">
        <v>4036</v>
      </c>
      <c r="L132">
        <v>-308.37</v>
      </c>
    </row>
    <row r="133" spans="1:12">
      <c r="A133" t="s">
        <v>143</v>
      </c>
      <c r="B133" s="2">
        <v>45478</v>
      </c>
      <c r="C133">
        <v>5000</v>
      </c>
      <c r="D133" t="s">
        <v>2013</v>
      </c>
      <c r="E133">
        <v>1304.32</v>
      </c>
      <c r="F133">
        <v>0</v>
      </c>
      <c r="G133" t="s">
        <v>2022</v>
      </c>
      <c r="H133" t="s">
        <v>2025</v>
      </c>
      <c r="I133" t="s">
        <v>2159</v>
      </c>
      <c r="J133" t="s">
        <v>4031</v>
      </c>
      <c r="K133" t="s">
        <v>4054</v>
      </c>
      <c r="L133">
        <v>-1304.32</v>
      </c>
    </row>
    <row r="134" spans="1:12">
      <c r="A134" t="s">
        <v>144</v>
      </c>
      <c r="B134" s="2">
        <v>45355</v>
      </c>
      <c r="C134">
        <v>4010</v>
      </c>
      <c r="D134" t="s">
        <v>2016</v>
      </c>
      <c r="E134">
        <v>0</v>
      </c>
      <c r="F134">
        <v>3993.88</v>
      </c>
      <c r="G134" t="s">
        <v>2019</v>
      </c>
      <c r="H134" t="s">
        <v>2027</v>
      </c>
      <c r="I134" t="s">
        <v>2160</v>
      </c>
      <c r="J134" t="s">
        <v>4030</v>
      </c>
      <c r="K134" t="s">
        <v>4049</v>
      </c>
      <c r="L134">
        <v>3993.88</v>
      </c>
    </row>
    <row r="135" spans="1:12">
      <c r="A135" t="s">
        <v>145</v>
      </c>
      <c r="B135" s="2">
        <v>45710</v>
      </c>
      <c r="C135">
        <v>4000</v>
      </c>
      <c r="D135" t="s">
        <v>2012</v>
      </c>
      <c r="E135">
        <v>0</v>
      </c>
      <c r="F135">
        <v>703.6</v>
      </c>
      <c r="G135" t="s">
        <v>2020</v>
      </c>
      <c r="H135" t="s">
        <v>2027</v>
      </c>
      <c r="I135" t="s">
        <v>2161</v>
      </c>
      <c r="J135" t="s">
        <v>4028</v>
      </c>
      <c r="K135" t="s">
        <v>4061</v>
      </c>
      <c r="L135">
        <v>703.6</v>
      </c>
    </row>
    <row r="136" spans="1:12">
      <c r="A136" t="s">
        <v>146</v>
      </c>
      <c r="B136" s="2">
        <v>45535</v>
      </c>
      <c r="C136">
        <v>5010</v>
      </c>
      <c r="D136" t="s">
        <v>2015</v>
      </c>
      <c r="E136">
        <v>355.53</v>
      </c>
      <c r="F136">
        <v>0</v>
      </c>
      <c r="G136" t="s">
        <v>2020</v>
      </c>
      <c r="H136" t="s">
        <v>2025</v>
      </c>
      <c r="I136" t="s">
        <v>2162</v>
      </c>
      <c r="J136" t="s">
        <v>4029</v>
      </c>
      <c r="K136" t="s">
        <v>4058</v>
      </c>
      <c r="L136">
        <v>-355.53</v>
      </c>
    </row>
    <row r="137" spans="1:12">
      <c r="A137" t="s">
        <v>147</v>
      </c>
      <c r="B137" s="2">
        <v>45537</v>
      </c>
      <c r="C137">
        <v>5000</v>
      </c>
      <c r="D137" t="s">
        <v>2013</v>
      </c>
      <c r="E137">
        <v>1915.19</v>
      </c>
      <c r="F137">
        <v>0</v>
      </c>
      <c r="G137" t="s">
        <v>2018</v>
      </c>
      <c r="H137" t="s">
        <v>2024</v>
      </c>
      <c r="I137" t="s">
        <v>2163</v>
      </c>
      <c r="J137" t="s">
        <v>4031</v>
      </c>
      <c r="K137" t="s">
        <v>4048</v>
      </c>
      <c r="L137">
        <v>-1915.19</v>
      </c>
    </row>
    <row r="138" spans="1:12">
      <c r="A138" t="s">
        <v>148</v>
      </c>
      <c r="B138" s="2">
        <v>45177</v>
      </c>
      <c r="C138">
        <v>4010</v>
      </c>
      <c r="D138" t="s">
        <v>2016</v>
      </c>
      <c r="E138">
        <v>0</v>
      </c>
      <c r="F138">
        <v>877.66</v>
      </c>
      <c r="G138" t="s">
        <v>2018</v>
      </c>
      <c r="H138" t="s">
        <v>2024</v>
      </c>
      <c r="I138" t="s">
        <v>2164</v>
      </c>
      <c r="J138" t="s">
        <v>4030</v>
      </c>
      <c r="K138" t="s">
        <v>4036</v>
      </c>
      <c r="L138">
        <v>877.66</v>
      </c>
    </row>
    <row r="139" spans="1:12">
      <c r="A139" t="s">
        <v>149</v>
      </c>
      <c r="B139" s="2">
        <v>45582</v>
      </c>
      <c r="C139">
        <v>4010</v>
      </c>
      <c r="D139" t="s">
        <v>2016</v>
      </c>
      <c r="E139">
        <v>0</v>
      </c>
      <c r="F139">
        <v>2719.49</v>
      </c>
      <c r="G139" t="s">
        <v>2020</v>
      </c>
      <c r="H139" t="s">
        <v>2024</v>
      </c>
      <c r="I139" t="s">
        <v>2165</v>
      </c>
      <c r="J139" t="s">
        <v>4031</v>
      </c>
      <c r="K139" t="s">
        <v>4059</v>
      </c>
      <c r="L139">
        <v>2719.49</v>
      </c>
    </row>
    <row r="140" spans="1:12">
      <c r="A140" t="s">
        <v>150</v>
      </c>
      <c r="B140" s="2">
        <v>45661</v>
      </c>
      <c r="C140">
        <v>5010</v>
      </c>
      <c r="D140" t="s">
        <v>2015</v>
      </c>
      <c r="E140">
        <v>1695.8</v>
      </c>
      <c r="F140">
        <v>0</v>
      </c>
      <c r="G140" t="s">
        <v>2018</v>
      </c>
      <c r="H140" t="s">
        <v>2027</v>
      </c>
      <c r="I140" t="s">
        <v>2166</v>
      </c>
      <c r="J140" t="s">
        <v>4029</v>
      </c>
      <c r="K140" t="s">
        <v>4035</v>
      </c>
      <c r="L140">
        <v>-1695.8</v>
      </c>
    </row>
    <row r="141" spans="1:12">
      <c r="A141" t="s">
        <v>151</v>
      </c>
      <c r="B141" s="2">
        <v>45558</v>
      </c>
      <c r="C141">
        <v>6000</v>
      </c>
      <c r="D141" t="s">
        <v>2014</v>
      </c>
      <c r="E141">
        <v>1304.8399999999999</v>
      </c>
      <c r="F141">
        <v>0</v>
      </c>
      <c r="G141" t="s">
        <v>2018</v>
      </c>
      <c r="H141" t="s">
        <v>2027</v>
      </c>
      <c r="I141" t="s">
        <v>2167</v>
      </c>
      <c r="J141" t="s">
        <v>4030</v>
      </c>
      <c r="K141" t="s">
        <v>4048</v>
      </c>
      <c r="L141">
        <v>-1304.8399999999999</v>
      </c>
    </row>
    <row r="142" spans="1:12">
      <c r="A142" t="s">
        <v>152</v>
      </c>
      <c r="B142" s="2">
        <v>45832</v>
      </c>
      <c r="C142">
        <v>4000</v>
      </c>
      <c r="D142" t="s">
        <v>2012</v>
      </c>
      <c r="E142">
        <v>0</v>
      </c>
      <c r="F142">
        <v>708.58</v>
      </c>
      <c r="G142" t="s">
        <v>2019</v>
      </c>
      <c r="H142" t="s">
        <v>2026</v>
      </c>
      <c r="I142" t="s">
        <v>2168</v>
      </c>
      <c r="J142" t="s">
        <v>4028</v>
      </c>
      <c r="K142" t="s">
        <v>4052</v>
      </c>
      <c r="L142">
        <v>708.58</v>
      </c>
    </row>
    <row r="143" spans="1:12">
      <c r="A143" t="s">
        <v>153</v>
      </c>
      <c r="B143" s="2">
        <v>45285</v>
      </c>
      <c r="C143">
        <v>5010</v>
      </c>
      <c r="D143" t="s">
        <v>2015</v>
      </c>
      <c r="E143">
        <v>1650.46</v>
      </c>
      <c r="F143">
        <v>0</v>
      </c>
      <c r="G143" t="s">
        <v>2020</v>
      </c>
      <c r="H143" t="s">
        <v>2027</v>
      </c>
      <c r="I143" t="s">
        <v>2169</v>
      </c>
      <c r="J143" t="s">
        <v>4032</v>
      </c>
      <c r="K143" t="s">
        <v>4039</v>
      </c>
      <c r="L143">
        <v>-1650.46</v>
      </c>
    </row>
    <row r="144" spans="1:12">
      <c r="A144" t="s">
        <v>154</v>
      </c>
      <c r="B144" s="2">
        <v>45147</v>
      </c>
      <c r="C144">
        <v>4010</v>
      </c>
      <c r="D144" t="s">
        <v>2016</v>
      </c>
      <c r="E144">
        <v>0</v>
      </c>
      <c r="F144">
        <v>1112.1600000000001</v>
      </c>
      <c r="G144" t="s">
        <v>2021</v>
      </c>
      <c r="H144" t="s">
        <v>2026</v>
      </c>
      <c r="I144" t="s">
        <v>2170</v>
      </c>
      <c r="J144" t="s">
        <v>4032</v>
      </c>
      <c r="K144" t="s">
        <v>4037</v>
      </c>
      <c r="L144">
        <v>1112.1600000000001</v>
      </c>
    </row>
    <row r="145" spans="1:12">
      <c r="A145" t="s">
        <v>155</v>
      </c>
      <c r="B145" s="2">
        <v>45461</v>
      </c>
      <c r="C145">
        <v>4000</v>
      </c>
      <c r="D145" t="s">
        <v>2012</v>
      </c>
      <c r="E145">
        <v>0</v>
      </c>
      <c r="F145">
        <v>3711.83</v>
      </c>
      <c r="G145" t="s">
        <v>2017</v>
      </c>
      <c r="H145" t="s">
        <v>2025</v>
      </c>
      <c r="I145" t="s">
        <v>2171</v>
      </c>
      <c r="J145" t="s">
        <v>4032</v>
      </c>
      <c r="K145" t="s">
        <v>4034</v>
      </c>
      <c r="L145">
        <v>3711.83</v>
      </c>
    </row>
    <row r="146" spans="1:12">
      <c r="A146" t="s">
        <v>156</v>
      </c>
      <c r="B146" s="2">
        <v>45046</v>
      </c>
      <c r="C146">
        <v>5000</v>
      </c>
      <c r="D146" t="s">
        <v>2013</v>
      </c>
      <c r="E146">
        <v>715.32</v>
      </c>
      <c r="F146">
        <v>0</v>
      </c>
      <c r="G146" t="s">
        <v>2020</v>
      </c>
      <c r="H146" t="s">
        <v>2024</v>
      </c>
      <c r="I146" t="s">
        <v>2172</v>
      </c>
      <c r="J146" t="s">
        <v>4028</v>
      </c>
      <c r="K146" t="s">
        <v>4041</v>
      </c>
      <c r="L146">
        <v>-715.32</v>
      </c>
    </row>
    <row r="147" spans="1:12">
      <c r="A147" t="s">
        <v>157</v>
      </c>
      <c r="B147" s="2">
        <v>45080</v>
      </c>
      <c r="C147">
        <v>6000</v>
      </c>
      <c r="D147" t="s">
        <v>2014</v>
      </c>
      <c r="E147">
        <v>1366.61</v>
      </c>
      <c r="F147">
        <v>0</v>
      </c>
      <c r="G147" t="s">
        <v>2018</v>
      </c>
      <c r="H147" t="s">
        <v>2026</v>
      </c>
      <c r="I147" t="s">
        <v>2173</v>
      </c>
      <c r="J147" t="s">
        <v>4031</v>
      </c>
      <c r="K147" t="s">
        <v>4055</v>
      </c>
      <c r="L147">
        <v>-1366.61</v>
      </c>
    </row>
    <row r="148" spans="1:12">
      <c r="A148" t="s">
        <v>158</v>
      </c>
      <c r="B148" s="2">
        <v>45068</v>
      </c>
      <c r="C148">
        <v>5000</v>
      </c>
      <c r="D148" t="s">
        <v>2013</v>
      </c>
      <c r="E148">
        <v>1091.43</v>
      </c>
      <c r="F148">
        <v>0</v>
      </c>
      <c r="G148" t="s">
        <v>2019</v>
      </c>
      <c r="H148" t="s">
        <v>2026</v>
      </c>
      <c r="I148" t="s">
        <v>2174</v>
      </c>
      <c r="J148" t="s">
        <v>4032</v>
      </c>
      <c r="K148" t="s">
        <v>4062</v>
      </c>
      <c r="L148">
        <v>-1091.43</v>
      </c>
    </row>
    <row r="149" spans="1:12">
      <c r="A149" t="s">
        <v>159</v>
      </c>
      <c r="B149" s="2">
        <v>45468</v>
      </c>
      <c r="C149">
        <v>4000</v>
      </c>
      <c r="D149" t="s">
        <v>2012</v>
      </c>
      <c r="E149">
        <v>0</v>
      </c>
      <c r="F149">
        <v>1164.3499999999999</v>
      </c>
      <c r="G149" t="s">
        <v>2022</v>
      </c>
      <c r="H149" t="s">
        <v>2026</v>
      </c>
      <c r="I149" t="s">
        <v>2175</v>
      </c>
      <c r="J149" t="s">
        <v>4028</v>
      </c>
      <c r="K149" t="s">
        <v>4034</v>
      </c>
      <c r="L149">
        <v>1164.3499999999999</v>
      </c>
    </row>
    <row r="150" spans="1:12">
      <c r="A150" t="s">
        <v>160</v>
      </c>
      <c r="B150" s="2">
        <v>45352</v>
      </c>
      <c r="C150">
        <v>5010</v>
      </c>
      <c r="D150" t="s">
        <v>2015</v>
      </c>
      <c r="E150">
        <v>1139.5</v>
      </c>
      <c r="F150">
        <v>0</v>
      </c>
      <c r="G150" t="s">
        <v>2022</v>
      </c>
      <c r="H150" t="s">
        <v>2026</v>
      </c>
      <c r="I150" t="s">
        <v>2176</v>
      </c>
      <c r="J150" t="s">
        <v>4030</v>
      </c>
      <c r="K150" t="s">
        <v>4049</v>
      </c>
      <c r="L150">
        <v>-1139.5</v>
      </c>
    </row>
    <row r="151" spans="1:12">
      <c r="A151" t="s">
        <v>161</v>
      </c>
      <c r="B151" s="2">
        <v>45668</v>
      </c>
      <c r="C151">
        <v>4000</v>
      </c>
      <c r="D151" t="s">
        <v>2012</v>
      </c>
      <c r="E151">
        <v>0</v>
      </c>
      <c r="F151">
        <v>338.86</v>
      </c>
      <c r="G151" t="s">
        <v>2021</v>
      </c>
      <c r="H151" t="s">
        <v>2025</v>
      </c>
      <c r="I151" t="s">
        <v>2177</v>
      </c>
      <c r="J151" t="s">
        <v>4031</v>
      </c>
      <c r="K151" t="s">
        <v>4035</v>
      </c>
      <c r="L151">
        <v>338.86</v>
      </c>
    </row>
    <row r="152" spans="1:12">
      <c r="A152" t="s">
        <v>162</v>
      </c>
      <c r="B152" s="2">
        <v>45706</v>
      </c>
      <c r="C152">
        <v>5000</v>
      </c>
      <c r="D152" t="s">
        <v>2013</v>
      </c>
      <c r="E152">
        <v>1379.51</v>
      </c>
      <c r="F152">
        <v>0</v>
      </c>
      <c r="G152" t="s">
        <v>2018</v>
      </c>
      <c r="H152" t="s">
        <v>2025</v>
      </c>
      <c r="I152" t="s">
        <v>2178</v>
      </c>
      <c r="J152" t="s">
        <v>4031</v>
      </c>
      <c r="K152" t="s">
        <v>4061</v>
      </c>
      <c r="L152">
        <v>-1379.51</v>
      </c>
    </row>
    <row r="153" spans="1:12">
      <c r="A153" t="s">
        <v>163</v>
      </c>
      <c r="B153" s="2">
        <v>45368</v>
      </c>
      <c r="C153">
        <v>4010</v>
      </c>
      <c r="D153" t="s">
        <v>2016</v>
      </c>
      <c r="E153">
        <v>0</v>
      </c>
      <c r="F153">
        <v>978.34</v>
      </c>
      <c r="G153" t="s">
        <v>2020</v>
      </c>
      <c r="H153" t="s">
        <v>2024</v>
      </c>
      <c r="I153" t="s">
        <v>2179</v>
      </c>
      <c r="J153" t="s">
        <v>4030</v>
      </c>
      <c r="K153" t="s">
        <v>4049</v>
      </c>
      <c r="L153">
        <v>978.34</v>
      </c>
    </row>
    <row r="154" spans="1:12">
      <c r="A154" t="s">
        <v>164</v>
      </c>
      <c r="B154" s="2">
        <v>45811</v>
      </c>
      <c r="C154">
        <v>6000</v>
      </c>
      <c r="D154" t="s">
        <v>2014</v>
      </c>
      <c r="E154">
        <v>1490.29</v>
      </c>
      <c r="F154">
        <v>0</v>
      </c>
      <c r="G154" t="s">
        <v>2017</v>
      </c>
      <c r="H154" t="s">
        <v>2024</v>
      </c>
      <c r="I154" t="s">
        <v>2180</v>
      </c>
      <c r="J154" t="s">
        <v>4029</v>
      </c>
      <c r="K154" t="s">
        <v>4052</v>
      </c>
      <c r="L154">
        <v>-1490.29</v>
      </c>
    </row>
    <row r="155" spans="1:12">
      <c r="A155" t="s">
        <v>165</v>
      </c>
      <c r="B155" s="2">
        <v>45576</v>
      </c>
      <c r="C155">
        <v>5010</v>
      </c>
      <c r="D155" t="s">
        <v>2015</v>
      </c>
      <c r="E155">
        <v>1515.7</v>
      </c>
      <c r="F155">
        <v>0</v>
      </c>
      <c r="G155" t="s">
        <v>2022</v>
      </c>
      <c r="H155" t="s">
        <v>2025</v>
      </c>
      <c r="I155" t="s">
        <v>2181</v>
      </c>
      <c r="J155" t="s">
        <v>4031</v>
      </c>
      <c r="K155" t="s">
        <v>4059</v>
      </c>
      <c r="L155">
        <v>-1515.7</v>
      </c>
    </row>
    <row r="156" spans="1:12">
      <c r="A156" t="s">
        <v>166</v>
      </c>
      <c r="B156" s="2">
        <v>45822</v>
      </c>
      <c r="C156">
        <v>4000</v>
      </c>
      <c r="D156" t="s">
        <v>2012</v>
      </c>
      <c r="E156">
        <v>0</v>
      </c>
      <c r="F156">
        <v>1736.2</v>
      </c>
      <c r="G156" t="s">
        <v>2022</v>
      </c>
      <c r="H156" t="s">
        <v>2025</v>
      </c>
      <c r="I156" t="s">
        <v>2182</v>
      </c>
      <c r="J156" t="s">
        <v>4028</v>
      </c>
      <c r="K156" t="s">
        <v>4052</v>
      </c>
      <c r="L156">
        <v>1736.2</v>
      </c>
    </row>
    <row r="157" spans="1:12">
      <c r="A157" t="s">
        <v>167</v>
      </c>
      <c r="B157" s="2">
        <v>45116</v>
      </c>
      <c r="C157">
        <v>6000</v>
      </c>
      <c r="D157" t="s">
        <v>2014</v>
      </c>
      <c r="E157">
        <v>1711.43</v>
      </c>
      <c r="F157">
        <v>0</v>
      </c>
      <c r="G157" t="s">
        <v>2021</v>
      </c>
      <c r="H157" t="s">
        <v>2025</v>
      </c>
      <c r="I157" t="s">
        <v>2183</v>
      </c>
      <c r="J157" t="s">
        <v>4032</v>
      </c>
      <c r="K157" t="s">
        <v>4050</v>
      </c>
      <c r="L157">
        <v>-1711.43</v>
      </c>
    </row>
    <row r="158" spans="1:12">
      <c r="A158" t="s">
        <v>168</v>
      </c>
      <c r="B158" s="2">
        <v>45035</v>
      </c>
      <c r="C158">
        <v>6000</v>
      </c>
      <c r="D158" t="s">
        <v>2014</v>
      </c>
      <c r="E158">
        <v>511.34</v>
      </c>
      <c r="F158">
        <v>0</v>
      </c>
      <c r="G158" t="s">
        <v>2020</v>
      </c>
      <c r="H158" t="s">
        <v>2026</v>
      </c>
      <c r="I158" t="s">
        <v>2184</v>
      </c>
      <c r="J158" t="s">
        <v>4028</v>
      </c>
      <c r="K158" t="s">
        <v>4041</v>
      </c>
      <c r="L158">
        <v>-511.34</v>
      </c>
    </row>
    <row r="159" spans="1:12">
      <c r="A159" t="s">
        <v>169</v>
      </c>
      <c r="B159" s="2">
        <v>45037</v>
      </c>
      <c r="C159">
        <v>4000</v>
      </c>
      <c r="D159" t="s">
        <v>2012</v>
      </c>
      <c r="E159">
        <v>0</v>
      </c>
      <c r="F159">
        <v>4520.9799999999996</v>
      </c>
      <c r="G159" t="s">
        <v>2017</v>
      </c>
      <c r="H159" t="s">
        <v>2025</v>
      </c>
      <c r="I159" t="s">
        <v>2185</v>
      </c>
      <c r="J159" t="s">
        <v>4030</v>
      </c>
      <c r="K159" t="s">
        <v>4041</v>
      </c>
      <c r="L159">
        <v>4520.9799999999996</v>
      </c>
    </row>
    <row r="160" spans="1:12">
      <c r="A160" t="s">
        <v>170</v>
      </c>
      <c r="B160" s="2">
        <v>44955</v>
      </c>
      <c r="C160">
        <v>5000</v>
      </c>
      <c r="D160" t="s">
        <v>2013</v>
      </c>
      <c r="E160">
        <v>1483.66</v>
      </c>
      <c r="F160">
        <v>0</v>
      </c>
      <c r="G160" t="s">
        <v>2019</v>
      </c>
      <c r="H160" t="s">
        <v>2026</v>
      </c>
      <c r="I160" t="s">
        <v>2186</v>
      </c>
      <c r="J160" t="s">
        <v>4030</v>
      </c>
      <c r="K160" t="s">
        <v>4047</v>
      </c>
      <c r="L160">
        <v>-1483.66</v>
      </c>
    </row>
    <row r="161" spans="1:12">
      <c r="A161" t="s">
        <v>171</v>
      </c>
      <c r="B161" s="2">
        <v>45828</v>
      </c>
      <c r="C161">
        <v>5010</v>
      </c>
      <c r="D161" t="s">
        <v>2015</v>
      </c>
      <c r="E161">
        <v>571.01</v>
      </c>
      <c r="F161">
        <v>0</v>
      </c>
      <c r="G161" t="s">
        <v>2021</v>
      </c>
      <c r="H161" t="s">
        <v>2024</v>
      </c>
      <c r="I161" t="s">
        <v>2187</v>
      </c>
      <c r="J161" t="s">
        <v>4029</v>
      </c>
      <c r="K161" t="s">
        <v>4052</v>
      </c>
      <c r="L161">
        <v>-571.01</v>
      </c>
    </row>
    <row r="162" spans="1:12">
      <c r="A162" t="s">
        <v>172</v>
      </c>
      <c r="B162" s="2">
        <v>45269</v>
      </c>
      <c r="C162">
        <v>6000</v>
      </c>
      <c r="D162" t="s">
        <v>2014</v>
      </c>
      <c r="E162">
        <v>1556.44</v>
      </c>
      <c r="F162">
        <v>0</v>
      </c>
      <c r="G162" t="s">
        <v>2022</v>
      </c>
      <c r="H162" t="s">
        <v>2025</v>
      </c>
      <c r="I162" t="s">
        <v>2188</v>
      </c>
      <c r="J162" t="s">
        <v>4031</v>
      </c>
      <c r="K162" t="s">
        <v>4039</v>
      </c>
      <c r="L162">
        <v>-1556.44</v>
      </c>
    </row>
    <row r="163" spans="1:12">
      <c r="A163" t="s">
        <v>173</v>
      </c>
      <c r="B163" s="2">
        <v>45705</v>
      </c>
      <c r="C163">
        <v>4000</v>
      </c>
      <c r="D163" t="s">
        <v>2012</v>
      </c>
      <c r="E163">
        <v>0</v>
      </c>
      <c r="F163">
        <v>2614.6799999999998</v>
      </c>
      <c r="G163" t="s">
        <v>2018</v>
      </c>
      <c r="H163" t="s">
        <v>2027</v>
      </c>
      <c r="I163" t="s">
        <v>2189</v>
      </c>
      <c r="J163" t="s">
        <v>4030</v>
      </c>
      <c r="K163" t="s">
        <v>4061</v>
      </c>
      <c r="L163">
        <v>2614.6799999999998</v>
      </c>
    </row>
    <row r="164" spans="1:12">
      <c r="A164" t="s">
        <v>174</v>
      </c>
      <c r="B164" s="2">
        <v>45647</v>
      </c>
      <c r="C164">
        <v>4000</v>
      </c>
      <c r="D164" t="s">
        <v>2012</v>
      </c>
      <c r="E164">
        <v>0</v>
      </c>
      <c r="F164">
        <v>3901.69</v>
      </c>
      <c r="G164" t="s">
        <v>2022</v>
      </c>
      <c r="H164" t="s">
        <v>2027</v>
      </c>
      <c r="I164" t="s">
        <v>2190</v>
      </c>
      <c r="J164" t="s">
        <v>4029</v>
      </c>
      <c r="K164" t="s">
        <v>4056</v>
      </c>
      <c r="L164">
        <v>3901.69</v>
      </c>
    </row>
    <row r="165" spans="1:12">
      <c r="A165" t="s">
        <v>175</v>
      </c>
      <c r="B165" s="2">
        <v>45714</v>
      </c>
      <c r="C165">
        <v>4010</v>
      </c>
      <c r="D165" t="s">
        <v>2016</v>
      </c>
      <c r="E165">
        <v>0</v>
      </c>
      <c r="F165">
        <v>1890.76</v>
      </c>
      <c r="G165" t="s">
        <v>2018</v>
      </c>
      <c r="H165" t="s">
        <v>2026</v>
      </c>
      <c r="I165" t="s">
        <v>2191</v>
      </c>
      <c r="J165" t="s">
        <v>4032</v>
      </c>
      <c r="K165" t="s">
        <v>4061</v>
      </c>
      <c r="L165">
        <v>1890.76</v>
      </c>
    </row>
    <row r="166" spans="1:12">
      <c r="A166" t="s">
        <v>176</v>
      </c>
      <c r="B166" s="2">
        <v>45490</v>
      </c>
      <c r="C166">
        <v>4010</v>
      </c>
      <c r="D166" t="s">
        <v>2016</v>
      </c>
      <c r="E166">
        <v>0</v>
      </c>
      <c r="F166">
        <v>1829.98</v>
      </c>
      <c r="G166" t="s">
        <v>2018</v>
      </c>
      <c r="H166" t="s">
        <v>2027</v>
      </c>
      <c r="I166" t="s">
        <v>2192</v>
      </c>
      <c r="J166" t="s">
        <v>4032</v>
      </c>
      <c r="K166" t="s">
        <v>4054</v>
      </c>
      <c r="L166">
        <v>1829.98</v>
      </c>
    </row>
    <row r="167" spans="1:12">
      <c r="A167" t="s">
        <v>177</v>
      </c>
      <c r="B167" s="2">
        <v>45447</v>
      </c>
      <c r="C167">
        <v>4000</v>
      </c>
      <c r="D167" t="s">
        <v>2012</v>
      </c>
      <c r="E167">
        <v>0</v>
      </c>
      <c r="F167">
        <v>1161.94</v>
      </c>
      <c r="G167" t="s">
        <v>2021</v>
      </c>
      <c r="H167" t="s">
        <v>2024</v>
      </c>
      <c r="I167" t="s">
        <v>2193</v>
      </c>
      <c r="J167" t="s">
        <v>4029</v>
      </c>
      <c r="K167" t="s">
        <v>4034</v>
      </c>
      <c r="L167">
        <v>1161.94</v>
      </c>
    </row>
    <row r="168" spans="1:12">
      <c r="A168" t="s">
        <v>178</v>
      </c>
      <c r="B168" s="2">
        <v>45252</v>
      </c>
      <c r="C168">
        <v>6000</v>
      </c>
      <c r="D168" t="s">
        <v>2014</v>
      </c>
      <c r="E168">
        <v>1114.08</v>
      </c>
      <c r="F168">
        <v>0</v>
      </c>
      <c r="G168" t="s">
        <v>2017</v>
      </c>
      <c r="H168" t="s">
        <v>2027</v>
      </c>
      <c r="I168" t="s">
        <v>2194</v>
      </c>
      <c r="J168" t="s">
        <v>4029</v>
      </c>
      <c r="K168" t="s">
        <v>4042</v>
      </c>
      <c r="L168">
        <v>-1114.08</v>
      </c>
    </row>
    <row r="169" spans="1:12">
      <c r="A169" t="s">
        <v>179</v>
      </c>
      <c r="B169" s="2">
        <v>45418</v>
      </c>
      <c r="C169">
        <v>4010</v>
      </c>
      <c r="D169" t="s">
        <v>2016</v>
      </c>
      <c r="E169">
        <v>0</v>
      </c>
      <c r="F169">
        <v>859.97</v>
      </c>
      <c r="G169" t="s">
        <v>2017</v>
      </c>
      <c r="H169" t="s">
        <v>2027</v>
      </c>
      <c r="I169" t="s">
        <v>2195</v>
      </c>
      <c r="J169" t="s">
        <v>4029</v>
      </c>
      <c r="K169" t="s">
        <v>4033</v>
      </c>
      <c r="L169">
        <v>859.97</v>
      </c>
    </row>
    <row r="170" spans="1:12">
      <c r="A170" t="s">
        <v>180</v>
      </c>
      <c r="B170" s="2">
        <v>45182</v>
      </c>
      <c r="C170">
        <v>5000</v>
      </c>
      <c r="D170" t="s">
        <v>2013</v>
      </c>
      <c r="E170">
        <v>1369.63</v>
      </c>
      <c r="F170">
        <v>0</v>
      </c>
      <c r="G170" t="s">
        <v>2017</v>
      </c>
      <c r="H170" t="s">
        <v>2027</v>
      </c>
      <c r="I170" t="s">
        <v>2196</v>
      </c>
      <c r="J170" t="s">
        <v>4031</v>
      </c>
      <c r="K170" t="s">
        <v>4036</v>
      </c>
      <c r="L170">
        <v>-1369.63</v>
      </c>
    </row>
    <row r="171" spans="1:12">
      <c r="A171" t="s">
        <v>181</v>
      </c>
      <c r="B171" s="2">
        <v>44943</v>
      </c>
      <c r="C171">
        <v>6000</v>
      </c>
      <c r="D171" t="s">
        <v>2014</v>
      </c>
      <c r="E171">
        <v>1174.4100000000001</v>
      </c>
      <c r="F171">
        <v>0</v>
      </c>
      <c r="G171" t="s">
        <v>2017</v>
      </c>
      <c r="H171" t="s">
        <v>2023</v>
      </c>
      <c r="I171" t="s">
        <v>2197</v>
      </c>
      <c r="J171" t="s">
        <v>4030</v>
      </c>
      <c r="K171" t="s">
        <v>4047</v>
      </c>
      <c r="L171">
        <v>-1174.4100000000001</v>
      </c>
    </row>
    <row r="172" spans="1:12">
      <c r="A172" t="s">
        <v>182</v>
      </c>
      <c r="B172" s="2">
        <v>45564</v>
      </c>
      <c r="C172">
        <v>5010</v>
      </c>
      <c r="D172" t="s">
        <v>2015</v>
      </c>
      <c r="E172">
        <v>605.78</v>
      </c>
      <c r="F172">
        <v>0</v>
      </c>
      <c r="G172" t="s">
        <v>2020</v>
      </c>
      <c r="H172" t="s">
        <v>2026</v>
      </c>
      <c r="I172" t="s">
        <v>2198</v>
      </c>
      <c r="J172" t="s">
        <v>4029</v>
      </c>
      <c r="K172" t="s">
        <v>4048</v>
      </c>
      <c r="L172">
        <v>-605.78</v>
      </c>
    </row>
    <row r="173" spans="1:12">
      <c r="A173" t="s">
        <v>183</v>
      </c>
      <c r="B173" s="2">
        <v>45384</v>
      </c>
      <c r="C173">
        <v>5000</v>
      </c>
      <c r="D173" t="s">
        <v>2013</v>
      </c>
      <c r="E173">
        <v>60.93</v>
      </c>
      <c r="F173">
        <v>0</v>
      </c>
      <c r="G173" t="s">
        <v>2021</v>
      </c>
      <c r="H173" t="s">
        <v>2025</v>
      </c>
      <c r="I173" t="s">
        <v>2199</v>
      </c>
      <c r="J173" t="s">
        <v>4030</v>
      </c>
      <c r="K173" t="s">
        <v>4040</v>
      </c>
      <c r="L173">
        <v>-60.93</v>
      </c>
    </row>
    <row r="174" spans="1:12">
      <c r="A174" t="s">
        <v>184</v>
      </c>
      <c r="B174" s="2">
        <v>45489</v>
      </c>
      <c r="C174">
        <v>5010</v>
      </c>
      <c r="D174" t="s">
        <v>2015</v>
      </c>
      <c r="E174">
        <v>210.91</v>
      </c>
      <c r="F174">
        <v>0</v>
      </c>
      <c r="G174" t="s">
        <v>2019</v>
      </c>
      <c r="H174" t="s">
        <v>2025</v>
      </c>
      <c r="I174" t="s">
        <v>2200</v>
      </c>
      <c r="J174" t="s">
        <v>4029</v>
      </c>
      <c r="K174" t="s">
        <v>4054</v>
      </c>
      <c r="L174">
        <v>-210.91</v>
      </c>
    </row>
    <row r="175" spans="1:12">
      <c r="A175" t="s">
        <v>185</v>
      </c>
      <c r="B175" s="2">
        <v>45729</v>
      </c>
      <c r="C175">
        <v>5010</v>
      </c>
      <c r="D175" t="s">
        <v>2015</v>
      </c>
      <c r="E175">
        <v>763.11</v>
      </c>
      <c r="F175">
        <v>0</v>
      </c>
      <c r="G175" t="s">
        <v>2021</v>
      </c>
      <c r="H175" t="s">
        <v>2027</v>
      </c>
      <c r="I175" t="s">
        <v>2201</v>
      </c>
      <c r="J175" t="s">
        <v>4029</v>
      </c>
      <c r="K175" t="s">
        <v>4046</v>
      </c>
      <c r="L175">
        <v>-763.11</v>
      </c>
    </row>
    <row r="176" spans="1:12">
      <c r="A176" t="s">
        <v>186</v>
      </c>
      <c r="B176" s="2">
        <v>45526</v>
      </c>
      <c r="C176">
        <v>5000</v>
      </c>
      <c r="D176" t="s">
        <v>2013</v>
      </c>
      <c r="E176">
        <v>858.91</v>
      </c>
      <c r="F176">
        <v>0</v>
      </c>
      <c r="G176" t="s">
        <v>2020</v>
      </c>
      <c r="H176" t="s">
        <v>2025</v>
      </c>
      <c r="I176" t="s">
        <v>2202</v>
      </c>
      <c r="J176" t="s">
        <v>4029</v>
      </c>
      <c r="K176" t="s">
        <v>4058</v>
      </c>
      <c r="L176">
        <v>-858.91</v>
      </c>
    </row>
    <row r="177" spans="1:12">
      <c r="A177" t="s">
        <v>187</v>
      </c>
      <c r="B177" s="2">
        <v>45330</v>
      </c>
      <c r="C177">
        <v>5010</v>
      </c>
      <c r="D177" t="s">
        <v>2015</v>
      </c>
      <c r="E177">
        <v>1330.42</v>
      </c>
      <c r="F177">
        <v>0</v>
      </c>
      <c r="G177" t="s">
        <v>2017</v>
      </c>
      <c r="H177" t="s">
        <v>2024</v>
      </c>
      <c r="I177" t="s">
        <v>2203</v>
      </c>
      <c r="J177" t="s">
        <v>4031</v>
      </c>
      <c r="K177" t="s">
        <v>4044</v>
      </c>
      <c r="L177">
        <v>-1330.42</v>
      </c>
    </row>
    <row r="178" spans="1:12">
      <c r="A178" t="s">
        <v>188</v>
      </c>
      <c r="B178" s="2">
        <v>45511</v>
      </c>
      <c r="C178">
        <v>4000</v>
      </c>
      <c r="D178" t="s">
        <v>2012</v>
      </c>
      <c r="E178">
        <v>0</v>
      </c>
      <c r="F178">
        <v>1750.45</v>
      </c>
      <c r="G178" t="s">
        <v>2018</v>
      </c>
      <c r="H178" t="s">
        <v>2025</v>
      </c>
      <c r="I178" t="s">
        <v>2204</v>
      </c>
      <c r="J178" t="s">
        <v>4031</v>
      </c>
      <c r="K178" t="s">
        <v>4058</v>
      </c>
      <c r="L178">
        <v>1750.45</v>
      </c>
    </row>
    <row r="179" spans="1:12">
      <c r="A179" t="s">
        <v>189</v>
      </c>
      <c r="B179" s="2">
        <v>45269</v>
      </c>
      <c r="C179">
        <v>4000</v>
      </c>
      <c r="D179" t="s">
        <v>2012</v>
      </c>
      <c r="E179">
        <v>0</v>
      </c>
      <c r="F179">
        <v>335.99</v>
      </c>
      <c r="G179" t="s">
        <v>2019</v>
      </c>
      <c r="H179" t="s">
        <v>2023</v>
      </c>
      <c r="I179" t="s">
        <v>2205</v>
      </c>
      <c r="J179" t="s">
        <v>4028</v>
      </c>
      <c r="K179" t="s">
        <v>4039</v>
      </c>
      <c r="L179">
        <v>335.99</v>
      </c>
    </row>
    <row r="180" spans="1:12">
      <c r="A180" t="s">
        <v>190</v>
      </c>
      <c r="B180" s="2">
        <v>45816</v>
      </c>
      <c r="C180">
        <v>6000</v>
      </c>
      <c r="D180" t="s">
        <v>2014</v>
      </c>
      <c r="E180">
        <v>1783.05</v>
      </c>
      <c r="F180">
        <v>0</v>
      </c>
      <c r="G180" t="s">
        <v>2019</v>
      </c>
      <c r="H180" t="s">
        <v>2026</v>
      </c>
      <c r="I180" t="s">
        <v>2206</v>
      </c>
      <c r="J180" t="s">
        <v>4031</v>
      </c>
      <c r="K180" t="s">
        <v>4052</v>
      </c>
      <c r="L180">
        <v>-1783.05</v>
      </c>
    </row>
    <row r="181" spans="1:12">
      <c r="A181" t="s">
        <v>191</v>
      </c>
      <c r="B181" s="2">
        <v>45036</v>
      </c>
      <c r="C181">
        <v>5010</v>
      </c>
      <c r="D181" t="s">
        <v>2015</v>
      </c>
      <c r="E181">
        <v>278.89</v>
      </c>
      <c r="F181">
        <v>0</v>
      </c>
      <c r="G181" t="s">
        <v>2017</v>
      </c>
      <c r="H181" t="s">
        <v>2025</v>
      </c>
      <c r="I181" t="s">
        <v>2207</v>
      </c>
      <c r="J181" t="s">
        <v>4032</v>
      </c>
      <c r="K181" t="s">
        <v>4041</v>
      </c>
      <c r="L181">
        <v>-278.89</v>
      </c>
    </row>
    <row r="182" spans="1:12">
      <c r="A182" t="s">
        <v>192</v>
      </c>
      <c r="B182" s="2">
        <v>45770</v>
      </c>
      <c r="C182">
        <v>4010</v>
      </c>
      <c r="D182" t="s">
        <v>2016</v>
      </c>
      <c r="E182">
        <v>0</v>
      </c>
      <c r="F182">
        <v>4714.1099999999997</v>
      </c>
      <c r="G182" t="s">
        <v>2017</v>
      </c>
      <c r="H182" t="s">
        <v>2023</v>
      </c>
      <c r="I182" t="s">
        <v>2208</v>
      </c>
      <c r="J182" t="s">
        <v>4028</v>
      </c>
      <c r="K182" t="s">
        <v>4045</v>
      </c>
      <c r="L182">
        <v>4714.1099999999997</v>
      </c>
    </row>
    <row r="183" spans="1:12">
      <c r="A183" t="s">
        <v>193</v>
      </c>
      <c r="B183" s="2">
        <v>44936</v>
      </c>
      <c r="C183">
        <v>5010</v>
      </c>
      <c r="D183" t="s">
        <v>2015</v>
      </c>
      <c r="E183">
        <v>782.32</v>
      </c>
      <c r="F183">
        <v>0</v>
      </c>
      <c r="G183" t="s">
        <v>2020</v>
      </c>
      <c r="H183" t="s">
        <v>2027</v>
      </c>
      <c r="I183" t="s">
        <v>2209</v>
      </c>
      <c r="J183" t="s">
        <v>4031</v>
      </c>
      <c r="K183" t="s">
        <v>4047</v>
      </c>
      <c r="L183">
        <v>-782.32</v>
      </c>
    </row>
    <row r="184" spans="1:12">
      <c r="A184" t="s">
        <v>194</v>
      </c>
      <c r="B184" s="2">
        <v>45545</v>
      </c>
      <c r="C184">
        <v>5000</v>
      </c>
      <c r="D184" t="s">
        <v>2013</v>
      </c>
      <c r="E184">
        <v>209.01</v>
      </c>
      <c r="F184">
        <v>0</v>
      </c>
      <c r="G184" t="s">
        <v>2020</v>
      </c>
      <c r="H184" t="s">
        <v>2026</v>
      </c>
      <c r="I184" t="s">
        <v>2210</v>
      </c>
      <c r="J184" t="s">
        <v>4028</v>
      </c>
      <c r="K184" t="s">
        <v>4048</v>
      </c>
      <c r="L184">
        <v>-209.01</v>
      </c>
    </row>
    <row r="185" spans="1:12">
      <c r="A185" t="s">
        <v>195</v>
      </c>
      <c r="B185" s="2">
        <v>45352</v>
      </c>
      <c r="C185">
        <v>5000</v>
      </c>
      <c r="D185" t="s">
        <v>2013</v>
      </c>
      <c r="E185">
        <v>449.54</v>
      </c>
      <c r="F185">
        <v>0</v>
      </c>
      <c r="G185" t="s">
        <v>2022</v>
      </c>
      <c r="H185" t="s">
        <v>2027</v>
      </c>
      <c r="I185" t="s">
        <v>2211</v>
      </c>
      <c r="J185" t="s">
        <v>4029</v>
      </c>
      <c r="K185" t="s">
        <v>4049</v>
      </c>
      <c r="L185">
        <v>-449.54</v>
      </c>
    </row>
    <row r="186" spans="1:12">
      <c r="A186" t="s">
        <v>196</v>
      </c>
      <c r="B186" s="2">
        <v>45187</v>
      </c>
      <c r="C186">
        <v>6000</v>
      </c>
      <c r="D186" t="s">
        <v>2014</v>
      </c>
      <c r="E186">
        <v>1740.12</v>
      </c>
      <c r="F186">
        <v>0</v>
      </c>
      <c r="G186" t="s">
        <v>2020</v>
      </c>
      <c r="H186" t="s">
        <v>2027</v>
      </c>
      <c r="I186" t="s">
        <v>2212</v>
      </c>
      <c r="J186" t="s">
        <v>4030</v>
      </c>
      <c r="K186" t="s">
        <v>4036</v>
      </c>
      <c r="L186">
        <v>-1740.12</v>
      </c>
    </row>
    <row r="187" spans="1:12">
      <c r="A187" t="s">
        <v>197</v>
      </c>
      <c r="B187" s="2">
        <v>45069</v>
      </c>
      <c r="C187">
        <v>5000</v>
      </c>
      <c r="D187" t="s">
        <v>2013</v>
      </c>
      <c r="E187">
        <v>1625.69</v>
      </c>
      <c r="F187">
        <v>0</v>
      </c>
      <c r="G187" t="s">
        <v>2020</v>
      </c>
      <c r="H187" t="s">
        <v>2024</v>
      </c>
      <c r="I187" t="s">
        <v>2213</v>
      </c>
      <c r="J187" t="s">
        <v>4028</v>
      </c>
      <c r="K187" t="s">
        <v>4062</v>
      </c>
      <c r="L187">
        <v>-1625.69</v>
      </c>
    </row>
    <row r="188" spans="1:12">
      <c r="A188" t="s">
        <v>198</v>
      </c>
      <c r="B188" s="2">
        <v>45635</v>
      </c>
      <c r="C188">
        <v>5000</v>
      </c>
      <c r="D188" t="s">
        <v>2013</v>
      </c>
      <c r="E188">
        <v>586.76</v>
      </c>
      <c r="F188">
        <v>0</v>
      </c>
      <c r="G188" t="s">
        <v>2021</v>
      </c>
      <c r="H188" t="s">
        <v>2025</v>
      </c>
      <c r="I188" t="s">
        <v>2214</v>
      </c>
      <c r="J188" t="s">
        <v>4030</v>
      </c>
      <c r="K188" t="s">
        <v>4056</v>
      </c>
      <c r="L188">
        <v>-586.76</v>
      </c>
    </row>
    <row r="189" spans="1:12">
      <c r="A189" t="s">
        <v>199</v>
      </c>
      <c r="B189" s="2">
        <v>45005</v>
      </c>
      <c r="C189">
        <v>4000</v>
      </c>
      <c r="D189" t="s">
        <v>2012</v>
      </c>
      <c r="E189">
        <v>0</v>
      </c>
      <c r="F189">
        <v>2824.84</v>
      </c>
      <c r="G189" t="s">
        <v>2020</v>
      </c>
      <c r="H189" t="s">
        <v>2027</v>
      </c>
      <c r="I189" t="s">
        <v>2215</v>
      </c>
      <c r="J189" t="s">
        <v>4028</v>
      </c>
      <c r="K189" t="s">
        <v>4051</v>
      </c>
      <c r="L189">
        <v>2824.84</v>
      </c>
    </row>
    <row r="190" spans="1:12">
      <c r="A190" t="s">
        <v>200</v>
      </c>
      <c r="B190" s="2">
        <v>45597</v>
      </c>
      <c r="C190">
        <v>4000</v>
      </c>
      <c r="D190" t="s">
        <v>2012</v>
      </c>
      <c r="E190">
        <v>0</v>
      </c>
      <c r="F190">
        <v>1046.78</v>
      </c>
      <c r="G190" t="s">
        <v>2020</v>
      </c>
      <c r="H190" t="s">
        <v>2023</v>
      </c>
      <c r="I190" t="s">
        <v>2216</v>
      </c>
      <c r="J190" t="s">
        <v>4030</v>
      </c>
      <c r="K190" t="s">
        <v>4043</v>
      </c>
      <c r="L190">
        <v>1046.78</v>
      </c>
    </row>
    <row r="191" spans="1:12">
      <c r="A191" t="s">
        <v>201</v>
      </c>
      <c r="B191" s="2">
        <v>44963</v>
      </c>
      <c r="C191">
        <v>4010</v>
      </c>
      <c r="D191" t="s">
        <v>2016</v>
      </c>
      <c r="E191">
        <v>0</v>
      </c>
      <c r="F191">
        <v>3930.36</v>
      </c>
      <c r="G191" t="s">
        <v>2017</v>
      </c>
      <c r="H191" t="s">
        <v>2024</v>
      </c>
      <c r="I191" t="s">
        <v>2217</v>
      </c>
      <c r="J191" t="s">
        <v>4028</v>
      </c>
      <c r="K191" t="s">
        <v>4057</v>
      </c>
      <c r="L191">
        <v>3930.36</v>
      </c>
    </row>
    <row r="192" spans="1:12">
      <c r="A192" t="s">
        <v>202</v>
      </c>
      <c r="B192" s="2">
        <v>45546</v>
      </c>
      <c r="C192">
        <v>4000</v>
      </c>
      <c r="D192" t="s">
        <v>2012</v>
      </c>
      <c r="E192">
        <v>0</v>
      </c>
      <c r="F192">
        <v>2772.6</v>
      </c>
      <c r="G192" t="s">
        <v>2021</v>
      </c>
      <c r="H192" t="s">
        <v>2026</v>
      </c>
      <c r="I192" t="s">
        <v>2218</v>
      </c>
      <c r="J192" t="s">
        <v>4030</v>
      </c>
      <c r="K192" t="s">
        <v>4048</v>
      </c>
      <c r="L192">
        <v>2772.6</v>
      </c>
    </row>
    <row r="193" spans="1:12">
      <c r="A193" t="s">
        <v>203</v>
      </c>
      <c r="B193" s="2">
        <v>45838</v>
      </c>
      <c r="C193">
        <v>5000</v>
      </c>
      <c r="D193" t="s">
        <v>2013</v>
      </c>
      <c r="E193">
        <v>1409.16</v>
      </c>
      <c r="F193">
        <v>0</v>
      </c>
      <c r="G193" t="s">
        <v>2019</v>
      </c>
      <c r="H193" t="s">
        <v>2023</v>
      </c>
      <c r="I193" t="s">
        <v>2219</v>
      </c>
      <c r="J193" t="s">
        <v>4029</v>
      </c>
      <c r="K193" t="s">
        <v>4052</v>
      </c>
      <c r="L193">
        <v>-1409.16</v>
      </c>
    </row>
    <row r="194" spans="1:12">
      <c r="A194" t="s">
        <v>204</v>
      </c>
      <c r="B194" s="2">
        <v>45276</v>
      </c>
      <c r="C194">
        <v>4000</v>
      </c>
      <c r="D194" t="s">
        <v>2012</v>
      </c>
      <c r="E194">
        <v>0</v>
      </c>
      <c r="F194">
        <v>1470.69</v>
      </c>
      <c r="G194" t="s">
        <v>2019</v>
      </c>
      <c r="H194" t="s">
        <v>2024</v>
      </c>
      <c r="I194" t="s">
        <v>2220</v>
      </c>
      <c r="J194" t="s">
        <v>4028</v>
      </c>
      <c r="K194" t="s">
        <v>4039</v>
      </c>
      <c r="L194">
        <v>1470.69</v>
      </c>
    </row>
    <row r="195" spans="1:12">
      <c r="A195" t="s">
        <v>205</v>
      </c>
      <c r="B195" s="2">
        <v>45522</v>
      </c>
      <c r="C195">
        <v>4010</v>
      </c>
      <c r="D195" t="s">
        <v>2016</v>
      </c>
      <c r="E195">
        <v>0</v>
      </c>
      <c r="F195">
        <v>3549.99</v>
      </c>
      <c r="G195" t="s">
        <v>2017</v>
      </c>
      <c r="H195" t="s">
        <v>2027</v>
      </c>
      <c r="I195" t="s">
        <v>2221</v>
      </c>
      <c r="J195" t="s">
        <v>4029</v>
      </c>
      <c r="K195" t="s">
        <v>4058</v>
      </c>
      <c r="L195">
        <v>3549.99</v>
      </c>
    </row>
    <row r="196" spans="1:12">
      <c r="A196" t="s">
        <v>206</v>
      </c>
      <c r="B196" s="2">
        <v>44955</v>
      </c>
      <c r="C196">
        <v>4000</v>
      </c>
      <c r="D196" t="s">
        <v>2012</v>
      </c>
      <c r="E196">
        <v>0</v>
      </c>
      <c r="F196">
        <v>2371.4</v>
      </c>
      <c r="G196" t="s">
        <v>2020</v>
      </c>
      <c r="H196" t="s">
        <v>2026</v>
      </c>
      <c r="I196" t="s">
        <v>2222</v>
      </c>
      <c r="J196" t="s">
        <v>4032</v>
      </c>
      <c r="K196" t="s">
        <v>4047</v>
      </c>
      <c r="L196">
        <v>2371.4</v>
      </c>
    </row>
    <row r="197" spans="1:12">
      <c r="A197" t="s">
        <v>207</v>
      </c>
      <c r="B197" s="2">
        <v>44970</v>
      </c>
      <c r="C197">
        <v>6000</v>
      </c>
      <c r="D197" t="s">
        <v>2014</v>
      </c>
      <c r="E197">
        <v>1869.71</v>
      </c>
      <c r="F197">
        <v>0</v>
      </c>
      <c r="G197" t="s">
        <v>2018</v>
      </c>
      <c r="H197" t="s">
        <v>2025</v>
      </c>
      <c r="I197" t="s">
        <v>2223</v>
      </c>
      <c r="J197" t="s">
        <v>4030</v>
      </c>
      <c r="K197" t="s">
        <v>4057</v>
      </c>
      <c r="L197">
        <v>-1869.71</v>
      </c>
    </row>
    <row r="198" spans="1:12">
      <c r="A198" t="s">
        <v>208</v>
      </c>
      <c r="B198" s="2">
        <v>45306</v>
      </c>
      <c r="C198">
        <v>5000</v>
      </c>
      <c r="D198" t="s">
        <v>2013</v>
      </c>
      <c r="E198">
        <v>1812.22</v>
      </c>
      <c r="F198">
        <v>0</v>
      </c>
      <c r="G198" t="s">
        <v>2020</v>
      </c>
      <c r="H198" t="s">
        <v>2026</v>
      </c>
      <c r="I198" t="s">
        <v>2224</v>
      </c>
      <c r="J198" t="s">
        <v>4032</v>
      </c>
      <c r="K198" t="s">
        <v>4053</v>
      </c>
      <c r="L198">
        <v>-1812.22</v>
      </c>
    </row>
    <row r="199" spans="1:12">
      <c r="A199" t="s">
        <v>209</v>
      </c>
      <c r="B199" s="2">
        <v>44969</v>
      </c>
      <c r="C199">
        <v>5000</v>
      </c>
      <c r="D199" t="s">
        <v>2013</v>
      </c>
      <c r="E199">
        <v>218.2</v>
      </c>
      <c r="F199">
        <v>0</v>
      </c>
      <c r="G199" t="s">
        <v>2022</v>
      </c>
      <c r="H199" t="s">
        <v>2023</v>
      </c>
      <c r="I199" t="s">
        <v>2225</v>
      </c>
      <c r="J199" t="s">
        <v>4028</v>
      </c>
      <c r="K199" t="s">
        <v>4057</v>
      </c>
      <c r="L199">
        <v>-218.2</v>
      </c>
    </row>
    <row r="200" spans="1:12">
      <c r="A200" t="s">
        <v>210</v>
      </c>
      <c r="B200" s="2">
        <v>44997</v>
      </c>
      <c r="C200">
        <v>4010</v>
      </c>
      <c r="D200" t="s">
        <v>2016</v>
      </c>
      <c r="E200">
        <v>0</v>
      </c>
      <c r="F200">
        <v>965.46</v>
      </c>
      <c r="G200" t="s">
        <v>2019</v>
      </c>
      <c r="H200" t="s">
        <v>2027</v>
      </c>
      <c r="I200" t="s">
        <v>2226</v>
      </c>
      <c r="J200" t="s">
        <v>4030</v>
      </c>
      <c r="K200" t="s">
        <v>4051</v>
      </c>
      <c r="L200">
        <v>965.46</v>
      </c>
    </row>
    <row r="201" spans="1:12">
      <c r="A201" t="s">
        <v>211</v>
      </c>
      <c r="B201" s="2">
        <v>45549</v>
      </c>
      <c r="C201">
        <v>4000</v>
      </c>
      <c r="D201" t="s">
        <v>2012</v>
      </c>
      <c r="E201">
        <v>0</v>
      </c>
      <c r="F201">
        <v>321.5</v>
      </c>
      <c r="G201" t="s">
        <v>2019</v>
      </c>
      <c r="H201" t="s">
        <v>2027</v>
      </c>
      <c r="I201" t="s">
        <v>2227</v>
      </c>
      <c r="J201" t="s">
        <v>4030</v>
      </c>
      <c r="K201" t="s">
        <v>4048</v>
      </c>
      <c r="L201">
        <v>321.5</v>
      </c>
    </row>
    <row r="202" spans="1:12">
      <c r="A202" t="s">
        <v>212</v>
      </c>
      <c r="B202" s="2">
        <v>45347</v>
      </c>
      <c r="C202">
        <v>6000</v>
      </c>
      <c r="D202" t="s">
        <v>2014</v>
      </c>
      <c r="E202">
        <v>763.01</v>
      </c>
      <c r="F202">
        <v>0</v>
      </c>
      <c r="G202" t="s">
        <v>2018</v>
      </c>
      <c r="H202" t="s">
        <v>2027</v>
      </c>
      <c r="I202" t="s">
        <v>2228</v>
      </c>
      <c r="J202" t="s">
        <v>4028</v>
      </c>
      <c r="K202" t="s">
        <v>4044</v>
      </c>
      <c r="L202">
        <v>-763.01</v>
      </c>
    </row>
    <row r="203" spans="1:12">
      <c r="A203" t="s">
        <v>213</v>
      </c>
      <c r="B203" s="2">
        <v>44954</v>
      </c>
      <c r="C203">
        <v>4010</v>
      </c>
      <c r="D203" t="s">
        <v>2016</v>
      </c>
      <c r="E203">
        <v>0</v>
      </c>
      <c r="F203">
        <v>2497.61</v>
      </c>
      <c r="G203" t="s">
        <v>2019</v>
      </c>
      <c r="H203" t="s">
        <v>2025</v>
      </c>
      <c r="I203" t="s">
        <v>2229</v>
      </c>
      <c r="J203" t="s">
        <v>4031</v>
      </c>
      <c r="K203" t="s">
        <v>4047</v>
      </c>
      <c r="L203">
        <v>2497.61</v>
      </c>
    </row>
    <row r="204" spans="1:12">
      <c r="A204" t="s">
        <v>214</v>
      </c>
      <c r="B204" s="2">
        <v>45538</v>
      </c>
      <c r="C204">
        <v>4000</v>
      </c>
      <c r="D204" t="s">
        <v>2012</v>
      </c>
      <c r="E204">
        <v>0</v>
      </c>
      <c r="F204">
        <v>4299.82</v>
      </c>
      <c r="G204" t="s">
        <v>2017</v>
      </c>
      <c r="H204" t="s">
        <v>2026</v>
      </c>
      <c r="I204" t="s">
        <v>2230</v>
      </c>
      <c r="J204" t="s">
        <v>4032</v>
      </c>
      <c r="K204" t="s">
        <v>4048</v>
      </c>
      <c r="L204">
        <v>4299.82</v>
      </c>
    </row>
    <row r="205" spans="1:12">
      <c r="A205" t="s">
        <v>215</v>
      </c>
      <c r="B205" s="2">
        <v>45591</v>
      </c>
      <c r="C205">
        <v>6000</v>
      </c>
      <c r="D205" t="s">
        <v>2014</v>
      </c>
      <c r="E205">
        <v>492.26</v>
      </c>
      <c r="F205">
        <v>0</v>
      </c>
      <c r="G205" t="s">
        <v>2017</v>
      </c>
      <c r="H205" t="s">
        <v>2025</v>
      </c>
      <c r="I205" t="s">
        <v>2231</v>
      </c>
      <c r="J205" t="s">
        <v>4031</v>
      </c>
      <c r="K205" t="s">
        <v>4059</v>
      </c>
      <c r="L205">
        <v>-492.26</v>
      </c>
    </row>
    <row r="206" spans="1:12">
      <c r="A206" t="s">
        <v>216</v>
      </c>
      <c r="B206" s="2">
        <v>45156</v>
      </c>
      <c r="C206">
        <v>4000</v>
      </c>
      <c r="D206" t="s">
        <v>2012</v>
      </c>
      <c r="E206">
        <v>0</v>
      </c>
      <c r="F206">
        <v>4036.79</v>
      </c>
      <c r="G206" t="s">
        <v>2019</v>
      </c>
      <c r="H206" t="s">
        <v>2023</v>
      </c>
      <c r="I206" t="s">
        <v>2232</v>
      </c>
      <c r="J206" t="s">
        <v>4029</v>
      </c>
      <c r="K206" t="s">
        <v>4037</v>
      </c>
      <c r="L206">
        <v>4036.79</v>
      </c>
    </row>
    <row r="207" spans="1:12">
      <c r="A207" t="s">
        <v>217</v>
      </c>
      <c r="B207" s="2">
        <v>45548</v>
      </c>
      <c r="C207">
        <v>4010</v>
      </c>
      <c r="D207" t="s">
        <v>2016</v>
      </c>
      <c r="E207">
        <v>0</v>
      </c>
      <c r="F207">
        <v>3885.84</v>
      </c>
      <c r="G207" t="s">
        <v>2019</v>
      </c>
      <c r="H207" t="s">
        <v>2024</v>
      </c>
      <c r="I207" t="s">
        <v>2233</v>
      </c>
      <c r="J207" t="s">
        <v>4028</v>
      </c>
      <c r="K207" t="s">
        <v>4048</v>
      </c>
      <c r="L207">
        <v>3885.84</v>
      </c>
    </row>
    <row r="208" spans="1:12">
      <c r="A208" t="s">
        <v>218</v>
      </c>
      <c r="B208" s="2">
        <v>44965</v>
      </c>
      <c r="C208">
        <v>6000</v>
      </c>
      <c r="D208" t="s">
        <v>2014</v>
      </c>
      <c r="E208">
        <v>1161.43</v>
      </c>
      <c r="F208">
        <v>0</v>
      </c>
      <c r="G208" t="s">
        <v>2019</v>
      </c>
      <c r="H208" t="s">
        <v>2023</v>
      </c>
      <c r="I208" t="s">
        <v>2234</v>
      </c>
      <c r="J208" t="s">
        <v>4028</v>
      </c>
      <c r="K208" t="s">
        <v>4057</v>
      </c>
      <c r="L208">
        <v>-1161.43</v>
      </c>
    </row>
    <row r="209" spans="1:12">
      <c r="A209" t="s">
        <v>219</v>
      </c>
      <c r="B209" s="2">
        <v>45751</v>
      </c>
      <c r="C209">
        <v>4000</v>
      </c>
      <c r="D209" t="s">
        <v>2012</v>
      </c>
      <c r="E209">
        <v>0</v>
      </c>
      <c r="F209">
        <v>4478.0600000000004</v>
      </c>
      <c r="G209" t="s">
        <v>2018</v>
      </c>
      <c r="H209" t="s">
        <v>2026</v>
      </c>
      <c r="I209" t="s">
        <v>2235</v>
      </c>
      <c r="J209" t="s">
        <v>4030</v>
      </c>
      <c r="K209" t="s">
        <v>4045</v>
      </c>
      <c r="L209">
        <v>4478.0600000000004</v>
      </c>
    </row>
    <row r="210" spans="1:12">
      <c r="A210" t="s">
        <v>220</v>
      </c>
      <c r="B210" s="2">
        <v>45739</v>
      </c>
      <c r="C210">
        <v>6000</v>
      </c>
      <c r="D210" t="s">
        <v>2014</v>
      </c>
      <c r="E210">
        <v>169.1</v>
      </c>
      <c r="F210">
        <v>0</v>
      </c>
      <c r="G210" t="s">
        <v>2022</v>
      </c>
      <c r="H210" t="s">
        <v>2023</v>
      </c>
      <c r="I210" t="s">
        <v>2236</v>
      </c>
      <c r="J210" t="s">
        <v>4032</v>
      </c>
      <c r="K210" t="s">
        <v>4046</v>
      </c>
      <c r="L210">
        <v>-169.1</v>
      </c>
    </row>
    <row r="211" spans="1:12">
      <c r="A211" t="s">
        <v>221</v>
      </c>
      <c r="B211" s="2">
        <v>45182</v>
      </c>
      <c r="C211">
        <v>5000</v>
      </c>
      <c r="D211" t="s">
        <v>2013</v>
      </c>
      <c r="E211">
        <v>1138.92</v>
      </c>
      <c r="F211">
        <v>0</v>
      </c>
      <c r="G211" t="s">
        <v>2018</v>
      </c>
      <c r="H211" t="s">
        <v>2027</v>
      </c>
      <c r="I211" t="s">
        <v>2237</v>
      </c>
      <c r="J211" t="s">
        <v>4030</v>
      </c>
      <c r="K211" t="s">
        <v>4036</v>
      </c>
      <c r="L211">
        <v>-1138.92</v>
      </c>
    </row>
    <row r="212" spans="1:12">
      <c r="A212" t="s">
        <v>222</v>
      </c>
      <c r="B212" s="2">
        <v>45159</v>
      </c>
      <c r="C212">
        <v>4010</v>
      </c>
      <c r="D212" t="s">
        <v>2016</v>
      </c>
      <c r="E212">
        <v>0</v>
      </c>
      <c r="F212">
        <v>3750.39</v>
      </c>
      <c r="G212" t="s">
        <v>2021</v>
      </c>
      <c r="H212" t="s">
        <v>2024</v>
      </c>
      <c r="I212" t="s">
        <v>2238</v>
      </c>
      <c r="J212" t="s">
        <v>4032</v>
      </c>
      <c r="K212" t="s">
        <v>4037</v>
      </c>
      <c r="L212">
        <v>3750.39</v>
      </c>
    </row>
    <row r="213" spans="1:12">
      <c r="A213" t="s">
        <v>223</v>
      </c>
      <c r="B213" s="2">
        <v>45259</v>
      </c>
      <c r="C213">
        <v>5010</v>
      </c>
      <c r="D213" t="s">
        <v>2015</v>
      </c>
      <c r="E213">
        <v>1619.58</v>
      </c>
      <c r="F213">
        <v>0</v>
      </c>
      <c r="G213" t="s">
        <v>2017</v>
      </c>
      <c r="H213" t="s">
        <v>2025</v>
      </c>
      <c r="I213" t="s">
        <v>2239</v>
      </c>
      <c r="J213" t="s">
        <v>4031</v>
      </c>
      <c r="K213" t="s">
        <v>4042</v>
      </c>
      <c r="L213">
        <v>-1619.58</v>
      </c>
    </row>
    <row r="214" spans="1:12">
      <c r="A214" t="s">
        <v>224</v>
      </c>
      <c r="B214" s="2">
        <v>45608</v>
      </c>
      <c r="C214">
        <v>4010</v>
      </c>
      <c r="D214" t="s">
        <v>2016</v>
      </c>
      <c r="E214">
        <v>0</v>
      </c>
      <c r="F214">
        <v>668.17</v>
      </c>
      <c r="G214" t="s">
        <v>2017</v>
      </c>
      <c r="H214" t="s">
        <v>2025</v>
      </c>
      <c r="I214" t="s">
        <v>2240</v>
      </c>
      <c r="J214" t="s">
        <v>4032</v>
      </c>
      <c r="K214" t="s">
        <v>4043</v>
      </c>
      <c r="L214">
        <v>668.17</v>
      </c>
    </row>
    <row r="215" spans="1:12">
      <c r="A215" t="s">
        <v>225</v>
      </c>
      <c r="B215" s="2">
        <v>45707</v>
      </c>
      <c r="C215">
        <v>5000</v>
      </c>
      <c r="D215" t="s">
        <v>2013</v>
      </c>
      <c r="E215">
        <v>1003.8</v>
      </c>
      <c r="F215">
        <v>0</v>
      </c>
      <c r="G215" t="s">
        <v>2020</v>
      </c>
      <c r="H215" t="s">
        <v>2027</v>
      </c>
      <c r="I215" t="s">
        <v>2241</v>
      </c>
      <c r="J215" t="s">
        <v>4030</v>
      </c>
      <c r="K215" t="s">
        <v>4061</v>
      </c>
      <c r="L215">
        <v>-1003.8</v>
      </c>
    </row>
    <row r="216" spans="1:12">
      <c r="A216" t="s">
        <v>226</v>
      </c>
      <c r="B216" s="2">
        <v>45152</v>
      </c>
      <c r="C216">
        <v>4010</v>
      </c>
      <c r="D216" t="s">
        <v>2016</v>
      </c>
      <c r="E216">
        <v>0</v>
      </c>
      <c r="F216">
        <v>1941.69</v>
      </c>
      <c r="G216" t="s">
        <v>2017</v>
      </c>
      <c r="H216" t="s">
        <v>2026</v>
      </c>
      <c r="I216" t="s">
        <v>2242</v>
      </c>
      <c r="J216" t="s">
        <v>4029</v>
      </c>
      <c r="K216" t="s">
        <v>4037</v>
      </c>
      <c r="L216">
        <v>1941.69</v>
      </c>
    </row>
    <row r="217" spans="1:12">
      <c r="A217" t="s">
        <v>227</v>
      </c>
      <c r="B217" s="2">
        <v>45309</v>
      </c>
      <c r="C217">
        <v>5010</v>
      </c>
      <c r="D217" t="s">
        <v>2015</v>
      </c>
      <c r="E217">
        <v>521.33000000000004</v>
      </c>
      <c r="F217">
        <v>0</v>
      </c>
      <c r="G217" t="s">
        <v>2021</v>
      </c>
      <c r="H217" t="s">
        <v>2027</v>
      </c>
      <c r="I217" t="s">
        <v>2243</v>
      </c>
      <c r="J217" t="s">
        <v>4030</v>
      </c>
      <c r="K217" t="s">
        <v>4053</v>
      </c>
      <c r="L217">
        <v>-521.33000000000004</v>
      </c>
    </row>
    <row r="218" spans="1:12">
      <c r="A218" t="s">
        <v>228</v>
      </c>
      <c r="B218" s="2">
        <v>45418</v>
      </c>
      <c r="C218">
        <v>5010</v>
      </c>
      <c r="D218" t="s">
        <v>2015</v>
      </c>
      <c r="E218">
        <v>1612.68</v>
      </c>
      <c r="F218">
        <v>0</v>
      </c>
      <c r="G218" t="s">
        <v>2017</v>
      </c>
      <c r="H218" t="s">
        <v>2023</v>
      </c>
      <c r="I218" t="s">
        <v>2244</v>
      </c>
      <c r="J218" t="s">
        <v>4030</v>
      </c>
      <c r="K218" t="s">
        <v>4033</v>
      </c>
      <c r="L218">
        <v>-1612.68</v>
      </c>
    </row>
    <row r="219" spans="1:12">
      <c r="A219" t="s">
        <v>229</v>
      </c>
      <c r="B219" s="2">
        <v>45231</v>
      </c>
      <c r="C219">
        <v>5000</v>
      </c>
      <c r="D219" t="s">
        <v>2013</v>
      </c>
      <c r="E219">
        <v>1386.6</v>
      </c>
      <c r="F219">
        <v>0</v>
      </c>
      <c r="G219" t="s">
        <v>2019</v>
      </c>
      <c r="H219" t="s">
        <v>2027</v>
      </c>
      <c r="I219" t="s">
        <v>2245</v>
      </c>
      <c r="J219" t="s">
        <v>4031</v>
      </c>
      <c r="K219" t="s">
        <v>4042</v>
      </c>
      <c r="L219">
        <v>-1386.6</v>
      </c>
    </row>
    <row r="220" spans="1:12">
      <c r="A220" t="s">
        <v>230</v>
      </c>
      <c r="B220" s="2">
        <v>45334</v>
      </c>
      <c r="C220">
        <v>5010</v>
      </c>
      <c r="D220" t="s">
        <v>2015</v>
      </c>
      <c r="E220">
        <v>1060.0999999999999</v>
      </c>
      <c r="F220">
        <v>0</v>
      </c>
      <c r="G220" t="s">
        <v>2022</v>
      </c>
      <c r="H220" t="s">
        <v>2027</v>
      </c>
      <c r="I220" t="s">
        <v>2246</v>
      </c>
      <c r="J220" t="s">
        <v>4029</v>
      </c>
      <c r="K220" t="s">
        <v>4044</v>
      </c>
      <c r="L220">
        <v>-1060.0999999999999</v>
      </c>
    </row>
    <row r="221" spans="1:12">
      <c r="A221" t="s">
        <v>231</v>
      </c>
      <c r="B221" s="2">
        <v>45723</v>
      </c>
      <c r="C221">
        <v>5000</v>
      </c>
      <c r="D221" t="s">
        <v>2013</v>
      </c>
      <c r="E221">
        <v>558.04</v>
      </c>
      <c r="F221">
        <v>0</v>
      </c>
      <c r="G221" t="s">
        <v>2019</v>
      </c>
      <c r="H221" t="s">
        <v>2024</v>
      </c>
      <c r="I221" t="s">
        <v>2247</v>
      </c>
      <c r="J221" t="s">
        <v>4030</v>
      </c>
      <c r="K221" t="s">
        <v>4046</v>
      </c>
      <c r="L221">
        <v>-558.04</v>
      </c>
    </row>
    <row r="222" spans="1:12">
      <c r="A222" t="s">
        <v>232</v>
      </c>
      <c r="B222" s="2">
        <v>45636</v>
      </c>
      <c r="C222">
        <v>4000</v>
      </c>
      <c r="D222" t="s">
        <v>2012</v>
      </c>
      <c r="E222">
        <v>0</v>
      </c>
      <c r="F222">
        <v>345.31</v>
      </c>
      <c r="G222" t="s">
        <v>2017</v>
      </c>
      <c r="H222" t="s">
        <v>2026</v>
      </c>
      <c r="I222" t="s">
        <v>2248</v>
      </c>
      <c r="J222" t="s">
        <v>4030</v>
      </c>
      <c r="K222" t="s">
        <v>4056</v>
      </c>
      <c r="L222">
        <v>345.31</v>
      </c>
    </row>
    <row r="223" spans="1:12">
      <c r="A223" t="s">
        <v>233</v>
      </c>
      <c r="B223" s="2">
        <v>45429</v>
      </c>
      <c r="C223">
        <v>4010</v>
      </c>
      <c r="D223" t="s">
        <v>2016</v>
      </c>
      <c r="E223">
        <v>0</v>
      </c>
      <c r="F223">
        <v>1449.49</v>
      </c>
      <c r="G223" t="s">
        <v>2017</v>
      </c>
      <c r="H223" t="s">
        <v>2026</v>
      </c>
      <c r="I223" t="s">
        <v>2249</v>
      </c>
      <c r="J223" t="s">
        <v>4029</v>
      </c>
      <c r="K223" t="s">
        <v>4033</v>
      </c>
      <c r="L223">
        <v>1449.49</v>
      </c>
    </row>
    <row r="224" spans="1:12">
      <c r="A224" t="s">
        <v>234</v>
      </c>
      <c r="B224" s="2">
        <v>45251</v>
      </c>
      <c r="C224">
        <v>6000</v>
      </c>
      <c r="D224" t="s">
        <v>2014</v>
      </c>
      <c r="E224">
        <v>491.91</v>
      </c>
      <c r="F224">
        <v>0</v>
      </c>
      <c r="G224" t="s">
        <v>2017</v>
      </c>
      <c r="H224" t="s">
        <v>2023</v>
      </c>
      <c r="I224" t="s">
        <v>2250</v>
      </c>
      <c r="J224" t="s">
        <v>4031</v>
      </c>
      <c r="K224" t="s">
        <v>4042</v>
      </c>
      <c r="L224">
        <v>-491.91</v>
      </c>
    </row>
    <row r="225" spans="1:12">
      <c r="A225" t="s">
        <v>235</v>
      </c>
      <c r="B225" s="2">
        <v>45367</v>
      </c>
      <c r="C225">
        <v>5000</v>
      </c>
      <c r="D225" t="s">
        <v>2013</v>
      </c>
      <c r="E225">
        <v>1439</v>
      </c>
      <c r="F225">
        <v>0</v>
      </c>
      <c r="G225" t="s">
        <v>2022</v>
      </c>
      <c r="H225" t="s">
        <v>2024</v>
      </c>
      <c r="I225" t="s">
        <v>2251</v>
      </c>
      <c r="J225" t="s">
        <v>4030</v>
      </c>
      <c r="K225" t="s">
        <v>4049</v>
      </c>
      <c r="L225">
        <v>-1439</v>
      </c>
    </row>
    <row r="226" spans="1:12">
      <c r="A226" t="s">
        <v>236</v>
      </c>
      <c r="B226" s="2">
        <v>45027</v>
      </c>
      <c r="C226">
        <v>6000</v>
      </c>
      <c r="D226" t="s">
        <v>2014</v>
      </c>
      <c r="E226">
        <v>858.22</v>
      </c>
      <c r="F226">
        <v>0</v>
      </c>
      <c r="G226" t="s">
        <v>2017</v>
      </c>
      <c r="H226" t="s">
        <v>2024</v>
      </c>
      <c r="I226" t="s">
        <v>2252</v>
      </c>
      <c r="J226" t="s">
        <v>4028</v>
      </c>
      <c r="K226" t="s">
        <v>4041</v>
      </c>
      <c r="L226">
        <v>-858.22</v>
      </c>
    </row>
    <row r="227" spans="1:12">
      <c r="A227" t="s">
        <v>237</v>
      </c>
      <c r="B227" s="2">
        <v>45280</v>
      </c>
      <c r="C227">
        <v>4010</v>
      </c>
      <c r="D227" t="s">
        <v>2016</v>
      </c>
      <c r="E227">
        <v>0</v>
      </c>
      <c r="F227">
        <v>4850.6400000000003</v>
      </c>
      <c r="G227" t="s">
        <v>2022</v>
      </c>
      <c r="H227" t="s">
        <v>2024</v>
      </c>
      <c r="I227" t="s">
        <v>2253</v>
      </c>
      <c r="J227" t="s">
        <v>4028</v>
      </c>
      <c r="K227" t="s">
        <v>4039</v>
      </c>
      <c r="L227">
        <v>4850.6400000000003</v>
      </c>
    </row>
    <row r="228" spans="1:12">
      <c r="A228" t="s">
        <v>238</v>
      </c>
      <c r="B228" s="2">
        <v>45607</v>
      </c>
      <c r="C228">
        <v>6000</v>
      </c>
      <c r="D228" t="s">
        <v>2014</v>
      </c>
      <c r="E228">
        <v>103.53</v>
      </c>
      <c r="F228">
        <v>0</v>
      </c>
      <c r="G228" t="s">
        <v>2019</v>
      </c>
      <c r="H228" t="s">
        <v>2025</v>
      </c>
      <c r="I228" t="s">
        <v>2254</v>
      </c>
      <c r="J228" t="s">
        <v>4032</v>
      </c>
      <c r="K228" t="s">
        <v>4043</v>
      </c>
      <c r="L228">
        <v>-103.53</v>
      </c>
    </row>
    <row r="229" spans="1:12">
      <c r="A229" t="s">
        <v>239</v>
      </c>
      <c r="B229" s="2">
        <v>45779</v>
      </c>
      <c r="C229">
        <v>4010</v>
      </c>
      <c r="D229" t="s">
        <v>2016</v>
      </c>
      <c r="E229">
        <v>0</v>
      </c>
      <c r="F229">
        <v>4048.34</v>
      </c>
      <c r="G229" t="s">
        <v>2021</v>
      </c>
      <c r="H229" t="s">
        <v>2024</v>
      </c>
      <c r="I229" t="s">
        <v>2255</v>
      </c>
      <c r="J229" t="s">
        <v>4028</v>
      </c>
      <c r="K229" t="s">
        <v>4038</v>
      </c>
      <c r="L229">
        <v>4048.34</v>
      </c>
    </row>
    <row r="230" spans="1:12">
      <c r="A230" t="s">
        <v>240</v>
      </c>
      <c r="B230" s="2">
        <v>45822</v>
      </c>
      <c r="C230">
        <v>5010</v>
      </c>
      <c r="D230" t="s">
        <v>2015</v>
      </c>
      <c r="E230">
        <v>581.82000000000005</v>
      </c>
      <c r="F230">
        <v>0</v>
      </c>
      <c r="G230" t="s">
        <v>2020</v>
      </c>
      <c r="H230" t="s">
        <v>2026</v>
      </c>
      <c r="I230" t="s">
        <v>2256</v>
      </c>
      <c r="J230" t="s">
        <v>4031</v>
      </c>
      <c r="K230" t="s">
        <v>4052</v>
      </c>
      <c r="L230">
        <v>-581.82000000000005</v>
      </c>
    </row>
    <row r="231" spans="1:12">
      <c r="A231" t="s">
        <v>241</v>
      </c>
      <c r="B231" s="2">
        <v>45148</v>
      </c>
      <c r="C231">
        <v>6000</v>
      </c>
      <c r="D231" t="s">
        <v>2014</v>
      </c>
      <c r="E231">
        <v>539.15</v>
      </c>
      <c r="F231">
        <v>0</v>
      </c>
      <c r="G231" t="s">
        <v>2019</v>
      </c>
      <c r="H231" t="s">
        <v>2023</v>
      </c>
      <c r="I231" t="s">
        <v>2257</v>
      </c>
      <c r="J231" t="s">
        <v>4031</v>
      </c>
      <c r="K231" t="s">
        <v>4037</v>
      </c>
      <c r="L231">
        <v>-539.15</v>
      </c>
    </row>
    <row r="232" spans="1:12">
      <c r="A232" t="s">
        <v>242</v>
      </c>
      <c r="B232" s="2">
        <v>45704</v>
      </c>
      <c r="C232">
        <v>4000</v>
      </c>
      <c r="D232" t="s">
        <v>2012</v>
      </c>
      <c r="E232">
        <v>0</v>
      </c>
      <c r="F232">
        <v>2862.93</v>
      </c>
      <c r="G232" t="s">
        <v>2018</v>
      </c>
      <c r="H232" t="s">
        <v>2023</v>
      </c>
      <c r="I232" t="s">
        <v>2258</v>
      </c>
      <c r="J232" t="s">
        <v>4029</v>
      </c>
      <c r="K232" t="s">
        <v>4061</v>
      </c>
      <c r="L232">
        <v>2862.93</v>
      </c>
    </row>
    <row r="233" spans="1:12">
      <c r="A233" t="s">
        <v>243</v>
      </c>
      <c r="B233" s="2">
        <v>45294</v>
      </c>
      <c r="C233">
        <v>4010</v>
      </c>
      <c r="D233" t="s">
        <v>2016</v>
      </c>
      <c r="E233">
        <v>0</v>
      </c>
      <c r="F233">
        <v>3938.51</v>
      </c>
      <c r="G233" t="s">
        <v>2020</v>
      </c>
      <c r="H233" t="s">
        <v>2026</v>
      </c>
      <c r="I233" t="s">
        <v>2259</v>
      </c>
      <c r="J233" t="s">
        <v>4028</v>
      </c>
      <c r="K233" t="s">
        <v>4053</v>
      </c>
      <c r="L233">
        <v>3938.51</v>
      </c>
    </row>
    <row r="234" spans="1:12">
      <c r="A234" t="s">
        <v>244</v>
      </c>
      <c r="B234" s="2">
        <v>45150</v>
      </c>
      <c r="C234">
        <v>5010</v>
      </c>
      <c r="D234" t="s">
        <v>2015</v>
      </c>
      <c r="E234">
        <v>871.28</v>
      </c>
      <c r="F234">
        <v>0</v>
      </c>
      <c r="G234" t="s">
        <v>2019</v>
      </c>
      <c r="H234" t="s">
        <v>2024</v>
      </c>
      <c r="I234" t="s">
        <v>2260</v>
      </c>
      <c r="J234" t="s">
        <v>4032</v>
      </c>
      <c r="K234" t="s">
        <v>4037</v>
      </c>
      <c r="L234">
        <v>-871.28</v>
      </c>
    </row>
    <row r="235" spans="1:12">
      <c r="A235" t="s">
        <v>245</v>
      </c>
      <c r="B235" s="2">
        <v>45121</v>
      </c>
      <c r="C235">
        <v>5000</v>
      </c>
      <c r="D235" t="s">
        <v>2013</v>
      </c>
      <c r="E235">
        <v>1527.74</v>
      </c>
      <c r="F235">
        <v>0</v>
      </c>
      <c r="G235" t="s">
        <v>2022</v>
      </c>
      <c r="H235" t="s">
        <v>2023</v>
      </c>
      <c r="I235" t="s">
        <v>2261</v>
      </c>
      <c r="J235" t="s">
        <v>4028</v>
      </c>
      <c r="K235" t="s">
        <v>4050</v>
      </c>
      <c r="L235">
        <v>-1527.74</v>
      </c>
    </row>
    <row r="236" spans="1:12">
      <c r="A236" t="s">
        <v>246</v>
      </c>
      <c r="B236" s="2">
        <v>45275</v>
      </c>
      <c r="C236">
        <v>4000</v>
      </c>
      <c r="D236" t="s">
        <v>2012</v>
      </c>
      <c r="E236">
        <v>0</v>
      </c>
      <c r="F236">
        <v>1075.51</v>
      </c>
      <c r="G236" t="s">
        <v>2019</v>
      </c>
      <c r="H236" t="s">
        <v>2027</v>
      </c>
      <c r="I236" t="s">
        <v>2262</v>
      </c>
      <c r="J236" t="s">
        <v>4031</v>
      </c>
      <c r="K236" t="s">
        <v>4039</v>
      </c>
      <c r="L236">
        <v>1075.51</v>
      </c>
    </row>
    <row r="237" spans="1:12">
      <c r="A237" t="s">
        <v>247</v>
      </c>
      <c r="B237" s="2">
        <v>45397</v>
      </c>
      <c r="C237">
        <v>4000</v>
      </c>
      <c r="D237" t="s">
        <v>2012</v>
      </c>
      <c r="E237">
        <v>0</v>
      </c>
      <c r="F237">
        <v>2361.1799999999998</v>
      </c>
      <c r="G237" t="s">
        <v>2019</v>
      </c>
      <c r="H237" t="s">
        <v>2027</v>
      </c>
      <c r="I237" t="s">
        <v>2263</v>
      </c>
      <c r="J237" t="s">
        <v>4031</v>
      </c>
      <c r="K237" t="s">
        <v>4040</v>
      </c>
      <c r="L237">
        <v>2361.1799999999998</v>
      </c>
    </row>
    <row r="238" spans="1:12">
      <c r="A238" t="s">
        <v>248</v>
      </c>
      <c r="B238" s="2">
        <v>45586</v>
      </c>
      <c r="C238">
        <v>5010</v>
      </c>
      <c r="D238" t="s">
        <v>2015</v>
      </c>
      <c r="E238">
        <v>151.34</v>
      </c>
      <c r="F238">
        <v>0</v>
      </c>
      <c r="G238" t="s">
        <v>2020</v>
      </c>
      <c r="H238" t="s">
        <v>2023</v>
      </c>
      <c r="I238" t="s">
        <v>2264</v>
      </c>
      <c r="J238" t="s">
        <v>4030</v>
      </c>
      <c r="K238" t="s">
        <v>4059</v>
      </c>
      <c r="L238">
        <v>-151.34</v>
      </c>
    </row>
    <row r="239" spans="1:12">
      <c r="A239" t="s">
        <v>249</v>
      </c>
      <c r="B239" s="2">
        <v>44950</v>
      </c>
      <c r="C239">
        <v>4010</v>
      </c>
      <c r="D239" t="s">
        <v>2016</v>
      </c>
      <c r="E239">
        <v>0</v>
      </c>
      <c r="F239">
        <v>1299.3699999999999</v>
      </c>
      <c r="G239" t="s">
        <v>2020</v>
      </c>
      <c r="H239" t="s">
        <v>2024</v>
      </c>
      <c r="I239" t="s">
        <v>2265</v>
      </c>
      <c r="J239" t="s">
        <v>4031</v>
      </c>
      <c r="K239" t="s">
        <v>4047</v>
      </c>
      <c r="L239">
        <v>1299.3699999999999</v>
      </c>
    </row>
    <row r="240" spans="1:12">
      <c r="A240" t="s">
        <v>250</v>
      </c>
      <c r="B240" s="2">
        <v>45534</v>
      </c>
      <c r="C240">
        <v>5000</v>
      </c>
      <c r="D240" t="s">
        <v>2013</v>
      </c>
      <c r="E240">
        <v>118.21</v>
      </c>
      <c r="F240">
        <v>0</v>
      </c>
      <c r="G240" t="s">
        <v>2019</v>
      </c>
      <c r="H240" t="s">
        <v>2024</v>
      </c>
      <c r="I240" t="s">
        <v>2266</v>
      </c>
      <c r="J240" t="s">
        <v>4029</v>
      </c>
      <c r="K240" t="s">
        <v>4058</v>
      </c>
      <c r="L240">
        <v>-118.21</v>
      </c>
    </row>
    <row r="241" spans="1:12">
      <c r="A241" t="s">
        <v>251</v>
      </c>
      <c r="B241" s="2">
        <v>45113</v>
      </c>
      <c r="C241">
        <v>4000</v>
      </c>
      <c r="D241" t="s">
        <v>2012</v>
      </c>
      <c r="E241">
        <v>0</v>
      </c>
      <c r="F241">
        <v>4864.04</v>
      </c>
      <c r="G241" t="s">
        <v>2018</v>
      </c>
      <c r="H241" t="s">
        <v>2023</v>
      </c>
      <c r="I241" t="s">
        <v>2267</v>
      </c>
      <c r="J241" t="s">
        <v>4028</v>
      </c>
      <c r="K241" t="s">
        <v>4050</v>
      </c>
      <c r="L241">
        <v>4864.04</v>
      </c>
    </row>
    <row r="242" spans="1:12">
      <c r="A242" t="s">
        <v>252</v>
      </c>
      <c r="B242" s="2">
        <v>45712</v>
      </c>
      <c r="C242">
        <v>4000</v>
      </c>
      <c r="D242" t="s">
        <v>2012</v>
      </c>
      <c r="E242">
        <v>0</v>
      </c>
      <c r="F242">
        <v>4495.32</v>
      </c>
      <c r="G242" t="s">
        <v>2021</v>
      </c>
      <c r="H242" t="s">
        <v>2026</v>
      </c>
      <c r="I242" t="s">
        <v>2268</v>
      </c>
      <c r="J242" t="s">
        <v>4028</v>
      </c>
      <c r="K242" t="s">
        <v>4061</v>
      </c>
      <c r="L242">
        <v>4495.32</v>
      </c>
    </row>
    <row r="243" spans="1:12">
      <c r="A243" t="s">
        <v>253</v>
      </c>
      <c r="B243" s="2">
        <v>45011</v>
      </c>
      <c r="C243">
        <v>6000</v>
      </c>
      <c r="D243" t="s">
        <v>2014</v>
      </c>
      <c r="E243">
        <v>1121.29</v>
      </c>
      <c r="F243">
        <v>0</v>
      </c>
      <c r="G243" t="s">
        <v>2019</v>
      </c>
      <c r="H243" t="s">
        <v>2027</v>
      </c>
      <c r="I243" t="s">
        <v>2269</v>
      </c>
      <c r="J243" t="s">
        <v>4029</v>
      </c>
      <c r="K243" t="s">
        <v>4051</v>
      </c>
      <c r="L243">
        <v>-1121.29</v>
      </c>
    </row>
    <row r="244" spans="1:12">
      <c r="A244" t="s">
        <v>254</v>
      </c>
      <c r="B244" s="2">
        <v>44940</v>
      </c>
      <c r="C244">
        <v>6000</v>
      </c>
      <c r="D244" t="s">
        <v>2014</v>
      </c>
      <c r="E244">
        <v>908.7</v>
      </c>
      <c r="F244">
        <v>0</v>
      </c>
      <c r="G244" t="s">
        <v>2018</v>
      </c>
      <c r="H244" t="s">
        <v>2027</v>
      </c>
      <c r="I244" t="s">
        <v>2270</v>
      </c>
      <c r="J244" t="s">
        <v>4029</v>
      </c>
      <c r="K244" t="s">
        <v>4047</v>
      </c>
      <c r="L244">
        <v>-908.7</v>
      </c>
    </row>
    <row r="245" spans="1:12">
      <c r="A245" t="s">
        <v>255</v>
      </c>
      <c r="B245" s="2">
        <v>45060</v>
      </c>
      <c r="C245">
        <v>4010</v>
      </c>
      <c r="D245" t="s">
        <v>2016</v>
      </c>
      <c r="E245">
        <v>0</v>
      </c>
      <c r="F245">
        <v>3760.55</v>
      </c>
      <c r="G245" t="s">
        <v>2019</v>
      </c>
      <c r="H245" t="s">
        <v>2024</v>
      </c>
      <c r="I245" t="s">
        <v>2271</v>
      </c>
      <c r="J245" t="s">
        <v>4030</v>
      </c>
      <c r="K245" t="s">
        <v>4062</v>
      </c>
      <c r="L245">
        <v>3760.55</v>
      </c>
    </row>
    <row r="246" spans="1:12">
      <c r="A246" t="s">
        <v>256</v>
      </c>
      <c r="B246" s="2">
        <v>45725</v>
      </c>
      <c r="C246">
        <v>5000</v>
      </c>
      <c r="D246" t="s">
        <v>2013</v>
      </c>
      <c r="E246">
        <v>86.6</v>
      </c>
      <c r="F246">
        <v>0</v>
      </c>
      <c r="G246" t="s">
        <v>2017</v>
      </c>
      <c r="H246" t="s">
        <v>2024</v>
      </c>
      <c r="I246" t="s">
        <v>2272</v>
      </c>
      <c r="J246" t="s">
        <v>4028</v>
      </c>
      <c r="K246" t="s">
        <v>4046</v>
      </c>
      <c r="L246">
        <v>-86.6</v>
      </c>
    </row>
    <row r="247" spans="1:12">
      <c r="A247" t="s">
        <v>257</v>
      </c>
      <c r="B247" s="2">
        <v>45495</v>
      </c>
      <c r="C247">
        <v>4010</v>
      </c>
      <c r="D247" t="s">
        <v>2016</v>
      </c>
      <c r="E247">
        <v>0</v>
      </c>
      <c r="F247">
        <v>4264.16</v>
      </c>
      <c r="G247" t="s">
        <v>2018</v>
      </c>
      <c r="H247" t="s">
        <v>2024</v>
      </c>
      <c r="I247" t="s">
        <v>2273</v>
      </c>
      <c r="J247" t="s">
        <v>4028</v>
      </c>
      <c r="K247" t="s">
        <v>4054</v>
      </c>
      <c r="L247">
        <v>4264.16</v>
      </c>
    </row>
    <row r="248" spans="1:12">
      <c r="A248" t="s">
        <v>258</v>
      </c>
      <c r="B248" s="2">
        <v>45234</v>
      </c>
      <c r="C248">
        <v>4010</v>
      </c>
      <c r="D248" t="s">
        <v>2016</v>
      </c>
      <c r="E248">
        <v>0</v>
      </c>
      <c r="F248">
        <v>4005.6</v>
      </c>
      <c r="G248" t="s">
        <v>2017</v>
      </c>
      <c r="H248" t="s">
        <v>2026</v>
      </c>
      <c r="I248" t="s">
        <v>2274</v>
      </c>
      <c r="J248" t="s">
        <v>4031</v>
      </c>
      <c r="K248" t="s">
        <v>4042</v>
      </c>
      <c r="L248">
        <v>4005.6</v>
      </c>
    </row>
    <row r="249" spans="1:12">
      <c r="A249" t="s">
        <v>259</v>
      </c>
      <c r="B249" s="2">
        <v>45824</v>
      </c>
      <c r="C249">
        <v>5000</v>
      </c>
      <c r="D249" t="s">
        <v>2013</v>
      </c>
      <c r="E249">
        <v>736.75</v>
      </c>
      <c r="F249">
        <v>0</v>
      </c>
      <c r="G249" t="s">
        <v>2020</v>
      </c>
      <c r="H249" t="s">
        <v>2026</v>
      </c>
      <c r="I249" t="s">
        <v>2275</v>
      </c>
      <c r="J249" t="s">
        <v>4029</v>
      </c>
      <c r="K249" t="s">
        <v>4052</v>
      </c>
      <c r="L249">
        <v>-736.75</v>
      </c>
    </row>
    <row r="250" spans="1:12">
      <c r="A250" t="s">
        <v>260</v>
      </c>
      <c r="B250" s="2">
        <v>45455</v>
      </c>
      <c r="C250">
        <v>4010</v>
      </c>
      <c r="D250" t="s">
        <v>2016</v>
      </c>
      <c r="E250">
        <v>0</v>
      </c>
      <c r="F250">
        <v>4679.5</v>
      </c>
      <c r="G250" t="s">
        <v>2018</v>
      </c>
      <c r="H250" t="s">
        <v>2023</v>
      </c>
      <c r="I250" t="s">
        <v>2276</v>
      </c>
      <c r="J250" t="s">
        <v>4030</v>
      </c>
      <c r="K250" t="s">
        <v>4034</v>
      </c>
      <c r="L250">
        <v>4679.5</v>
      </c>
    </row>
    <row r="251" spans="1:12">
      <c r="A251" t="s">
        <v>261</v>
      </c>
      <c r="B251" s="2">
        <v>45743</v>
      </c>
      <c r="C251">
        <v>5010</v>
      </c>
      <c r="D251" t="s">
        <v>2015</v>
      </c>
      <c r="E251">
        <v>1226.52</v>
      </c>
      <c r="F251">
        <v>0</v>
      </c>
      <c r="G251" t="s">
        <v>2022</v>
      </c>
      <c r="H251" t="s">
        <v>2026</v>
      </c>
      <c r="I251" t="s">
        <v>2277</v>
      </c>
      <c r="J251" t="s">
        <v>4031</v>
      </c>
      <c r="K251" t="s">
        <v>4046</v>
      </c>
      <c r="L251">
        <v>-1226.52</v>
      </c>
    </row>
    <row r="252" spans="1:12">
      <c r="A252" t="s">
        <v>262</v>
      </c>
      <c r="B252" s="2">
        <v>45475</v>
      </c>
      <c r="C252">
        <v>4000</v>
      </c>
      <c r="D252" t="s">
        <v>2012</v>
      </c>
      <c r="E252">
        <v>0</v>
      </c>
      <c r="F252">
        <v>2655.25</v>
      </c>
      <c r="G252" t="s">
        <v>2018</v>
      </c>
      <c r="H252" t="s">
        <v>2023</v>
      </c>
      <c r="I252" t="s">
        <v>2278</v>
      </c>
      <c r="J252" t="s">
        <v>4031</v>
      </c>
      <c r="K252" t="s">
        <v>4054</v>
      </c>
      <c r="L252">
        <v>2655.25</v>
      </c>
    </row>
    <row r="253" spans="1:12">
      <c r="A253" t="s">
        <v>263</v>
      </c>
      <c r="B253" s="2">
        <v>45115</v>
      </c>
      <c r="C253">
        <v>4000</v>
      </c>
      <c r="D253" t="s">
        <v>2012</v>
      </c>
      <c r="E253">
        <v>0</v>
      </c>
      <c r="F253">
        <v>889.23</v>
      </c>
      <c r="G253" t="s">
        <v>2019</v>
      </c>
      <c r="H253" t="s">
        <v>2025</v>
      </c>
      <c r="I253" t="s">
        <v>2279</v>
      </c>
      <c r="J253" t="s">
        <v>4032</v>
      </c>
      <c r="K253" t="s">
        <v>4050</v>
      </c>
      <c r="L253">
        <v>889.23</v>
      </c>
    </row>
    <row r="254" spans="1:12">
      <c r="A254" t="s">
        <v>264</v>
      </c>
      <c r="B254" s="2">
        <v>45451</v>
      </c>
      <c r="C254">
        <v>6000</v>
      </c>
      <c r="D254" t="s">
        <v>2014</v>
      </c>
      <c r="E254">
        <v>734.75</v>
      </c>
      <c r="F254">
        <v>0</v>
      </c>
      <c r="G254" t="s">
        <v>2020</v>
      </c>
      <c r="H254" t="s">
        <v>2026</v>
      </c>
      <c r="I254" t="s">
        <v>2280</v>
      </c>
      <c r="J254" t="s">
        <v>4028</v>
      </c>
      <c r="K254" t="s">
        <v>4034</v>
      </c>
      <c r="L254">
        <v>-734.75</v>
      </c>
    </row>
    <row r="255" spans="1:12">
      <c r="A255" t="s">
        <v>265</v>
      </c>
      <c r="B255" s="2">
        <v>45768</v>
      </c>
      <c r="C255">
        <v>6000</v>
      </c>
      <c r="D255" t="s">
        <v>2014</v>
      </c>
      <c r="E255">
        <v>1799.36</v>
      </c>
      <c r="F255">
        <v>0</v>
      </c>
      <c r="G255" t="s">
        <v>2021</v>
      </c>
      <c r="H255" t="s">
        <v>2025</v>
      </c>
      <c r="I255" t="s">
        <v>2281</v>
      </c>
      <c r="J255" t="s">
        <v>4032</v>
      </c>
      <c r="K255" t="s">
        <v>4045</v>
      </c>
      <c r="L255">
        <v>-1799.36</v>
      </c>
    </row>
    <row r="256" spans="1:12">
      <c r="A256" t="s">
        <v>266</v>
      </c>
      <c r="B256" s="2">
        <v>44948</v>
      </c>
      <c r="C256">
        <v>6000</v>
      </c>
      <c r="D256" t="s">
        <v>2014</v>
      </c>
      <c r="E256">
        <v>950.03</v>
      </c>
      <c r="F256">
        <v>0</v>
      </c>
      <c r="G256" t="s">
        <v>2020</v>
      </c>
      <c r="H256" t="s">
        <v>2026</v>
      </c>
      <c r="I256" t="s">
        <v>2282</v>
      </c>
      <c r="J256" t="s">
        <v>4029</v>
      </c>
      <c r="K256" t="s">
        <v>4047</v>
      </c>
      <c r="L256">
        <v>-950.03</v>
      </c>
    </row>
    <row r="257" spans="1:12">
      <c r="A257" t="s">
        <v>267</v>
      </c>
      <c r="B257" s="2">
        <v>45622</v>
      </c>
      <c r="C257">
        <v>4000</v>
      </c>
      <c r="D257" t="s">
        <v>2012</v>
      </c>
      <c r="E257">
        <v>0</v>
      </c>
      <c r="F257">
        <v>1523.43</v>
      </c>
      <c r="G257" t="s">
        <v>2021</v>
      </c>
      <c r="H257" t="s">
        <v>2023</v>
      </c>
      <c r="I257" t="s">
        <v>2283</v>
      </c>
      <c r="J257" t="s">
        <v>4028</v>
      </c>
      <c r="K257" t="s">
        <v>4043</v>
      </c>
      <c r="L257">
        <v>1523.43</v>
      </c>
    </row>
    <row r="258" spans="1:12">
      <c r="A258" t="s">
        <v>268</v>
      </c>
      <c r="B258" s="2">
        <v>45765</v>
      </c>
      <c r="C258">
        <v>4000</v>
      </c>
      <c r="D258" t="s">
        <v>2012</v>
      </c>
      <c r="E258">
        <v>0</v>
      </c>
      <c r="F258">
        <v>2725.09</v>
      </c>
      <c r="G258" t="s">
        <v>2021</v>
      </c>
      <c r="H258" t="s">
        <v>2023</v>
      </c>
      <c r="I258" t="s">
        <v>2284</v>
      </c>
      <c r="J258" t="s">
        <v>4028</v>
      </c>
      <c r="K258" t="s">
        <v>4045</v>
      </c>
      <c r="L258">
        <v>2725.09</v>
      </c>
    </row>
    <row r="259" spans="1:12">
      <c r="A259" t="s">
        <v>269</v>
      </c>
      <c r="B259" s="2">
        <v>45414</v>
      </c>
      <c r="C259">
        <v>6000</v>
      </c>
      <c r="D259" t="s">
        <v>2014</v>
      </c>
      <c r="E259">
        <v>1186.77</v>
      </c>
      <c r="F259">
        <v>0</v>
      </c>
      <c r="G259" t="s">
        <v>2018</v>
      </c>
      <c r="H259" t="s">
        <v>2026</v>
      </c>
      <c r="I259" t="s">
        <v>2285</v>
      </c>
      <c r="J259" t="s">
        <v>4031</v>
      </c>
      <c r="K259" t="s">
        <v>4033</v>
      </c>
      <c r="L259">
        <v>-1186.77</v>
      </c>
    </row>
    <row r="260" spans="1:12">
      <c r="A260" t="s">
        <v>270</v>
      </c>
      <c r="B260" s="2">
        <v>45356</v>
      </c>
      <c r="C260">
        <v>4010</v>
      </c>
      <c r="D260" t="s">
        <v>2016</v>
      </c>
      <c r="E260">
        <v>0</v>
      </c>
      <c r="F260">
        <v>3404.96</v>
      </c>
      <c r="G260" t="s">
        <v>2017</v>
      </c>
      <c r="H260" t="s">
        <v>2023</v>
      </c>
      <c r="I260" t="s">
        <v>2286</v>
      </c>
      <c r="J260" t="s">
        <v>4030</v>
      </c>
      <c r="K260" t="s">
        <v>4049</v>
      </c>
      <c r="L260">
        <v>3404.96</v>
      </c>
    </row>
    <row r="261" spans="1:12">
      <c r="A261" t="s">
        <v>271</v>
      </c>
      <c r="B261" s="2">
        <v>45081</v>
      </c>
      <c r="C261">
        <v>5010</v>
      </c>
      <c r="D261" t="s">
        <v>2015</v>
      </c>
      <c r="E261">
        <v>436.8</v>
      </c>
      <c r="F261">
        <v>0</v>
      </c>
      <c r="G261" t="s">
        <v>2018</v>
      </c>
      <c r="H261" t="s">
        <v>2026</v>
      </c>
      <c r="I261" t="s">
        <v>2287</v>
      </c>
      <c r="J261" t="s">
        <v>4030</v>
      </c>
      <c r="K261" t="s">
        <v>4055</v>
      </c>
      <c r="L261">
        <v>-436.8</v>
      </c>
    </row>
    <row r="262" spans="1:12">
      <c r="A262" t="s">
        <v>272</v>
      </c>
      <c r="B262" s="2">
        <v>45138</v>
      </c>
      <c r="C262">
        <v>5000</v>
      </c>
      <c r="D262" t="s">
        <v>2013</v>
      </c>
      <c r="E262">
        <v>1095.1300000000001</v>
      </c>
      <c r="F262">
        <v>0</v>
      </c>
      <c r="G262" t="s">
        <v>2018</v>
      </c>
      <c r="H262" t="s">
        <v>2027</v>
      </c>
      <c r="I262" t="s">
        <v>2288</v>
      </c>
      <c r="J262" t="s">
        <v>4028</v>
      </c>
      <c r="K262" t="s">
        <v>4050</v>
      </c>
      <c r="L262">
        <v>-1095.1300000000001</v>
      </c>
    </row>
    <row r="263" spans="1:12">
      <c r="A263" t="s">
        <v>273</v>
      </c>
      <c r="B263" s="2">
        <v>45348</v>
      </c>
      <c r="C263">
        <v>5010</v>
      </c>
      <c r="D263" t="s">
        <v>2015</v>
      </c>
      <c r="E263">
        <v>393.67</v>
      </c>
      <c r="F263">
        <v>0</v>
      </c>
      <c r="G263" t="s">
        <v>2020</v>
      </c>
      <c r="H263" t="s">
        <v>2025</v>
      </c>
      <c r="I263" t="s">
        <v>2289</v>
      </c>
      <c r="J263" t="s">
        <v>4030</v>
      </c>
      <c r="K263" t="s">
        <v>4044</v>
      </c>
      <c r="L263">
        <v>-393.67</v>
      </c>
    </row>
    <row r="264" spans="1:12">
      <c r="A264" t="s">
        <v>274</v>
      </c>
      <c r="B264" s="2">
        <v>45697</v>
      </c>
      <c r="C264">
        <v>4000</v>
      </c>
      <c r="D264" t="s">
        <v>2012</v>
      </c>
      <c r="E264">
        <v>0</v>
      </c>
      <c r="F264">
        <v>799.77</v>
      </c>
      <c r="G264" t="s">
        <v>2022</v>
      </c>
      <c r="H264" t="s">
        <v>2024</v>
      </c>
      <c r="I264" t="s">
        <v>2290</v>
      </c>
      <c r="J264" t="s">
        <v>4028</v>
      </c>
      <c r="K264" t="s">
        <v>4061</v>
      </c>
      <c r="L264">
        <v>799.77</v>
      </c>
    </row>
    <row r="265" spans="1:12">
      <c r="A265" t="s">
        <v>275</v>
      </c>
      <c r="B265" s="2">
        <v>45300</v>
      </c>
      <c r="C265">
        <v>4000</v>
      </c>
      <c r="D265" t="s">
        <v>2012</v>
      </c>
      <c r="E265">
        <v>0</v>
      </c>
      <c r="F265">
        <v>4354.13</v>
      </c>
      <c r="G265" t="s">
        <v>2020</v>
      </c>
      <c r="H265" t="s">
        <v>2025</v>
      </c>
      <c r="I265" t="s">
        <v>2291</v>
      </c>
      <c r="J265" t="s">
        <v>4029</v>
      </c>
      <c r="K265" t="s">
        <v>4053</v>
      </c>
      <c r="L265">
        <v>4354.13</v>
      </c>
    </row>
    <row r="266" spans="1:12">
      <c r="A266" t="s">
        <v>276</v>
      </c>
      <c r="B266" s="2">
        <v>45663</v>
      </c>
      <c r="C266">
        <v>5000</v>
      </c>
      <c r="D266" t="s">
        <v>2013</v>
      </c>
      <c r="E266">
        <v>1157.8</v>
      </c>
      <c r="F266">
        <v>0</v>
      </c>
      <c r="G266" t="s">
        <v>2017</v>
      </c>
      <c r="H266" t="s">
        <v>2023</v>
      </c>
      <c r="I266" t="s">
        <v>2292</v>
      </c>
      <c r="J266" t="s">
        <v>4032</v>
      </c>
      <c r="K266" t="s">
        <v>4035</v>
      </c>
      <c r="L266">
        <v>-1157.8</v>
      </c>
    </row>
    <row r="267" spans="1:12">
      <c r="A267" t="s">
        <v>277</v>
      </c>
      <c r="B267" s="2">
        <v>45220</v>
      </c>
      <c r="C267">
        <v>4000</v>
      </c>
      <c r="D267" t="s">
        <v>2012</v>
      </c>
      <c r="E267">
        <v>0</v>
      </c>
      <c r="F267">
        <v>2597.25</v>
      </c>
      <c r="G267" t="s">
        <v>2022</v>
      </c>
      <c r="H267" t="s">
        <v>2023</v>
      </c>
      <c r="I267" t="s">
        <v>2293</v>
      </c>
      <c r="J267" t="s">
        <v>4030</v>
      </c>
      <c r="K267" t="s">
        <v>4060</v>
      </c>
      <c r="L267">
        <v>2597.25</v>
      </c>
    </row>
    <row r="268" spans="1:12">
      <c r="A268" t="s">
        <v>278</v>
      </c>
      <c r="B268" s="2">
        <v>45804</v>
      </c>
      <c r="C268">
        <v>5000</v>
      </c>
      <c r="D268" t="s">
        <v>2013</v>
      </c>
      <c r="E268">
        <v>1343.21</v>
      </c>
      <c r="F268">
        <v>0</v>
      </c>
      <c r="G268" t="s">
        <v>2020</v>
      </c>
      <c r="H268" t="s">
        <v>2026</v>
      </c>
      <c r="I268" t="s">
        <v>2294</v>
      </c>
      <c r="J268" t="s">
        <v>4029</v>
      </c>
      <c r="K268" t="s">
        <v>4038</v>
      </c>
      <c r="L268">
        <v>-1343.21</v>
      </c>
    </row>
    <row r="269" spans="1:12">
      <c r="A269" t="s">
        <v>279</v>
      </c>
      <c r="B269" s="2">
        <v>45191</v>
      </c>
      <c r="C269">
        <v>5010</v>
      </c>
      <c r="D269" t="s">
        <v>2015</v>
      </c>
      <c r="E269">
        <v>1498.82</v>
      </c>
      <c r="F269">
        <v>0</v>
      </c>
      <c r="G269" t="s">
        <v>2018</v>
      </c>
      <c r="H269" t="s">
        <v>2027</v>
      </c>
      <c r="I269" t="s">
        <v>2295</v>
      </c>
      <c r="J269" t="s">
        <v>4029</v>
      </c>
      <c r="K269" t="s">
        <v>4036</v>
      </c>
      <c r="L269">
        <v>-1498.82</v>
      </c>
    </row>
    <row r="270" spans="1:12">
      <c r="A270" t="s">
        <v>280</v>
      </c>
      <c r="B270" s="2">
        <v>45338</v>
      </c>
      <c r="C270">
        <v>4000</v>
      </c>
      <c r="D270" t="s">
        <v>2012</v>
      </c>
      <c r="E270">
        <v>0</v>
      </c>
      <c r="F270">
        <v>4728.58</v>
      </c>
      <c r="G270" t="s">
        <v>2020</v>
      </c>
      <c r="H270" t="s">
        <v>2025</v>
      </c>
      <c r="I270" t="s">
        <v>2296</v>
      </c>
      <c r="J270" t="s">
        <v>4030</v>
      </c>
      <c r="K270" t="s">
        <v>4044</v>
      </c>
      <c r="L270">
        <v>4728.58</v>
      </c>
    </row>
    <row r="271" spans="1:12">
      <c r="A271" t="s">
        <v>281</v>
      </c>
      <c r="B271" s="2">
        <v>45332</v>
      </c>
      <c r="C271">
        <v>4010</v>
      </c>
      <c r="D271" t="s">
        <v>2016</v>
      </c>
      <c r="E271">
        <v>0</v>
      </c>
      <c r="F271">
        <v>3612.83</v>
      </c>
      <c r="G271" t="s">
        <v>2022</v>
      </c>
      <c r="H271" t="s">
        <v>2027</v>
      </c>
      <c r="I271" t="s">
        <v>2297</v>
      </c>
      <c r="J271" t="s">
        <v>4029</v>
      </c>
      <c r="K271" t="s">
        <v>4044</v>
      </c>
      <c r="L271">
        <v>3612.83</v>
      </c>
    </row>
    <row r="272" spans="1:12">
      <c r="A272" t="s">
        <v>282</v>
      </c>
      <c r="B272" s="2">
        <v>45091</v>
      </c>
      <c r="C272">
        <v>4010</v>
      </c>
      <c r="D272" t="s">
        <v>2016</v>
      </c>
      <c r="E272">
        <v>0</v>
      </c>
      <c r="F272">
        <v>4506.28</v>
      </c>
      <c r="G272" t="s">
        <v>2020</v>
      </c>
      <c r="H272" t="s">
        <v>2024</v>
      </c>
      <c r="I272" t="s">
        <v>2298</v>
      </c>
      <c r="J272" t="s">
        <v>4029</v>
      </c>
      <c r="K272" t="s">
        <v>4055</v>
      </c>
      <c r="L272">
        <v>4506.28</v>
      </c>
    </row>
    <row r="273" spans="1:12">
      <c r="A273" t="s">
        <v>283</v>
      </c>
      <c r="B273" s="2">
        <v>45254</v>
      </c>
      <c r="C273">
        <v>5010</v>
      </c>
      <c r="D273" t="s">
        <v>2015</v>
      </c>
      <c r="E273">
        <v>1000.3</v>
      </c>
      <c r="F273">
        <v>0</v>
      </c>
      <c r="G273" t="s">
        <v>2022</v>
      </c>
      <c r="H273" t="s">
        <v>2027</v>
      </c>
      <c r="I273" t="s">
        <v>2299</v>
      </c>
      <c r="J273" t="s">
        <v>4032</v>
      </c>
      <c r="K273" t="s">
        <v>4042</v>
      </c>
      <c r="L273">
        <v>-1000.3</v>
      </c>
    </row>
    <row r="274" spans="1:12">
      <c r="A274" t="s">
        <v>284</v>
      </c>
      <c r="B274" s="2">
        <v>45145</v>
      </c>
      <c r="C274">
        <v>5000</v>
      </c>
      <c r="D274" t="s">
        <v>2013</v>
      </c>
      <c r="E274">
        <v>991.08</v>
      </c>
      <c r="F274">
        <v>0</v>
      </c>
      <c r="G274" t="s">
        <v>2021</v>
      </c>
      <c r="H274" t="s">
        <v>2024</v>
      </c>
      <c r="I274" t="s">
        <v>2300</v>
      </c>
      <c r="J274" t="s">
        <v>4032</v>
      </c>
      <c r="K274" t="s">
        <v>4037</v>
      </c>
      <c r="L274">
        <v>-991.08</v>
      </c>
    </row>
    <row r="275" spans="1:12">
      <c r="A275" t="s">
        <v>285</v>
      </c>
      <c r="B275" s="2">
        <v>45389</v>
      </c>
      <c r="C275">
        <v>5000</v>
      </c>
      <c r="D275" t="s">
        <v>2013</v>
      </c>
      <c r="E275">
        <v>1499.52</v>
      </c>
      <c r="F275">
        <v>0</v>
      </c>
      <c r="G275" t="s">
        <v>2021</v>
      </c>
      <c r="H275" t="s">
        <v>2023</v>
      </c>
      <c r="I275" t="s">
        <v>2301</v>
      </c>
      <c r="J275" t="s">
        <v>4030</v>
      </c>
      <c r="K275" t="s">
        <v>4040</v>
      </c>
      <c r="L275">
        <v>-1499.52</v>
      </c>
    </row>
    <row r="276" spans="1:12">
      <c r="A276" t="s">
        <v>286</v>
      </c>
      <c r="B276" s="2">
        <v>45052</v>
      </c>
      <c r="C276">
        <v>4010</v>
      </c>
      <c r="D276" t="s">
        <v>2016</v>
      </c>
      <c r="E276">
        <v>0</v>
      </c>
      <c r="F276">
        <v>1203.8</v>
      </c>
      <c r="G276" t="s">
        <v>2021</v>
      </c>
      <c r="H276" t="s">
        <v>2023</v>
      </c>
      <c r="I276" t="s">
        <v>2302</v>
      </c>
      <c r="J276" t="s">
        <v>4028</v>
      </c>
      <c r="K276" t="s">
        <v>4062</v>
      </c>
      <c r="L276">
        <v>1203.8</v>
      </c>
    </row>
    <row r="277" spans="1:12">
      <c r="A277" t="s">
        <v>287</v>
      </c>
      <c r="B277" s="2">
        <v>45316</v>
      </c>
      <c r="C277">
        <v>4000</v>
      </c>
      <c r="D277" t="s">
        <v>2012</v>
      </c>
      <c r="E277">
        <v>0</v>
      </c>
      <c r="F277">
        <v>656.25</v>
      </c>
      <c r="G277" t="s">
        <v>2020</v>
      </c>
      <c r="H277" t="s">
        <v>2026</v>
      </c>
      <c r="I277" t="s">
        <v>2303</v>
      </c>
      <c r="J277" t="s">
        <v>4030</v>
      </c>
      <c r="K277" t="s">
        <v>4053</v>
      </c>
      <c r="L277">
        <v>656.25</v>
      </c>
    </row>
    <row r="278" spans="1:12">
      <c r="A278" t="s">
        <v>288</v>
      </c>
      <c r="B278" s="2">
        <v>45694</v>
      </c>
      <c r="C278">
        <v>5000</v>
      </c>
      <c r="D278" t="s">
        <v>2013</v>
      </c>
      <c r="E278">
        <v>620.29999999999995</v>
      </c>
      <c r="F278">
        <v>0</v>
      </c>
      <c r="G278" t="s">
        <v>2018</v>
      </c>
      <c r="H278" t="s">
        <v>2027</v>
      </c>
      <c r="I278" t="s">
        <v>2304</v>
      </c>
      <c r="J278" t="s">
        <v>4032</v>
      </c>
      <c r="K278" t="s">
        <v>4061</v>
      </c>
      <c r="L278">
        <v>-620.29999999999995</v>
      </c>
    </row>
    <row r="279" spans="1:12">
      <c r="A279" t="s">
        <v>289</v>
      </c>
      <c r="B279" s="2">
        <v>45775</v>
      </c>
      <c r="C279">
        <v>6000</v>
      </c>
      <c r="D279" t="s">
        <v>2014</v>
      </c>
      <c r="E279">
        <v>85.24</v>
      </c>
      <c r="F279">
        <v>0</v>
      </c>
      <c r="G279" t="s">
        <v>2021</v>
      </c>
      <c r="H279" t="s">
        <v>2026</v>
      </c>
      <c r="I279" t="s">
        <v>2305</v>
      </c>
      <c r="J279" t="s">
        <v>4032</v>
      </c>
      <c r="K279" t="s">
        <v>4045</v>
      </c>
      <c r="L279">
        <v>-85.24</v>
      </c>
    </row>
    <row r="280" spans="1:12">
      <c r="A280" t="s">
        <v>290</v>
      </c>
      <c r="B280" s="2">
        <v>45174</v>
      </c>
      <c r="C280">
        <v>5010</v>
      </c>
      <c r="D280" t="s">
        <v>2015</v>
      </c>
      <c r="E280">
        <v>628.62</v>
      </c>
      <c r="F280">
        <v>0</v>
      </c>
      <c r="G280" t="s">
        <v>2018</v>
      </c>
      <c r="H280" t="s">
        <v>2026</v>
      </c>
      <c r="I280" t="s">
        <v>2306</v>
      </c>
      <c r="J280" t="s">
        <v>4030</v>
      </c>
      <c r="K280" t="s">
        <v>4036</v>
      </c>
      <c r="L280">
        <v>-628.62</v>
      </c>
    </row>
    <row r="281" spans="1:12">
      <c r="A281" t="s">
        <v>291</v>
      </c>
      <c r="B281" s="2">
        <v>45025</v>
      </c>
      <c r="C281">
        <v>4000</v>
      </c>
      <c r="D281" t="s">
        <v>2012</v>
      </c>
      <c r="E281">
        <v>0</v>
      </c>
      <c r="F281">
        <v>1358.19</v>
      </c>
      <c r="G281" t="s">
        <v>2020</v>
      </c>
      <c r="H281" t="s">
        <v>2025</v>
      </c>
      <c r="I281" t="s">
        <v>2307</v>
      </c>
      <c r="J281" t="s">
        <v>4028</v>
      </c>
      <c r="K281" t="s">
        <v>4041</v>
      </c>
      <c r="L281">
        <v>1358.19</v>
      </c>
    </row>
    <row r="282" spans="1:12">
      <c r="A282" t="s">
        <v>292</v>
      </c>
      <c r="B282" s="2">
        <v>45475</v>
      </c>
      <c r="C282">
        <v>4010</v>
      </c>
      <c r="D282" t="s">
        <v>2016</v>
      </c>
      <c r="E282">
        <v>0</v>
      </c>
      <c r="F282">
        <v>2329.64</v>
      </c>
      <c r="G282" t="s">
        <v>2021</v>
      </c>
      <c r="H282" t="s">
        <v>2025</v>
      </c>
      <c r="I282" t="s">
        <v>2308</v>
      </c>
      <c r="J282" t="s">
        <v>4031</v>
      </c>
      <c r="K282" t="s">
        <v>4054</v>
      </c>
      <c r="L282">
        <v>2329.64</v>
      </c>
    </row>
    <row r="283" spans="1:12">
      <c r="A283" t="s">
        <v>293</v>
      </c>
      <c r="B283" s="2">
        <v>45662</v>
      </c>
      <c r="C283">
        <v>6000</v>
      </c>
      <c r="D283" t="s">
        <v>2014</v>
      </c>
      <c r="E283">
        <v>1039.56</v>
      </c>
      <c r="F283">
        <v>0</v>
      </c>
      <c r="G283" t="s">
        <v>2017</v>
      </c>
      <c r="H283" t="s">
        <v>2026</v>
      </c>
      <c r="I283" t="s">
        <v>2309</v>
      </c>
      <c r="J283" t="s">
        <v>4032</v>
      </c>
      <c r="K283" t="s">
        <v>4035</v>
      </c>
      <c r="L283">
        <v>-1039.56</v>
      </c>
    </row>
    <row r="284" spans="1:12">
      <c r="A284" t="s">
        <v>294</v>
      </c>
      <c r="B284" s="2">
        <v>45000</v>
      </c>
      <c r="C284">
        <v>5010</v>
      </c>
      <c r="D284" t="s">
        <v>2015</v>
      </c>
      <c r="E284">
        <v>1441.17</v>
      </c>
      <c r="F284">
        <v>0</v>
      </c>
      <c r="G284" t="s">
        <v>2018</v>
      </c>
      <c r="H284" t="s">
        <v>2025</v>
      </c>
      <c r="I284" t="s">
        <v>2310</v>
      </c>
      <c r="J284" t="s">
        <v>4032</v>
      </c>
      <c r="K284" t="s">
        <v>4051</v>
      </c>
      <c r="L284">
        <v>-1441.17</v>
      </c>
    </row>
    <row r="285" spans="1:12">
      <c r="A285" t="s">
        <v>295</v>
      </c>
      <c r="B285" s="2">
        <v>45031</v>
      </c>
      <c r="C285">
        <v>4000</v>
      </c>
      <c r="D285" t="s">
        <v>2012</v>
      </c>
      <c r="E285">
        <v>0</v>
      </c>
      <c r="F285">
        <v>873.53</v>
      </c>
      <c r="G285" t="s">
        <v>2019</v>
      </c>
      <c r="H285" t="s">
        <v>2026</v>
      </c>
      <c r="I285" t="s">
        <v>2311</v>
      </c>
      <c r="J285" t="s">
        <v>4029</v>
      </c>
      <c r="K285" t="s">
        <v>4041</v>
      </c>
      <c r="L285">
        <v>873.53</v>
      </c>
    </row>
    <row r="286" spans="1:12">
      <c r="A286" t="s">
        <v>296</v>
      </c>
      <c r="B286" s="2">
        <v>45685</v>
      </c>
      <c r="C286">
        <v>4000</v>
      </c>
      <c r="D286" t="s">
        <v>2012</v>
      </c>
      <c r="E286">
        <v>0</v>
      </c>
      <c r="F286">
        <v>1932.35</v>
      </c>
      <c r="G286" t="s">
        <v>2017</v>
      </c>
      <c r="H286" t="s">
        <v>2025</v>
      </c>
      <c r="I286" t="s">
        <v>2312</v>
      </c>
      <c r="J286" t="s">
        <v>4030</v>
      </c>
      <c r="K286" t="s">
        <v>4035</v>
      </c>
      <c r="L286">
        <v>1932.35</v>
      </c>
    </row>
    <row r="287" spans="1:12">
      <c r="A287" t="s">
        <v>297</v>
      </c>
      <c r="B287" s="2">
        <v>45833</v>
      </c>
      <c r="C287">
        <v>5000</v>
      </c>
      <c r="D287" t="s">
        <v>2013</v>
      </c>
      <c r="E287">
        <v>1733.12</v>
      </c>
      <c r="F287">
        <v>0</v>
      </c>
      <c r="G287" t="s">
        <v>2017</v>
      </c>
      <c r="H287" t="s">
        <v>2023</v>
      </c>
      <c r="I287" t="s">
        <v>2313</v>
      </c>
      <c r="J287" t="s">
        <v>4032</v>
      </c>
      <c r="K287" t="s">
        <v>4052</v>
      </c>
      <c r="L287">
        <v>-1733.12</v>
      </c>
    </row>
    <row r="288" spans="1:12">
      <c r="A288" t="s">
        <v>298</v>
      </c>
      <c r="B288" s="2">
        <v>45622</v>
      </c>
      <c r="C288">
        <v>4000</v>
      </c>
      <c r="D288" t="s">
        <v>2012</v>
      </c>
      <c r="E288">
        <v>0</v>
      </c>
      <c r="F288">
        <v>3004.12</v>
      </c>
      <c r="G288" t="s">
        <v>2017</v>
      </c>
      <c r="H288" t="s">
        <v>2026</v>
      </c>
      <c r="I288" t="s">
        <v>2314</v>
      </c>
      <c r="J288" t="s">
        <v>4029</v>
      </c>
      <c r="K288" t="s">
        <v>4043</v>
      </c>
      <c r="L288">
        <v>3004.12</v>
      </c>
    </row>
    <row r="289" spans="1:12">
      <c r="A289" t="s">
        <v>299</v>
      </c>
      <c r="B289" s="2">
        <v>45383</v>
      </c>
      <c r="C289">
        <v>5010</v>
      </c>
      <c r="D289" t="s">
        <v>2015</v>
      </c>
      <c r="E289">
        <v>1521.85</v>
      </c>
      <c r="F289">
        <v>0</v>
      </c>
      <c r="G289" t="s">
        <v>2019</v>
      </c>
      <c r="H289" t="s">
        <v>2027</v>
      </c>
      <c r="I289" t="s">
        <v>2315</v>
      </c>
      <c r="J289" t="s">
        <v>4030</v>
      </c>
      <c r="K289" t="s">
        <v>4040</v>
      </c>
      <c r="L289">
        <v>-1521.85</v>
      </c>
    </row>
    <row r="290" spans="1:12">
      <c r="A290" t="s">
        <v>300</v>
      </c>
      <c r="B290" s="2">
        <v>45712</v>
      </c>
      <c r="C290">
        <v>5000</v>
      </c>
      <c r="D290" t="s">
        <v>2013</v>
      </c>
      <c r="E290">
        <v>1486.16</v>
      </c>
      <c r="F290">
        <v>0</v>
      </c>
      <c r="G290" t="s">
        <v>2020</v>
      </c>
      <c r="H290" t="s">
        <v>2023</v>
      </c>
      <c r="I290" t="s">
        <v>2316</v>
      </c>
      <c r="J290" t="s">
        <v>4030</v>
      </c>
      <c r="K290" t="s">
        <v>4061</v>
      </c>
      <c r="L290">
        <v>-1486.16</v>
      </c>
    </row>
    <row r="291" spans="1:12">
      <c r="A291" t="s">
        <v>301</v>
      </c>
      <c r="B291" s="2">
        <v>45777</v>
      </c>
      <c r="C291">
        <v>5000</v>
      </c>
      <c r="D291" t="s">
        <v>2013</v>
      </c>
      <c r="E291">
        <v>1308.19</v>
      </c>
      <c r="F291">
        <v>0</v>
      </c>
      <c r="G291" t="s">
        <v>2017</v>
      </c>
      <c r="H291" t="s">
        <v>2025</v>
      </c>
      <c r="I291" t="s">
        <v>2317</v>
      </c>
      <c r="J291" t="s">
        <v>4031</v>
      </c>
      <c r="K291" t="s">
        <v>4045</v>
      </c>
      <c r="L291">
        <v>-1308.19</v>
      </c>
    </row>
    <row r="292" spans="1:12">
      <c r="A292" t="s">
        <v>302</v>
      </c>
      <c r="B292" s="2">
        <v>45690</v>
      </c>
      <c r="C292">
        <v>5000</v>
      </c>
      <c r="D292" t="s">
        <v>2013</v>
      </c>
      <c r="E292">
        <v>1765.16</v>
      </c>
      <c r="F292">
        <v>0</v>
      </c>
      <c r="G292" t="s">
        <v>2020</v>
      </c>
      <c r="H292" t="s">
        <v>2026</v>
      </c>
      <c r="I292" t="s">
        <v>2318</v>
      </c>
      <c r="J292" t="s">
        <v>4030</v>
      </c>
      <c r="K292" t="s">
        <v>4061</v>
      </c>
      <c r="L292">
        <v>-1765.16</v>
      </c>
    </row>
    <row r="293" spans="1:12">
      <c r="A293" t="s">
        <v>303</v>
      </c>
      <c r="B293" s="2">
        <v>45422</v>
      </c>
      <c r="C293">
        <v>5010</v>
      </c>
      <c r="D293" t="s">
        <v>2015</v>
      </c>
      <c r="E293">
        <v>842.35</v>
      </c>
      <c r="F293">
        <v>0</v>
      </c>
      <c r="G293" t="s">
        <v>2020</v>
      </c>
      <c r="H293" t="s">
        <v>2026</v>
      </c>
      <c r="I293" t="s">
        <v>2319</v>
      </c>
      <c r="J293" t="s">
        <v>4031</v>
      </c>
      <c r="K293" t="s">
        <v>4033</v>
      </c>
      <c r="L293">
        <v>-842.35</v>
      </c>
    </row>
    <row r="294" spans="1:12">
      <c r="A294" t="s">
        <v>304</v>
      </c>
      <c r="B294" s="2">
        <v>45351</v>
      </c>
      <c r="C294">
        <v>5010</v>
      </c>
      <c r="D294" t="s">
        <v>2015</v>
      </c>
      <c r="E294">
        <v>788.28</v>
      </c>
      <c r="F294">
        <v>0</v>
      </c>
      <c r="G294" t="s">
        <v>2018</v>
      </c>
      <c r="H294" t="s">
        <v>2023</v>
      </c>
      <c r="I294" t="s">
        <v>2320</v>
      </c>
      <c r="J294" t="s">
        <v>4029</v>
      </c>
      <c r="K294" t="s">
        <v>4044</v>
      </c>
      <c r="L294">
        <v>-788.28</v>
      </c>
    </row>
    <row r="295" spans="1:12">
      <c r="A295" t="s">
        <v>305</v>
      </c>
      <c r="B295" s="2">
        <v>45535</v>
      </c>
      <c r="C295">
        <v>4000</v>
      </c>
      <c r="D295" t="s">
        <v>2012</v>
      </c>
      <c r="E295">
        <v>0</v>
      </c>
      <c r="F295">
        <v>239.94</v>
      </c>
      <c r="G295" t="s">
        <v>2021</v>
      </c>
      <c r="H295" t="s">
        <v>2026</v>
      </c>
      <c r="I295" t="s">
        <v>2321</v>
      </c>
      <c r="J295" t="s">
        <v>4029</v>
      </c>
      <c r="K295" t="s">
        <v>4058</v>
      </c>
      <c r="L295">
        <v>239.94</v>
      </c>
    </row>
    <row r="296" spans="1:12">
      <c r="A296" t="s">
        <v>306</v>
      </c>
      <c r="B296" s="2">
        <v>45679</v>
      </c>
      <c r="C296">
        <v>4000</v>
      </c>
      <c r="D296" t="s">
        <v>2012</v>
      </c>
      <c r="E296">
        <v>0</v>
      </c>
      <c r="F296">
        <v>4378.1899999999996</v>
      </c>
      <c r="G296" t="s">
        <v>2020</v>
      </c>
      <c r="H296" t="s">
        <v>2025</v>
      </c>
      <c r="I296" t="s">
        <v>2322</v>
      </c>
      <c r="J296" t="s">
        <v>4029</v>
      </c>
      <c r="K296" t="s">
        <v>4035</v>
      </c>
      <c r="L296">
        <v>4378.1899999999996</v>
      </c>
    </row>
    <row r="297" spans="1:12">
      <c r="A297" t="s">
        <v>307</v>
      </c>
      <c r="B297" s="2">
        <v>45268</v>
      </c>
      <c r="C297">
        <v>6000</v>
      </c>
      <c r="D297" t="s">
        <v>2014</v>
      </c>
      <c r="E297">
        <v>1116.99</v>
      </c>
      <c r="F297">
        <v>0</v>
      </c>
      <c r="G297" t="s">
        <v>2017</v>
      </c>
      <c r="H297" t="s">
        <v>2023</v>
      </c>
      <c r="I297" t="s">
        <v>2323</v>
      </c>
      <c r="J297" t="s">
        <v>4030</v>
      </c>
      <c r="K297" t="s">
        <v>4039</v>
      </c>
      <c r="L297">
        <v>-1116.99</v>
      </c>
    </row>
    <row r="298" spans="1:12">
      <c r="A298" t="s">
        <v>308</v>
      </c>
      <c r="B298" s="2">
        <v>45269</v>
      </c>
      <c r="C298">
        <v>5010</v>
      </c>
      <c r="D298" t="s">
        <v>2015</v>
      </c>
      <c r="E298">
        <v>1902.75</v>
      </c>
      <c r="F298">
        <v>0</v>
      </c>
      <c r="G298" t="s">
        <v>2021</v>
      </c>
      <c r="H298" t="s">
        <v>2025</v>
      </c>
      <c r="I298" t="s">
        <v>2324</v>
      </c>
      <c r="J298" t="s">
        <v>4028</v>
      </c>
      <c r="K298" t="s">
        <v>4039</v>
      </c>
      <c r="L298">
        <v>-1902.75</v>
      </c>
    </row>
    <row r="299" spans="1:12">
      <c r="A299" t="s">
        <v>309</v>
      </c>
      <c r="B299" s="2">
        <v>45625</v>
      </c>
      <c r="C299">
        <v>5010</v>
      </c>
      <c r="D299" t="s">
        <v>2015</v>
      </c>
      <c r="E299">
        <v>275.93</v>
      </c>
      <c r="F299">
        <v>0</v>
      </c>
      <c r="G299" t="s">
        <v>2018</v>
      </c>
      <c r="H299" t="s">
        <v>2024</v>
      </c>
      <c r="I299" t="s">
        <v>2325</v>
      </c>
      <c r="J299" t="s">
        <v>4031</v>
      </c>
      <c r="K299" t="s">
        <v>4043</v>
      </c>
      <c r="L299">
        <v>-275.93</v>
      </c>
    </row>
    <row r="300" spans="1:12">
      <c r="A300" t="s">
        <v>310</v>
      </c>
      <c r="B300" s="2">
        <v>45555</v>
      </c>
      <c r="C300">
        <v>6000</v>
      </c>
      <c r="D300" t="s">
        <v>2014</v>
      </c>
      <c r="E300">
        <v>1761.1</v>
      </c>
      <c r="F300">
        <v>0</v>
      </c>
      <c r="G300" t="s">
        <v>2020</v>
      </c>
      <c r="H300" t="s">
        <v>2025</v>
      </c>
      <c r="I300" t="s">
        <v>2326</v>
      </c>
      <c r="J300" t="s">
        <v>4030</v>
      </c>
      <c r="K300" t="s">
        <v>4048</v>
      </c>
      <c r="L300">
        <v>-1761.1</v>
      </c>
    </row>
    <row r="301" spans="1:12">
      <c r="A301" t="s">
        <v>311</v>
      </c>
      <c r="B301" s="2">
        <v>45308</v>
      </c>
      <c r="C301">
        <v>4010</v>
      </c>
      <c r="D301" t="s">
        <v>2016</v>
      </c>
      <c r="E301">
        <v>0</v>
      </c>
      <c r="F301">
        <v>4260.88</v>
      </c>
      <c r="G301" t="s">
        <v>2018</v>
      </c>
      <c r="H301" t="s">
        <v>2026</v>
      </c>
      <c r="I301" t="s">
        <v>2327</v>
      </c>
      <c r="J301" t="s">
        <v>4031</v>
      </c>
      <c r="K301" t="s">
        <v>4053</v>
      </c>
      <c r="L301">
        <v>4260.88</v>
      </c>
    </row>
    <row r="302" spans="1:12">
      <c r="A302" t="s">
        <v>312</v>
      </c>
      <c r="B302" s="2">
        <v>45209</v>
      </c>
      <c r="C302">
        <v>4000</v>
      </c>
      <c r="D302" t="s">
        <v>2012</v>
      </c>
      <c r="E302">
        <v>0</v>
      </c>
      <c r="F302">
        <v>1229.46</v>
      </c>
      <c r="G302" t="s">
        <v>2020</v>
      </c>
      <c r="H302" t="s">
        <v>2023</v>
      </c>
      <c r="I302" t="s">
        <v>2328</v>
      </c>
      <c r="J302" t="s">
        <v>4032</v>
      </c>
      <c r="K302" t="s">
        <v>4060</v>
      </c>
      <c r="L302">
        <v>1229.46</v>
      </c>
    </row>
    <row r="303" spans="1:12">
      <c r="A303" t="s">
        <v>313</v>
      </c>
      <c r="B303" s="2">
        <v>45608</v>
      </c>
      <c r="C303">
        <v>5000</v>
      </c>
      <c r="D303" t="s">
        <v>2013</v>
      </c>
      <c r="E303">
        <v>1804.04</v>
      </c>
      <c r="F303">
        <v>0</v>
      </c>
      <c r="G303" t="s">
        <v>2018</v>
      </c>
      <c r="H303" t="s">
        <v>2026</v>
      </c>
      <c r="I303" t="s">
        <v>2329</v>
      </c>
      <c r="J303" t="s">
        <v>4028</v>
      </c>
      <c r="K303" t="s">
        <v>4043</v>
      </c>
      <c r="L303">
        <v>-1804.04</v>
      </c>
    </row>
    <row r="304" spans="1:12">
      <c r="A304" t="s">
        <v>314</v>
      </c>
      <c r="B304" s="2">
        <v>45567</v>
      </c>
      <c r="C304">
        <v>5000</v>
      </c>
      <c r="D304" t="s">
        <v>2013</v>
      </c>
      <c r="E304">
        <v>1637.96</v>
      </c>
      <c r="F304">
        <v>0</v>
      </c>
      <c r="G304" t="s">
        <v>2018</v>
      </c>
      <c r="H304" t="s">
        <v>2023</v>
      </c>
      <c r="I304" t="s">
        <v>2330</v>
      </c>
      <c r="J304" t="s">
        <v>4030</v>
      </c>
      <c r="K304" t="s">
        <v>4059</v>
      </c>
      <c r="L304">
        <v>-1637.96</v>
      </c>
    </row>
    <row r="305" spans="1:12">
      <c r="A305" t="s">
        <v>315</v>
      </c>
      <c r="B305" s="2">
        <v>45504</v>
      </c>
      <c r="C305">
        <v>4000</v>
      </c>
      <c r="D305" t="s">
        <v>2012</v>
      </c>
      <c r="E305">
        <v>0</v>
      </c>
      <c r="F305">
        <v>1400.77</v>
      </c>
      <c r="G305" t="s">
        <v>2017</v>
      </c>
      <c r="H305" t="s">
        <v>2026</v>
      </c>
      <c r="I305" t="s">
        <v>2331</v>
      </c>
      <c r="J305" t="s">
        <v>4029</v>
      </c>
      <c r="K305" t="s">
        <v>4054</v>
      </c>
      <c r="L305">
        <v>1400.77</v>
      </c>
    </row>
    <row r="306" spans="1:12">
      <c r="A306" t="s">
        <v>316</v>
      </c>
      <c r="B306" s="2">
        <v>45729</v>
      </c>
      <c r="C306">
        <v>5010</v>
      </c>
      <c r="D306" t="s">
        <v>2015</v>
      </c>
      <c r="E306">
        <v>1010.88</v>
      </c>
      <c r="F306">
        <v>0</v>
      </c>
      <c r="G306" t="s">
        <v>2017</v>
      </c>
      <c r="H306" t="s">
        <v>2025</v>
      </c>
      <c r="I306" t="s">
        <v>2332</v>
      </c>
      <c r="J306" t="s">
        <v>4030</v>
      </c>
      <c r="K306" t="s">
        <v>4046</v>
      </c>
      <c r="L306">
        <v>-1010.88</v>
      </c>
    </row>
    <row r="307" spans="1:12">
      <c r="A307" t="s">
        <v>317</v>
      </c>
      <c r="B307" s="2">
        <v>45385</v>
      </c>
      <c r="C307">
        <v>4000</v>
      </c>
      <c r="D307" t="s">
        <v>2012</v>
      </c>
      <c r="E307">
        <v>0</v>
      </c>
      <c r="F307">
        <v>1059.18</v>
      </c>
      <c r="G307" t="s">
        <v>2019</v>
      </c>
      <c r="H307" t="s">
        <v>2025</v>
      </c>
      <c r="I307" t="s">
        <v>2333</v>
      </c>
      <c r="J307" t="s">
        <v>4031</v>
      </c>
      <c r="K307" t="s">
        <v>4040</v>
      </c>
      <c r="L307">
        <v>1059.18</v>
      </c>
    </row>
    <row r="308" spans="1:12">
      <c r="A308" t="s">
        <v>318</v>
      </c>
      <c r="B308" s="2">
        <v>45152</v>
      </c>
      <c r="C308">
        <v>4010</v>
      </c>
      <c r="D308" t="s">
        <v>2016</v>
      </c>
      <c r="E308">
        <v>0</v>
      </c>
      <c r="F308">
        <v>951.38</v>
      </c>
      <c r="G308" t="s">
        <v>2017</v>
      </c>
      <c r="H308" t="s">
        <v>2023</v>
      </c>
      <c r="I308" t="s">
        <v>2334</v>
      </c>
      <c r="J308" t="s">
        <v>4028</v>
      </c>
      <c r="K308" t="s">
        <v>4037</v>
      </c>
      <c r="L308">
        <v>951.38</v>
      </c>
    </row>
    <row r="309" spans="1:12">
      <c r="A309" t="s">
        <v>319</v>
      </c>
      <c r="B309" s="2">
        <v>44949</v>
      </c>
      <c r="C309">
        <v>4000</v>
      </c>
      <c r="D309" t="s">
        <v>2012</v>
      </c>
      <c r="E309">
        <v>0</v>
      </c>
      <c r="F309">
        <v>2648.82</v>
      </c>
      <c r="G309" t="s">
        <v>2022</v>
      </c>
      <c r="H309" t="s">
        <v>2026</v>
      </c>
      <c r="I309" t="s">
        <v>2335</v>
      </c>
      <c r="J309" t="s">
        <v>4028</v>
      </c>
      <c r="K309" t="s">
        <v>4047</v>
      </c>
      <c r="L309">
        <v>2648.82</v>
      </c>
    </row>
    <row r="310" spans="1:12">
      <c r="A310" t="s">
        <v>320</v>
      </c>
      <c r="B310" s="2">
        <v>44989</v>
      </c>
      <c r="C310">
        <v>4010</v>
      </c>
      <c r="D310" t="s">
        <v>2016</v>
      </c>
      <c r="E310">
        <v>0</v>
      </c>
      <c r="F310">
        <v>2008.6</v>
      </c>
      <c r="G310" t="s">
        <v>2021</v>
      </c>
      <c r="H310" t="s">
        <v>2025</v>
      </c>
      <c r="I310" t="s">
        <v>2336</v>
      </c>
      <c r="J310" t="s">
        <v>4031</v>
      </c>
      <c r="K310" t="s">
        <v>4051</v>
      </c>
      <c r="L310">
        <v>2008.6</v>
      </c>
    </row>
    <row r="311" spans="1:12">
      <c r="A311" t="s">
        <v>321</v>
      </c>
      <c r="B311" s="2">
        <v>45442</v>
      </c>
      <c r="C311">
        <v>6000</v>
      </c>
      <c r="D311" t="s">
        <v>2014</v>
      </c>
      <c r="E311">
        <v>1604.44</v>
      </c>
      <c r="F311">
        <v>0</v>
      </c>
      <c r="G311" t="s">
        <v>2019</v>
      </c>
      <c r="H311" t="s">
        <v>2023</v>
      </c>
      <c r="I311" t="s">
        <v>2337</v>
      </c>
      <c r="J311" t="s">
        <v>4032</v>
      </c>
      <c r="K311" t="s">
        <v>4033</v>
      </c>
      <c r="L311">
        <v>-1604.44</v>
      </c>
    </row>
    <row r="312" spans="1:12">
      <c r="A312" t="s">
        <v>322</v>
      </c>
      <c r="B312" s="2">
        <v>45566</v>
      </c>
      <c r="C312">
        <v>5010</v>
      </c>
      <c r="D312" t="s">
        <v>2015</v>
      </c>
      <c r="E312">
        <v>350.19</v>
      </c>
      <c r="F312">
        <v>0</v>
      </c>
      <c r="G312" t="s">
        <v>2021</v>
      </c>
      <c r="H312" t="s">
        <v>2023</v>
      </c>
      <c r="I312" t="s">
        <v>2338</v>
      </c>
      <c r="J312" t="s">
        <v>4028</v>
      </c>
      <c r="K312" t="s">
        <v>4059</v>
      </c>
      <c r="L312">
        <v>-350.19</v>
      </c>
    </row>
    <row r="313" spans="1:12">
      <c r="A313" t="s">
        <v>323</v>
      </c>
      <c r="B313" s="2">
        <v>45326</v>
      </c>
      <c r="C313">
        <v>5000</v>
      </c>
      <c r="D313" t="s">
        <v>2013</v>
      </c>
      <c r="E313">
        <v>547.95000000000005</v>
      </c>
      <c r="F313">
        <v>0</v>
      </c>
      <c r="G313" t="s">
        <v>2021</v>
      </c>
      <c r="H313" t="s">
        <v>2023</v>
      </c>
      <c r="I313" t="s">
        <v>2339</v>
      </c>
      <c r="J313" t="s">
        <v>4028</v>
      </c>
      <c r="K313" t="s">
        <v>4044</v>
      </c>
      <c r="L313">
        <v>-547.95000000000005</v>
      </c>
    </row>
    <row r="314" spans="1:12">
      <c r="A314" t="s">
        <v>324</v>
      </c>
      <c r="B314" s="2">
        <v>45796</v>
      </c>
      <c r="C314">
        <v>4000</v>
      </c>
      <c r="D314" t="s">
        <v>2012</v>
      </c>
      <c r="E314">
        <v>0</v>
      </c>
      <c r="F314">
        <v>561.46</v>
      </c>
      <c r="G314" t="s">
        <v>2021</v>
      </c>
      <c r="H314" t="s">
        <v>2027</v>
      </c>
      <c r="I314" t="s">
        <v>2340</v>
      </c>
      <c r="J314" t="s">
        <v>4028</v>
      </c>
      <c r="K314" t="s">
        <v>4038</v>
      </c>
      <c r="L314">
        <v>561.46</v>
      </c>
    </row>
    <row r="315" spans="1:12">
      <c r="A315" t="s">
        <v>325</v>
      </c>
      <c r="B315" s="2">
        <v>45150</v>
      </c>
      <c r="C315">
        <v>6000</v>
      </c>
      <c r="D315" t="s">
        <v>2014</v>
      </c>
      <c r="E315">
        <v>737.29</v>
      </c>
      <c r="F315">
        <v>0</v>
      </c>
      <c r="G315" t="s">
        <v>2017</v>
      </c>
      <c r="H315" t="s">
        <v>2027</v>
      </c>
      <c r="I315" t="s">
        <v>2341</v>
      </c>
      <c r="J315" t="s">
        <v>4030</v>
      </c>
      <c r="K315" t="s">
        <v>4037</v>
      </c>
      <c r="L315">
        <v>-737.29</v>
      </c>
    </row>
    <row r="316" spans="1:12">
      <c r="A316" t="s">
        <v>326</v>
      </c>
      <c r="B316" s="2">
        <v>45829</v>
      </c>
      <c r="C316">
        <v>4010</v>
      </c>
      <c r="D316" t="s">
        <v>2016</v>
      </c>
      <c r="E316">
        <v>0</v>
      </c>
      <c r="F316">
        <v>963.96</v>
      </c>
      <c r="G316" t="s">
        <v>2019</v>
      </c>
      <c r="H316" t="s">
        <v>2025</v>
      </c>
      <c r="I316" t="s">
        <v>2342</v>
      </c>
      <c r="J316" t="s">
        <v>4028</v>
      </c>
      <c r="K316" t="s">
        <v>4052</v>
      </c>
      <c r="L316">
        <v>963.96</v>
      </c>
    </row>
    <row r="317" spans="1:12">
      <c r="A317" t="s">
        <v>327</v>
      </c>
      <c r="B317" s="2">
        <v>45118</v>
      </c>
      <c r="C317">
        <v>5010</v>
      </c>
      <c r="D317" t="s">
        <v>2015</v>
      </c>
      <c r="E317">
        <v>1233.1600000000001</v>
      </c>
      <c r="F317">
        <v>0</v>
      </c>
      <c r="G317" t="s">
        <v>2017</v>
      </c>
      <c r="H317" t="s">
        <v>2027</v>
      </c>
      <c r="I317" t="s">
        <v>2343</v>
      </c>
      <c r="J317" t="s">
        <v>4031</v>
      </c>
      <c r="K317" t="s">
        <v>4050</v>
      </c>
      <c r="L317">
        <v>-1233.1600000000001</v>
      </c>
    </row>
    <row r="318" spans="1:12">
      <c r="A318" t="s">
        <v>328</v>
      </c>
      <c r="B318" s="2">
        <v>45263</v>
      </c>
      <c r="C318">
        <v>4000</v>
      </c>
      <c r="D318" t="s">
        <v>2012</v>
      </c>
      <c r="E318">
        <v>0</v>
      </c>
      <c r="F318">
        <v>1228</v>
      </c>
      <c r="G318" t="s">
        <v>2021</v>
      </c>
      <c r="H318" t="s">
        <v>2023</v>
      </c>
      <c r="I318" t="s">
        <v>2344</v>
      </c>
      <c r="J318" t="s">
        <v>4031</v>
      </c>
      <c r="K318" t="s">
        <v>4039</v>
      </c>
      <c r="L318">
        <v>1228</v>
      </c>
    </row>
    <row r="319" spans="1:12">
      <c r="A319" t="s">
        <v>329</v>
      </c>
      <c r="B319" s="2">
        <v>44943</v>
      </c>
      <c r="C319">
        <v>4000</v>
      </c>
      <c r="D319" t="s">
        <v>2012</v>
      </c>
      <c r="E319">
        <v>0</v>
      </c>
      <c r="F319">
        <v>1067.1500000000001</v>
      </c>
      <c r="G319" t="s">
        <v>2017</v>
      </c>
      <c r="H319" t="s">
        <v>2025</v>
      </c>
      <c r="I319" t="s">
        <v>2345</v>
      </c>
      <c r="J319" t="s">
        <v>4032</v>
      </c>
      <c r="K319" t="s">
        <v>4047</v>
      </c>
      <c r="L319">
        <v>1067.1500000000001</v>
      </c>
    </row>
    <row r="320" spans="1:12">
      <c r="A320" t="s">
        <v>330</v>
      </c>
      <c r="B320" s="2">
        <v>45301</v>
      </c>
      <c r="C320">
        <v>4010</v>
      </c>
      <c r="D320" t="s">
        <v>2016</v>
      </c>
      <c r="E320">
        <v>0</v>
      </c>
      <c r="F320">
        <v>1167.53</v>
      </c>
      <c r="G320" t="s">
        <v>2018</v>
      </c>
      <c r="H320" t="s">
        <v>2024</v>
      </c>
      <c r="I320" t="s">
        <v>2346</v>
      </c>
      <c r="J320" t="s">
        <v>4030</v>
      </c>
      <c r="K320" t="s">
        <v>4053</v>
      </c>
      <c r="L320">
        <v>1167.53</v>
      </c>
    </row>
    <row r="321" spans="1:12">
      <c r="A321" t="s">
        <v>331</v>
      </c>
      <c r="B321" s="2">
        <v>45340</v>
      </c>
      <c r="C321">
        <v>5010</v>
      </c>
      <c r="D321" t="s">
        <v>2015</v>
      </c>
      <c r="E321">
        <v>1808.37</v>
      </c>
      <c r="F321">
        <v>0</v>
      </c>
      <c r="G321" t="s">
        <v>2021</v>
      </c>
      <c r="H321" t="s">
        <v>2025</v>
      </c>
      <c r="I321" t="s">
        <v>2347</v>
      </c>
      <c r="J321" t="s">
        <v>4032</v>
      </c>
      <c r="K321" t="s">
        <v>4044</v>
      </c>
      <c r="L321">
        <v>-1808.37</v>
      </c>
    </row>
    <row r="322" spans="1:12">
      <c r="A322" t="s">
        <v>332</v>
      </c>
      <c r="B322" s="2">
        <v>45416</v>
      </c>
      <c r="C322">
        <v>4000</v>
      </c>
      <c r="D322" t="s">
        <v>2012</v>
      </c>
      <c r="E322">
        <v>0</v>
      </c>
      <c r="F322">
        <v>3683.59</v>
      </c>
      <c r="G322" t="s">
        <v>2018</v>
      </c>
      <c r="H322" t="s">
        <v>2026</v>
      </c>
      <c r="I322" t="s">
        <v>2348</v>
      </c>
      <c r="J322" t="s">
        <v>4032</v>
      </c>
      <c r="K322" t="s">
        <v>4033</v>
      </c>
      <c r="L322">
        <v>3683.59</v>
      </c>
    </row>
    <row r="323" spans="1:12">
      <c r="A323" t="s">
        <v>333</v>
      </c>
      <c r="B323" s="2">
        <v>45023</v>
      </c>
      <c r="C323">
        <v>4010</v>
      </c>
      <c r="D323" t="s">
        <v>2016</v>
      </c>
      <c r="E323">
        <v>0</v>
      </c>
      <c r="F323">
        <v>2268.92</v>
      </c>
      <c r="G323" t="s">
        <v>2021</v>
      </c>
      <c r="H323" t="s">
        <v>2023</v>
      </c>
      <c r="I323" t="s">
        <v>2349</v>
      </c>
      <c r="J323" t="s">
        <v>4028</v>
      </c>
      <c r="K323" t="s">
        <v>4041</v>
      </c>
      <c r="L323">
        <v>2268.92</v>
      </c>
    </row>
    <row r="324" spans="1:12">
      <c r="A324" t="s">
        <v>334</v>
      </c>
      <c r="B324" s="2">
        <v>45317</v>
      </c>
      <c r="C324">
        <v>6000</v>
      </c>
      <c r="D324" t="s">
        <v>2014</v>
      </c>
      <c r="E324">
        <v>791.64</v>
      </c>
      <c r="F324">
        <v>0</v>
      </c>
      <c r="G324" t="s">
        <v>2021</v>
      </c>
      <c r="H324" t="s">
        <v>2026</v>
      </c>
      <c r="I324" t="s">
        <v>2350</v>
      </c>
      <c r="J324" t="s">
        <v>4032</v>
      </c>
      <c r="K324" t="s">
        <v>4053</v>
      </c>
      <c r="L324">
        <v>-791.64</v>
      </c>
    </row>
    <row r="325" spans="1:12">
      <c r="A325" t="s">
        <v>335</v>
      </c>
      <c r="B325" s="2">
        <v>45517</v>
      </c>
      <c r="C325">
        <v>4000</v>
      </c>
      <c r="D325" t="s">
        <v>2012</v>
      </c>
      <c r="E325">
        <v>0</v>
      </c>
      <c r="F325">
        <v>381.77</v>
      </c>
      <c r="G325" t="s">
        <v>2022</v>
      </c>
      <c r="H325" t="s">
        <v>2027</v>
      </c>
      <c r="I325" t="s">
        <v>2351</v>
      </c>
      <c r="J325" t="s">
        <v>4028</v>
      </c>
      <c r="K325" t="s">
        <v>4058</v>
      </c>
      <c r="L325">
        <v>381.77</v>
      </c>
    </row>
    <row r="326" spans="1:12">
      <c r="A326" t="s">
        <v>336</v>
      </c>
      <c r="B326" s="2">
        <v>44972</v>
      </c>
      <c r="C326">
        <v>6000</v>
      </c>
      <c r="D326" t="s">
        <v>2014</v>
      </c>
      <c r="E326">
        <v>603.09</v>
      </c>
      <c r="F326">
        <v>0</v>
      </c>
      <c r="G326" t="s">
        <v>2019</v>
      </c>
      <c r="H326" t="s">
        <v>2026</v>
      </c>
      <c r="I326" t="s">
        <v>2352</v>
      </c>
      <c r="J326" t="s">
        <v>4031</v>
      </c>
      <c r="K326" t="s">
        <v>4057</v>
      </c>
      <c r="L326">
        <v>-603.09</v>
      </c>
    </row>
    <row r="327" spans="1:12">
      <c r="A327" t="s">
        <v>337</v>
      </c>
      <c r="B327" s="2">
        <v>45251</v>
      </c>
      <c r="C327">
        <v>5000</v>
      </c>
      <c r="D327" t="s">
        <v>2013</v>
      </c>
      <c r="E327">
        <v>76.959999999999994</v>
      </c>
      <c r="F327">
        <v>0</v>
      </c>
      <c r="G327" t="s">
        <v>2021</v>
      </c>
      <c r="H327" t="s">
        <v>2025</v>
      </c>
      <c r="I327" t="s">
        <v>2353</v>
      </c>
      <c r="J327" t="s">
        <v>4028</v>
      </c>
      <c r="K327" t="s">
        <v>4042</v>
      </c>
      <c r="L327">
        <v>-76.959999999999994</v>
      </c>
    </row>
    <row r="328" spans="1:12">
      <c r="A328" t="s">
        <v>338</v>
      </c>
      <c r="B328" s="2">
        <v>45243</v>
      </c>
      <c r="C328">
        <v>6000</v>
      </c>
      <c r="D328" t="s">
        <v>2014</v>
      </c>
      <c r="E328">
        <v>870.26</v>
      </c>
      <c r="F328">
        <v>0</v>
      </c>
      <c r="G328" t="s">
        <v>2022</v>
      </c>
      <c r="H328" t="s">
        <v>2025</v>
      </c>
      <c r="I328" t="s">
        <v>2354</v>
      </c>
      <c r="J328" t="s">
        <v>4032</v>
      </c>
      <c r="K328" t="s">
        <v>4042</v>
      </c>
      <c r="L328">
        <v>-870.26</v>
      </c>
    </row>
    <row r="329" spans="1:12">
      <c r="A329" t="s">
        <v>339</v>
      </c>
      <c r="B329" s="2">
        <v>45328</v>
      </c>
      <c r="C329">
        <v>4000</v>
      </c>
      <c r="D329" t="s">
        <v>2012</v>
      </c>
      <c r="E329">
        <v>0</v>
      </c>
      <c r="F329">
        <v>195.85</v>
      </c>
      <c r="G329" t="s">
        <v>2022</v>
      </c>
      <c r="H329" t="s">
        <v>2024</v>
      </c>
      <c r="I329" t="s">
        <v>2355</v>
      </c>
      <c r="J329" t="s">
        <v>4030</v>
      </c>
      <c r="K329" t="s">
        <v>4044</v>
      </c>
      <c r="L329">
        <v>195.85</v>
      </c>
    </row>
    <row r="330" spans="1:12">
      <c r="A330" t="s">
        <v>340</v>
      </c>
      <c r="B330" s="2">
        <v>45427</v>
      </c>
      <c r="C330">
        <v>4000</v>
      </c>
      <c r="D330" t="s">
        <v>2012</v>
      </c>
      <c r="E330">
        <v>0</v>
      </c>
      <c r="F330">
        <v>3924.16</v>
      </c>
      <c r="G330" t="s">
        <v>2021</v>
      </c>
      <c r="H330" t="s">
        <v>2023</v>
      </c>
      <c r="I330" t="s">
        <v>2356</v>
      </c>
      <c r="J330" t="s">
        <v>4030</v>
      </c>
      <c r="K330" t="s">
        <v>4033</v>
      </c>
      <c r="L330">
        <v>3924.16</v>
      </c>
    </row>
    <row r="331" spans="1:12">
      <c r="A331" t="s">
        <v>341</v>
      </c>
      <c r="B331" s="2">
        <v>45783</v>
      </c>
      <c r="C331">
        <v>5010</v>
      </c>
      <c r="D331" t="s">
        <v>2015</v>
      </c>
      <c r="E331">
        <v>745.46</v>
      </c>
      <c r="F331">
        <v>0</v>
      </c>
      <c r="G331" t="s">
        <v>2021</v>
      </c>
      <c r="H331" t="s">
        <v>2023</v>
      </c>
      <c r="I331" t="s">
        <v>2357</v>
      </c>
      <c r="J331" t="s">
        <v>4029</v>
      </c>
      <c r="K331" t="s">
        <v>4038</v>
      </c>
      <c r="L331">
        <v>-745.46</v>
      </c>
    </row>
    <row r="332" spans="1:12">
      <c r="A332" t="s">
        <v>342</v>
      </c>
      <c r="B332" s="2">
        <v>45238</v>
      </c>
      <c r="C332">
        <v>4000</v>
      </c>
      <c r="D332" t="s">
        <v>2012</v>
      </c>
      <c r="E332">
        <v>0</v>
      </c>
      <c r="F332">
        <v>2579.5</v>
      </c>
      <c r="G332" t="s">
        <v>2017</v>
      </c>
      <c r="H332" t="s">
        <v>2024</v>
      </c>
      <c r="I332" t="s">
        <v>2358</v>
      </c>
      <c r="J332" t="s">
        <v>4029</v>
      </c>
      <c r="K332" t="s">
        <v>4042</v>
      </c>
      <c r="L332">
        <v>2579.5</v>
      </c>
    </row>
    <row r="333" spans="1:12">
      <c r="A333" t="s">
        <v>343</v>
      </c>
      <c r="B333" s="2">
        <v>45570</v>
      </c>
      <c r="C333">
        <v>5000</v>
      </c>
      <c r="D333" t="s">
        <v>2013</v>
      </c>
      <c r="E333">
        <v>1763.39</v>
      </c>
      <c r="F333">
        <v>0</v>
      </c>
      <c r="G333" t="s">
        <v>2021</v>
      </c>
      <c r="H333" t="s">
        <v>2027</v>
      </c>
      <c r="I333" t="s">
        <v>2359</v>
      </c>
      <c r="J333" t="s">
        <v>4031</v>
      </c>
      <c r="K333" t="s">
        <v>4059</v>
      </c>
      <c r="L333">
        <v>-1763.39</v>
      </c>
    </row>
    <row r="334" spans="1:12">
      <c r="A334" t="s">
        <v>344</v>
      </c>
      <c r="B334" s="2">
        <v>45566</v>
      </c>
      <c r="C334">
        <v>5000</v>
      </c>
      <c r="D334" t="s">
        <v>2013</v>
      </c>
      <c r="E334">
        <v>957.72</v>
      </c>
      <c r="F334">
        <v>0</v>
      </c>
      <c r="G334" t="s">
        <v>2021</v>
      </c>
      <c r="H334" t="s">
        <v>2025</v>
      </c>
      <c r="I334" t="s">
        <v>2360</v>
      </c>
      <c r="J334" t="s">
        <v>4029</v>
      </c>
      <c r="K334" t="s">
        <v>4059</v>
      </c>
      <c r="L334">
        <v>-957.72</v>
      </c>
    </row>
    <row r="335" spans="1:12">
      <c r="A335" t="s">
        <v>345</v>
      </c>
      <c r="B335" s="2">
        <v>45196</v>
      </c>
      <c r="C335">
        <v>4000</v>
      </c>
      <c r="D335" t="s">
        <v>2012</v>
      </c>
      <c r="E335">
        <v>0</v>
      </c>
      <c r="F335">
        <v>312.52</v>
      </c>
      <c r="G335" t="s">
        <v>2017</v>
      </c>
      <c r="H335" t="s">
        <v>2025</v>
      </c>
      <c r="I335" t="s">
        <v>2361</v>
      </c>
      <c r="J335" t="s">
        <v>4031</v>
      </c>
      <c r="K335" t="s">
        <v>4036</v>
      </c>
      <c r="L335">
        <v>312.52</v>
      </c>
    </row>
    <row r="336" spans="1:12">
      <c r="A336" t="s">
        <v>346</v>
      </c>
      <c r="B336" s="2">
        <v>45232</v>
      </c>
      <c r="C336">
        <v>4010</v>
      </c>
      <c r="D336" t="s">
        <v>2016</v>
      </c>
      <c r="E336">
        <v>0</v>
      </c>
      <c r="F336">
        <v>4032.89</v>
      </c>
      <c r="G336" t="s">
        <v>2018</v>
      </c>
      <c r="H336" t="s">
        <v>2024</v>
      </c>
      <c r="I336" t="s">
        <v>2362</v>
      </c>
      <c r="J336" t="s">
        <v>4028</v>
      </c>
      <c r="K336" t="s">
        <v>4042</v>
      </c>
      <c r="L336">
        <v>4032.89</v>
      </c>
    </row>
    <row r="337" spans="1:12">
      <c r="A337" t="s">
        <v>347</v>
      </c>
      <c r="B337" s="2">
        <v>45316</v>
      </c>
      <c r="C337">
        <v>5000</v>
      </c>
      <c r="D337" t="s">
        <v>2013</v>
      </c>
      <c r="E337">
        <v>822.42</v>
      </c>
      <c r="F337">
        <v>0</v>
      </c>
      <c r="G337" t="s">
        <v>2021</v>
      </c>
      <c r="H337" t="s">
        <v>2025</v>
      </c>
      <c r="I337" t="s">
        <v>2363</v>
      </c>
      <c r="J337" t="s">
        <v>4031</v>
      </c>
      <c r="K337" t="s">
        <v>4053</v>
      </c>
      <c r="L337">
        <v>-822.42</v>
      </c>
    </row>
    <row r="338" spans="1:12">
      <c r="A338" t="s">
        <v>348</v>
      </c>
      <c r="B338" s="2">
        <v>44976</v>
      </c>
      <c r="C338">
        <v>4010</v>
      </c>
      <c r="D338" t="s">
        <v>2016</v>
      </c>
      <c r="E338">
        <v>0</v>
      </c>
      <c r="F338">
        <v>2096.4299999999998</v>
      </c>
      <c r="G338" t="s">
        <v>2020</v>
      </c>
      <c r="H338" t="s">
        <v>2027</v>
      </c>
      <c r="I338" t="s">
        <v>2364</v>
      </c>
      <c r="J338" t="s">
        <v>4029</v>
      </c>
      <c r="K338" t="s">
        <v>4057</v>
      </c>
      <c r="L338">
        <v>2096.4299999999998</v>
      </c>
    </row>
    <row r="339" spans="1:12">
      <c r="A339" t="s">
        <v>349</v>
      </c>
      <c r="B339" s="2">
        <v>45599</v>
      </c>
      <c r="C339">
        <v>4000</v>
      </c>
      <c r="D339" t="s">
        <v>2012</v>
      </c>
      <c r="E339">
        <v>0</v>
      </c>
      <c r="F339">
        <v>2254.64</v>
      </c>
      <c r="G339" t="s">
        <v>2020</v>
      </c>
      <c r="H339" t="s">
        <v>2023</v>
      </c>
      <c r="I339" t="s">
        <v>2365</v>
      </c>
      <c r="J339" t="s">
        <v>4029</v>
      </c>
      <c r="K339" t="s">
        <v>4043</v>
      </c>
      <c r="L339">
        <v>2254.64</v>
      </c>
    </row>
    <row r="340" spans="1:12">
      <c r="A340" t="s">
        <v>350</v>
      </c>
      <c r="B340" s="2">
        <v>45554</v>
      </c>
      <c r="C340">
        <v>5010</v>
      </c>
      <c r="D340" t="s">
        <v>2015</v>
      </c>
      <c r="E340">
        <v>1898.13</v>
      </c>
      <c r="F340">
        <v>0</v>
      </c>
      <c r="G340" t="s">
        <v>2022</v>
      </c>
      <c r="H340" t="s">
        <v>2026</v>
      </c>
      <c r="I340" t="s">
        <v>2366</v>
      </c>
      <c r="J340" t="s">
        <v>4030</v>
      </c>
      <c r="K340" t="s">
        <v>4048</v>
      </c>
      <c r="L340">
        <v>-1898.13</v>
      </c>
    </row>
    <row r="341" spans="1:12">
      <c r="A341" t="s">
        <v>351</v>
      </c>
      <c r="B341" s="2">
        <v>45203</v>
      </c>
      <c r="C341">
        <v>5000</v>
      </c>
      <c r="D341" t="s">
        <v>2013</v>
      </c>
      <c r="E341">
        <v>92.89</v>
      </c>
      <c r="F341">
        <v>0</v>
      </c>
      <c r="G341" t="s">
        <v>2019</v>
      </c>
      <c r="H341" t="s">
        <v>2027</v>
      </c>
      <c r="I341" t="s">
        <v>2367</v>
      </c>
      <c r="J341" t="s">
        <v>4029</v>
      </c>
      <c r="K341" t="s">
        <v>4060</v>
      </c>
      <c r="L341">
        <v>-92.89</v>
      </c>
    </row>
    <row r="342" spans="1:12">
      <c r="A342" t="s">
        <v>352</v>
      </c>
      <c r="B342" s="2">
        <v>45637</v>
      </c>
      <c r="C342">
        <v>5000</v>
      </c>
      <c r="D342" t="s">
        <v>2013</v>
      </c>
      <c r="E342">
        <v>192.59</v>
      </c>
      <c r="F342">
        <v>0</v>
      </c>
      <c r="G342" t="s">
        <v>2019</v>
      </c>
      <c r="H342" t="s">
        <v>2025</v>
      </c>
      <c r="I342" t="s">
        <v>2368</v>
      </c>
      <c r="J342" t="s">
        <v>4029</v>
      </c>
      <c r="K342" t="s">
        <v>4056</v>
      </c>
      <c r="L342">
        <v>-192.59</v>
      </c>
    </row>
    <row r="343" spans="1:12">
      <c r="A343" t="s">
        <v>353</v>
      </c>
      <c r="B343" s="2">
        <v>45311</v>
      </c>
      <c r="C343">
        <v>4000</v>
      </c>
      <c r="D343" t="s">
        <v>2012</v>
      </c>
      <c r="E343">
        <v>0</v>
      </c>
      <c r="F343">
        <v>1924.88</v>
      </c>
      <c r="G343" t="s">
        <v>2022</v>
      </c>
      <c r="H343" t="s">
        <v>2027</v>
      </c>
      <c r="I343" t="s">
        <v>2369</v>
      </c>
      <c r="J343" t="s">
        <v>4032</v>
      </c>
      <c r="K343" t="s">
        <v>4053</v>
      </c>
      <c r="L343">
        <v>1924.88</v>
      </c>
    </row>
    <row r="344" spans="1:12">
      <c r="A344" t="s">
        <v>354</v>
      </c>
      <c r="B344" s="2">
        <v>45050</v>
      </c>
      <c r="C344">
        <v>5000</v>
      </c>
      <c r="D344" t="s">
        <v>2013</v>
      </c>
      <c r="E344">
        <v>1161.96</v>
      </c>
      <c r="F344">
        <v>0</v>
      </c>
      <c r="G344" t="s">
        <v>2018</v>
      </c>
      <c r="H344" t="s">
        <v>2027</v>
      </c>
      <c r="I344" t="s">
        <v>2370</v>
      </c>
      <c r="J344" t="s">
        <v>4028</v>
      </c>
      <c r="K344" t="s">
        <v>4062</v>
      </c>
      <c r="L344">
        <v>-1161.96</v>
      </c>
    </row>
    <row r="345" spans="1:12">
      <c r="A345" t="s">
        <v>355</v>
      </c>
      <c r="B345" s="2">
        <v>45580</v>
      </c>
      <c r="C345">
        <v>5010</v>
      </c>
      <c r="D345" t="s">
        <v>2015</v>
      </c>
      <c r="E345">
        <v>1693.2</v>
      </c>
      <c r="F345">
        <v>0</v>
      </c>
      <c r="G345" t="s">
        <v>2019</v>
      </c>
      <c r="H345" t="s">
        <v>2024</v>
      </c>
      <c r="I345" t="s">
        <v>2371</v>
      </c>
      <c r="J345" t="s">
        <v>4029</v>
      </c>
      <c r="K345" t="s">
        <v>4059</v>
      </c>
      <c r="L345">
        <v>-1693.2</v>
      </c>
    </row>
    <row r="346" spans="1:12">
      <c r="A346" t="s">
        <v>356</v>
      </c>
      <c r="B346" s="2">
        <v>45212</v>
      </c>
      <c r="C346">
        <v>4010</v>
      </c>
      <c r="D346" t="s">
        <v>2016</v>
      </c>
      <c r="E346">
        <v>0</v>
      </c>
      <c r="F346">
        <v>535.42999999999995</v>
      </c>
      <c r="G346" t="s">
        <v>2017</v>
      </c>
      <c r="H346" t="s">
        <v>2024</v>
      </c>
      <c r="I346" t="s">
        <v>2372</v>
      </c>
      <c r="J346" t="s">
        <v>4028</v>
      </c>
      <c r="K346" t="s">
        <v>4060</v>
      </c>
      <c r="L346">
        <v>535.42999999999995</v>
      </c>
    </row>
    <row r="347" spans="1:12">
      <c r="A347" t="s">
        <v>357</v>
      </c>
      <c r="B347" s="2">
        <v>45506</v>
      </c>
      <c r="C347">
        <v>5000</v>
      </c>
      <c r="D347" t="s">
        <v>2013</v>
      </c>
      <c r="E347">
        <v>449.09</v>
      </c>
      <c r="F347">
        <v>0</v>
      </c>
      <c r="G347" t="s">
        <v>2020</v>
      </c>
      <c r="H347" t="s">
        <v>2027</v>
      </c>
      <c r="I347" t="s">
        <v>2373</v>
      </c>
      <c r="J347" t="s">
        <v>4028</v>
      </c>
      <c r="K347" t="s">
        <v>4058</v>
      </c>
      <c r="L347">
        <v>-449.09</v>
      </c>
    </row>
    <row r="348" spans="1:12">
      <c r="A348" t="s">
        <v>358</v>
      </c>
      <c r="B348" s="2">
        <v>45173</v>
      </c>
      <c r="C348">
        <v>5010</v>
      </c>
      <c r="D348" t="s">
        <v>2015</v>
      </c>
      <c r="E348">
        <v>938.21</v>
      </c>
      <c r="F348">
        <v>0</v>
      </c>
      <c r="G348" t="s">
        <v>2018</v>
      </c>
      <c r="H348" t="s">
        <v>2027</v>
      </c>
      <c r="I348" t="s">
        <v>2374</v>
      </c>
      <c r="J348" t="s">
        <v>4028</v>
      </c>
      <c r="K348" t="s">
        <v>4036</v>
      </c>
      <c r="L348">
        <v>-938.21</v>
      </c>
    </row>
    <row r="349" spans="1:12">
      <c r="A349" t="s">
        <v>359</v>
      </c>
      <c r="B349" s="2">
        <v>45702</v>
      </c>
      <c r="C349">
        <v>5010</v>
      </c>
      <c r="D349" t="s">
        <v>2015</v>
      </c>
      <c r="E349">
        <v>131.84</v>
      </c>
      <c r="F349">
        <v>0</v>
      </c>
      <c r="G349" t="s">
        <v>2022</v>
      </c>
      <c r="H349" t="s">
        <v>2026</v>
      </c>
      <c r="I349" t="s">
        <v>2375</v>
      </c>
      <c r="J349" t="s">
        <v>4029</v>
      </c>
      <c r="K349" t="s">
        <v>4061</v>
      </c>
      <c r="L349">
        <v>-131.84</v>
      </c>
    </row>
    <row r="350" spans="1:12">
      <c r="A350" t="s">
        <v>360</v>
      </c>
      <c r="B350" s="2">
        <v>45183</v>
      </c>
      <c r="C350">
        <v>4000</v>
      </c>
      <c r="D350" t="s">
        <v>2012</v>
      </c>
      <c r="E350">
        <v>0</v>
      </c>
      <c r="F350">
        <v>3658.34</v>
      </c>
      <c r="G350" t="s">
        <v>2019</v>
      </c>
      <c r="H350" t="s">
        <v>2024</v>
      </c>
      <c r="I350" t="s">
        <v>2376</v>
      </c>
      <c r="J350" t="s">
        <v>4030</v>
      </c>
      <c r="K350" t="s">
        <v>4036</v>
      </c>
      <c r="L350">
        <v>3658.34</v>
      </c>
    </row>
    <row r="351" spans="1:12">
      <c r="A351" t="s">
        <v>361</v>
      </c>
      <c r="B351" s="2">
        <v>45030</v>
      </c>
      <c r="C351">
        <v>5000</v>
      </c>
      <c r="D351" t="s">
        <v>2013</v>
      </c>
      <c r="E351">
        <v>509.89</v>
      </c>
      <c r="F351">
        <v>0</v>
      </c>
      <c r="G351" t="s">
        <v>2018</v>
      </c>
      <c r="H351" t="s">
        <v>2023</v>
      </c>
      <c r="I351" t="s">
        <v>2377</v>
      </c>
      <c r="J351" t="s">
        <v>4029</v>
      </c>
      <c r="K351" t="s">
        <v>4041</v>
      </c>
      <c r="L351">
        <v>-509.89</v>
      </c>
    </row>
    <row r="352" spans="1:12">
      <c r="A352" t="s">
        <v>362</v>
      </c>
      <c r="B352" s="2">
        <v>45521</v>
      </c>
      <c r="C352">
        <v>5000</v>
      </c>
      <c r="D352" t="s">
        <v>2013</v>
      </c>
      <c r="E352">
        <v>697.58</v>
      </c>
      <c r="F352">
        <v>0</v>
      </c>
      <c r="G352" t="s">
        <v>2019</v>
      </c>
      <c r="H352" t="s">
        <v>2026</v>
      </c>
      <c r="I352" t="s">
        <v>2378</v>
      </c>
      <c r="J352" t="s">
        <v>4032</v>
      </c>
      <c r="K352" t="s">
        <v>4058</v>
      </c>
      <c r="L352">
        <v>-697.58</v>
      </c>
    </row>
    <row r="353" spans="1:12">
      <c r="A353" t="s">
        <v>363</v>
      </c>
      <c r="B353" s="2">
        <v>45582</v>
      </c>
      <c r="C353">
        <v>5010</v>
      </c>
      <c r="D353" t="s">
        <v>2015</v>
      </c>
      <c r="E353">
        <v>1580.47</v>
      </c>
      <c r="F353">
        <v>0</v>
      </c>
      <c r="G353" t="s">
        <v>2021</v>
      </c>
      <c r="H353" t="s">
        <v>2027</v>
      </c>
      <c r="I353" t="s">
        <v>2379</v>
      </c>
      <c r="J353" t="s">
        <v>4030</v>
      </c>
      <c r="K353" t="s">
        <v>4059</v>
      </c>
      <c r="L353">
        <v>-1580.47</v>
      </c>
    </row>
    <row r="354" spans="1:12">
      <c r="A354" t="s">
        <v>364</v>
      </c>
      <c r="B354" s="2">
        <v>45308</v>
      </c>
      <c r="C354">
        <v>5000</v>
      </c>
      <c r="D354" t="s">
        <v>2013</v>
      </c>
      <c r="E354">
        <v>1567.36</v>
      </c>
      <c r="F354">
        <v>0</v>
      </c>
      <c r="G354" t="s">
        <v>2021</v>
      </c>
      <c r="H354" t="s">
        <v>2024</v>
      </c>
      <c r="I354" t="s">
        <v>2380</v>
      </c>
      <c r="J354" t="s">
        <v>4029</v>
      </c>
      <c r="K354" t="s">
        <v>4053</v>
      </c>
      <c r="L354">
        <v>-1567.36</v>
      </c>
    </row>
    <row r="355" spans="1:12">
      <c r="A355" t="s">
        <v>365</v>
      </c>
      <c r="B355" s="2">
        <v>45715</v>
      </c>
      <c r="C355">
        <v>5010</v>
      </c>
      <c r="D355" t="s">
        <v>2015</v>
      </c>
      <c r="E355">
        <v>443.79</v>
      </c>
      <c r="F355">
        <v>0</v>
      </c>
      <c r="G355" t="s">
        <v>2018</v>
      </c>
      <c r="H355" t="s">
        <v>2025</v>
      </c>
      <c r="I355" t="s">
        <v>2381</v>
      </c>
      <c r="J355" t="s">
        <v>4030</v>
      </c>
      <c r="K355" t="s">
        <v>4061</v>
      </c>
      <c r="L355">
        <v>-443.79</v>
      </c>
    </row>
    <row r="356" spans="1:12">
      <c r="A356" t="s">
        <v>366</v>
      </c>
      <c r="B356" s="2">
        <v>45232</v>
      </c>
      <c r="C356">
        <v>5010</v>
      </c>
      <c r="D356" t="s">
        <v>2015</v>
      </c>
      <c r="E356">
        <v>889.34</v>
      </c>
      <c r="F356">
        <v>0</v>
      </c>
      <c r="G356" t="s">
        <v>2019</v>
      </c>
      <c r="H356" t="s">
        <v>2023</v>
      </c>
      <c r="I356" t="s">
        <v>2382</v>
      </c>
      <c r="J356" t="s">
        <v>4031</v>
      </c>
      <c r="K356" t="s">
        <v>4042</v>
      </c>
      <c r="L356">
        <v>-889.34</v>
      </c>
    </row>
    <row r="357" spans="1:12">
      <c r="A357" t="s">
        <v>367</v>
      </c>
      <c r="B357" s="2">
        <v>45801</v>
      </c>
      <c r="C357">
        <v>4010</v>
      </c>
      <c r="D357" t="s">
        <v>2016</v>
      </c>
      <c r="E357">
        <v>0</v>
      </c>
      <c r="F357">
        <v>2239.96</v>
      </c>
      <c r="G357" t="s">
        <v>2021</v>
      </c>
      <c r="H357" t="s">
        <v>2023</v>
      </c>
      <c r="I357" t="s">
        <v>2383</v>
      </c>
      <c r="J357" t="s">
        <v>4031</v>
      </c>
      <c r="K357" t="s">
        <v>4038</v>
      </c>
      <c r="L357">
        <v>2239.96</v>
      </c>
    </row>
    <row r="358" spans="1:12">
      <c r="A358" t="s">
        <v>368</v>
      </c>
      <c r="B358" s="2">
        <v>45293</v>
      </c>
      <c r="C358">
        <v>5010</v>
      </c>
      <c r="D358" t="s">
        <v>2015</v>
      </c>
      <c r="E358">
        <v>1291.24</v>
      </c>
      <c r="F358">
        <v>0</v>
      </c>
      <c r="G358" t="s">
        <v>2021</v>
      </c>
      <c r="H358" t="s">
        <v>2025</v>
      </c>
      <c r="I358" t="s">
        <v>2384</v>
      </c>
      <c r="J358" t="s">
        <v>4030</v>
      </c>
      <c r="K358" t="s">
        <v>4053</v>
      </c>
      <c r="L358">
        <v>-1291.24</v>
      </c>
    </row>
    <row r="359" spans="1:12">
      <c r="A359" t="s">
        <v>369</v>
      </c>
      <c r="B359" s="2">
        <v>45141</v>
      </c>
      <c r="C359">
        <v>5010</v>
      </c>
      <c r="D359" t="s">
        <v>2015</v>
      </c>
      <c r="E359">
        <v>397.07</v>
      </c>
      <c r="F359">
        <v>0</v>
      </c>
      <c r="G359" t="s">
        <v>2021</v>
      </c>
      <c r="H359" t="s">
        <v>2024</v>
      </c>
      <c r="I359" t="s">
        <v>2385</v>
      </c>
      <c r="J359" t="s">
        <v>4032</v>
      </c>
      <c r="K359" t="s">
        <v>4037</v>
      </c>
      <c r="L359">
        <v>-397.07</v>
      </c>
    </row>
    <row r="360" spans="1:12">
      <c r="A360" t="s">
        <v>370</v>
      </c>
      <c r="B360" s="2">
        <v>45525</v>
      </c>
      <c r="C360">
        <v>6000</v>
      </c>
      <c r="D360" t="s">
        <v>2014</v>
      </c>
      <c r="E360">
        <v>803.21</v>
      </c>
      <c r="F360">
        <v>0</v>
      </c>
      <c r="G360" t="s">
        <v>2017</v>
      </c>
      <c r="H360" t="s">
        <v>2027</v>
      </c>
      <c r="I360" t="s">
        <v>2386</v>
      </c>
      <c r="J360" t="s">
        <v>4030</v>
      </c>
      <c r="K360" t="s">
        <v>4058</v>
      </c>
      <c r="L360">
        <v>-803.21</v>
      </c>
    </row>
    <row r="361" spans="1:12">
      <c r="A361" t="s">
        <v>371</v>
      </c>
      <c r="B361" s="2">
        <v>45461</v>
      </c>
      <c r="C361">
        <v>4000</v>
      </c>
      <c r="D361" t="s">
        <v>2012</v>
      </c>
      <c r="E361">
        <v>0</v>
      </c>
      <c r="F361">
        <v>1032.8399999999999</v>
      </c>
      <c r="G361" t="s">
        <v>2019</v>
      </c>
      <c r="H361" t="s">
        <v>2026</v>
      </c>
      <c r="I361" t="s">
        <v>2387</v>
      </c>
      <c r="J361" t="s">
        <v>4032</v>
      </c>
      <c r="K361" t="s">
        <v>4034</v>
      </c>
      <c r="L361">
        <v>1032.8399999999999</v>
      </c>
    </row>
    <row r="362" spans="1:12">
      <c r="A362" t="s">
        <v>372</v>
      </c>
      <c r="B362" s="2">
        <v>45806</v>
      </c>
      <c r="C362">
        <v>6000</v>
      </c>
      <c r="D362" t="s">
        <v>2014</v>
      </c>
      <c r="E362">
        <v>1071.7</v>
      </c>
      <c r="F362">
        <v>0</v>
      </c>
      <c r="G362" t="s">
        <v>2020</v>
      </c>
      <c r="H362" t="s">
        <v>2026</v>
      </c>
      <c r="I362" t="s">
        <v>2388</v>
      </c>
      <c r="J362" t="s">
        <v>4031</v>
      </c>
      <c r="K362" t="s">
        <v>4038</v>
      </c>
      <c r="L362">
        <v>-1071.7</v>
      </c>
    </row>
    <row r="363" spans="1:12">
      <c r="A363" t="s">
        <v>373</v>
      </c>
      <c r="B363" s="2">
        <v>45444</v>
      </c>
      <c r="C363">
        <v>5000</v>
      </c>
      <c r="D363" t="s">
        <v>2013</v>
      </c>
      <c r="E363">
        <v>842.82</v>
      </c>
      <c r="F363">
        <v>0</v>
      </c>
      <c r="G363" t="s">
        <v>2019</v>
      </c>
      <c r="H363" t="s">
        <v>2026</v>
      </c>
      <c r="I363" t="s">
        <v>2389</v>
      </c>
      <c r="J363" t="s">
        <v>4028</v>
      </c>
      <c r="K363" t="s">
        <v>4034</v>
      </c>
      <c r="L363">
        <v>-842.82</v>
      </c>
    </row>
    <row r="364" spans="1:12">
      <c r="A364" t="s">
        <v>374</v>
      </c>
      <c r="B364" s="2">
        <v>45505</v>
      </c>
      <c r="C364">
        <v>5010</v>
      </c>
      <c r="D364" t="s">
        <v>2015</v>
      </c>
      <c r="E364">
        <v>1375.81</v>
      </c>
      <c r="F364">
        <v>0</v>
      </c>
      <c r="G364" t="s">
        <v>2017</v>
      </c>
      <c r="H364" t="s">
        <v>2025</v>
      </c>
      <c r="I364" t="s">
        <v>2390</v>
      </c>
      <c r="J364" t="s">
        <v>4032</v>
      </c>
      <c r="K364" t="s">
        <v>4058</v>
      </c>
      <c r="L364">
        <v>-1375.81</v>
      </c>
    </row>
    <row r="365" spans="1:12">
      <c r="A365" t="s">
        <v>375</v>
      </c>
      <c r="B365" s="2">
        <v>45313</v>
      </c>
      <c r="C365">
        <v>4000</v>
      </c>
      <c r="D365" t="s">
        <v>2012</v>
      </c>
      <c r="E365">
        <v>0</v>
      </c>
      <c r="F365">
        <v>4517.55</v>
      </c>
      <c r="G365" t="s">
        <v>2019</v>
      </c>
      <c r="H365" t="s">
        <v>2025</v>
      </c>
      <c r="I365" t="s">
        <v>2391</v>
      </c>
      <c r="J365" t="s">
        <v>4032</v>
      </c>
      <c r="K365" t="s">
        <v>4053</v>
      </c>
      <c r="L365">
        <v>4517.55</v>
      </c>
    </row>
    <row r="366" spans="1:12">
      <c r="A366" t="s">
        <v>376</v>
      </c>
      <c r="B366" s="2">
        <v>45635</v>
      </c>
      <c r="C366">
        <v>5010</v>
      </c>
      <c r="D366" t="s">
        <v>2015</v>
      </c>
      <c r="E366">
        <v>837.89</v>
      </c>
      <c r="F366">
        <v>0</v>
      </c>
      <c r="G366" t="s">
        <v>2018</v>
      </c>
      <c r="H366" t="s">
        <v>2025</v>
      </c>
      <c r="I366" t="s">
        <v>2392</v>
      </c>
      <c r="J366" t="s">
        <v>4029</v>
      </c>
      <c r="K366" t="s">
        <v>4056</v>
      </c>
      <c r="L366">
        <v>-837.89</v>
      </c>
    </row>
    <row r="367" spans="1:12">
      <c r="A367" t="s">
        <v>377</v>
      </c>
      <c r="B367" s="2">
        <v>44999</v>
      </c>
      <c r="C367">
        <v>5010</v>
      </c>
      <c r="D367" t="s">
        <v>2015</v>
      </c>
      <c r="E367">
        <v>426.78</v>
      </c>
      <c r="F367">
        <v>0</v>
      </c>
      <c r="G367" t="s">
        <v>2017</v>
      </c>
      <c r="H367" t="s">
        <v>2025</v>
      </c>
      <c r="I367" t="s">
        <v>2393</v>
      </c>
      <c r="J367" t="s">
        <v>4032</v>
      </c>
      <c r="K367" t="s">
        <v>4051</v>
      </c>
      <c r="L367">
        <v>-426.78</v>
      </c>
    </row>
    <row r="368" spans="1:12">
      <c r="A368" t="s">
        <v>378</v>
      </c>
      <c r="B368" s="2">
        <v>45761</v>
      </c>
      <c r="C368">
        <v>6000</v>
      </c>
      <c r="D368" t="s">
        <v>2014</v>
      </c>
      <c r="E368">
        <v>999.72</v>
      </c>
      <c r="F368">
        <v>0</v>
      </c>
      <c r="G368" t="s">
        <v>2022</v>
      </c>
      <c r="H368" t="s">
        <v>2024</v>
      </c>
      <c r="I368" t="s">
        <v>2394</v>
      </c>
      <c r="J368" t="s">
        <v>4029</v>
      </c>
      <c r="K368" t="s">
        <v>4045</v>
      </c>
      <c r="L368">
        <v>-999.72</v>
      </c>
    </row>
    <row r="369" spans="1:12">
      <c r="A369" t="s">
        <v>379</v>
      </c>
      <c r="B369" s="2">
        <v>45023</v>
      </c>
      <c r="C369">
        <v>5000</v>
      </c>
      <c r="D369" t="s">
        <v>2013</v>
      </c>
      <c r="E369">
        <v>74.209999999999994</v>
      </c>
      <c r="F369">
        <v>0</v>
      </c>
      <c r="G369" t="s">
        <v>2020</v>
      </c>
      <c r="H369" t="s">
        <v>2027</v>
      </c>
      <c r="I369" t="s">
        <v>2395</v>
      </c>
      <c r="J369" t="s">
        <v>4032</v>
      </c>
      <c r="K369" t="s">
        <v>4041</v>
      </c>
      <c r="L369">
        <v>-74.209999999999994</v>
      </c>
    </row>
    <row r="370" spans="1:12">
      <c r="A370" t="s">
        <v>380</v>
      </c>
      <c r="B370" s="2">
        <v>44934</v>
      </c>
      <c r="C370">
        <v>4000</v>
      </c>
      <c r="D370" t="s">
        <v>2012</v>
      </c>
      <c r="E370">
        <v>0</v>
      </c>
      <c r="F370">
        <v>1158.73</v>
      </c>
      <c r="G370" t="s">
        <v>2022</v>
      </c>
      <c r="H370" t="s">
        <v>2023</v>
      </c>
      <c r="I370" t="s">
        <v>2396</v>
      </c>
      <c r="J370" t="s">
        <v>4029</v>
      </c>
      <c r="K370" t="s">
        <v>4047</v>
      </c>
      <c r="L370">
        <v>1158.73</v>
      </c>
    </row>
    <row r="371" spans="1:12">
      <c r="A371" t="s">
        <v>381</v>
      </c>
      <c r="B371" s="2">
        <v>45182</v>
      </c>
      <c r="C371">
        <v>6000</v>
      </c>
      <c r="D371" t="s">
        <v>2014</v>
      </c>
      <c r="E371">
        <v>1129.06</v>
      </c>
      <c r="F371">
        <v>0</v>
      </c>
      <c r="G371" t="s">
        <v>2022</v>
      </c>
      <c r="H371" t="s">
        <v>2025</v>
      </c>
      <c r="I371" t="s">
        <v>2397</v>
      </c>
      <c r="J371" t="s">
        <v>4029</v>
      </c>
      <c r="K371" t="s">
        <v>4036</v>
      </c>
      <c r="L371">
        <v>-1129.06</v>
      </c>
    </row>
    <row r="372" spans="1:12">
      <c r="A372" t="s">
        <v>382</v>
      </c>
      <c r="B372" s="2">
        <v>45349</v>
      </c>
      <c r="C372">
        <v>5010</v>
      </c>
      <c r="D372" t="s">
        <v>2015</v>
      </c>
      <c r="E372">
        <v>1450.58</v>
      </c>
      <c r="F372">
        <v>0</v>
      </c>
      <c r="G372" t="s">
        <v>2019</v>
      </c>
      <c r="H372" t="s">
        <v>2025</v>
      </c>
      <c r="I372" t="s">
        <v>2398</v>
      </c>
      <c r="J372" t="s">
        <v>4031</v>
      </c>
      <c r="K372" t="s">
        <v>4044</v>
      </c>
      <c r="L372">
        <v>-1450.58</v>
      </c>
    </row>
    <row r="373" spans="1:12">
      <c r="A373" t="s">
        <v>383</v>
      </c>
      <c r="B373" s="2">
        <v>44930</v>
      </c>
      <c r="C373">
        <v>6000</v>
      </c>
      <c r="D373" t="s">
        <v>2014</v>
      </c>
      <c r="E373">
        <v>820.46</v>
      </c>
      <c r="F373">
        <v>0</v>
      </c>
      <c r="G373" t="s">
        <v>2021</v>
      </c>
      <c r="H373" t="s">
        <v>2023</v>
      </c>
      <c r="I373" t="s">
        <v>2399</v>
      </c>
      <c r="J373" t="s">
        <v>4028</v>
      </c>
      <c r="K373" t="s">
        <v>4047</v>
      </c>
      <c r="L373">
        <v>-820.46</v>
      </c>
    </row>
    <row r="374" spans="1:12">
      <c r="A374" t="s">
        <v>384</v>
      </c>
      <c r="B374" s="2">
        <v>45718</v>
      </c>
      <c r="C374">
        <v>5000</v>
      </c>
      <c r="D374" t="s">
        <v>2013</v>
      </c>
      <c r="E374">
        <v>1027.96</v>
      </c>
      <c r="F374">
        <v>0</v>
      </c>
      <c r="G374" t="s">
        <v>2018</v>
      </c>
      <c r="H374" t="s">
        <v>2026</v>
      </c>
      <c r="I374" t="s">
        <v>2400</v>
      </c>
      <c r="J374" t="s">
        <v>4032</v>
      </c>
      <c r="K374" t="s">
        <v>4046</v>
      </c>
      <c r="L374">
        <v>-1027.96</v>
      </c>
    </row>
    <row r="375" spans="1:12">
      <c r="A375" t="s">
        <v>385</v>
      </c>
      <c r="B375" s="2">
        <v>44945</v>
      </c>
      <c r="C375">
        <v>4000</v>
      </c>
      <c r="D375" t="s">
        <v>2012</v>
      </c>
      <c r="E375">
        <v>0</v>
      </c>
      <c r="F375">
        <v>2599.69</v>
      </c>
      <c r="G375" t="s">
        <v>2017</v>
      </c>
      <c r="H375" t="s">
        <v>2026</v>
      </c>
      <c r="I375" t="s">
        <v>2401</v>
      </c>
      <c r="J375" t="s">
        <v>4030</v>
      </c>
      <c r="K375" t="s">
        <v>4047</v>
      </c>
      <c r="L375">
        <v>2599.69</v>
      </c>
    </row>
    <row r="376" spans="1:12">
      <c r="A376" t="s">
        <v>386</v>
      </c>
      <c r="B376" s="2">
        <v>45574</v>
      </c>
      <c r="C376">
        <v>5010</v>
      </c>
      <c r="D376" t="s">
        <v>2015</v>
      </c>
      <c r="E376">
        <v>903.24</v>
      </c>
      <c r="F376">
        <v>0</v>
      </c>
      <c r="G376" t="s">
        <v>2019</v>
      </c>
      <c r="H376" t="s">
        <v>2025</v>
      </c>
      <c r="I376" t="s">
        <v>2402</v>
      </c>
      <c r="J376" t="s">
        <v>4029</v>
      </c>
      <c r="K376" t="s">
        <v>4059</v>
      </c>
      <c r="L376">
        <v>-903.24</v>
      </c>
    </row>
    <row r="377" spans="1:12">
      <c r="A377" t="s">
        <v>387</v>
      </c>
      <c r="B377" s="2">
        <v>45363</v>
      </c>
      <c r="C377">
        <v>5000</v>
      </c>
      <c r="D377" t="s">
        <v>2013</v>
      </c>
      <c r="E377">
        <v>1037.05</v>
      </c>
      <c r="F377">
        <v>0</v>
      </c>
      <c r="G377" t="s">
        <v>2017</v>
      </c>
      <c r="H377" t="s">
        <v>2023</v>
      </c>
      <c r="I377" t="s">
        <v>2403</v>
      </c>
      <c r="J377" t="s">
        <v>4029</v>
      </c>
      <c r="K377" t="s">
        <v>4049</v>
      </c>
      <c r="L377">
        <v>-1037.05</v>
      </c>
    </row>
    <row r="378" spans="1:12">
      <c r="A378" t="s">
        <v>388</v>
      </c>
      <c r="B378" s="2">
        <v>45785</v>
      </c>
      <c r="C378">
        <v>5010</v>
      </c>
      <c r="D378" t="s">
        <v>2015</v>
      </c>
      <c r="E378">
        <v>390.22</v>
      </c>
      <c r="F378">
        <v>0</v>
      </c>
      <c r="G378" t="s">
        <v>2018</v>
      </c>
      <c r="H378" t="s">
        <v>2026</v>
      </c>
      <c r="I378" t="s">
        <v>2404</v>
      </c>
      <c r="J378" t="s">
        <v>4029</v>
      </c>
      <c r="K378" t="s">
        <v>4038</v>
      </c>
      <c r="L378">
        <v>-390.22</v>
      </c>
    </row>
    <row r="379" spans="1:12">
      <c r="A379" t="s">
        <v>389</v>
      </c>
      <c r="B379" s="2">
        <v>45699</v>
      </c>
      <c r="C379">
        <v>4010</v>
      </c>
      <c r="D379" t="s">
        <v>2016</v>
      </c>
      <c r="E379">
        <v>0</v>
      </c>
      <c r="F379">
        <v>4450.59</v>
      </c>
      <c r="G379" t="s">
        <v>2020</v>
      </c>
      <c r="H379" t="s">
        <v>2027</v>
      </c>
      <c r="I379" t="s">
        <v>2405</v>
      </c>
      <c r="J379" t="s">
        <v>4031</v>
      </c>
      <c r="K379" t="s">
        <v>4061</v>
      </c>
      <c r="L379">
        <v>4450.59</v>
      </c>
    </row>
    <row r="380" spans="1:12">
      <c r="A380" t="s">
        <v>390</v>
      </c>
      <c r="B380" s="2">
        <v>45246</v>
      </c>
      <c r="C380">
        <v>6000</v>
      </c>
      <c r="D380" t="s">
        <v>2014</v>
      </c>
      <c r="E380">
        <v>1836.23</v>
      </c>
      <c r="F380">
        <v>0</v>
      </c>
      <c r="G380" t="s">
        <v>2020</v>
      </c>
      <c r="H380" t="s">
        <v>2027</v>
      </c>
      <c r="I380" t="s">
        <v>2406</v>
      </c>
      <c r="J380" t="s">
        <v>4028</v>
      </c>
      <c r="K380" t="s">
        <v>4042</v>
      </c>
      <c r="L380">
        <v>-1836.23</v>
      </c>
    </row>
    <row r="381" spans="1:12">
      <c r="A381" t="s">
        <v>391</v>
      </c>
      <c r="B381" s="2">
        <v>45549</v>
      </c>
      <c r="C381">
        <v>6000</v>
      </c>
      <c r="D381" t="s">
        <v>2014</v>
      </c>
      <c r="E381">
        <v>1033.93</v>
      </c>
      <c r="F381">
        <v>0</v>
      </c>
      <c r="G381" t="s">
        <v>2022</v>
      </c>
      <c r="H381" t="s">
        <v>2024</v>
      </c>
      <c r="I381" t="s">
        <v>2407</v>
      </c>
      <c r="J381" t="s">
        <v>4031</v>
      </c>
      <c r="K381" t="s">
        <v>4048</v>
      </c>
      <c r="L381">
        <v>-1033.93</v>
      </c>
    </row>
    <row r="382" spans="1:12">
      <c r="A382" t="s">
        <v>392</v>
      </c>
      <c r="B382" s="2">
        <v>45110</v>
      </c>
      <c r="C382">
        <v>5010</v>
      </c>
      <c r="D382" t="s">
        <v>2015</v>
      </c>
      <c r="E382">
        <v>64.73</v>
      </c>
      <c r="F382">
        <v>0</v>
      </c>
      <c r="G382" t="s">
        <v>2018</v>
      </c>
      <c r="H382" t="s">
        <v>2026</v>
      </c>
      <c r="I382" t="s">
        <v>2408</v>
      </c>
      <c r="J382" t="s">
        <v>4031</v>
      </c>
      <c r="K382" t="s">
        <v>4050</v>
      </c>
      <c r="L382">
        <v>-64.73</v>
      </c>
    </row>
    <row r="383" spans="1:12">
      <c r="A383" t="s">
        <v>393</v>
      </c>
      <c r="B383" s="2">
        <v>44956</v>
      </c>
      <c r="C383">
        <v>5010</v>
      </c>
      <c r="D383" t="s">
        <v>2015</v>
      </c>
      <c r="E383">
        <v>891.36</v>
      </c>
      <c r="F383">
        <v>0</v>
      </c>
      <c r="G383" t="s">
        <v>2020</v>
      </c>
      <c r="H383" t="s">
        <v>2025</v>
      </c>
      <c r="I383" t="s">
        <v>2409</v>
      </c>
      <c r="J383" t="s">
        <v>4029</v>
      </c>
      <c r="K383" t="s">
        <v>4047</v>
      </c>
      <c r="L383">
        <v>-891.36</v>
      </c>
    </row>
    <row r="384" spans="1:12">
      <c r="A384" t="s">
        <v>394</v>
      </c>
      <c r="B384" s="2">
        <v>45042</v>
      </c>
      <c r="C384">
        <v>5010</v>
      </c>
      <c r="D384" t="s">
        <v>2015</v>
      </c>
      <c r="E384">
        <v>983.92</v>
      </c>
      <c r="F384">
        <v>0</v>
      </c>
      <c r="G384" t="s">
        <v>2021</v>
      </c>
      <c r="H384" t="s">
        <v>2026</v>
      </c>
      <c r="I384" t="s">
        <v>2410</v>
      </c>
      <c r="J384" t="s">
        <v>4030</v>
      </c>
      <c r="K384" t="s">
        <v>4041</v>
      </c>
      <c r="L384">
        <v>-983.92</v>
      </c>
    </row>
    <row r="385" spans="1:12">
      <c r="A385" t="s">
        <v>395</v>
      </c>
      <c r="B385" s="2">
        <v>44966</v>
      </c>
      <c r="C385">
        <v>5010</v>
      </c>
      <c r="D385" t="s">
        <v>2015</v>
      </c>
      <c r="E385">
        <v>412.44</v>
      </c>
      <c r="F385">
        <v>0</v>
      </c>
      <c r="G385" t="s">
        <v>2017</v>
      </c>
      <c r="H385" t="s">
        <v>2027</v>
      </c>
      <c r="I385" t="s">
        <v>2411</v>
      </c>
      <c r="J385" t="s">
        <v>4029</v>
      </c>
      <c r="K385" t="s">
        <v>4057</v>
      </c>
      <c r="L385">
        <v>-412.44</v>
      </c>
    </row>
    <row r="386" spans="1:12">
      <c r="A386" t="s">
        <v>396</v>
      </c>
      <c r="B386" s="2">
        <v>45058</v>
      </c>
      <c r="C386">
        <v>4010</v>
      </c>
      <c r="D386" t="s">
        <v>2016</v>
      </c>
      <c r="E386">
        <v>0</v>
      </c>
      <c r="F386">
        <v>2409.8200000000002</v>
      </c>
      <c r="G386" t="s">
        <v>2017</v>
      </c>
      <c r="H386" t="s">
        <v>2023</v>
      </c>
      <c r="I386" t="s">
        <v>2412</v>
      </c>
      <c r="J386" t="s">
        <v>4032</v>
      </c>
      <c r="K386" t="s">
        <v>4062</v>
      </c>
      <c r="L386">
        <v>2409.8200000000002</v>
      </c>
    </row>
    <row r="387" spans="1:12">
      <c r="A387" t="s">
        <v>397</v>
      </c>
      <c r="B387" s="2">
        <v>45792</v>
      </c>
      <c r="C387">
        <v>5010</v>
      </c>
      <c r="D387" t="s">
        <v>2015</v>
      </c>
      <c r="E387">
        <v>1490.61</v>
      </c>
      <c r="F387">
        <v>0</v>
      </c>
      <c r="G387" t="s">
        <v>2022</v>
      </c>
      <c r="H387" t="s">
        <v>2023</v>
      </c>
      <c r="I387" t="s">
        <v>2413</v>
      </c>
      <c r="J387" t="s">
        <v>4032</v>
      </c>
      <c r="K387" t="s">
        <v>4038</v>
      </c>
      <c r="L387">
        <v>-1490.61</v>
      </c>
    </row>
    <row r="388" spans="1:12">
      <c r="A388" t="s">
        <v>398</v>
      </c>
      <c r="B388" s="2">
        <v>45528</v>
      </c>
      <c r="C388">
        <v>4000</v>
      </c>
      <c r="D388" t="s">
        <v>2012</v>
      </c>
      <c r="E388">
        <v>0</v>
      </c>
      <c r="F388">
        <v>2946.46</v>
      </c>
      <c r="G388" t="s">
        <v>2017</v>
      </c>
      <c r="H388" t="s">
        <v>2025</v>
      </c>
      <c r="I388" t="s">
        <v>2414</v>
      </c>
      <c r="J388" t="s">
        <v>4028</v>
      </c>
      <c r="K388" t="s">
        <v>4058</v>
      </c>
      <c r="L388">
        <v>2946.46</v>
      </c>
    </row>
    <row r="389" spans="1:12">
      <c r="A389" t="s">
        <v>399</v>
      </c>
      <c r="B389" s="2">
        <v>45548</v>
      </c>
      <c r="C389">
        <v>6000</v>
      </c>
      <c r="D389" t="s">
        <v>2014</v>
      </c>
      <c r="E389">
        <v>542.61</v>
      </c>
      <c r="F389">
        <v>0</v>
      </c>
      <c r="G389" t="s">
        <v>2021</v>
      </c>
      <c r="H389" t="s">
        <v>2026</v>
      </c>
      <c r="I389" t="s">
        <v>2415</v>
      </c>
      <c r="J389" t="s">
        <v>4031</v>
      </c>
      <c r="K389" t="s">
        <v>4048</v>
      </c>
      <c r="L389">
        <v>-542.61</v>
      </c>
    </row>
    <row r="390" spans="1:12">
      <c r="A390" t="s">
        <v>400</v>
      </c>
      <c r="B390" s="2">
        <v>45252</v>
      </c>
      <c r="C390">
        <v>4010</v>
      </c>
      <c r="D390" t="s">
        <v>2016</v>
      </c>
      <c r="E390">
        <v>0</v>
      </c>
      <c r="F390">
        <v>3453.36</v>
      </c>
      <c r="G390" t="s">
        <v>2017</v>
      </c>
      <c r="H390" t="s">
        <v>2025</v>
      </c>
      <c r="I390" t="s">
        <v>2416</v>
      </c>
      <c r="J390" t="s">
        <v>4029</v>
      </c>
      <c r="K390" t="s">
        <v>4042</v>
      </c>
      <c r="L390">
        <v>3453.36</v>
      </c>
    </row>
    <row r="391" spans="1:12">
      <c r="A391" t="s">
        <v>401</v>
      </c>
      <c r="B391" s="2">
        <v>45317</v>
      </c>
      <c r="C391">
        <v>5000</v>
      </c>
      <c r="D391" t="s">
        <v>2013</v>
      </c>
      <c r="E391">
        <v>1550.28</v>
      </c>
      <c r="F391">
        <v>0</v>
      </c>
      <c r="G391" t="s">
        <v>2018</v>
      </c>
      <c r="H391" t="s">
        <v>2025</v>
      </c>
      <c r="I391" t="s">
        <v>2417</v>
      </c>
      <c r="J391" t="s">
        <v>4028</v>
      </c>
      <c r="K391" t="s">
        <v>4053</v>
      </c>
      <c r="L391">
        <v>-1550.28</v>
      </c>
    </row>
    <row r="392" spans="1:12">
      <c r="A392" t="s">
        <v>402</v>
      </c>
      <c r="B392" s="2">
        <v>45164</v>
      </c>
      <c r="C392">
        <v>4010</v>
      </c>
      <c r="D392" t="s">
        <v>2016</v>
      </c>
      <c r="E392">
        <v>0</v>
      </c>
      <c r="F392">
        <v>2348.4</v>
      </c>
      <c r="G392" t="s">
        <v>2022</v>
      </c>
      <c r="H392" t="s">
        <v>2027</v>
      </c>
      <c r="I392" t="s">
        <v>2418</v>
      </c>
      <c r="J392" t="s">
        <v>4032</v>
      </c>
      <c r="K392" t="s">
        <v>4037</v>
      </c>
      <c r="L392">
        <v>2348.4</v>
      </c>
    </row>
    <row r="393" spans="1:12">
      <c r="A393" t="s">
        <v>403</v>
      </c>
      <c r="B393" s="2">
        <v>45128</v>
      </c>
      <c r="C393">
        <v>5000</v>
      </c>
      <c r="D393" t="s">
        <v>2013</v>
      </c>
      <c r="E393">
        <v>761.57</v>
      </c>
      <c r="F393">
        <v>0</v>
      </c>
      <c r="G393" t="s">
        <v>2018</v>
      </c>
      <c r="H393" t="s">
        <v>2023</v>
      </c>
      <c r="I393" t="s">
        <v>2419</v>
      </c>
      <c r="J393" t="s">
        <v>4029</v>
      </c>
      <c r="K393" t="s">
        <v>4050</v>
      </c>
      <c r="L393">
        <v>-761.57</v>
      </c>
    </row>
    <row r="394" spans="1:12">
      <c r="A394" t="s">
        <v>404</v>
      </c>
      <c r="B394" s="2">
        <v>45233</v>
      </c>
      <c r="C394">
        <v>4000</v>
      </c>
      <c r="D394" t="s">
        <v>2012</v>
      </c>
      <c r="E394">
        <v>0</v>
      </c>
      <c r="F394">
        <v>958.3</v>
      </c>
      <c r="G394" t="s">
        <v>2018</v>
      </c>
      <c r="H394" t="s">
        <v>2026</v>
      </c>
      <c r="I394" t="s">
        <v>2420</v>
      </c>
      <c r="J394" t="s">
        <v>4032</v>
      </c>
      <c r="K394" t="s">
        <v>4042</v>
      </c>
      <c r="L394">
        <v>958.3</v>
      </c>
    </row>
    <row r="395" spans="1:12">
      <c r="A395" t="s">
        <v>405</v>
      </c>
      <c r="B395" s="2">
        <v>45690</v>
      </c>
      <c r="C395">
        <v>5000</v>
      </c>
      <c r="D395" t="s">
        <v>2013</v>
      </c>
      <c r="E395">
        <v>618.6</v>
      </c>
      <c r="F395">
        <v>0</v>
      </c>
      <c r="G395" t="s">
        <v>2021</v>
      </c>
      <c r="H395" t="s">
        <v>2023</v>
      </c>
      <c r="I395" t="s">
        <v>2421</v>
      </c>
      <c r="J395" t="s">
        <v>4031</v>
      </c>
      <c r="K395" t="s">
        <v>4061</v>
      </c>
      <c r="L395">
        <v>-618.6</v>
      </c>
    </row>
    <row r="396" spans="1:12">
      <c r="A396" t="s">
        <v>406</v>
      </c>
      <c r="B396" s="2">
        <v>45204</v>
      </c>
      <c r="C396">
        <v>4000</v>
      </c>
      <c r="D396" t="s">
        <v>2012</v>
      </c>
      <c r="E396">
        <v>0</v>
      </c>
      <c r="F396">
        <v>334.65</v>
      </c>
      <c r="G396" t="s">
        <v>2020</v>
      </c>
      <c r="H396" t="s">
        <v>2023</v>
      </c>
      <c r="I396" t="s">
        <v>2422</v>
      </c>
      <c r="J396" t="s">
        <v>4028</v>
      </c>
      <c r="K396" t="s">
        <v>4060</v>
      </c>
      <c r="L396">
        <v>334.65</v>
      </c>
    </row>
    <row r="397" spans="1:12">
      <c r="A397" t="s">
        <v>407</v>
      </c>
      <c r="B397" s="2">
        <v>45525</v>
      </c>
      <c r="C397">
        <v>5000</v>
      </c>
      <c r="D397" t="s">
        <v>2013</v>
      </c>
      <c r="E397">
        <v>1922.54</v>
      </c>
      <c r="F397">
        <v>0</v>
      </c>
      <c r="G397" t="s">
        <v>2020</v>
      </c>
      <c r="H397" t="s">
        <v>2027</v>
      </c>
      <c r="I397" t="s">
        <v>2423</v>
      </c>
      <c r="J397" t="s">
        <v>4031</v>
      </c>
      <c r="K397" t="s">
        <v>4058</v>
      </c>
      <c r="L397">
        <v>-1922.54</v>
      </c>
    </row>
    <row r="398" spans="1:12">
      <c r="A398" t="s">
        <v>408</v>
      </c>
      <c r="B398" s="2">
        <v>45146</v>
      </c>
      <c r="C398">
        <v>4000</v>
      </c>
      <c r="D398" t="s">
        <v>2012</v>
      </c>
      <c r="E398">
        <v>0</v>
      </c>
      <c r="F398">
        <v>3519.07</v>
      </c>
      <c r="G398" t="s">
        <v>2018</v>
      </c>
      <c r="H398" t="s">
        <v>2024</v>
      </c>
      <c r="I398" t="s">
        <v>2424</v>
      </c>
      <c r="J398" t="s">
        <v>4030</v>
      </c>
      <c r="K398" t="s">
        <v>4037</v>
      </c>
      <c r="L398">
        <v>3519.07</v>
      </c>
    </row>
    <row r="399" spans="1:12">
      <c r="A399" t="s">
        <v>409</v>
      </c>
      <c r="B399" s="2">
        <v>44983</v>
      </c>
      <c r="C399">
        <v>5010</v>
      </c>
      <c r="D399" t="s">
        <v>2015</v>
      </c>
      <c r="E399">
        <v>1944.25</v>
      </c>
      <c r="F399">
        <v>0</v>
      </c>
      <c r="G399" t="s">
        <v>2018</v>
      </c>
      <c r="H399" t="s">
        <v>2027</v>
      </c>
      <c r="I399" t="s">
        <v>2425</v>
      </c>
      <c r="J399" t="s">
        <v>4032</v>
      </c>
      <c r="K399" t="s">
        <v>4057</v>
      </c>
      <c r="L399">
        <v>-1944.25</v>
      </c>
    </row>
    <row r="400" spans="1:12">
      <c r="A400" t="s">
        <v>410</v>
      </c>
      <c r="B400" s="2">
        <v>44957</v>
      </c>
      <c r="C400">
        <v>5000</v>
      </c>
      <c r="D400" t="s">
        <v>2013</v>
      </c>
      <c r="E400">
        <v>51.54</v>
      </c>
      <c r="F400">
        <v>0</v>
      </c>
      <c r="G400" t="s">
        <v>2019</v>
      </c>
      <c r="H400" t="s">
        <v>2025</v>
      </c>
      <c r="I400" t="s">
        <v>2426</v>
      </c>
      <c r="J400" t="s">
        <v>4028</v>
      </c>
      <c r="K400" t="s">
        <v>4047</v>
      </c>
      <c r="L400">
        <v>-51.54</v>
      </c>
    </row>
    <row r="401" spans="1:12">
      <c r="A401" t="s">
        <v>411</v>
      </c>
      <c r="B401" s="2">
        <v>45526</v>
      </c>
      <c r="C401">
        <v>4010</v>
      </c>
      <c r="D401" t="s">
        <v>2016</v>
      </c>
      <c r="E401">
        <v>0</v>
      </c>
      <c r="F401">
        <v>952.59</v>
      </c>
      <c r="G401" t="s">
        <v>2018</v>
      </c>
      <c r="H401" t="s">
        <v>2024</v>
      </c>
      <c r="I401" t="s">
        <v>2427</v>
      </c>
      <c r="J401" t="s">
        <v>4028</v>
      </c>
      <c r="K401" t="s">
        <v>4058</v>
      </c>
      <c r="L401">
        <v>952.59</v>
      </c>
    </row>
    <row r="402" spans="1:12">
      <c r="A402" t="s">
        <v>412</v>
      </c>
      <c r="B402" s="2">
        <v>45493</v>
      </c>
      <c r="C402">
        <v>5010</v>
      </c>
      <c r="D402" t="s">
        <v>2015</v>
      </c>
      <c r="E402">
        <v>312.45</v>
      </c>
      <c r="F402">
        <v>0</v>
      </c>
      <c r="G402" t="s">
        <v>2018</v>
      </c>
      <c r="H402" t="s">
        <v>2023</v>
      </c>
      <c r="I402" t="s">
        <v>2428</v>
      </c>
      <c r="J402" t="s">
        <v>4028</v>
      </c>
      <c r="K402" t="s">
        <v>4054</v>
      </c>
      <c r="L402">
        <v>-312.45</v>
      </c>
    </row>
    <row r="403" spans="1:12">
      <c r="A403" t="s">
        <v>413</v>
      </c>
      <c r="B403" s="2">
        <v>45679</v>
      </c>
      <c r="C403">
        <v>5010</v>
      </c>
      <c r="D403" t="s">
        <v>2015</v>
      </c>
      <c r="E403">
        <v>571.80999999999995</v>
      </c>
      <c r="F403">
        <v>0</v>
      </c>
      <c r="G403" t="s">
        <v>2020</v>
      </c>
      <c r="H403" t="s">
        <v>2026</v>
      </c>
      <c r="I403" t="s">
        <v>2429</v>
      </c>
      <c r="J403" t="s">
        <v>4029</v>
      </c>
      <c r="K403" t="s">
        <v>4035</v>
      </c>
      <c r="L403">
        <v>-571.80999999999995</v>
      </c>
    </row>
    <row r="404" spans="1:12">
      <c r="A404" t="s">
        <v>414</v>
      </c>
      <c r="B404" s="2">
        <v>45647</v>
      </c>
      <c r="C404">
        <v>5010</v>
      </c>
      <c r="D404" t="s">
        <v>2015</v>
      </c>
      <c r="E404">
        <v>750.55</v>
      </c>
      <c r="F404">
        <v>0</v>
      </c>
      <c r="G404" t="s">
        <v>2018</v>
      </c>
      <c r="H404" t="s">
        <v>2025</v>
      </c>
      <c r="I404" t="s">
        <v>2430</v>
      </c>
      <c r="J404" t="s">
        <v>4032</v>
      </c>
      <c r="K404" t="s">
        <v>4056</v>
      </c>
      <c r="L404">
        <v>-750.55</v>
      </c>
    </row>
    <row r="405" spans="1:12">
      <c r="A405" t="s">
        <v>415</v>
      </c>
      <c r="B405" s="2">
        <v>44985</v>
      </c>
      <c r="C405">
        <v>4010</v>
      </c>
      <c r="D405" t="s">
        <v>2016</v>
      </c>
      <c r="E405">
        <v>0</v>
      </c>
      <c r="F405">
        <v>4835.87</v>
      </c>
      <c r="G405" t="s">
        <v>2019</v>
      </c>
      <c r="H405" t="s">
        <v>2023</v>
      </c>
      <c r="I405" t="s">
        <v>2431</v>
      </c>
      <c r="J405" t="s">
        <v>4029</v>
      </c>
      <c r="K405" t="s">
        <v>4057</v>
      </c>
      <c r="L405">
        <v>4835.87</v>
      </c>
    </row>
    <row r="406" spans="1:12">
      <c r="A406" t="s">
        <v>416</v>
      </c>
      <c r="B406" s="2">
        <v>45684</v>
      </c>
      <c r="C406">
        <v>4000</v>
      </c>
      <c r="D406" t="s">
        <v>2012</v>
      </c>
      <c r="E406">
        <v>0</v>
      </c>
      <c r="F406">
        <v>2979.48</v>
      </c>
      <c r="G406" t="s">
        <v>2022</v>
      </c>
      <c r="H406" t="s">
        <v>2023</v>
      </c>
      <c r="I406" t="s">
        <v>2432</v>
      </c>
      <c r="J406" t="s">
        <v>4028</v>
      </c>
      <c r="K406" t="s">
        <v>4035</v>
      </c>
      <c r="L406">
        <v>2979.48</v>
      </c>
    </row>
    <row r="407" spans="1:12">
      <c r="A407" t="s">
        <v>417</v>
      </c>
      <c r="B407" s="2">
        <v>45432</v>
      </c>
      <c r="C407">
        <v>5000</v>
      </c>
      <c r="D407" t="s">
        <v>2013</v>
      </c>
      <c r="E407">
        <v>1288.94</v>
      </c>
      <c r="F407">
        <v>0</v>
      </c>
      <c r="G407" t="s">
        <v>2017</v>
      </c>
      <c r="H407" t="s">
        <v>2023</v>
      </c>
      <c r="I407" t="s">
        <v>2433</v>
      </c>
      <c r="J407" t="s">
        <v>4028</v>
      </c>
      <c r="K407" t="s">
        <v>4033</v>
      </c>
      <c r="L407">
        <v>-1288.94</v>
      </c>
    </row>
    <row r="408" spans="1:12">
      <c r="A408" t="s">
        <v>418</v>
      </c>
      <c r="B408" s="2">
        <v>45055</v>
      </c>
      <c r="C408">
        <v>5000</v>
      </c>
      <c r="D408" t="s">
        <v>2013</v>
      </c>
      <c r="E408">
        <v>578.6</v>
      </c>
      <c r="F408">
        <v>0</v>
      </c>
      <c r="G408" t="s">
        <v>2017</v>
      </c>
      <c r="H408" t="s">
        <v>2026</v>
      </c>
      <c r="I408" t="s">
        <v>2434</v>
      </c>
      <c r="J408" t="s">
        <v>4030</v>
      </c>
      <c r="K408" t="s">
        <v>4062</v>
      </c>
      <c r="L408">
        <v>-578.6</v>
      </c>
    </row>
    <row r="409" spans="1:12">
      <c r="A409" t="s">
        <v>419</v>
      </c>
      <c r="B409" s="2">
        <v>45742</v>
      </c>
      <c r="C409">
        <v>5000</v>
      </c>
      <c r="D409" t="s">
        <v>2013</v>
      </c>
      <c r="E409">
        <v>341.06</v>
      </c>
      <c r="F409">
        <v>0</v>
      </c>
      <c r="G409" t="s">
        <v>2022</v>
      </c>
      <c r="H409" t="s">
        <v>2027</v>
      </c>
      <c r="I409" t="s">
        <v>2435</v>
      </c>
      <c r="J409" t="s">
        <v>4030</v>
      </c>
      <c r="K409" t="s">
        <v>4046</v>
      </c>
      <c r="L409">
        <v>-341.06</v>
      </c>
    </row>
    <row r="410" spans="1:12">
      <c r="A410" t="s">
        <v>420</v>
      </c>
      <c r="B410" s="2">
        <v>45390</v>
      </c>
      <c r="C410">
        <v>5010</v>
      </c>
      <c r="D410" t="s">
        <v>2015</v>
      </c>
      <c r="E410">
        <v>1074.77</v>
      </c>
      <c r="F410">
        <v>0</v>
      </c>
      <c r="G410" t="s">
        <v>2018</v>
      </c>
      <c r="H410" t="s">
        <v>2026</v>
      </c>
      <c r="I410" t="s">
        <v>2436</v>
      </c>
      <c r="J410" t="s">
        <v>4029</v>
      </c>
      <c r="K410" t="s">
        <v>4040</v>
      </c>
      <c r="L410">
        <v>-1074.77</v>
      </c>
    </row>
    <row r="411" spans="1:12">
      <c r="A411" t="s">
        <v>421</v>
      </c>
      <c r="B411" s="2">
        <v>45433</v>
      </c>
      <c r="C411">
        <v>4010</v>
      </c>
      <c r="D411" t="s">
        <v>2016</v>
      </c>
      <c r="E411">
        <v>0</v>
      </c>
      <c r="F411">
        <v>1025.56</v>
      </c>
      <c r="G411" t="s">
        <v>2018</v>
      </c>
      <c r="H411" t="s">
        <v>2023</v>
      </c>
      <c r="I411" t="s">
        <v>2437</v>
      </c>
      <c r="J411" t="s">
        <v>4028</v>
      </c>
      <c r="K411" t="s">
        <v>4033</v>
      </c>
      <c r="L411">
        <v>1025.56</v>
      </c>
    </row>
    <row r="412" spans="1:12">
      <c r="A412" t="s">
        <v>422</v>
      </c>
      <c r="B412" s="2">
        <v>45368</v>
      </c>
      <c r="C412">
        <v>4000</v>
      </c>
      <c r="D412" t="s">
        <v>2012</v>
      </c>
      <c r="E412">
        <v>0</v>
      </c>
      <c r="F412">
        <v>1148.8499999999999</v>
      </c>
      <c r="G412" t="s">
        <v>2021</v>
      </c>
      <c r="H412" t="s">
        <v>2025</v>
      </c>
      <c r="I412" t="s">
        <v>2438</v>
      </c>
      <c r="J412" t="s">
        <v>4028</v>
      </c>
      <c r="K412" t="s">
        <v>4049</v>
      </c>
      <c r="L412">
        <v>1148.8499999999999</v>
      </c>
    </row>
    <row r="413" spans="1:12">
      <c r="A413" t="s">
        <v>423</v>
      </c>
      <c r="B413" s="2">
        <v>45242</v>
      </c>
      <c r="C413">
        <v>5000</v>
      </c>
      <c r="D413" t="s">
        <v>2013</v>
      </c>
      <c r="E413">
        <v>1644.1</v>
      </c>
      <c r="F413">
        <v>0</v>
      </c>
      <c r="G413" t="s">
        <v>2017</v>
      </c>
      <c r="H413" t="s">
        <v>2025</v>
      </c>
      <c r="I413" t="s">
        <v>2439</v>
      </c>
      <c r="J413" t="s">
        <v>4029</v>
      </c>
      <c r="K413" t="s">
        <v>4042</v>
      </c>
      <c r="L413">
        <v>-1644.1</v>
      </c>
    </row>
    <row r="414" spans="1:12">
      <c r="A414" t="s">
        <v>424</v>
      </c>
      <c r="B414" s="2">
        <v>45308</v>
      </c>
      <c r="C414">
        <v>4010</v>
      </c>
      <c r="D414" t="s">
        <v>2016</v>
      </c>
      <c r="E414">
        <v>0</v>
      </c>
      <c r="F414">
        <v>3002.11</v>
      </c>
      <c r="G414" t="s">
        <v>2020</v>
      </c>
      <c r="H414" t="s">
        <v>2025</v>
      </c>
      <c r="I414" t="s">
        <v>2440</v>
      </c>
      <c r="J414" t="s">
        <v>4028</v>
      </c>
      <c r="K414" t="s">
        <v>4053</v>
      </c>
      <c r="L414">
        <v>3002.11</v>
      </c>
    </row>
    <row r="415" spans="1:12">
      <c r="A415" t="s">
        <v>425</v>
      </c>
      <c r="B415" s="2">
        <v>45338</v>
      </c>
      <c r="C415">
        <v>5010</v>
      </c>
      <c r="D415" t="s">
        <v>2015</v>
      </c>
      <c r="E415">
        <v>327.57</v>
      </c>
      <c r="F415">
        <v>0</v>
      </c>
      <c r="G415" t="s">
        <v>2018</v>
      </c>
      <c r="H415" t="s">
        <v>2027</v>
      </c>
      <c r="I415" t="s">
        <v>2441</v>
      </c>
      <c r="J415" t="s">
        <v>4029</v>
      </c>
      <c r="K415" t="s">
        <v>4044</v>
      </c>
      <c r="L415">
        <v>-327.57</v>
      </c>
    </row>
    <row r="416" spans="1:12">
      <c r="A416" t="s">
        <v>426</v>
      </c>
      <c r="B416" s="2">
        <v>45167</v>
      </c>
      <c r="C416">
        <v>4000</v>
      </c>
      <c r="D416" t="s">
        <v>2012</v>
      </c>
      <c r="E416">
        <v>0</v>
      </c>
      <c r="F416">
        <v>2146.0700000000002</v>
      </c>
      <c r="G416" t="s">
        <v>2020</v>
      </c>
      <c r="H416" t="s">
        <v>2023</v>
      </c>
      <c r="I416" t="s">
        <v>2442</v>
      </c>
      <c r="J416" t="s">
        <v>4030</v>
      </c>
      <c r="K416" t="s">
        <v>4037</v>
      </c>
      <c r="L416">
        <v>2146.0700000000002</v>
      </c>
    </row>
    <row r="417" spans="1:12">
      <c r="A417" t="s">
        <v>427</v>
      </c>
      <c r="B417" s="2">
        <v>45517</v>
      </c>
      <c r="C417">
        <v>4000</v>
      </c>
      <c r="D417" t="s">
        <v>2012</v>
      </c>
      <c r="E417">
        <v>0</v>
      </c>
      <c r="F417">
        <v>811.92</v>
      </c>
      <c r="G417" t="s">
        <v>2018</v>
      </c>
      <c r="H417" t="s">
        <v>2023</v>
      </c>
      <c r="I417" t="s">
        <v>2443</v>
      </c>
      <c r="J417" t="s">
        <v>4030</v>
      </c>
      <c r="K417" t="s">
        <v>4058</v>
      </c>
      <c r="L417">
        <v>811.92</v>
      </c>
    </row>
    <row r="418" spans="1:12">
      <c r="A418" t="s">
        <v>428</v>
      </c>
      <c r="B418" s="2">
        <v>45513</v>
      </c>
      <c r="C418">
        <v>5000</v>
      </c>
      <c r="D418" t="s">
        <v>2013</v>
      </c>
      <c r="E418">
        <v>943.91</v>
      </c>
      <c r="F418">
        <v>0</v>
      </c>
      <c r="G418" t="s">
        <v>2018</v>
      </c>
      <c r="H418" t="s">
        <v>2026</v>
      </c>
      <c r="I418" t="s">
        <v>2444</v>
      </c>
      <c r="J418" t="s">
        <v>4031</v>
      </c>
      <c r="K418" t="s">
        <v>4058</v>
      </c>
      <c r="L418">
        <v>-943.91</v>
      </c>
    </row>
    <row r="419" spans="1:12">
      <c r="A419" t="s">
        <v>429</v>
      </c>
      <c r="B419" s="2">
        <v>45667</v>
      </c>
      <c r="C419">
        <v>5000</v>
      </c>
      <c r="D419" t="s">
        <v>2013</v>
      </c>
      <c r="E419">
        <v>453.48</v>
      </c>
      <c r="F419">
        <v>0</v>
      </c>
      <c r="G419" t="s">
        <v>2017</v>
      </c>
      <c r="H419" t="s">
        <v>2023</v>
      </c>
      <c r="I419" t="s">
        <v>2445</v>
      </c>
      <c r="J419" t="s">
        <v>4031</v>
      </c>
      <c r="K419" t="s">
        <v>4035</v>
      </c>
      <c r="L419">
        <v>-453.48</v>
      </c>
    </row>
    <row r="420" spans="1:12">
      <c r="A420" t="s">
        <v>430</v>
      </c>
      <c r="B420" s="2">
        <v>45120</v>
      </c>
      <c r="C420">
        <v>4000</v>
      </c>
      <c r="D420" t="s">
        <v>2012</v>
      </c>
      <c r="E420">
        <v>0</v>
      </c>
      <c r="F420">
        <v>4075.25</v>
      </c>
      <c r="G420" t="s">
        <v>2018</v>
      </c>
      <c r="H420" t="s">
        <v>2024</v>
      </c>
      <c r="I420" t="s">
        <v>2446</v>
      </c>
      <c r="J420" t="s">
        <v>4031</v>
      </c>
      <c r="K420" t="s">
        <v>4050</v>
      </c>
      <c r="L420">
        <v>4075.25</v>
      </c>
    </row>
    <row r="421" spans="1:12">
      <c r="A421" t="s">
        <v>431</v>
      </c>
      <c r="B421" s="2">
        <v>45333</v>
      </c>
      <c r="C421">
        <v>4000</v>
      </c>
      <c r="D421" t="s">
        <v>2012</v>
      </c>
      <c r="E421">
        <v>0</v>
      </c>
      <c r="F421">
        <v>4559.4399999999996</v>
      </c>
      <c r="G421" t="s">
        <v>2021</v>
      </c>
      <c r="H421" t="s">
        <v>2027</v>
      </c>
      <c r="I421" t="s">
        <v>2447</v>
      </c>
      <c r="J421" t="s">
        <v>4028</v>
      </c>
      <c r="K421" t="s">
        <v>4044</v>
      </c>
      <c r="L421">
        <v>4559.4399999999996</v>
      </c>
    </row>
    <row r="422" spans="1:12">
      <c r="A422" t="s">
        <v>432</v>
      </c>
      <c r="B422" s="2">
        <v>45745</v>
      </c>
      <c r="C422">
        <v>5010</v>
      </c>
      <c r="D422" t="s">
        <v>2015</v>
      </c>
      <c r="E422">
        <v>50.64</v>
      </c>
      <c r="F422">
        <v>0</v>
      </c>
      <c r="G422" t="s">
        <v>2017</v>
      </c>
      <c r="H422" t="s">
        <v>2025</v>
      </c>
      <c r="I422" t="s">
        <v>2448</v>
      </c>
      <c r="J422" t="s">
        <v>4029</v>
      </c>
      <c r="K422" t="s">
        <v>4046</v>
      </c>
      <c r="L422">
        <v>-50.64</v>
      </c>
    </row>
    <row r="423" spans="1:12">
      <c r="A423" t="s">
        <v>433</v>
      </c>
      <c r="B423" s="2">
        <v>45114</v>
      </c>
      <c r="C423">
        <v>5000</v>
      </c>
      <c r="D423" t="s">
        <v>2013</v>
      </c>
      <c r="E423">
        <v>1277.92</v>
      </c>
      <c r="F423">
        <v>0</v>
      </c>
      <c r="G423" t="s">
        <v>2018</v>
      </c>
      <c r="H423" t="s">
        <v>2027</v>
      </c>
      <c r="I423" t="s">
        <v>2449</v>
      </c>
      <c r="J423" t="s">
        <v>4029</v>
      </c>
      <c r="K423" t="s">
        <v>4050</v>
      </c>
      <c r="L423">
        <v>-1277.92</v>
      </c>
    </row>
    <row r="424" spans="1:12">
      <c r="A424" t="s">
        <v>434</v>
      </c>
      <c r="B424" s="2">
        <v>45249</v>
      </c>
      <c r="C424">
        <v>5010</v>
      </c>
      <c r="D424" t="s">
        <v>2015</v>
      </c>
      <c r="E424">
        <v>707.53</v>
      </c>
      <c r="F424">
        <v>0</v>
      </c>
      <c r="G424" t="s">
        <v>2018</v>
      </c>
      <c r="H424" t="s">
        <v>2025</v>
      </c>
      <c r="I424" t="s">
        <v>2450</v>
      </c>
      <c r="J424" t="s">
        <v>4031</v>
      </c>
      <c r="K424" t="s">
        <v>4042</v>
      </c>
      <c r="L424">
        <v>-707.53</v>
      </c>
    </row>
    <row r="425" spans="1:12">
      <c r="A425" t="s">
        <v>435</v>
      </c>
      <c r="B425" s="2">
        <v>45336</v>
      </c>
      <c r="C425">
        <v>6000</v>
      </c>
      <c r="D425" t="s">
        <v>2014</v>
      </c>
      <c r="E425">
        <v>356.21</v>
      </c>
      <c r="F425">
        <v>0</v>
      </c>
      <c r="G425" t="s">
        <v>2022</v>
      </c>
      <c r="H425" t="s">
        <v>2023</v>
      </c>
      <c r="I425" t="s">
        <v>2451</v>
      </c>
      <c r="J425" t="s">
        <v>4029</v>
      </c>
      <c r="K425" t="s">
        <v>4044</v>
      </c>
      <c r="L425">
        <v>-356.21</v>
      </c>
    </row>
    <row r="426" spans="1:12">
      <c r="A426" t="s">
        <v>436</v>
      </c>
      <c r="B426" s="2">
        <v>45611</v>
      </c>
      <c r="C426">
        <v>5010</v>
      </c>
      <c r="D426" t="s">
        <v>2015</v>
      </c>
      <c r="E426">
        <v>189.31</v>
      </c>
      <c r="F426">
        <v>0</v>
      </c>
      <c r="G426" t="s">
        <v>2018</v>
      </c>
      <c r="H426" t="s">
        <v>2027</v>
      </c>
      <c r="I426" t="s">
        <v>2452</v>
      </c>
      <c r="J426" t="s">
        <v>4029</v>
      </c>
      <c r="K426" t="s">
        <v>4043</v>
      </c>
      <c r="L426">
        <v>-189.31</v>
      </c>
    </row>
    <row r="427" spans="1:12">
      <c r="A427" t="s">
        <v>437</v>
      </c>
      <c r="B427" s="2">
        <v>45319</v>
      </c>
      <c r="C427">
        <v>6000</v>
      </c>
      <c r="D427" t="s">
        <v>2014</v>
      </c>
      <c r="E427">
        <v>519.61</v>
      </c>
      <c r="F427">
        <v>0</v>
      </c>
      <c r="G427" t="s">
        <v>2020</v>
      </c>
      <c r="H427" t="s">
        <v>2024</v>
      </c>
      <c r="I427" t="s">
        <v>2453</v>
      </c>
      <c r="J427" t="s">
        <v>4028</v>
      </c>
      <c r="K427" t="s">
        <v>4053</v>
      </c>
      <c r="L427">
        <v>-519.61</v>
      </c>
    </row>
    <row r="428" spans="1:12">
      <c r="A428" t="s">
        <v>438</v>
      </c>
      <c r="B428" s="2">
        <v>45341</v>
      </c>
      <c r="C428">
        <v>4000</v>
      </c>
      <c r="D428" t="s">
        <v>2012</v>
      </c>
      <c r="E428">
        <v>0</v>
      </c>
      <c r="F428">
        <v>3923.81</v>
      </c>
      <c r="G428" t="s">
        <v>2022</v>
      </c>
      <c r="H428" t="s">
        <v>2025</v>
      </c>
      <c r="I428" t="s">
        <v>2454</v>
      </c>
      <c r="J428" t="s">
        <v>4030</v>
      </c>
      <c r="K428" t="s">
        <v>4044</v>
      </c>
      <c r="L428">
        <v>3923.81</v>
      </c>
    </row>
    <row r="429" spans="1:12">
      <c r="A429" t="s">
        <v>439</v>
      </c>
      <c r="B429" s="2">
        <v>45227</v>
      </c>
      <c r="C429">
        <v>5000</v>
      </c>
      <c r="D429" t="s">
        <v>2013</v>
      </c>
      <c r="E429">
        <v>171.38</v>
      </c>
      <c r="F429">
        <v>0</v>
      </c>
      <c r="G429" t="s">
        <v>2020</v>
      </c>
      <c r="H429" t="s">
        <v>2025</v>
      </c>
      <c r="I429" t="s">
        <v>2455</v>
      </c>
      <c r="J429" t="s">
        <v>4032</v>
      </c>
      <c r="K429" t="s">
        <v>4060</v>
      </c>
      <c r="L429">
        <v>-171.38</v>
      </c>
    </row>
    <row r="430" spans="1:12">
      <c r="A430" t="s">
        <v>440</v>
      </c>
      <c r="B430" s="2">
        <v>45114</v>
      </c>
      <c r="C430">
        <v>5000</v>
      </c>
      <c r="D430" t="s">
        <v>2013</v>
      </c>
      <c r="E430">
        <v>960.38</v>
      </c>
      <c r="F430">
        <v>0</v>
      </c>
      <c r="G430" t="s">
        <v>2020</v>
      </c>
      <c r="H430" t="s">
        <v>2027</v>
      </c>
      <c r="I430" t="s">
        <v>2456</v>
      </c>
      <c r="J430" t="s">
        <v>4029</v>
      </c>
      <c r="K430" t="s">
        <v>4050</v>
      </c>
      <c r="L430">
        <v>-960.38</v>
      </c>
    </row>
    <row r="431" spans="1:12">
      <c r="A431" t="s">
        <v>441</v>
      </c>
      <c r="B431" s="2">
        <v>45001</v>
      </c>
      <c r="C431">
        <v>5010</v>
      </c>
      <c r="D431" t="s">
        <v>2015</v>
      </c>
      <c r="E431">
        <v>931.96</v>
      </c>
      <c r="F431">
        <v>0</v>
      </c>
      <c r="G431" t="s">
        <v>2020</v>
      </c>
      <c r="H431" t="s">
        <v>2027</v>
      </c>
      <c r="I431" t="s">
        <v>2457</v>
      </c>
      <c r="J431" t="s">
        <v>4028</v>
      </c>
      <c r="K431" t="s">
        <v>4051</v>
      </c>
      <c r="L431">
        <v>-931.96</v>
      </c>
    </row>
    <row r="432" spans="1:12">
      <c r="A432" t="s">
        <v>442</v>
      </c>
      <c r="B432" s="2">
        <v>45267</v>
      </c>
      <c r="C432">
        <v>4000</v>
      </c>
      <c r="D432" t="s">
        <v>2012</v>
      </c>
      <c r="E432">
        <v>0</v>
      </c>
      <c r="F432">
        <v>353.32</v>
      </c>
      <c r="G432" t="s">
        <v>2021</v>
      </c>
      <c r="H432" t="s">
        <v>2024</v>
      </c>
      <c r="I432" t="s">
        <v>2458</v>
      </c>
      <c r="J432" t="s">
        <v>4031</v>
      </c>
      <c r="K432" t="s">
        <v>4039</v>
      </c>
      <c r="L432">
        <v>353.32</v>
      </c>
    </row>
    <row r="433" spans="1:12">
      <c r="A433" t="s">
        <v>443</v>
      </c>
      <c r="B433" s="2">
        <v>45695</v>
      </c>
      <c r="C433">
        <v>6000</v>
      </c>
      <c r="D433" t="s">
        <v>2014</v>
      </c>
      <c r="E433">
        <v>66.08</v>
      </c>
      <c r="F433">
        <v>0</v>
      </c>
      <c r="G433" t="s">
        <v>2019</v>
      </c>
      <c r="H433" t="s">
        <v>2026</v>
      </c>
      <c r="I433" t="s">
        <v>2459</v>
      </c>
      <c r="J433" t="s">
        <v>4028</v>
      </c>
      <c r="K433" t="s">
        <v>4061</v>
      </c>
      <c r="L433">
        <v>-66.08</v>
      </c>
    </row>
    <row r="434" spans="1:12">
      <c r="A434" t="s">
        <v>444</v>
      </c>
      <c r="B434" s="2">
        <v>45496</v>
      </c>
      <c r="C434">
        <v>4000</v>
      </c>
      <c r="D434" t="s">
        <v>2012</v>
      </c>
      <c r="E434">
        <v>0</v>
      </c>
      <c r="F434">
        <v>361.74</v>
      </c>
      <c r="G434" t="s">
        <v>2020</v>
      </c>
      <c r="H434" t="s">
        <v>2027</v>
      </c>
      <c r="I434" t="s">
        <v>2460</v>
      </c>
      <c r="J434" t="s">
        <v>4028</v>
      </c>
      <c r="K434" t="s">
        <v>4054</v>
      </c>
      <c r="L434">
        <v>361.74</v>
      </c>
    </row>
    <row r="435" spans="1:12">
      <c r="A435" t="s">
        <v>445</v>
      </c>
      <c r="B435" s="2">
        <v>44932</v>
      </c>
      <c r="C435">
        <v>6000</v>
      </c>
      <c r="D435" t="s">
        <v>2014</v>
      </c>
      <c r="E435">
        <v>1392.66</v>
      </c>
      <c r="F435">
        <v>0</v>
      </c>
      <c r="G435" t="s">
        <v>2019</v>
      </c>
      <c r="H435" t="s">
        <v>2027</v>
      </c>
      <c r="I435" t="s">
        <v>2461</v>
      </c>
      <c r="J435" t="s">
        <v>4032</v>
      </c>
      <c r="K435" t="s">
        <v>4047</v>
      </c>
      <c r="L435">
        <v>-1392.66</v>
      </c>
    </row>
    <row r="436" spans="1:12">
      <c r="A436" t="s">
        <v>446</v>
      </c>
      <c r="B436" s="2">
        <v>45320</v>
      </c>
      <c r="C436">
        <v>4000</v>
      </c>
      <c r="D436" t="s">
        <v>2012</v>
      </c>
      <c r="E436">
        <v>0</v>
      </c>
      <c r="F436">
        <v>4172.26</v>
      </c>
      <c r="G436" t="s">
        <v>2020</v>
      </c>
      <c r="H436" t="s">
        <v>2027</v>
      </c>
      <c r="I436" t="s">
        <v>2462</v>
      </c>
      <c r="J436" t="s">
        <v>4031</v>
      </c>
      <c r="K436" t="s">
        <v>4053</v>
      </c>
      <c r="L436">
        <v>4172.26</v>
      </c>
    </row>
    <row r="437" spans="1:12">
      <c r="A437" t="s">
        <v>447</v>
      </c>
      <c r="B437" s="2">
        <v>44947</v>
      </c>
      <c r="C437">
        <v>6000</v>
      </c>
      <c r="D437" t="s">
        <v>2014</v>
      </c>
      <c r="E437">
        <v>1792.82</v>
      </c>
      <c r="F437">
        <v>0</v>
      </c>
      <c r="G437" t="s">
        <v>2017</v>
      </c>
      <c r="H437" t="s">
        <v>2023</v>
      </c>
      <c r="I437" t="s">
        <v>2463</v>
      </c>
      <c r="J437" t="s">
        <v>4028</v>
      </c>
      <c r="K437" t="s">
        <v>4047</v>
      </c>
      <c r="L437">
        <v>-1792.82</v>
      </c>
    </row>
    <row r="438" spans="1:12">
      <c r="A438" t="s">
        <v>448</v>
      </c>
      <c r="B438" s="2">
        <v>45250</v>
      </c>
      <c r="C438">
        <v>5000</v>
      </c>
      <c r="D438" t="s">
        <v>2013</v>
      </c>
      <c r="E438">
        <v>164.54</v>
      </c>
      <c r="F438">
        <v>0</v>
      </c>
      <c r="G438" t="s">
        <v>2020</v>
      </c>
      <c r="H438" t="s">
        <v>2025</v>
      </c>
      <c r="I438" t="s">
        <v>2464</v>
      </c>
      <c r="J438" t="s">
        <v>4028</v>
      </c>
      <c r="K438" t="s">
        <v>4042</v>
      </c>
      <c r="L438">
        <v>-164.54</v>
      </c>
    </row>
    <row r="439" spans="1:12">
      <c r="A439" t="s">
        <v>449</v>
      </c>
      <c r="B439" s="2">
        <v>45611</v>
      </c>
      <c r="C439">
        <v>6000</v>
      </c>
      <c r="D439" t="s">
        <v>2014</v>
      </c>
      <c r="E439">
        <v>217.44</v>
      </c>
      <c r="F439">
        <v>0</v>
      </c>
      <c r="G439" t="s">
        <v>2017</v>
      </c>
      <c r="H439" t="s">
        <v>2026</v>
      </c>
      <c r="I439" t="s">
        <v>2465</v>
      </c>
      <c r="J439" t="s">
        <v>4029</v>
      </c>
      <c r="K439" t="s">
        <v>4043</v>
      </c>
      <c r="L439">
        <v>-217.44</v>
      </c>
    </row>
    <row r="440" spans="1:12">
      <c r="A440" t="s">
        <v>450</v>
      </c>
      <c r="B440" s="2">
        <v>45660</v>
      </c>
      <c r="C440">
        <v>6000</v>
      </c>
      <c r="D440" t="s">
        <v>2014</v>
      </c>
      <c r="E440">
        <v>1899.59</v>
      </c>
      <c r="F440">
        <v>0</v>
      </c>
      <c r="G440" t="s">
        <v>2021</v>
      </c>
      <c r="H440" t="s">
        <v>2023</v>
      </c>
      <c r="I440" t="s">
        <v>2466</v>
      </c>
      <c r="J440" t="s">
        <v>4031</v>
      </c>
      <c r="K440" t="s">
        <v>4035</v>
      </c>
      <c r="L440">
        <v>-1899.59</v>
      </c>
    </row>
    <row r="441" spans="1:12">
      <c r="A441" t="s">
        <v>451</v>
      </c>
      <c r="B441" s="2">
        <v>45455</v>
      </c>
      <c r="C441">
        <v>5010</v>
      </c>
      <c r="D441" t="s">
        <v>2015</v>
      </c>
      <c r="E441">
        <v>808.94</v>
      </c>
      <c r="F441">
        <v>0</v>
      </c>
      <c r="G441" t="s">
        <v>2022</v>
      </c>
      <c r="H441" t="s">
        <v>2024</v>
      </c>
      <c r="I441" t="s">
        <v>2467</v>
      </c>
      <c r="J441" t="s">
        <v>4029</v>
      </c>
      <c r="K441" t="s">
        <v>4034</v>
      </c>
      <c r="L441">
        <v>-808.94</v>
      </c>
    </row>
    <row r="442" spans="1:12">
      <c r="A442" t="s">
        <v>452</v>
      </c>
      <c r="B442" s="2">
        <v>45120</v>
      </c>
      <c r="C442">
        <v>4000</v>
      </c>
      <c r="D442" t="s">
        <v>2012</v>
      </c>
      <c r="E442">
        <v>0</v>
      </c>
      <c r="F442">
        <v>3691.59</v>
      </c>
      <c r="G442" t="s">
        <v>2020</v>
      </c>
      <c r="H442" t="s">
        <v>2023</v>
      </c>
      <c r="I442" t="s">
        <v>2468</v>
      </c>
      <c r="J442" t="s">
        <v>4030</v>
      </c>
      <c r="K442" t="s">
        <v>4050</v>
      </c>
      <c r="L442">
        <v>3691.59</v>
      </c>
    </row>
    <row r="443" spans="1:12">
      <c r="A443" t="s">
        <v>453</v>
      </c>
      <c r="B443" s="2">
        <v>45654</v>
      </c>
      <c r="C443">
        <v>4010</v>
      </c>
      <c r="D443" t="s">
        <v>2016</v>
      </c>
      <c r="E443">
        <v>0</v>
      </c>
      <c r="F443">
        <v>2510.66</v>
      </c>
      <c r="G443" t="s">
        <v>2019</v>
      </c>
      <c r="H443" t="s">
        <v>2027</v>
      </c>
      <c r="I443" t="s">
        <v>2469</v>
      </c>
      <c r="J443" t="s">
        <v>4031</v>
      </c>
      <c r="K443" t="s">
        <v>4056</v>
      </c>
      <c r="L443">
        <v>2510.66</v>
      </c>
    </row>
    <row r="444" spans="1:12">
      <c r="A444" t="s">
        <v>454</v>
      </c>
      <c r="B444" s="2">
        <v>45467</v>
      </c>
      <c r="C444">
        <v>4000</v>
      </c>
      <c r="D444" t="s">
        <v>2012</v>
      </c>
      <c r="E444">
        <v>0</v>
      </c>
      <c r="F444">
        <v>1959.12</v>
      </c>
      <c r="G444" t="s">
        <v>2019</v>
      </c>
      <c r="H444" t="s">
        <v>2027</v>
      </c>
      <c r="I444" t="s">
        <v>2470</v>
      </c>
      <c r="J444" t="s">
        <v>4029</v>
      </c>
      <c r="K444" t="s">
        <v>4034</v>
      </c>
      <c r="L444">
        <v>1959.12</v>
      </c>
    </row>
    <row r="445" spans="1:12">
      <c r="A445" t="s">
        <v>455</v>
      </c>
      <c r="B445" s="2">
        <v>45574</v>
      </c>
      <c r="C445">
        <v>5010</v>
      </c>
      <c r="D445" t="s">
        <v>2015</v>
      </c>
      <c r="E445">
        <v>1541.66</v>
      </c>
      <c r="F445">
        <v>0</v>
      </c>
      <c r="G445" t="s">
        <v>2019</v>
      </c>
      <c r="H445" t="s">
        <v>2025</v>
      </c>
      <c r="I445" t="s">
        <v>2471</v>
      </c>
      <c r="J445" t="s">
        <v>4032</v>
      </c>
      <c r="K445" t="s">
        <v>4059</v>
      </c>
      <c r="L445">
        <v>-1541.66</v>
      </c>
    </row>
    <row r="446" spans="1:12">
      <c r="A446" t="s">
        <v>456</v>
      </c>
      <c r="B446" s="2">
        <v>45718</v>
      </c>
      <c r="C446">
        <v>5010</v>
      </c>
      <c r="D446" t="s">
        <v>2015</v>
      </c>
      <c r="E446">
        <v>1240.1400000000001</v>
      </c>
      <c r="F446">
        <v>0</v>
      </c>
      <c r="G446" t="s">
        <v>2020</v>
      </c>
      <c r="H446" t="s">
        <v>2023</v>
      </c>
      <c r="I446" t="s">
        <v>2472</v>
      </c>
      <c r="J446" t="s">
        <v>4032</v>
      </c>
      <c r="K446" t="s">
        <v>4046</v>
      </c>
      <c r="L446">
        <v>-1240.1400000000001</v>
      </c>
    </row>
    <row r="447" spans="1:12">
      <c r="A447" t="s">
        <v>457</v>
      </c>
      <c r="B447" s="2">
        <v>45688</v>
      </c>
      <c r="C447">
        <v>5010</v>
      </c>
      <c r="D447" t="s">
        <v>2015</v>
      </c>
      <c r="E447">
        <v>889.94</v>
      </c>
      <c r="F447">
        <v>0</v>
      </c>
      <c r="G447" t="s">
        <v>2019</v>
      </c>
      <c r="H447" t="s">
        <v>2024</v>
      </c>
      <c r="I447" t="s">
        <v>2473</v>
      </c>
      <c r="J447" t="s">
        <v>4030</v>
      </c>
      <c r="K447" t="s">
        <v>4035</v>
      </c>
      <c r="L447">
        <v>-889.94</v>
      </c>
    </row>
    <row r="448" spans="1:12">
      <c r="A448" t="s">
        <v>458</v>
      </c>
      <c r="B448" s="2">
        <v>45824</v>
      </c>
      <c r="C448">
        <v>5000</v>
      </c>
      <c r="D448" t="s">
        <v>2013</v>
      </c>
      <c r="E448">
        <v>1562.72</v>
      </c>
      <c r="F448">
        <v>0</v>
      </c>
      <c r="G448" t="s">
        <v>2019</v>
      </c>
      <c r="H448" t="s">
        <v>2027</v>
      </c>
      <c r="I448" t="s">
        <v>2474</v>
      </c>
      <c r="J448" t="s">
        <v>4029</v>
      </c>
      <c r="K448" t="s">
        <v>4052</v>
      </c>
      <c r="L448">
        <v>-1562.72</v>
      </c>
    </row>
    <row r="449" spans="1:12">
      <c r="A449" t="s">
        <v>459</v>
      </c>
      <c r="B449" s="2">
        <v>45552</v>
      </c>
      <c r="C449">
        <v>6000</v>
      </c>
      <c r="D449" t="s">
        <v>2014</v>
      </c>
      <c r="E449">
        <v>1182.8</v>
      </c>
      <c r="F449">
        <v>0</v>
      </c>
      <c r="G449" t="s">
        <v>2018</v>
      </c>
      <c r="H449" t="s">
        <v>2026</v>
      </c>
      <c r="I449" t="s">
        <v>2475</v>
      </c>
      <c r="J449" t="s">
        <v>4029</v>
      </c>
      <c r="K449" t="s">
        <v>4048</v>
      </c>
      <c r="L449">
        <v>-1182.8</v>
      </c>
    </row>
    <row r="450" spans="1:12">
      <c r="A450" t="s">
        <v>460</v>
      </c>
      <c r="B450" s="2">
        <v>45177</v>
      </c>
      <c r="C450">
        <v>6000</v>
      </c>
      <c r="D450" t="s">
        <v>2014</v>
      </c>
      <c r="E450">
        <v>489.72</v>
      </c>
      <c r="F450">
        <v>0</v>
      </c>
      <c r="G450" t="s">
        <v>2021</v>
      </c>
      <c r="H450" t="s">
        <v>2027</v>
      </c>
      <c r="I450" t="s">
        <v>2476</v>
      </c>
      <c r="J450" t="s">
        <v>4032</v>
      </c>
      <c r="K450" t="s">
        <v>4036</v>
      </c>
      <c r="L450">
        <v>-489.72</v>
      </c>
    </row>
    <row r="451" spans="1:12">
      <c r="A451" t="s">
        <v>461</v>
      </c>
      <c r="B451" s="2">
        <v>45007</v>
      </c>
      <c r="C451">
        <v>6000</v>
      </c>
      <c r="D451" t="s">
        <v>2014</v>
      </c>
      <c r="E451">
        <v>1003.21</v>
      </c>
      <c r="F451">
        <v>0</v>
      </c>
      <c r="G451" t="s">
        <v>2020</v>
      </c>
      <c r="H451" t="s">
        <v>2026</v>
      </c>
      <c r="I451" t="s">
        <v>2477</v>
      </c>
      <c r="J451" t="s">
        <v>4029</v>
      </c>
      <c r="K451" t="s">
        <v>4051</v>
      </c>
      <c r="L451">
        <v>-1003.21</v>
      </c>
    </row>
    <row r="452" spans="1:12">
      <c r="A452" t="s">
        <v>462</v>
      </c>
      <c r="B452" s="2">
        <v>45208</v>
      </c>
      <c r="C452">
        <v>4000</v>
      </c>
      <c r="D452" t="s">
        <v>2012</v>
      </c>
      <c r="E452">
        <v>0</v>
      </c>
      <c r="F452">
        <v>1571.79</v>
      </c>
      <c r="G452" t="s">
        <v>2022</v>
      </c>
      <c r="H452" t="s">
        <v>2027</v>
      </c>
      <c r="I452" t="s">
        <v>2478</v>
      </c>
      <c r="J452" t="s">
        <v>4030</v>
      </c>
      <c r="K452" t="s">
        <v>4060</v>
      </c>
      <c r="L452">
        <v>1571.79</v>
      </c>
    </row>
    <row r="453" spans="1:12">
      <c r="A453" t="s">
        <v>463</v>
      </c>
      <c r="B453" s="2">
        <v>45817</v>
      </c>
      <c r="C453">
        <v>6000</v>
      </c>
      <c r="D453" t="s">
        <v>2014</v>
      </c>
      <c r="E453">
        <v>1413.19</v>
      </c>
      <c r="F453">
        <v>0</v>
      </c>
      <c r="G453" t="s">
        <v>2021</v>
      </c>
      <c r="H453" t="s">
        <v>2023</v>
      </c>
      <c r="I453" t="s">
        <v>2479</v>
      </c>
      <c r="J453" t="s">
        <v>4030</v>
      </c>
      <c r="K453" t="s">
        <v>4052</v>
      </c>
      <c r="L453">
        <v>-1413.19</v>
      </c>
    </row>
    <row r="454" spans="1:12">
      <c r="A454" t="s">
        <v>464</v>
      </c>
      <c r="B454" s="2">
        <v>45256</v>
      </c>
      <c r="C454">
        <v>6000</v>
      </c>
      <c r="D454" t="s">
        <v>2014</v>
      </c>
      <c r="E454">
        <v>819.5</v>
      </c>
      <c r="F454">
        <v>0</v>
      </c>
      <c r="G454" t="s">
        <v>2019</v>
      </c>
      <c r="H454" t="s">
        <v>2025</v>
      </c>
      <c r="I454" t="s">
        <v>2480</v>
      </c>
      <c r="J454" t="s">
        <v>4028</v>
      </c>
      <c r="K454" t="s">
        <v>4042</v>
      </c>
      <c r="L454">
        <v>-819.5</v>
      </c>
    </row>
    <row r="455" spans="1:12">
      <c r="A455" t="s">
        <v>465</v>
      </c>
      <c r="B455" s="2">
        <v>44964</v>
      </c>
      <c r="C455">
        <v>4010</v>
      </c>
      <c r="D455" t="s">
        <v>2016</v>
      </c>
      <c r="E455">
        <v>0</v>
      </c>
      <c r="F455">
        <v>1428.23</v>
      </c>
      <c r="G455" t="s">
        <v>2018</v>
      </c>
      <c r="H455" t="s">
        <v>2026</v>
      </c>
      <c r="I455" t="s">
        <v>2481</v>
      </c>
      <c r="J455" t="s">
        <v>4031</v>
      </c>
      <c r="K455" t="s">
        <v>4057</v>
      </c>
      <c r="L455">
        <v>1428.23</v>
      </c>
    </row>
    <row r="456" spans="1:12">
      <c r="A456" t="s">
        <v>466</v>
      </c>
      <c r="B456" s="2">
        <v>44935</v>
      </c>
      <c r="C456">
        <v>4000</v>
      </c>
      <c r="D456" t="s">
        <v>2012</v>
      </c>
      <c r="E456">
        <v>0</v>
      </c>
      <c r="F456">
        <v>1859.84</v>
      </c>
      <c r="G456" t="s">
        <v>2017</v>
      </c>
      <c r="H456" t="s">
        <v>2026</v>
      </c>
      <c r="I456" t="s">
        <v>2482</v>
      </c>
      <c r="J456" t="s">
        <v>4029</v>
      </c>
      <c r="K456" t="s">
        <v>4047</v>
      </c>
      <c r="L456">
        <v>1859.84</v>
      </c>
    </row>
    <row r="457" spans="1:12">
      <c r="A457" t="s">
        <v>467</v>
      </c>
      <c r="B457" s="2">
        <v>45443</v>
      </c>
      <c r="C457">
        <v>5010</v>
      </c>
      <c r="D457" t="s">
        <v>2015</v>
      </c>
      <c r="E457">
        <v>1060.6500000000001</v>
      </c>
      <c r="F457">
        <v>0</v>
      </c>
      <c r="G457" t="s">
        <v>2018</v>
      </c>
      <c r="H457" t="s">
        <v>2027</v>
      </c>
      <c r="I457" t="s">
        <v>2483</v>
      </c>
      <c r="J457" t="s">
        <v>4031</v>
      </c>
      <c r="K457" t="s">
        <v>4033</v>
      </c>
      <c r="L457">
        <v>-1060.6500000000001</v>
      </c>
    </row>
    <row r="458" spans="1:12">
      <c r="A458" t="s">
        <v>468</v>
      </c>
      <c r="B458" s="2">
        <v>45626</v>
      </c>
      <c r="C458">
        <v>6000</v>
      </c>
      <c r="D458" t="s">
        <v>2014</v>
      </c>
      <c r="E458">
        <v>493.78</v>
      </c>
      <c r="F458">
        <v>0</v>
      </c>
      <c r="G458" t="s">
        <v>2020</v>
      </c>
      <c r="H458" t="s">
        <v>2024</v>
      </c>
      <c r="I458" t="s">
        <v>2484</v>
      </c>
      <c r="J458" t="s">
        <v>4029</v>
      </c>
      <c r="K458" t="s">
        <v>4043</v>
      </c>
      <c r="L458">
        <v>-493.78</v>
      </c>
    </row>
    <row r="459" spans="1:12">
      <c r="A459" t="s">
        <v>469</v>
      </c>
      <c r="B459" s="2">
        <v>45443</v>
      </c>
      <c r="C459">
        <v>5010</v>
      </c>
      <c r="D459" t="s">
        <v>2015</v>
      </c>
      <c r="E459">
        <v>911.05</v>
      </c>
      <c r="F459">
        <v>0</v>
      </c>
      <c r="G459" t="s">
        <v>2020</v>
      </c>
      <c r="H459" t="s">
        <v>2025</v>
      </c>
      <c r="I459" t="s">
        <v>2485</v>
      </c>
      <c r="J459" t="s">
        <v>4031</v>
      </c>
      <c r="K459" t="s">
        <v>4033</v>
      </c>
      <c r="L459">
        <v>-911.05</v>
      </c>
    </row>
    <row r="460" spans="1:12">
      <c r="A460" t="s">
        <v>470</v>
      </c>
      <c r="B460" s="2">
        <v>45541</v>
      </c>
      <c r="C460">
        <v>4010</v>
      </c>
      <c r="D460" t="s">
        <v>2016</v>
      </c>
      <c r="E460">
        <v>0</v>
      </c>
      <c r="F460">
        <v>855.46</v>
      </c>
      <c r="G460" t="s">
        <v>2020</v>
      </c>
      <c r="H460" t="s">
        <v>2023</v>
      </c>
      <c r="I460" t="s">
        <v>2486</v>
      </c>
      <c r="J460" t="s">
        <v>4028</v>
      </c>
      <c r="K460" t="s">
        <v>4048</v>
      </c>
      <c r="L460">
        <v>855.46</v>
      </c>
    </row>
    <row r="461" spans="1:12">
      <c r="A461" t="s">
        <v>471</v>
      </c>
      <c r="B461" s="2">
        <v>45182</v>
      </c>
      <c r="C461">
        <v>5000</v>
      </c>
      <c r="D461" t="s">
        <v>2013</v>
      </c>
      <c r="E461">
        <v>1218.8900000000001</v>
      </c>
      <c r="F461">
        <v>0</v>
      </c>
      <c r="G461" t="s">
        <v>2020</v>
      </c>
      <c r="H461" t="s">
        <v>2026</v>
      </c>
      <c r="I461" t="s">
        <v>2487</v>
      </c>
      <c r="J461" t="s">
        <v>4031</v>
      </c>
      <c r="K461" t="s">
        <v>4036</v>
      </c>
      <c r="L461">
        <v>-1218.8900000000001</v>
      </c>
    </row>
    <row r="462" spans="1:12">
      <c r="A462" t="s">
        <v>472</v>
      </c>
      <c r="B462" s="2">
        <v>44977</v>
      </c>
      <c r="C462">
        <v>6000</v>
      </c>
      <c r="D462" t="s">
        <v>2014</v>
      </c>
      <c r="E462">
        <v>670.27</v>
      </c>
      <c r="F462">
        <v>0</v>
      </c>
      <c r="G462" t="s">
        <v>2020</v>
      </c>
      <c r="H462" t="s">
        <v>2027</v>
      </c>
      <c r="I462" t="s">
        <v>2488</v>
      </c>
      <c r="J462" t="s">
        <v>4031</v>
      </c>
      <c r="K462" t="s">
        <v>4057</v>
      </c>
      <c r="L462">
        <v>-670.27</v>
      </c>
    </row>
    <row r="463" spans="1:12">
      <c r="A463" t="s">
        <v>473</v>
      </c>
      <c r="B463" s="2">
        <v>45439</v>
      </c>
      <c r="C463">
        <v>5010</v>
      </c>
      <c r="D463" t="s">
        <v>2015</v>
      </c>
      <c r="E463">
        <v>579</v>
      </c>
      <c r="F463">
        <v>0</v>
      </c>
      <c r="G463" t="s">
        <v>2021</v>
      </c>
      <c r="H463" t="s">
        <v>2025</v>
      </c>
      <c r="I463" t="s">
        <v>2489</v>
      </c>
      <c r="J463" t="s">
        <v>4028</v>
      </c>
      <c r="K463" t="s">
        <v>4033</v>
      </c>
      <c r="L463">
        <v>-579</v>
      </c>
    </row>
    <row r="464" spans="1:12">
      <c r="A464" t="s">
        <v>474</v>
      </c>
      <c r="B464" s="2">
        <v>45591</v>
      </c>
      <c r="C464">
        <v>4010</v>
      </c>
      <c r="D464" t="s">
        <v>2016</v>
      </c>
      <c r="E464">
        <v>0</v>
      </c>
      <c r="F464">
        <v>1322.5</v>
      </c>
      <c r="G464" t="s">
        <v>2018</v>
      </c>
      <c r="H464" t="s">
        <v>2023</v>
      </c>
      <c r="I464" t="s">
        <v>2490</v>
      </c>
      <c r="J464" t="s">
        <v>4028</v>
      </c>
      <c r="K464" t="s">
        <v>4059</v>
      </c>
      <c r="L464">
        <v>1322.5</v>
      </c>
    </row>
    <row r="465" spans="1:12">
      <c r="A465" t="s">
        <v>475</v>
      </c>
      <c r="B465" s="2">
        <v>45667</v>
      </c>
      <c r="C465">
        <v>5010</v>
      </c>
      <c r="D465" t="s">
        <v>2015</v>
      </c>
      <c r="E465">
        <v>1920.52</v>
      </c>
      <c r="F465">
        <v>0</v>
      </c>
      <c r="G465" t="s">
        <v>2017</v>
      </c>
      <c r="H465" t="s">
        <v>2024</v>
      </c>
      <c r="I465" t="s">
        <v>2491</v>
      </c>
      <c r="J465" t="s">
        <v>4029</v>
      </c>
      <c r="K465" t="s">
        <v>4035</v>
      </c>
      <c r="L465">
        <v>-1920.52</v>
      </c>
    </row>
    <row r="466" spans="1:12">
      <c r="A466" t="s">
        <v>476</v>
      </c>
      <c r="B466" s="2">
        <v>45046</v>
      </c>
      <c r="C466">
        <v>6000</v>
      </c>
      <c r="D466" t="s">
        <v>2014</v>
      </c>
      <c r="E466">
        <v>417.54</v>
      </c>
      <c r="F466">
        <v>0</v>
      </c>
      <c r="G466" t="s">
        <v>2020</v>
      </c>
      <c r="H466" t="s">
        <v>2024</v>
      </c>
      <c r="I466" t="s">
        <v>2492</v>
      </c>
      <c r="J466" t="s">
        <v>4032</v>
      </c>
      <c r="K466" t="s">
        <v>4041</v>
      </c>
      <c r="L466">
        <v>-417.54</v>
      </c>
    </row>
    <row r="467" spans="1:12">
      <c r="A467" t="s">
        <v>477</v>
      </c>
      <c r="B467" s="2">
        <v>45798</v>
      </c>
      <c r="C467">
        <v>5000</v>
      </c>
      <c r="D467" t="s">
        <v>2013</v>
      </c>
      <c r="E467">
        <v>1832.61</v>
      </c>
      <c r="F467">
        <v>0</v>
      </c>
      <c r="G467" t="s">
        <v>2020</v>
      </c>
      <c r="H467" t="s">
        <v>2023</v>
      </c>
      <c r="I467" t="s">
        <v>2493</v>
      </c>
      <c r="J467" t="s">
        <v>4032</v>
      </c>
      <c r="K467" t="s">
        <v>4038</v>
      </c>
      <c r="L467">
        <v>-1832.61</v>
      </c>
    </row>
    <row r="468" spans="1:12">
      <c r="A468" t="s">
        <v>478</v>
      </c>
      <c r="B468" s="2">
        <v>44974</v>
      </c>
      <c r="C468">
        <v>4000</v>
      </c>
      <c r="D468" t="s">
        <v>2012</v>
      </c>
      <c r="E468">
        <v>0</v>
      </c>
      <c r="F468">
        <v>1225.02</v>
      </c>
      <c r="G468" t="s">
        <v>2022</v>
      </c>
      <c r="H468" t="s">
        <v>2026</v>
      </c>
      <c r="I468" t="s">
        <v>2494</v>
      </c>
      <c r="J468" t="s">
        <v>4029</v>
      </c>
      <c r="K468" t="s">
        <v>4057</v>
      </c>
      <c r="L468">
        <v>1225.02</v>
      </c>
    </row>
    <row r="469" spans="1:12">
      <c r="A469" t="s">
        <v>479</v>
      </c>
      <c r="B469" s="2">
        <v>45583</v>
      </c>
      <c r="C469">
        <v>5000</v>
      </c>
      <c r="D469" t="s">
        <v>2013</v>
      </c>
      <c r="E469">
        <v>973.97</v>
      </c>
      <c r="F469">
        <v>0</v>
      </c>
      <c r="G469" t="s">
        <v>2021</v>
      </c>
      <c r="H469" t="s">
        <v>2023</v>
      </c>
      <c r="I469" t="s">
        <v>2495</v>
      </c>
      <c r="J469" t="s">
        <v>4028</v>
      </c>
      <c r="K469" t="s">
        <v>4059</v>
      </c>
      <c r="L469">
        <v>-973.97</v>
      </c>
    </row>
    <row r="470" spans="1:12">
      <c r="A470" t="s">
        <v>480</v>
      </c>
      <c r="B470" s="2">
        <v>45319</v>
      </c>
      <c r="C470">
        <v>6000</v>
      </c>
      <c r="D470" t="s">
        <v>2014</v>
      </c>
      <c r="E470">
        <v>525.5</v>
      </c>
      <c r="F470">
        <v>0</v>
      </c>
      <c r="G470" t="s">
        <v>2022</v>
      </c>
      <c r="H470" t="s">
        <v>2026</v>
      </c>
      <c r="I470" t="s">
        <v>2496</v>
      </c>
      <c r="J470" t="s">
        <v>4029</v>
      </c>
      <c r="K470" t="s">
        <v>4053</v>
      </c>
      <c r="L470">
        <v>-525.5</v>
      </c>
    </row>
    <row r="471" spans="1:12">
      <c r="A471" t="s">
        <v>481</v>
      </c>
      <c r="B471" s="2">
        <v>45222</v>
      </c>
      <c r="C471">
        <v>5000</v>
      </c>
      <c r="D471" t="s">
        <v>2013</v>
      </c>
      <c r="E471">
        <v>805.56</v>
      </c>
      <c r="F471">
        <v>0</v>
      </c>
      <c r="G471" t="s">
        <v>2017</v>
      </c>
      <c r="H471" t="s">
        <v>2025</v>
      </c>
      <c r="I471" t="s">
        <v>2497</v>
      </c>
      <c r="J471" t="s">
        <v>4032</v>
      </c>
      <c r="K471" t="s">
        <v>4060</v>
      </c>
      <c r="L471">
        <v>-805.56</v>
      </c>
    </row>
    <row r="472" spans="1:12">
      <c r="A472" t="s">
        <v>482</v>
      </c>
      <c r="B472" s="2">
        <v>45261</v>
      </c>
      <c r="C472">
        <v>6000</v>
      </c>
      <c r="D472" t="s">
        <v>2014</v>
      </c>
      <c r="E472">
        <v>1466.97</v>
      </c>
      <c r="F472">
        <v>0</v>
      </c>
      <c r="G472" t="s">
        <v>2018</v>
      </c>
      <c r="H472" t="s">
        <v>2026</v>
      </c>
      <c r="I472" t="s">
        <v>2498</v>
      </c>
      <c r="J472" t="s">
        <v>4030</v>
      </c>
      <c r="K472" t="s">
        <v>4039</v>
      </c>
      <c r="L472">
        <v>-1466.97</v>
      </c>
    </row>
    <row r="473" spans="1:12">
      <c r="A473" t="s">
        <v>483</v>
      </c>
      <c r="B473" s="2">
        <v>45644</v>
      </c>
      <c r="C473">
        <v>4010</v>
      </c>
      <c r="D473" t="s">
        <v>2016</v>
      </c>
      <c r="E473">
        <v>0</v>
      </c>
      <c r="F473">
        <v>4734.3599999999997</v>
      </c>
      <c r="G473" t="s">
        <v>2017</v>
      </c>
      <c r="H473" t="s">
        <v>2025</v>
      </c>
      <c r="I473" t="s">
        <v>2499</v>
      </c>
      <c r="J473" t="s">
        <v>4030</v>
      </c>
      <c r="K473" t="s">
        <v>4056</v>
      </c>
      <c r="L473">
        <v>4734.3599999999997</v>
      </c>
    </row>
    <row r="474" spans="1:12">
      <c r="A474" t="s">
        <v>484</v>
      </c>
      <c r="B474" s="2">
        <v>45191</v>
      </c>
      <c r="C474">
        <v>4010</v>
      </c>
      <c r="D474" t="s">
        <v>2016</v>
      </c>
      <c r="E474">
        <v>0</v>
      </c>
      <c r="F474">
        <v>1668.4</v>
      </c>
      <c r="G474" t="s">
        <v>2021</v>
      </c>
      <c r="H474" t="s">
        <v>2027</v>
      </c>
      <c r="I474" t="s">
        <v>2500</v>
      </c>
      <c r="J474" t="s">
        <v>4031</v>
      </c>
      <c r="K474" t="s">
        <v>4036</v>
      </c>
      <c r="L474">
        <v>1668.4</v>
      </c>
    </row>
    <row r="475" spans="1:12">
      <c r="A475" t="s">
        <v>485</v>
      </c>
      <c r="B475" s="2">
        <v>45276</v>
      </c>
      <c r="C475">
        <v>4010</v>
      </c>
      <c r="D475" t="s">
        <v>2016</v>
      </c>
      <c r="E475">
        <v>0</v>
      </c>
      <c r="F475">
        <v>4991.26</v>
      </c>
      <c r="G475" t="s">
        <v>2020</v>
      </c>
      <c r="H475" t="s">
        <v>2026</v>
      </c>
      <c r="I475" t="s">
        <v>2501</v>
      </c>
      <c r="J475" t="s">
        <v>4031</v>
      </c>
      <c r="K475" t="s">
        <v>4039</v>
      </c>
      <c r="L475">
        <v>4991.26</v>
      </c>
    </row>
    <row r="476" spans="1:12">
      <c r="A476" t="s">
        <v>486</v>
      </c>
      <c r="B476" s="2">
        <v>45662</v>
      </c>
      <c r="C476">
        <v>6000</v>
      </c>
      <c r="D476" t="s">
        <v>2014</v>
      </c>
      <c r="E476">
        <v>445.53</v>
      </c>
      <c r="F476">
        <v>0</v>
      </c>
      <c r="G476" t="s">
        <v>2019</v>
      </c>
      <c r="H476" t="s">
        <v>2027</v>
      </c>
      <c r="I476" t="s">
        <v>2502</v>
      </c>
      <c r="J476" t="s">
        <v>4028</v>
      </c>
      <c r="K476" t="s">
        <v>4035</v>
      </c>
      <c r="L476">
        <v>-445.53</v>
      </c>
    </row>
    <row r="477" spans="1:12">
      <c r="A477" t="s">
        <v>487</v>
      </c>
      <c r="B477" s="2">
        <v>45494</v>
      </c>
      <c r="C477">
        <v>6000</v>
      </c>
      <c r="D477" t="s">
        <v>2014</v>
      </c>
      <c r="E477">
        <v>1464.99</v>
      </c>
      <c r="F477">
        <v>0</v>
      </c>
      <c r="G477" t="s">
        <v>2020</v>
      </c>
      <c r="H477" t="s">
        <v>2027</v>
      </c>
      <c r="I477" t="s">
        <v>2503</v>
      </c>
      <c r="J477" t="s">
        <v>4029</v>
      </c>
      <c r="K477" t="s">
        <v>4054</v>
      </c>
      <c r="L477">
        <v>-1464.99</v>
      </c>
    </row>
    <row r="478" spans="1:12">
      <c r="A478" t="s">
        <v>488</v>
      </c>
      <c r="B478" s="2">
        <v>45266</v>
      </c>
      <c r="C478">
        <v>4010</v>
      </c>
      <c r="D478" t="s">
        <v>2016</v>
      </c>
      <c r="E478">
        <v>0</v>
      </c>
      <c r="F478">
        <v>1422.45</v>
      </c>
      <c r="G478" t="s">
        <v>2018</v>
      </c>
      <c r="H478" t="s">
        <v>2023</v>
      </c>
      <c r="I478" t="s">
        <v>2504</v>
      </c>
      <c r="J478" t="s">
        <v>4029</v>
      </c>
      <c r="K478" t="s">
        <v>4039</v>
      </c>
      <c r="L478">
        <v>1422.45</v>
      </c>
    </row>
    <row r="479" spans="1:12">
      <c r="A479" t="s">
        <v>489</v>
      </c>
      <c r="B479" s="2">
        <v>45583</v>
      </c>
      <c r="C479">
        <v>4010</v>
      </c>
      <c r="D479" t="s">
        <v>2016</v>
      </c>
      <c r="E479">
        <v>0</v>
      </c>
      <c r="F479">
        <v>2350.1999999999998</v>
      </c>
      <c r="G479" t="s">
        <v>2018</v>
      </c>
      <c r="H479" t="s">
        <v>2023</v>
      </c>
      <c r="I479" t="s">
        <v>2505</v>
      </c>
      <c r="J479" t="s">
        <v>4030</v>
      </c>
      <c r="K479" t="s">
        <v>4059</v>
      </c>
      <c r="L479">
        <v>2350.1999999999998</v>
      </c>
    </row>
    <row r="480" spans="1:12">
      <c r="A480" t="s">
        <v>490</v>
      </c>
      <c r="B480" s="2">
        <v>45191</v>
      </c>
      <c r="C480">
        <v>6000</v>
      </c>
      <c r="D480" t="s">
        <v>2014</v>
      </c>
      <c r="E480">
        <v>1559.89</v>
      </c>
      <c r="F480">
        <v>0</v>
      </c>
      <c r="G480" t="s">
        <v>2018</v>
      </c>
      <c r="H480" t="s">
        <v>2025</v>
      </c>
      <c r="I480" t="s">
        <v>2506</v>
      </c>
      <c r="J480" t="s">
        <v>4030</v>
      </c>
      <c r="K480" t="s">
        <v>4036</v>
      </c>
      <c r="L480">
        <v>-1559.89</v>
      </c>
    </row>
    <row r="481" spans="1:12">
      <c r="A481" t="s">
        <v>491</v>
      </c>
      <c r="B481" s="2">
        <v>45586</v>
      </c>
      <c r="C481">
        <v>5010</v>
      </c>
      <c r="D481" t="s">
        <v>2015</v>
      </c>
      <c r="E481">
        <v>1570.96</v>
      </c>
      <c r="F481">
        <v>0</v>
      </c>
      <c r="G481" t="s">
        <v>2017</v>
      </c>
      <c r="H481" t="s">
        <v>2023</v>
      </c>
      <c r="I481" t="s">
        <v>2507</v>
      </c>
      <c r="J481" t="s">
        <v>4031</v>
      </c>
      <c r="K481" t="s">
        <v>4059</v>
      </c>
      <c r="L481">
        <v>-1570.96</v>
      </c>
    </row>
    <row r="482" spans="1:12">
      <c r="A482" t="s">
        <v>492</v>
      </c>
      <c r="B482" s="2">
        <v>45202</v>
      </c>
      <c r="C482">
        <v>4000</v>
      </c>
      <c r="D482" t="s">
        <v>2012</v>
      </c>
      <c r="E482">
        <v>0</v>
      </c>
      <c r="F482">
        <v>3947.32</v>
      </c>
      <c r="G482" t="s">
        <v>2017</v>
      </c>
      <c r="H482" t="s">
        <v>2025</v>
      </c>
      <c r="I482" t="s">
        <v>2508</v>
      </c>
      <c r="J482" t="s">
        <v>4028</v>
      </c>
      <c r="K482" t="s">
        <v>4060</v>
      </c>
      <c r="L482">
        <v>3947.32</v>
      </c>
    </row>
    <row r="483" spans="1:12">
      <c r="A483" t="s">
        <v>493</v>
      </c>
      <c r="B483" s="2">
        <v>45599</v>
      </c>
      <c r="C483">
        <v>6000</v>
      </c>
      <c r="D483" t="s">
        <v>2014</v>
      </c>
      <c r="E483">
        <v>1467.92</v>
      </c>
      <c r="F483">
        <v>0</v>
      </c>
      <c r="G483" t="s">
        <v>2017</v>
      </c>
      <c r="H483" t="s">
        <v>2024</v>
      </c>
      <c r="I483" t="s">
        <v>2509</v>
      </c>
      <c r="J483" t="s">
        <v>4031</v>
      </c>
      <c r="K483" t="s">
        <v>4043</v>
      </c>
      <c r="L483">
        <v>-1467.92</v>
      </c>
    </row>
    <row r="484" spans="1:12">
      <c r="A484" t="s">
        <v>494</v>
      </c>
      <c r="B484" s="2">
        <v>45100</v>
      </c>
      <c r="C484">
        <v>5000</v>
      </c>
      <c r="D484" t="s">
        <v>2013</v>
      </c>
      <c r="E484">
        <v>1843.54</v>
      </c>
      <c r="F484">
        <v>0</v>
      </c>
      <c r="G484" t="s">
        <v>2021</v>
      </c>
      <c r="H484" t="s">
        <v>2023</v>
      </c>
      <c r="I484" t="s">
        <v>2510</v>
      </c>
      <c r="J484" t="s">
        <v>4028</v>
      </c>
      <c r="K484" t="s">
        <v>4055</v>
      </c>
      <c r="L484">
        <v>-1843.54</v>
      </c>
    </row>
    <row r="485" spans="1:12">
      <c r="A485" t="s">
        <v>495</v>
      </c>
      <c r="B485" s="2">
        <v>45762</v>
      </c>
      <c r="C485">
        <v>5010</v>
      </c>
      <c r="D485" t="s">
        <v>2015</v>
      </c>
      <c r="E485">
        <v>134.56</v>
      </c>
      <c r="F485">
        <v>0</v>
      </c>
      <c r="G485" t="s">
        <v>2017</v>
      </c>
      <c r="H485" t="s">
        <v>2027</v>
      </c>
      <c r="I485" t="s">
        <v>2511</v>
      </c>
      <c r="J485" t="s">
        <v>4029</v>
      </c>
      <c r="K485" t="s">
        <v>4045</v>
      </c>
      <c r="L485">
        <v>-134.56</v>
      </c>
    </row>
    <row r="486" spans="1:12">
      <c r="A486" t="s">
        <v>496</v>
      </c>
      <c r="B486" s="2">
        <v>45675</v>
      </c>
      <c r="C486">
        <v>4000</v>
      </c>
      <c r="D486" t="s">
        <v>2012</v>
      </c>
      <c r="E486">
        <v>0</v>
      </c>
      <c r="F486">
        <v>1712.94</v>
      </c>
      <c r="G486" t="s">
        <v>2021</v>
      </c>
      <c r="H486" t="s">
        <v>2023</v>
      </c>
      <c r="I486" t="s">
        <v>2512</v>
      </c>
      <c r="J486" t="s">
        <v>4029</v>
      </c>
      <c r="K486" t="s">
        <v>4035</v>
      </c>
      <c r="L486">
        <v>1712.94</v>
      </c>
    </row>
    <row r="487" spans="1:12">
      <c r="A487" t="s">
        <v>497</v>
      </c>
      <c r="B487" s="2">
        <v>45139</v>
      </c>
      <c r="C487">
        <v>5010</v>
      </c>
      <c r="D487" t="s">
        <v>2015</v>
      </c>
      <c r="E487">
        <v>551.23</v>
      </c>
      <c r="F487">
        <v>0</v>
      </c>
      <c r="G487" t="s">
        <v>2022</v>
      </c>
      <c r="H487" t="s">
        <v>2026</v>
      </c>
      <c r="I487" t="s">
        <v>2513</v>
      </c>
      <c r="J487" t="s">
        <v>4028</v>
      </c>
      <c r="K487" t="s">
        <v>4037</v>
      </c>
      <c r="L487">
        <v>-551.23</v>
      </c>
    </row>
    <row r="488" spans="1:12">
      <c r="A488" t="s">
        <v>498</v>
      </c>
      <c r="B488" s="2">
        <v>45518</v>
      </c>
      <c r="C488">
        <v>4000</v>
      </c>
      <c r="D488" t="s">
        <v>2012</v>
      </c>
      <c r="E488">
        <v>0</v>
      </c>
      <c r="F488">
        <v>588.37</v>
      </c>
      <c r="G488" t="s">
        <v>2017</v>
      </c>
      <c r="H488" t="s">
        <v>2025</v>
      </c>
      <c r="I488" t="s">
        <v>2514</v>
      </c>
      <c r="J488" t="s">
        <v>4028</v>
      </c>
      <c r="K488" t="s">
        <v>4058</v>
      </c>
      <c r="L488">
        <v>588.37</v>
      </c>
    </row>
    <row r="489" spans="1:12">
      <c r="A489" t="s">
        <v>499</v>
      </c>
      <c r="B489" s="2">
        <v>45510</v>
      </c>
      <c r="C489">
        <v>6000</v>
      </c>
      <c r="D489" t="s">
        <v>2014</v>
      </c>
      <c r="E489">
        <v>134.5</v>
      </c>
      <c r="F489">
        <v>0</v>
      </c>
      <c r="G489" t="s">
        <v>2021</v>
      </c>
      <c r="H489" t="s">
        <v>2023</v>
      </c>
      <c r="I489" t="s">
        <v>2515</v>
      </c>
      <c r="J489" t="s">
        <v>4032</v>
      </c>
      <c r="K489" t="s">
        <v>4058</v>
      </c>
      <c r="L489">
        <v>-134.5</v>
      </c>
    </row>
    <row r="490" spans="1:12">
      <c r="A490" t="s">
        <v>500</v>
      </c>
      <c r="B490" s="2">
        <v>45610</v>
      </c>
      <c r="C490">
        <v>5000</v>
      </c>
      <c r="D490" t="s">
        <v>2013</v>
      </c>
      <c r="E490">
        <v>630.03</v>
      </c>
      <c r="F490">
        <v>0</v>
      </c>
      <c r="G490" t="s">
        <v>2021</v>
      </c>
      <c r="H490" t="s">
        <v>2026</v>
      </c>
      <c r="I490" t="s">
        <v>2516</v>
      </c>
      <c r="J490" t="s">
        <v>4032</v>
      </c>
      <c r="K490" t="s">
        <v>4043</v>
      </c>
      <c r="L490">
        <v>-630.03</v>
      </c>
    </row>
    <row r="491" spans="1:12">
      <c r="A491" t="s">
        <v>501</v>
      </c>
      <c r="B491" s="2">
        <v>45132</v>
      </c>
      <c r="C491">
        <v>6000</v>
      </c>
      <c r="D491" t="s">
        <v>2014</v>
      </c>
      <c r="E491">
        <v>1840.05</v>
      </c>
      <c r="F491">
        <v>0</v>
      </c>
      <c r="G491" t="s">
        <v>2017</v>
      </c>
      <c r="H491" t="s">
        <v>2023</v>
      </c>
      <c r="I491" t="s">
        <v>2517</v>
      </c>
      <c r="J491" t="s">
        <v>4030</v>
      </c>
      <c r="K491" t="s">
        <v>4050</v>
      </c>
      <c r="L491">
        <v>-1840.05</v>
      </c>
    </row>
    <row r="492" spans="1:12">
      <c r="A492" t="s">
        <v>502</v>
      </c>
      <c r="B492" s="2">
        <v>45036</v>
      </c>
      <c r="C492">
        <v>5000</v>
      </c>
      <c r="D492" t="s">
        <v>2013</v>
      </c>
      <c r="E492">
        <v>1943.87</v>
      </c>
      <c r="F492">
        <v>0</v>
      </c>
      <c r="G492" t="s">
        <v>2020</v>
      </c>
      <c r="H492" t="s">
        <v>2027</v>
      </c>
      <c r="I492" t="s">
        <v>2518</v>
      </c>
      <c r="J492" t="s">
        <v>4030</v>
      </c>
      <c r="K492" t="s">
        <v>4041</v>
      </c>
      <c r="L492">
        <v>-1943.87</v>
      </c>
    </row>
    <row r="493" spans="1:12">
      <c r="A493" t="s">
        <v>503</v>
      </c>
      <c r="B493" s="2">
        <v>45559</v>
      </c>
      <c r="C493">
        <v>4000</v>
      </c>
      <c r="D493" t="s">
        <v>2012</v>
      </c>
      <c r="E493">
        <v>0</v>
      </c>
      <c r="F493">
        <v>2322.15</v>
      </c>
      <c r="G493" t="s">
        <v>2017</v>
      </c>
      <c r="H493" t="s">
        <v>2025</v>
      </c>
      <c r="I493" t="s">
        <v>2519</v>
      </c>
      <c r="J493" t="s">
        <v>4031</v>
      </c>
      <c r="K493" t="s">
        <v>4048</v>
      </c>
      <c r="L493">
        <v>2322.15</v>
      </c>
    </row>
    <row r="494" spans="1:12">
      <c r="A494" t="s">
        <v>504</v>
      </c>
      <c r="B494" s="2">
        <v>45741</v>
      </c>
      <c r="C494">
        <v>4000</v>
      </c>
      <c r="D494" t="s">
        <v>2012</v>
      </c>
      <c r="E494">
        <v>0</v>
      </c>
      <c r="F494">
        <v>1615.42</v>
      </c>
      <c r="G494" t="s">
        <v>2020</v>
      </c>
      <c r="H494" t="s">
        <v>2024</v>
      </c>
      <c r="I494" t="s">
        <v>2520</v>
      </c>
      <c r="J494" t="s">
        <v>4032</v>
      </c>
      <c r="K494" t="s">
        <v>4046</v>
      </c>
      <c r="L494">
        <v>1615.42</v>
      </c>
    </row>
    <row r="495" spans="1:12">
      <c r="A495" t="s">
        <v>505</v>
      </c>
      <c r="B495" s="2">
        <v>45415</v>
      </c>
      <c r="C495">
        <v>4010</v>
      </c>
      <c r="D495" t="s">
        <v>2016</v>
      </c>
      <c r="E495">
        <v>0</v>
      </c>
      <c r="F495">
        <v>3274.24</v>
      </c>
      <c r="G495" t="s">
        <v>2018</v>
      </c>
      <c r="H495" t="s">
        <v>2027</v>
      </c>
      <c r="I495" t="s">
        <v>2521</v>
      </c>
      <c r="J495" t="s">
        <v>4032</v>
      </c>
      <c r="K495" t="s">
        <v>4033</v>
      </c>
      <c r="L495">
        <v>3274.24</v>
      </c>
    </row>
    <row r="496" spans="1:12">
      <c r="A496" t="s">
        <v>506</v>
      </c>
      <c r="B496" s="2">
        <v>45240</v>
      </c>
      <c r="C496">
        <v>5010</v>
      </c>
      <c r="D496" t="s">
        <v>2015</v>
      </c>
      <c r="E496">
        <v>293.63</v>
      </c>
      <c r="F496">
        <v>0</v>
      </c>
      <c r="G496" t="s">
        <v>2020</v>
      </c>
      <c r="H496" t="s">
        <v>2024</v>
      </c>
      <c r="I496" t="s">
        <v>2522</v>
      </c>
      <c r="J496" t="s">
        <v>4032</v>
      </c>
      <c r="K496" t="s">
        <v>4042</v>
      </c>
      <c r="L496">
        <v>-293.63</v>
      </c>
    </row>
    <row r="497" spans="1:12">
      <c r="A497" t="s">
        <v>507</v>
      </c>
      <c r="B497" s="2">
        <v>44972</v>
      </c>
      <c r="C497">
        <v>4000</v>
      </c>
      <c r="D497" t="s">
        <v>2012</v>
      </c>
      <c r="E497">
        <v>0</v>
      </c>
      <c r="F497">
        <v>2924.19</v>
      </c>
      <c r="G497" t="s">
        <v>2021</v>
      </c>
      <c r="H497" t="s">
        <v>2026</v>
      </c>
      <c r="I497" t="s">
        <v>2523</v>
      </c>
      <c r="J497" t="s">
        <v>4031</v>
      </c>
      <c r="K497" t="s">
        <v>4057</v>
      </c>
      <c r="L497">
        <v>2924.19</v>
      </c>
    </row>
    <row r="498" spans="1:12">
      <c r="A498" t="s">
        <v>508</v>
      </c>
      <c r="B498" s="2">
        <v>45602</v>
      </c>
      <c r="C498">
        <v>5000</v>
      </c>
      <c r="D498" t="s">
        <v>2013</v>
      </c>
      <c r="E498">
        <v>630.34</v>
      </c>
      <c r="F498">
        <v>0</v>
      </c>
      <c r="G498" t="s">
        <v>2017</v>
      </c>
      <c r="H498" t="s">
        <v>2023</v>
      </c>
      <c r="I498" t="s">
        <v>2524</v>
      </c>
      <c r="J498" t="s">
        <v>4031</v>
      </c>
      <c r="K498" t="s">
        <v>4043</v>
      </c>
      <c r="L498">
        <v>-630.34</v>
      </c>
    </row>
    <row r="499" spans="1:12">
      <c r="A499" t="s">
        <v>509</v>
      </c>
      <c r="B499" s="2">
        <v>45336</v>
      </c>
      <c r="C499">
        <v>4000</v>
      </c>
      <c r="D499" t="s">
        <v>2012</v>
      </c>
      <c r="E499">
        <v>0</v>
      </c>
      <c r="F499">
        <v>2794.59</v>
      </c>
      <c r="G499" t="s">
        <v>2018</v>
      </c>
      <c r="H499" t="s">
        <v>2026</v>
      </c>
      <c r="I499" t="s">
        <v>2525</v>
      </c>
      <c r="J499" t="s">
        <v>4029</v>
      </c>
      <c r="K499" t="s">
        <v>4044</v>
      </c>
      <c r="L499">
        <v>2794.59</v>
      </c>
    </row>
    <row r="500" spans="1:12">
      <c r="A500" t="s">
        <v>510</v>
      </c>
      <c r="B500" s="2">
        <v>45182</v>
      </c>
      <c r="C500">
        <v>5000</v>
      </c>
      <c r="D500" t="s">
        <v>2013</v>
      </c>
      <c r="E500">
        <v>276.86</v>
      </c>
      <c r="F500">
        <v>0</v>
      </c>
      <c r="G500" t="s">
        <v>2020</v>
      </c>
      <c r="H500" t="s">
        <v>2025</v>
      </c>
      <c r="I500" t="s">
        <v>2526</v>
      </c>
      <c r="J500" t="s">
        <v>4031</v>
      </c>
      <c r="K500" t="s">
        <v>4036</v>
      </c>
      <c r="L500">
        <v>-276.86</v>
      </c>
    </row>
    <row r="501" spans="1:12">
      <c r="A501" t="s">
        <v>511</v>
      </c>
      <c r="B501" s="2">
        <v>45113</v>
      </c>
      <c r="C501">
        <v>5000</v>
      </c>
      <c r="D501" t="s">
        <v>2013</v>
      </c>
      <c r="E501">
        <v>1358.2</v>
      </c>
      <c r="F501">
        <v>0</v>
      </c>
      <c r="G501" t="s">
        <v>2017</v>
      </c>
      <c r="H501" t="s">
        <v>2026</v>
      </c>
      <c r="I501" t="s">
        <v>2527</v>
      </c>
      <c r="J501" t="s">
        <v>4028</v>
      </c>
      <c r="K501" t="s">
        <v>4050</v>
      </c>
      <c r="L501">
        <v>-1358.2</v>
      </c>
    </row>
    <row r="502" spans="1:12">
      <c r="A502" t="s">
        <v>512</v>
      </c>
      <c r="B502" s="2">
        <v>45408</v>
      </c>
      <c r="C502">
        <v>5010</v>
      </c>
      <c r="D502" t="s">
        <v>2015</v>
      </c>
      <c r="E502">
        <v>701.01</v>
      </c>
      <c r="F502">
        <v>0</v>
      </c>
      <c r="G502" t="s">
        <v>2020</v>
      </c>
      <c r="H502" t="s">
        <v>2027</v>
      </c>
      <c r="I502" t="s">
        <v>2528</v>
      </c>
      <c r="J502" t="s">
        <v>4028</v>
      </c>
      <c r="K502" t="s">
        <v>4040</v>
      </c>
      <c r="L502">
        <v>-701.01</v>
      </c>
    </row>
    <row r="503" spans="1:12">
      <c r="A503" t="s">
        <v>513</v>
      </c>
      <c r="B503" s="2">
        <v>45576</v>
      </c>
      <c r="C503">
        <v>4000</v>
      </c>
      <c r="D503" t="s">
        <v>2012</v>
      </c>
      <c r="E503">
        <v>0</v>
      </c>
      <c r="F503">
        <v>3951.26</v>
      </c>
      <c r="G503" t="s">
        <v>2021</v>
      </c>
      <c r="H503" t="s">
        <v>2023</v>
      </c>
      <c r="I503" t="s">
        <v>2529</v>
      </c>
      <c r="J503" t="s">
        <v>4030</v>
      </c>
      <c r="K503" t="s">
        <v>4059</v>
      </c>
      <c r="L503">
        <v>3951.26</v>
      </c>
    </row>
    <row r="504" spans="1:12">
      <c r="A504" t="s">
        <v>514</v>
      </c>
      <c r="B504" s="2">
        <v>45105</v>
      </c>
      <c r="C504">
        <v>4000</v>
      </c>
      <c r="D504" t="s">
        <v>2012</v>
      </c>
      <c r="E504">
        <v>0</v>
      </c>
      <c r="F504">
        <v>1521.81</v>
      </c>
      <c r="G504" t="s">
        <v>2020</v>
      </c>
      <c r="H504" t="s">
        <v>2026</v>
      </c>
      <c r="I504" t="s">
        <v>2530</v>
      </c>
      <c r="J504" t="s">
        <v>4029</v>
      </c>
      <c r="K504" t="s">
        <v>4055</v>
      </c>
      <c r="L504">
        <v>1521.81</v>
      </c>
    </row>
    <row r="505" spans="1:12">
      <c r="A505" t="s">
        <v>515</v>
      </c>
      <c r="B505" s="2">
        <v>45160</v>
      </c>
      <c r="C505">
        <v>5010</v>
      </c>
      <c r="D505" t="s">
        <v>2015</v>
      </c>
      <c r="E505">
        <v>402.01</v>
      </c>
      <c r="F505">
        <v>0</v>
      </c>
      <c r="G505" t="s">
        <v>2020</v>
      </c>
      <c r="H505" t="s">
        <v>2023</v>
      </c>
      <c r="I505" t="s">
        <v>2531</v>
      </c>
      <c r="J505" t="s">
        <v>4029</v>
      </c>
      <c r="K505" t="s">
        <v>4037</v>
      </c>
      <c r="L505">
        <v>-402.01</v>
      </c>
    </row>
    <row r="506" spans="1:12">
      <c r="A506" t="s">
        <v>516</v>
      </c>
      <c r="B506" s="2">
        <v>45334</v>
      </c>
      <c r="C506">
        <v>5000</v>
      </c>
      <c r="D506" t="s">
        <v>2013</v>
      </c>
      <c r="E506">
        <v>610.08000000000004</v>
      </c>
      <c r="F506">
        <v>0</v>
      </c>
      <c r="G506" t="s">
        <v>2017</v>
      </c>
      <c r="H506" t="s">
        <v>2027</v>
      </c>
      <c r="I506" t="s">
        <v>2532</v>
      </c>
      <c r="J506" t="s">
        <v>4032</v>
      </c>
      <c r="K506" t="s">
        <v>4044</v>
      </c>
      <c r="L506">
        <v>-610.08000000000004</v>
      </c>
    </row>
    <row r="507" spans="1:12">
      <c r="A507" t="s">
        <v>517</v>
      </c>
      <c r="B507" s="2">
        <v>45295</v>
      </c>
      <c r="C507">
        <v>4000</v>
      </c>
      <c r="D507" t="s">
        <v>2012</v>
      </c>
      <c r="E507">
        <v>0</v>
      </c>
      <c r="F507">
        <v>4713.8999999999996</v>
      </c>
      <c r="G507" t="s">
        <v>2018</v>
      </c>
      <c r="H507" t="s">
        <v>2027</v>
      </c>
      <c r="I507" t="s">
        <v>2533</v>
      </c>
      <c r="J507" t="s">
        <v>4029</v>
      </c>
      <c r="K507" t="s">
        <v>4053</v>
      </c>
      <c r="L507">
        <v>4713.8999999999996</v>
      </c>
    </row>
    <row r="508" spans="1:12">
      <c r="A508" t="s">
        <v>518</v>
      </c>
      <c r="B508" s="2">
        <v>44987</v>
      </c>
      <c r="C508">
        <v>6000</v>
      </c>
      <c r="D508" t="s">
        <v>2014</v>
      </c>
      <c r="E508">
        <v>1547.67</v>
      </c>
      <c r="F508">
        <v>0</v>
      </c>
      <c r="G508" t="s">
        <v>2017</v>
      </c>
      <c r="H508" t="s">
        <v>2023</v>
      </c>
      <c r="I508" t="s">
        <v>2534</v>
      </c>
      <c r="J508" t="s">
        <v>4029</v>
      </c>
      <c r="K508" t="s">
        <v>4051</v>
      </c>
      <c r="L508">
        <v>-1547.67</v>
      </c>
    </row>
    <row r="509" spans="1:12">
      <c r="A509" t="s">
        <v>519</v>
      </c>
      <c r="B509" s="2">
        <v>44965</v>
      </c>
      <c r="C509">
        <v>4010</v>
      </c>
      <c r="D509" t="s">
        <v>2016</v>
      </c>
      <c r="E509">
        <v>0</v>
      </c>
      <c r="F509">
        <v>3002.52</v>
      </c>
      <c r="G509" t="s">
        <v>2018</v>
      </c>
      <c r="H509" t="s">
        <v>2027</v>
      </c>
      <c r="I509" t="s">
        <v>2535</v>
      </c>
      <c r="J509" t="s">
        <v>4032</v>
      </c>
      <c r="K509" t="s">
        <v>4057</v>
      </c>
      <c r="L509">
        <v>3002.52</v>
      </c>
    </row>
    <row r="510" spans="1:12">
      <c r="A510" t="s">
        <v>520</v>
      </c>
      <c r="B510" s="2">
        <v>45182</v>
      </c>
      <c r="C510">
        <v>6000</v>
      </c>
      <c r="D510" t="s">
        <v>2014</v>
      </c>
      <c r="E510">
        <v>1295.97</v>
      </c>
      <c r="F510">
        <v>0</v>
      </c>
      <c r="G510" t="s">
        <v>2018</v>
      </c>
      <c r="H510" t="s">
        <v>2024</v>
      </c>
      <c r="I510" t="s">
        <v>2536</v>
      </c>
      <c r="J510" t="s">
        <v>4028</v>
      </c>
      <c r="K510" t="s">
        <v>4036</v>
      </c>
      <c r="L510">
        <v>-1295.97</v>
      </c>
    </row>
    <row r="511" spans="1:12">
      <c r="A511" t="s">
        <v>521</v>
      </c>
      <c r="B511" s="2">
        <v>45647</v>
      </c>
      <c r="C511">
        <v>5010</v>
      </c>
      <c r="D511" t="s">
        <v>2015</v>
      </c>
      <c r="E511">
        <v>1648.77</v>
      </c>
      <c r="F511">
        <v>0</v>
      </c>
      <c r="G511" t="s">
        <v>2022</v>
      </c>
      <c r="H511" t="s">
        <v>2027</v>
      </c>
      <c r="I511" t="s">
        <v>2537</v>
      </c>
      <c r="J511" t="s">
        <v>4032</v>
      </c>
      <c r="K511" t="s">
        <v>4056</v>
      </c>
      <c r="L511">
        <v>-1648.77</v>
      </c>
    </row>
    <row r="512" spans="1:12">
      <c r="A512" t="s">
        <v>522</v>
      </c>
      <c r="B512" s="2">
        <v>44933</v>
      </c>
      <c r="C512">
        <v>4010</v>
      </c>
      <c r="D512" t="s">
        <v>2016</v>
      </c>
      <c r="E512">
        <v>0</v>
      </c>
      <c r="F512">
        <v>1351.35</v>
      </c>
      <c r="G512" t="s">
        <v>2018</v>
      </c>
      <c r="H512" t="s">
        <v>2023</v>
      </c>
      <c r="I512" t="s">
        <v>2538</v>
      </c>
      <c r="J512" t="s">
        <v>4029</v>
      </c>
      <c r="K512" t="s">
        <v>4047</v>
      </c>
      <c r="L512">
        <v>1351.35</v>
      </c>
    </row>
    <row r="513" spans="1:12">
      <c r="A513" t="s">
        <v>523</v>
      </c>
      <c r="B513" s="2">
        <v>45666</v>
      </c>
      <c r="C513">
        <v>4010</v>
      </c>
      <c r="D513" t="s">
        <v>2016</v>
      </c>
      <c r="E513">
        <v>0</v>
      </c>
      <c r="F513">
        <v>1986.96</v>
      </c>
      <c r="G513" t="s">
        <v>2022</v>
      </c>
      <c r="H513" t="s">
        <v>2027</v>
      </c>
      <c r="I513" t="s">
        <v>2539</v>
      </c>
      <c r="J513" t="s">
        <v>4029</v>
      </c>
      <c r="K513" t="s">
        <v>4035</v>
      </c>
      <c r="L513">
        <v>1986.96</v>
      </c>
    </row>
    <row r="514" spans="1:12">
      <c r="A514" t="s">
        <v>524</v>
      </c>
      <c r="B514" s="2">
        <v>45165</v>
      </c>
      <c r="C514">
        <v>5010</v>
      </c>
      <c r="D514" t="s">
        <v>2015</v>
      </c>
      <c r="E514">
        <v>1723.41</v>
      </c>
      <c r="F514">
        <v>0</v>
      </c>
      <c r="G514" t="s">
        <v>2017</v>
      </c>
      <c r="H514" t="s">
        <v>2027</v>
      </c>
      <c r="I514" t="s">
        <v>2540</v>
      </c>
      <c r="J514" t="s">
        <v>4029</v>
      </c>
      <c r="K514" t="s">
        <v>4037</v>
      </c>
      <c r="L514">
        <v>-1723.41</v>
      </c>
    </row>
    <row r="515" spans="1:12">
      <c r="A515" t="s">
        <v>525</v>
      </c>
      <c r="B515" s="2">
        <v>45007</v>
      </c>
      <c r="C515">
        <v>4010</v>
      </c>
      <c r="D515" t="s">
        <v>2016</v>
      </c>
      <c r="E515">
        <v>0</v>
      </c>
      <c r="F515">
        <v>386.09</v>
      </c>
      <c r="G515" t="s">
        <v>2020</v>
      </c>
      <c r="H515" t="s">
        <v>2025</v>
      </c>
      <c r="I515" t="s">
        <v>2541</v>
      </c>
      <c r="J515" t="s">
        <v>4030</v>
      </c>
      <c r="K515" t="s">
        <v>4051</v>
      </c>
      <c r="L515">
        <v>386.09</v>
      </c>
    </row>
    <row r="516" spans="1:12">
      <c r="A516" t="s">
        <v>526</v>
      </c>
      <c r="B516" s="2">
        <v>45547</v>
      </c>
      <c r="C516">
        <v>4000</v>
      </c>
      <c r="D516" t="s">
        <v>2012</v>
      </c>
      <c r="E516">
        <v>0</v>
      </c>
      <c r="F516">
        <v>2180.11</v>
      </c>
      <c r="G516" t="s">
        <v>2018</v>
      </c>
      <c r="H516" t="s">
        <v>2025</v>
      </c>
      <c r="I516" t="s">
        <v>2542</v>
      </c>
      <c r="J516" t="s">
        <v>4029</v>
      </c>
      <c r="K516" t="s">
        <v>4048</v>
      </c>
      <c r="L516">
        <v>2180.11</v>
      </c>
    </row>
    <row r="517" spans="1:12">
      <c r="A517" t="s">
        <v>527</v>
      </c>
      <c r="B517" s="2">
        <v>45554</v>
      </c>
      <c r="C517">
        <v>6000</v>
      </c>
      <c r="D517" t="s">
        <v>2014</v>
      </c>
      <c r="E517">
        <v>1283.72</v>
      </c>
      <c r="F517">
        <v>0</v>
      </c>
      <c r="G517" t="s">
        <v>2017</v>
      </c>
      <c r="H517" t="s">
        <v>2026</v>
      </c>
      <c r="I517" t="s">
        <v>2543</v>
      </c>
      <c r="J517" t="s">
        <v>4030</v>
      </c>
      <c r="K517" t="s">
        <v>4048</v>
      </c>
      <c r="L517">
        <v>-1283.72</v>
      </c>
    </row>
    <row r="518" spans="1:12">
      <c r="A518" t="s">
        <v>528</v>
      </c>
      <c r="B518" s="2">
        <v>45785</v>
      </c>
      <c r="C518">
        <v>6000</v>
      </c>
      <c r="D518" t="s">
        <v>2014</v>
      </c>
      <c r="E518">
        <v>1809.13</v>
      </c>
      <c r="F518">
        <v>0</v>
      </c>
      <c r="G518" t="s">
        <v>2020</v>
      </c>
      <c r="H518" t="s">
        <v>2027</v>
      </c>
      <c r="I518" t="s">
        <v>2544</v>
      </c>
      <c r="J518" t="s">
        <v>4032</v>
      </c>
      <c r="K518" t="s">
        <v>4038</v>
      </c>
      <c r="L518">
        <v>-1809.13</v>
      </c>
    </row>
    <row r="519" spans="1:12">
      <c r="A519" t="s">
        <v>529</v>
      </c>
      <c r="B519" s="2">
        <v>45739</v>
      </c>
      <c r="C519">
        <v>5000</v>
      </c>
      <c r="D519" t="s">
        <v>2013</v>
      </c>
      <c r="E519">
        <v>1785.9</v>
      </c>
      <c r="F519">
        <v>0</v>
      </c>
      <c r="G519" t="s">
        <v>2021</v>
      </c>
      <c r="H519" t="s">
        <v>2023</v>
      </c>
      <c r="I519" t="s">
        <v>2545</v>
      </c>
      <c r="J519" t="s">
        <v>4030</v>
      </c>
      <c r="K519" t="s">
        <v>4046</v>
      </c>
      <c r="L519">
        <v>-1785.9</v>
      </c>
    </row>
    <row r="520" spans="1:12">
      <c r="A520" t="s">
        <v>530</v>
      </c>
      <c r="B520" s="2">
        <v>45279</v>
      </c>
      <c r="C520">
        <v>4010</v>
      </c>
      <c r="D520" t="s">
        <v>2016</v>
      </c>
      <c r="E520">
        <v>0</v>
      </c>
      <c r="F520">
        <v>4808.83</v>
      </c>
      <c r="G520" t="s">
        <v>2022</v>
      </c>
      <c r="H520" t="s">
        <v>2027</v>
      </c>
      <c r="I520" t="s">
        <v>2546</v>
      </c>
      <c r="J520" t="s">
        <v>4031</v>
      </c>
      <c r="K520" t="s">
        <v>4039</v>
      </c>
      <c r="L520">
        <v>4808.83</v>
      </c>
    </row>
    <row r="521" spans="1:12">
      <c r="A521" t="s">
        <v>531</v>
      </c>
      <c r="B521" s="2">
        <v>45571</v>
      </c>
      <c r="C521">
        <v>5000</v>
      </c>
      <c r="D521" t="s">
        <v>2013</v>
      </c>
      <c r="E521">
        <v>922.15</v>
      </c>
      <c r="F521">
        <v>0</v>
      </c>
      <c r="G521" t="s">
        <v>2020</v>
      </c>
      <c r="H521" t="s">
        <v>2026</v>
      </c>
      <c r="I521" t="s">
        <v>2547</v>
      </c>
      <c r="J521" t="s">
        <v>4031</v>
      </c>
      <c r="K521" t="s">
        <v>4059</v>
      </c>
      <c r="L521">
        <v>-922.15</v>
      </c>
    </row>
    <row r="522" spans="1:12">
      <c r="A522" t="s">
        <v>532</v>
      </c>
      <c r="B522" s="2">
        <v>45632</v>
      </c>
      <c r="C522">
        <v>4000</v>
      </c>
      <c r="D522" t="s">
        <v>2012</v>
      </c>
      <c r="E522">
        <v>0</v>
      </c>
      <c r="F522">
        <v>2754.43</v>
      </c>
      <c r="G522" t="s">
        <v>2017</v>
      </c>
      <c r="H522" t="s">
        <v>2027</v>
      </c>
      <c r="I522" t="s">
        <v>2548</v>
      </c>
      <c r="J522" t="s">
        <v>4031</v>
      </c>
      <c r="K522" t="s">
        <v>4056</v>
      </c>
      <c r="L522">
        <v>2754.43</v>
      </c>
    </row>
    <row r="523" spans="1:12">
      <c r="A523" t="s">
        <v>533</v>
      </c>
      <c r="B523" s="2">
        <v>45790</v>
      </c>
      <c r="C523">
        <v>4000</v>
      </c>
      <c r="D523" t="s">
        <v>2012</v>
      </c>
      <c r="E523">
        <v>0</v>
      </c>
      <c r="F523">
        <v>2370.2800000000002</v>
      </c>
      <c r="G523" t="s">
        <v>2018</v>
      </c>
      <c r="H523" t="s">
        <v>2026</v>
      </c>
      <c r="I523" t="s">
        <v>2549</v>
      </c>
      <c r="J523" t="s">
        <v>4030</v>
      </c>
      <c r="K523" t="s">
        <v>4038</v>
      </c>
      <c r="L523">
        <v>2370.2800000000002</v>
      </c>
    </row>
    <row r="524" spans="1:12">
      <c r="A524" t="s">
        <v>534</v>
      </c>
      <c r="B524" s="2">
        <v>45188</v>
      </c>
      <c r="C524">
        <v>5000</v>
      </c>
      <c r="D524" t="s">
        <v>2013</v>
      </c>
      <c r="E524">
        <v>649.98</v>
      </c>
      <c r="F524">
        <v>0</v>
      </c>
      <c r="G524" t="s">
        <v>2019</v>
      </c>
      <c r="H524" t="s">
        <v>2026</v>
      </c>
      <c r="I524" t="s">
        <v>2550</v>
      </c>
      <c r="J524" t="s">
        <v>4029</v>
      </c>
      <c r="K524" t="s">
        <v>4036</v>
      </c>
      <c r="L524">
        <v>-649.98</v>
      </c>
    </row>
    <row r="525" spans="1:12">
      <c r="A525" t="s">
        <v>535</v>
      </c>
      <c r="B525" s="2">
        <v>45441</v>
      </c>
      <c r="C525">
        <v>4010</v>
      </c>
      <c r="D525" t="s">
        <v>2016</v>
      </c>
      <c r="E525">
        <v>0</v>
      </c>
      <c r="F525">
        <v>402.69</v>
      </c>
      <c r="G525" t="s">
        <v>2020</v>
      </c>
      <c r="H525" t="s">
        <v>2026</v>
      </c>
      <c r="I525" t="s">
        <v>2551</v>
      </c>
      <c r="J525" t="s">
        <v>4029</v>
      </c>
      <c r="K525" t="s">
        <v>4033</v>
      </c>
      <c r="L525">
        <v>402.69</v>
      </c>
    </row>
    <row r="526" spans="1:12">
      <c r="A526" t="s">
        <v>536</v>
      </c>
      <c r="B526" s="2">
        <v>45250</v>
      </c>
      <c r="C526">
        <v>6000</v>
      </c>
      <c r="D526" t="s">
        <v>2014</v>
      </c>
      <c r="E526">
        <v>154.30000000000001</v>
      </c>
      <c r="F526">
        <v>0</v>
      </c>
      <c r="G526" t="s">
        <v>2020</v>
      </c>
      <c r="H526" t="s">
        <v>2023</v>
      </c>
      <c r="I526" t="s">
        <v>2552</v>
      </c>
      <c r="J526" t="s">
        <v>4028</v>
      </c>
      <c r="K526" t="s">
        <v>4042</v>
      </c>
      <c r="L526">
        <v>-154.30000000000001</v>
      </c>
    </row>
    <row r="527" spans="1:12">
      <c r="A527" t="s">
        <v>537</v>
      </c>
      <c r="B527" s="2">
        <v>45366</v>
      </c>
      <c r="C527">
        <v>4000</v>
      </c>
      <c r="D527" t="s">
        <v>2012</v>
      </c>
      <c r="E527">
        <v>0</v>
      </c>
      <c r="F527">
        <v>3155.19</v>
      </c>
      <c r="G527" t="s">
        <v>2021</v>
      </c>
      <c r="H527" t="s">
        <v>2023</v>
      </c>
      <c r="I527" t="s">
        <v>2553</v>
      </c>
      <c r="J527" t="s">
        <v>4029</v>
      </c>
      <c r="K527" t="s">
        <v>4049</v>
      </c>
      <c r="L527">
        <v>3155.19</v>
      </c>
    </row>
    <row r="528" spans="1:12">
      <c r="A528" t="s">
        <v>538</v>
      </c>
      <c r="B528" s="2">
        <v>44942</v>
      </c>
      <c r="C528">
        <v>6000</v>
      </c>
      <c r="D528" t="s">
        <v>2014</v>
      </c>
      <c r="E528">
        <v>1455.97</v>
      </c>
      <c r="F528">
        <v>0</v>
      </c>
      <c r="G528" t="s">
        <v>2020</v>
      </c>
      <c r="H528" t="s">
        <v>2025</v>
      </c>
      <c r="I528" t="s">
        <v>2554</v>
      </c>
      <c r="J528" t="s">
        <v>4031</v>
      </c>
      <c r="K528" t="s">
        <v>4047</v>
      </c>
      <c r="L528">
        <v>-1455.97</v>
      </c>
    </row>
    <row r="529" spans="1:12">
      <c r="A529" t="s">
        <v>539</v>
      </c>
      <c r="B529" s="2">
        <v>45287</v>
      </c>
      <c r="C529">
        <v>5000</v>
      </c>
      <c r="D529" t="s">
        <v>2013</v>
      </c>
      <c r="E529">
        <v>133.86000000000001</v>
      </c>
      <c r="F529">
        <v>0</v>
      </c>
      <c r="G529" t="s">
        <v>2022</v>
      </c>
      <c r="H529" t="s">
        <v>2026</v>
      </c>
      <c r="I529" t="s">
        <v>2555</v>
      </c>
      <c r="J529" t="s">
        <v>4029</v>
      </c>
      <c r="K529" t="s">
        <v>4039</v>
      </c>
      <c r="L529">
        <v>-133.86000000000001</v>
      </c>
    </row>
    <row r="530" spans="1:12">
      <c r="A530" t="s">
        <v>540</v>
      </c>
      <c r="B530" s="2">
        <v>45435</v>
      </c>
      <c r="C530">
        <v>5000</v>
      </c>
      <c r="D530" t="s">
        <v>2013</v>
      </c>
      <c r="E530">
        <v>928.81</v>
      </c>
      <c r="F530">
        <v>0</v>
      </c>
      <c r="G530" t="s">
        <v>2022</v>
      </c>
      <c r="H530" t="s">
        <v>2024</v>
      </c>
      <c r="I530" t="s">
        <v>2556</v>
      </c>
      <c r="J530" t="s">
        <v>4030</v>
      </c>
      <c r="K530" t="s">
        <v>4033</v>
      </c>
      <c r="L530">
        <v>-928.81</v>
      </c>
    </row>
    <row r="531" spans="1:12">
      <c r="A531" t="s">
        <v>541</v>
      </c>
      <c r="B531" s="2">
        <v>45027</v>
      </c>
      <c r="C531">
        <v>4010</v>
      </c>
      <c r="D531" t="s">
        <v>2016</v>
      </c>
      <c r="E531">
        <v>0</v>
      </c>
      <c r="F531">
        <v>4936.62</v>
      </c>
      <c r="G531" t="s">
        <v>2019</v>
      </c>
      <c r="H531" t="s">
        <v>2025</v>
      </c>
      <c r="I531" t="s">
        <v>2557</v>
      </c>
      <c r="J531" t="s">
        <v>4028</v>
      </c>
      <c r="K531" t="s">
        <v>4041</v>
      </c>
      <c r="L531">
        <v>4936.62</v>
      </c>
    </row>
    <row r="532" spans="1:12">
      <c r="A532" t="s">
        <v>542</v>
      </c>
      <c r="B532" s="2">
        <v>45435</v>
      </c>
      <c r="C532">
        <v>6000</v>
      </c>
      <c r="D532" t="s">
        <v>2014</v>
      </c>
      <c r="E532">
        <v>1152.7</v>
      </c>
      <c r="F532">
        <v>0</v>
      </c>
      <c r="G532" t="s">
        <v>2017</v>
      </c>
      <c r="H532" t="s">
        <v>2024</v>
      </c>
      <c r="I532" t="s">
        <v>2558</v>
      </c>
      <c r="J532" t="s">
        <v>4029</v>
      </c>
      <c r="K532" t="s">
        <v>4033</v>
      </c>
      <c r="L532">
        <v>-1152.7</v>
      </c>
    </row>
    <row r="533" spans="1:12">
      <c r="A533" t="s">
        <v>543</v>
      </c>
      <c r="B533" s="2">
        <v>45644</v>
      </c>
      <c r="C533">
        <v>5010</v>
      </c>
      <c r="D533" t="s">
        <v>2015</v>
      </c>
      <c r="E533">
        <v>1793.92</v>
      </c>
      <c r="F533">
        <v>0</v>
      </c>
      <c r="G533" t="s">
        <v>2021</v>
      </c>
      <c r="H533" t="s">
        <v>2027</v>
      </c>
      <c r="I533" t="s">
        <v>2559</v>
      </c>
      <c r="J533" t="s">
        <v>4030</v>
      </c>
      <c r="K533" t="s">
        <v>4056</v>
      </c>
      <c r="L533">
        <v>-1793.92</v>
      </c>
    </row>
    <row r="534" spans="1:12">
      <c r="A534" t="s">
        <v>544</v>
      </c>
      <c r="B534" s="2">
        <v>45468</v>
      </c>
      <c r="C534">
        <v>5000</v>
      </c>
      <c r="D534" t="s">
        <v>2013</v>
      </c>
      <c r="E534">
        <v>1022.78</v>
      </c>
      <c r="F534">
        <v>0</v>
      </c>
      <c r="G534" t="s">
        <v>2017</v>
      </c>
      <c r="H534" t="s">
        <v>2023</v>
      </c>
      <c r="I534" t="s">
        <v>2560</v>
      </c>
      <c r="J534" t="s">
        <v>4031</v>
      </c>
      <c r="K534" t="s">
        <v>4034</v>
      </c>
      <c r="L534">
        <v>-1022.78</v>
      </c>
    </row>
    <row r="535" spans="1:12">
      <c r="A535" t="s">
        <v>545</v>
      </c>
      <c r="B535" s="2">
        <v>45662</v>
      </c>
      <c r="C535">
        <v>4000</v>
      </c>
      <c r="D535" t="s">
        <v>2012</v>
      </c>
      <c r="E535">
        <v>0</v>
      </c>
      <c r="F535">
        <v>1831.2</v>
      </c>
      <c r="G535" t="s">
        <v>2020</v>
      </c>
      <c r="H535" t="s">
        <v>2027</v>
      </c>
      <c r="I535" t="s">
        <v>2561</v>
      </c>
      <c r="J535" t="s">
        <v>4029</v>
      </c>
      <c r="K535" t="s">
        <v>4035</v>
      </c>
      <c r="L535">
        <v>1831.2</v>
      </c>
    </row>
    <row r="536" spans="1:12">
      <c r="A536" t="s">
        <v>546</v>
      </c>
      <c r="B536" s="2">
        <v>45786</v>
      </c>
      <c r="C536">
        <v>4000</v>
      </c>
      <c r="D536" t="s">
        <v>2012</v>
      </c>
      <c r="E536">
        <v>0</v>
      </c>
      <c r="F536">
        <v>1273.25</v>
      </c>
      <c r="G536" t="s">
        <v>2020</v>
      </c>
      <c r="H536" t="s">
        <v>2026</v>
      </c>
      <c r="I536" t="s">
        <v>2562</v>
      </c>
      <c r="J536" t="s">
        <v>4029</v>
      </c>
      <c r="K536" t="s">
        <v>4038</v>
      </c>
      <c r="L536">
        <v>1273.25</v>
      </c>
    </row>
    <row r="537" spans="1:12">
      <c r="A537" t="s">
        <v>547</v>
      </c>
      <c r="B537" s="2">
        <v>45214</v>
      </c>
      <c r="C537">
        <v>4010</v>
      </c>
      <c r="D537" t="s">
        <v>2016</v>
      </c>
      <c r="E537">
        <v>0</v>
      </c>
      <c r="F537">
        <v>3620.97</v>
      </c>
      <c r="G537" t="s">
        <v>2021</v>
      </c>
      <c r="H537" t="s">
        <v>2027</v>
      </c>
      <c r="I537" t="s">
        <v>2563</v>
      </c>
      <c r="J537" t="s">
        <v>4028</v>
      </c>
      <c r="K537" t="s">
        <v>4060</v>
      </c>
      <c r="L537">
        <v>3620.97</v>
      </c>
    </row>
    <row r="538" spans="1:12">
      <c r="A538" t="s">
        <v>548</v>
      </c>
      <c r="B538" s="2">
        <v>45451</v>
      </c>
      <c r="C538">
        <v>4000</v>
      </c>
      <c r="D538" t="s">
        <v>2012</v>
      </c>
      <c r="E538">
        <v>0</v>
      </c>
      <c r="F538">
        <v>2592.4299999999998</v>
      </c>
      <c r="G538" t="s">
        <v>2020</v>
      </c>
      <c r="H538" t="s">
        <v>2023</v>
      </c>
      <c r="I538" t="s">
        <v>2564</v>
      </c>
      <c r="J538" t="s">
        <v>4029</v>
      </c>
      <c r="K538" t="s">
        <v>4034</v>
      </c>
      <c r="L538">
        <v>2592.4299999999998</v>
      </c>
    </row>
    <row r="539" spans="1:12">
      <c r="A539" t="s">
        <v>549</v>
      </c>
      <c r="B539" s="2">
        <v>45730</v>
      </c>
      <c r="C539">
        <v>5000</v>
      </c>
      <c r="D539" t="s">
        <v>2013</v>
      </c>
      <c r="E539">
        <v>1683.82</v>
      </c>
      <c r="F539">
        <v>0</v>
      </c>
      <c r="G539" t="s">
        <v>2020</v>
      </c>
      <c r="H539" t="s">
        <v>2025</v>
      </c>
      <c r="I539" t="s">
        <v>2565</v>
      </c>
      <c r="J539" t="s">
        <v>4030</v>
      </c>
      <c r="K539" t="s">
        <v>4046</v>
      </c>
      <c r="L539">
        <v>-1683.82</v>
      </c>
    </row>
    <row r="540" spans="1:12">
      <c r="A540" t="s">
        <v>550</v>
      </c>
      <c r="B540" s="2">
        <v>45190</v>
      </c>
      <c r="C540">
        <v>5010</v>
      </c>
      <c r="D540" t="s">
        <v>2015</v>
      </c>
      <c r="E540">
        <v>1735.98</v>
      </c>
      <c r="F540">
        <v>0</v>
      </c>
      <c r="G540" t="s">
        <v>2017</v>
      </c>
      <c r="H540" t="s">
        <v>2023</v>
      </c>
      <c r="I540" t="s">
        <v>2566</v>
      </c>
      <c r="J540" t="s">
        <v>4030</v>
      </c>
      <c r="K540" t="s">
        <v>4036</v>
      </c>
      <c r="L540">
        <v>-1735.98</v>
      </c>
    </row>
    <row r="541" spans="1:12">
      <c r="A541" t="s">
        <v>551</v>
      </c>
      <c r="B541" s="2">
        <v>45797</v>
      </c>
      <c r="C541">
        <v>4000</v>
      </c>
      <c r="D541" t="s">
        <v>2012</v>
      </c>
      <c r="E541">
        <v>0</v>
      </c>
      <c r="F541">
        <v>3791.55</v>
      </c>
      <c r="G541" t="s">
        <v>2021</v>
      </c>
      <c r="H541" t="s">
        <v>2025</v>
      </c>
      <c r="I541" t="s">
        <v>2567</v>
      </c>
      <c r="J541" t="s">
        <v>4029</v>
      </c>
      <c r="K541" t="s">
        <v>4038</v>
      </c>
      <c r="L541">
        <v>3791.55</v>
      </c>
    </row>
    <row r="542" spans="1:12">
      <c r="A542" t="s">
        <v>552</v>
      </c>
      <c r="B542" s="2">
        <v>45687</v>
      </c>
      <c r="C542">
        <v>4010</v>
      </c>
      <c r="D542" t="s">
        <v>2016</v>
      </c>
      <c r="E542">
        <v>0</v>
      </c>
      <c r="F542">
        <v>2119.27</v>
      </c>
      <c r="G542" t="s">
        <v>2017</v>
      </c>
      <c r="H542" t="s">
        <v>2023</v>
      </c>
      <c r="I542" t="s">
        <v>2568</v>
      </c>
      <c r="J542" t="s">
        <v>4031</v>
      </c>
      <c r="K542" t="s">
        <v>4035</v>
      </c>
      <c r="L542">
        <v>2119.27</v>
      </c>
    </row>
    <row r="543" spans="1:12">
      <c r="A543" t="s">
        <v>553</v>
      </c>
      <c r="B543" s="2">
        <v>45586</v>
      </c>
      <c r="C543">
        <v>4010</v>
      </c>
      <c r="D543" t="s">
        <v>2016</v>
      </c>
      <c r="E543">
        <v>0</v>
      </c>
      <c r="F543">
        <v>3802.31</v>
      </c>
      <c r="G543" t="s">
        <v>2020</v>
      </c>
      <c r="H543" t="s">
        <v>2025</v>
      </c>
      <c r="I543" t="s">
        <v>2569</v>
      </c>
      <c r="J543" t="s">
        <v>4032</v>
      </c>
      <c r="K543" t="s">
        <v>4059</v>
      </c>
      <c r="L543">
        <v>3802.31</v>
      </c>
    </row>
    <row r="544" spans="1:12">
      <c r="A544" t="s">
        <v>554</v>
      </c>
      <c r="B544" s="2">
        <v>45670</v>
      </c>
      <c r="C544">
        <v>4010</v>
      </c>
      <c r="D544" t="s">
        <v>2016</v>
      </c>
      <c r="E544">
        <v>0</v>
      </c>
      <c r="F544">
        <v>1414.25</v>
      </c>
      <c r="G544" t="s">
        <v>2017</v>
      </c>
      <c r="H544" t="s">
        <v>2026</v>
      </c>
      <c r="I544" t="s">
        <v>2570</v>
      </c>
      <c r="J544" t="s">
        <v>4031</v>
      </c>
      <c r="K544" t="s">
        <v>4035</v>
      </c>
      <c r="L544">
        <v>1414.25</v>
      </c>
    </row>
    <row r="545" spans="1:12">
      <c r="A545" t="s">
        <v>555</v>
      </c>
      <c r="B545" s="2">
        <v>45630</v>
      </c>
      <c r="C545">
        <v>4000</v>
      </c>
      <c r="D545" t="s">
        <v>2012</v>
      </c>
      <c r="E545">
        <v>0</v>
      </c>
      <c r="F545">
        <v>1404.17</v>
      </c>
      <c r="G545" t="s">
        <v>2019</v>
      </c>
      <c r="H545" t="s">
        <v>2023</v>
      </c>
      <c r="I545" t="s">
        <v>2571</v>
      </c>
      <c r="J545" t="s">
        <v>4030</v>
      </c>
      <c r="K545" t="s">
        <v>4056</v>
      </c>
      <c r="L545">
        <v>1404.17</v>
      </c>
    </row>
    <row r="546" spans="1:12">
      <c r="A546" t="s">
        <v>556</v>
      </c>
      <c r="B546" s="2">
        <v>45048</v>
      </c>
      <c r="C546">
        <v>4010</v>
      </c>
      <c r="D546" t="s">
        <v>2016</v>
      </c>
      <c r="E546">
        <v>0</v>
      </c>
      <c r="F546">
        <v>3160.15</v>
      </c>
      <c r="G546" t="s">
        <v>2021</v>
      </c>
      <c r="H546" t="s">
        <v>2025</v>
      </c>
      <c r="I546" t="s">
        <v>2572</v>
      </c>
      <c r="J546" t="s">
        <v>4032</v>
      </c>
      <c r="K546" t="s">
        <v>4062</v>
      </c>
      <c r="L546">
        <v>3160.15</v>
      </c>
    </row>
    <row r="547" spans="1:12">
      <c r="A547" t="s">
        <v>557</v>
      </c>
      <c r="B547" s="2">
        <v>45077</v>
      </c>
      <c r="C547">
        <v>6000</v>
      </c>
      <c r="D547" t="s">
        <v>2014</v>
      </c>
      <c r="E547">
        <v>344.52</v>
      </c>
      <c r="F547">
        <v>0</v>
      </c>
      <c r="G547" t="s">
        <v>2021</v>
      </c>
      <c r="H547" t="s">
        <v>2025</v>
      </c>
      <c r="I547" t="s">
        <v>2573</v>
      </c>
      <c r="J547" t="s">
        <v>4030</v>
      </c>
      <c r="K547" t="s">
        <v>4062</v>
      </c>
      <c r="L547">
        <v>-344.52</v>
      </c>
    </row>
    <row r="548" spans="1:12">
      <c r="A548" t="s">
        <v>558</v>
      </c>
      <c r="B548" s="2">
        <v>45552</v>
      </c>
      <c r="C548">
        <v>6000</v>
      </c>
      <c r="D548" t="s">
        <v>2014</v>
      </c>
      <c r="E548">
        <v>846.89</v>
      </c>
      <c r="F548">
        <v>0</v>
      </c>
      <c r="G548" t="s">
        <v>2020</v>
      </c>
      <c r="H548" t="s">
        <v>2026</v>
      </c>
      <c r="I548" t="s">
        <v>2574</v>
      </c>
      <c r="J548" t="s">
        <v>4028</v>
      </c>
      <c r="K548" t="s">
        <v>4048</v>
      </c>
      <c r="L548">
        <v>-846.89</v>
      </c>
    </row>
    <row r="549" spans="1:12">
      <c r="A549" t="s">
        <v>559</v>
      </c>
      <c r="B549" s="2">
        <v>45806</v>
      </c>
      <c r="C549">
        <v>5010</v>
      </c>
      <c r="D549" t="s">
        <v>2015</v>
      </c>
      <c r="E549">
        <v>1316.39</v>
      </c>
      <c r="F549">
        <v>0</v>
      </c>
      <c r="G549" t="s">
        <v>2021</v>
      </c>
      <c r="H549" t="s">
        <v>2027</v>
      </c>
      <c r="I549" t="s">
        <v>2575</v>
      </c>
      <c r="J549" t="s">
        <v>4032</v>
      </c>
      <c r="K549" t="s">
        <v>4038</v>
      </c>
      <c r="L549">
        <v>-1316.39</v>
      </c>
    </row>
    <row r="550" spans="1:12">
      <c r="A550" t="s">
        <v>560</v>
      </c>
      <c r="B550" s="2">
        <v>45600</v>
      </c>
      <c r="C550">
        <v>5010</v>
      </c>
      <c r="D550" t="s">
        <v>2015</v>
      </c>
      <c r="E550">
        <v>1731.71</v>
      </c>
      <c r="F550">
        <v>0</v>
      </c>
      <c r="G550" t="s">
        <v>2017</v>
      </c>
      <c r="H550" t="s">
        <v>2025</v>
      </c>
      <c r="I550" t="s">
        <v>2576</v>
      </c>
      <c r="J550" t="s">
        <v>4028</v>
      </c>
      <c r="K550" t="s">
        <v>4043</v>
      </c>
      <c r="L550">
        <v>-1731.71</v>
      </c>
    </row>
    <row r="551" spans="1:12">
      <c r="A551" t="s">
        <v>561</v>
      </c>
      <c r="B551" s="2">
        <v>45433</v>
      </c>
      <c r="C551">
        <v>5000</v>
      </c>
      <c r="D551" t="s">
        <v>2013</v>
      </c>
      <c r="E551">
        <v>1683.19</v>
      </c>
      <c r="F551">
        <v>0</v>
      </c>
      <c r="G551" t="s">
        <v>2021</v>
      </c>
      <c r="H551" t="s">
        <v>2025</v>
      </c>
      <c r="I551" t="s">
        <v>2577</v>
      </c>
      <c r="J551" t="s">
        <v>4031</v>
      </c>
      <c r="K551" t="s">
        <v>4033</v>
      </c>
      <c r="L551">
        <v>-1683.19</v>
      </c>
    </row>
    <row r="552" spans="1:12">
      <c r="A552" t="s">
        <v>562</v>
      </c>
      <c r="B552" s="2">
        <v>45536</v>
      </c>
      <c r="C552">
        <v>6000</v>
      </c>
      <c r="D552" t="s">
        <v>2014</v>
      </c>
      <c r="E552">
        <v>225.82</v>
      </c>
      <c r="F552">
        <v>0</v>
      </c>
      <c r="G552" t="s">
        <v>2020</v>
      </c>
      <c r="H552" t="s">
        <v>2025</v>
      </c>
      <c r="I552" t="s">
        <v>2578</v>
      </c>
      <c r="J552" t="s">
        <v>4028</v>
      </c>
      <c r="K552" t="s">
        <v>4048</v>
      </c>
      <c r="L552">
        <v>-225.82</v>
      </c>
    </row>
    <row r="553" spans="1:12">
      <c r="A553" t="s">
        <v>563</v>
      </c>
      <c r="B553" s="2">
        <v>45050</v>
      </c>
      <c r="C553">
        <v>4000</v>
      </c>
      <c r="D553" t="s">
        <v>2012</v>
      </c>
      <c r="E553">
        <v>0</v>
      </c>
      <c r="F553">
        <v>3218.47</v>
      </c>
      <c r="G553" t="s">
        <v>2019</v>
      </c>
      <c r="H553" t="s">
        <v>2025</v>
      </c>
      <c r="I553" t="s">
        <v>2579</v>
      </c>
      <c r="J553" t="s">
        <v>4030</v>
      </c>
      <c r="K553" t="s">
        <v>4062</v>
      </c>
      <c r="L553">
        <v>3218.47</v>
      </c>
    </row>
    <row r="554" spans="1:12">
      <c r="A554" t="s">
        <v>564</v>
      </c>
      <c r="B554" s="2">
        <v>45182</v>
      </c>
      <c r="C554">
        <v>4010</v>
      </c>
      <c r="D554" t="s">
        <v>2016</v>
      </c>
      <c r="E554">
        <v>0</v>
      </c>
      <c r="F554">
        <v>489.03</v>
      </c>
      <c r="G554" t="s">
        <v>2019</v>
      </c>
      <c r="H554" t="s">
        <v>2023</v>
      </c>
      <c r="I554" t="s">
        <v>2580</v>
      </c>
      <c r="J554" t="s">
        <v>4032</v>
      </c>
      <c r="K554" t="s">
        <v>4036</v>
      </c>
      <c r="L554">
        <v>489.03</v>
      </c>
    </row>
    <row r="555" spans="1:12">
      <c r="A555" t="s">
        <v>565</v>
      </c>
      <c r="B555" s="2">
        <v>45820</v>
      </c>
      <c r="C555">
        <v>5010</v>
      </c>
      <c r="D555" t="s">
        <v>2015</v>
      </c>
      <c r="E555">
        <v>558.76</v>
      </c>
      <c r="F555">
        <v>0</v>
      </c>
      <c r="G555" t="s">
        <v>2019</v>
      </c>
      <c r="H555" t="s">
        <v>2026</v>
      </c>
      <c r="I555" t="s">
        <v>2581</v>
      </c>
      <c r="J555" t="s">
        <v>4031</v>
      </c>
      <c r="K555" t="s">
        <v>4052</v>
      </c>
      <c r="L555">
        <v>-558.76</v>
      </c>
    </row>
    <row r="556" spans="1:12">
      <c r="A556" t="s">
        <v>566</v>
      </c>
      <c r="B556" s="2">
        <v>44949</v>
      </c>
      <c r="C556">
        <v>4000</v>
      </c>
      <c r="D556" t="s">
        <v>2012</v>
      </c>
      <c r="E556">
        <v>0</v>
      </c>
      <c r="F556">
        <v>3368.07</v>
      </c>
      <c r="G556" t="s">
        <v>2020</v>
      </c>
      <c r="H556" t="s">
        <v>2024</v>
      </c>
      <c r="I556" t="s">
        <v>2582</v>
      </c>
      <c r="J556" t="s">
        <v>4028</v>
      </c>
      <c r="K556" t="s">
        <v>4047</v>
      </c>
      <c r="L556">
        <v>3368.07</v>
      </c>
    </row>
    <row r="557" spans="1:12">
      <c r="A557" t="s">
        <v>567</v>
      </c>
      <c r="B557" s="2">
        <v>45709</v>
      </c>
      <c r="C557">
        <v>5000</v>
      </c>
      <c r="D557" t="s">
        <v>2013</v>
      </c>
      <c r="E557">
        <v>1354.74</v>
      </c>
      <c r="F557">
        <v>0</v>
      </c>
      <c r="G557" t="s">
        <v>2018</v>
      </c>
      <c r="H557" t="s">
        <v>2023</v>
      </c>
      <c r="I557" t="s">
        <v>2583</v>
      </c>
      <c r="J557" t="s">
        <v>4032</v>
      </c>
      <c r="K557" t="s">
        <v>4061</v>
      </c>
      <c r="L557">
        <v>-1354.74</v>
      </c>
    </row>
    <row r="558" spans="1:12">
      <c r="A558" t="s">
        <v>568</v>
      </c>
      <c r="B558" s="2">
        <v>45577</v>
      </c>
      <c r="C558">
        <v>5010</v>
      </c>
      <c r="D558" t="s">
        <v>2015</v>
      </c>
      <c r="E558">
        <v>421.39</v>
      </c>
      <c r="F558">
        <v>0</v>
      </c>
      <c r="G558" t="s">
        <v>2021</v>
      </c>
      <c r="H558" t="s">
        <v>2025</v>
      </c>
      <c r="I558" t="s">
        <v>2584</v>
      </c>
      <c r="J558" t="s">
        <v>4031</v>
      </c>
      <c r="K558" t="s">
        <v>4059</v>
      </c>
      <c r="L558">
        <v>-421.39</v>
      </c>
    </row>
    <row r="559" spans="1:12">
      <c r="A559" t="s">
        <v>569</v>
      </c>
      <c r="B559" s="2">
        <v>45327</v>
      </c>
      <c r="C559">
        <v>5010</v>
      </c>
      <c r="D559" t="s">
        <v>2015</v>
      </c>
      <c r="E559">
        <v>618.39</v>
      </c>
      <c r="F559">
        <v>0</v>
      </c>
      <c r="G559" t="s">
        <v>2018</v>
      </c>
      <c r="H559" t="s">
        <v>2025</v>
      </c>
      <c r="I559" t="s">
        <v>2585</v>
      </c>
      <c r="J559" t="s">
        <v>4028</v>
      </c>
      <c r="K559" t="s">
        <v>4044</v>
      </c>
      <c r="L559">
        <v>-618.39</v>
      </c>
    </row>
    <row r="560" spans="1:12">
      <c r="A560" t="s">
        <v>570</v>
      </c>
      <c r="B560" s="2">
        <v>45776</v>
      </c>
      <c r="C560">
        <v>6000</v>
      </c>
      <c r="D560" t="s">
        <v>2014</v>
      </c>
      <c r="E560">
        <v>1649.25</v>
      </c>
      <c r="F560">
        <v>0</v>
      </c>
      <c r="G560" t="s">
        <v>2020</v>
      </c>
      <c r="H560" t="s">
        <v>2024</v>
      </c>
      <c r="I560" t="s">
        <v>2586</v>
      </c>
      <c r="J560" t="s">
        <v>4030</v>
      </c>
      <c r="K560" t="s">
        <v>4045</v>
      </c>
      <c r="L560">
        <v>-1649.25</v>
      </c>
    </row>
    <row r="561" spans="1:12">
      <c r="A561" t="s">
        <v>571</v>
      </c>
      <c r="B561" s="2">
        <v>45710</v>
      </c>
      <c r="C561">
        <v>4000</v>
      </c>
      <c r="D561" t="s">
        <v>2012</v>
      </c>
      <c r="E561">
        <v>0</v>
      </c>
      <c r="F561">
        <v>3741.45</v>
      </c>
      <c r="G561" t="s">
        <v>2020</v>
      </c>
      <c r="H561" t="s">
        <v>2026</v>
      </c>
      <c r="I561" t="s">
        <v>2587</v>
      </c>
      <c r="J561" t="s">
        <v>4028</v>
      </c>
      <c r="K561" t="s">
        <v>4061</v>
      </c>
      <c r="L561">
        <v>3741.45</v>
      </c>
    </row>
    <row r="562" spans="1:12">
      <c r="A562" t="s">
        <v>572</v>
      </c>
      <c r="B562" s="2">
        <v>44982</v>
      </c>
      <c r="C562">
        <v>4000</v>
      </c>
      <c r="D562" t="s">
        <v>2012</v>
      </c>
      <c r="E562">
        <v>0</v>
      </c>
      <c r="F562">
        <v>3563.43</v>
      </c>
      <c r="G562" t="s">
        <v>2018</v>
      </c>
      <c r="H562" t="s">
        <v>2027</v>
      </c>
      <c r="I562" t="s">
        <v>2588</v>
      </c>
      <c r="J562" t="s">
        <v>4031</v>
      </c>
      <c r="K562" t="s">
        <v>4057</v>
      </c>
      <c r="L562">
        <v>3563.43</v>
      </c>
    </row>
    <row r="563" spans="1:12">
      <c r="A563" t="s">
        <v>573</v>
      </c>
      <c r="B563" s="2">
        <v>45620</v>
      </c>
      <c r="C563">
        <v>6000</v>
      </c>
      <c r="D563" t="s">
        <v>2014</v>
      </c>
      <c r="E563">
        <v>1010.12</v>
      </c>
      <c r="F563">
        <v>0</v>
      </c>
      <c r="G563" t="s">
        <v>2018</v>
      </c>
      <c r="H563" t="s">
        <v>2025</v>
      </c>
      <c r="I563" t="s">
        <v>2589</v>
      </c>
      <c r="J563" t="s">
        <v>4031</v>
      </c>
      <c r="K563" t="s">
        <v>4043</v>
      </c>
      <c r="L563">
        <v>-1010.12</v>
      </c>
    </row>
    <row r="564" spans="1:12">
      <c r="A564" t="s">
        <v>574</v>
      </c>
      <c r="B564" s="2">
        <v>45783</v>
      </c>
      <c r="C564">
        <v>4000</v>
      </c>
      <c r="D564" t="s">
        <v>2012</v>
      </c>
      <c r="E564">
        <v>0</v>
      </c>
      <c r="F564">
        <v>4926.55</v>
      </c>
      <c r="G564" t="s">
        <v>2019</v>
      </c>
      <c r="H564" t="s">
        <v>2026</v>
      </c>
      <c r="I564" t="s">
        <v>2590</v>
      </c>
      <c r="J564" t="s">
        <v>4031</v>
      </c>
      <c r="K564" t="s">
        <v>4038</v>
      </c>
      <c r="L564">
        <v>4926.55</v>
      </c>
    </row>
    <row r="565" spans="1:12">
      <c r="A565" t="s">
        <v>575</v>
      </c>
      <c r="B565" s="2">
        <v>45396</v>
      </c>
      <c r="C565">
        <v>4000</v>
      </c>
      <c r="D565" t="s">
        <v>2012</v>
      </c>
      <c r="E565">
        <v>0</v>
      </c>
      <c r="F565">
        <v>3762.76</v>
      </c>
      <c r="G565" t="s">
        <v>2022</v>
      </c>
      <c r="H565" t="s">
        <v>2027</v>
      </c>
      <c r="I565" t="s">
        <v>2591</v>
      </c>
      <c r="J565" t="s">
        <v>4031</v>
      </c>
      <c r="K565" t="s">
        <v>4040</v>
      </c>
      <c r="L565">
        <v>3762.76</v>
      </c>
    </row>
    <row r="566" spans="1:12">
      <c r="A566" t="s">
        <v>576</v>
      </c>
      <c r="B566" s="2">
        <v>45165</v>
      </c>
      <c r="C566">
        <v>5010</v>
      </c>
      <c r="D566" t="s">
        <v>2015</v>
      </c>
      <c r="E566">
        <v>372.65</v>
      </c>
      <c r="F566">
        <v>0</v>
      </c>
      <c r="G566" t="s">
        <v>2018</v>
      </c>
      <c r="H566" t="s">
        <v>2027</v>
      </c>
      <c r="I566" t="s">
        <v>2592</v>
      </c>
      <c r="J566" t="s">
        <v>4030</v>
      </c>
      <c r="K566" t="s">
        <v>4037</v>
      </c>
      <c r="L566">
        <v>-372.65</v>
      </c>
    </row>
    <row r="567" spans="1:12">
      <c r="A567" t="s">
        <v>577</v>
      </c>
      <c r="B567" s="2">
        <v>45573</v>
      </c>
      <c r="C567">
        <v>5010</v>
      </c>
      <c r="D567" t="s">
        <v>2015</v>
      </c>
      <c r="E567">
        <v>1040.76</v>
      </c>
      <c r="F567">
        <v>0</v>
      </c>
      <c r="G567" t="s">
        <v>2021</v>
      </c>
      <c r="H567" t="s">
        <v>2025</v>
      </c>
      <c r="I567" t="s">
        <v>2593</v>
      </c>
      <c r="J567" t="s">
        <v>4028</v>
      </c>
      <c r="K567" t="s">
        <v>4059</v>
      </c>
      <c r="L567">
        <v>-1040.76</v>
      </c>
    </row>
    <row r="568" spans="1:12">
      <c r="A568" t="s">
        <v>578</v>
      </c>
      <c r="B568" s="2">
        <v>45625</v>
      </c>
      <c r="C568">
        <v>5010</v>
      </c>
      <c r="D568" t="s">
        <v>2015</v>
      </c>
      <c r="E568">
        <v>1458.37</v>
      </c>
      <c r="F568">
        <v>0</v>
      </c>
      <c r="G568" t="s">
        <v>2019</v>
      </c>
      <c r="H568" t="s">
        <v>2023</v>
      </c>
      <c r="I568" t="s">
        <v>2594</v>
      </c>
      <c r="J568" t="s">
        <v>4030</v>
      </c>
      <c r="K568" t="s">
        <v>4043</v>
      </c>
      <c r="L568">
        <v>-1458.37</v>
      </c>
    </row>
    <row r="569" spans="1:12">
      <c r="A569" t="s">
        <v>579</v>
      </c>
      <c r="B569" s="2">
        <v>45456</v>
      </c>
      <c r="C569">
        <v>4010</v>
      </c>
      <c r="D569" t="s">
        <v>2016</v>
      </c>
      <c r="E569">
        <v>0</v>
      </c>
      <c r="F569">
        <v>529.02</v>
      </c>
      <c r="G569" t="s">
        <v>2021</v>
      </c>
      <c r="H569" t="s">
        <v>2026</v>
      </c>
      <c r="I569" t="s">
        <v>2595</v>
      </c>
      <c r="J569" t="s">
        <v>4028</v>
      </c>
      <c r="K569" t="s">
        <v>4034</v>
      </c>
      <c r="L569">
        <v>529.02</v>
      </c>
    </row>
    <row r="570" spans="1:12">
      <c r="A570" t="s">
        <v>580</v>
      </c>
      <c r="B570" s="2">
        <v>45628</v>
      </c>
      <c r="C570">
        <v>4010</v>
      </c>
      <c r="D570" t="s">
        <v>2016</v>
      </c>
      <c r="E570">
        <v>0</v>
      </c>
      <c r="F570">
        <v>4167.67</v>
      </c>
      <c r="G570" t="s">
        <v>2021</v>
      </c>
      <c r="H570" t="s">
        <v>2024</v>
      </c>
      <c r="I570" t="s">
        <v>2596</v>
      </c>
      <c r="J570" t="s">
        <v>4031</v>
      </c>
      <c r="K570" t="s">
        <v>4056</v>
      </c>
      <c r="L570">
        <v>4167.67</v>
      </c>
    </row>
    <row r="571" spans="1:12">
      <c r="A571" t="s">
        <v>581</v>
      </c>
      <c r="B571" s="2">
        <v>45048</v>
      </c>
      <c r="C571">
        <v>5010</v>
      </c>
      <c r="D571" t="s">
        <v>2015</v>
      </c>
      <c r="E571">
        <v>1788.83</v>
      </c>
      <c r="F571">
        <v>0</v>
      </c>
      <c r="G571" t="s">
        <v>2019</v>
      </c>
      <c r="H571" t="s">
        <v>2023</v>
      </c>
      <c r="I571" t="s">
        <v>2597</v>
      </c>
      <c r="J571" t="s">
        <v>4029</v>
      </c>
      <c r="K571" t="s">
        <v>4062</v>
      </c>
      <c r="L571">
        <v>-1788.83</v>
      </c>
    </row>
    <row r="572" spans="1:12">
      <c r="A572" t="s">
        <v>582</v>
      </c>
      <c r="B572" s="2">
        <v>45631</v>
      </c>
      <c r="C572">
        <v>5010</v>
      </c>
      <c r="D572" t="s">
        <v>2015</v>
      </c>
      <c r="E572">
        <v>929.85</v>
      </c>
      <c r="F572">
        <v>0</v>
      </c>
      <c r="G572" t="s">
        <v>2019</v>
      </c>
      <c r="H572" t="s">
        <v>2025</v>
      </c>
      <c r="I572" t="s">
        <v>2598</v>
      </c>
      <c r="J572" t="s">
        <v>4031</v>
      </c>
      <c r="K572" t="s">
        <v>4056</v>
      </c>
      <c r="L572">
        <v>-929.85</v>
      </c>
    </row>
    <row r="573" spans="1:12">
      <c r="A573" t="s">
        <v>583</v>
      </c>
      <c r="B573" s="2">
        <v>45355</v>
      </c>
      <c r="C573">
        <v>4000</v>
      </c>
      <c r="D573" t="s">
        <v>2012</v>
      </c>
      <c r="E573">
        <v>0</v>
      </c>
      <c r="F573">
        <v>3706.89</v>
      </c>
      <c r="G573" t="s">
        <v>2019</v>
      </c>
      <c r="H573" t="s">
        <v>2025</v>
      </c>
      <c r="I573" t="s">
        <v>2599</v>
      </c>
      <c r="J573" t="s">
        <v>4032</v>
      </c>
      <c r="K573" t="s">
        <v>4049</v>
      </c>
      <c r="L573">
        <v>3706.89</v>
      </c>
    </row>
    <row r="574" spans="1:12">
      <c r="A574" t="s">
        <v>584</v>
      </c>
      <c r="B574" s="2">
        <v>45720</v>
      </c>
      <c r="C574">
        <v>4000</v>
      </c>
      <c r="D574" t="s">
        <v>2012</v>
      </c>
      <c r="E574">
        <v>0</v>
      </c>
      <c r="F574">
        <v>4692.96</v>
      </c>
      <c r="G574" t="s">
        <v>2019</v>
      </c>
      <c r="H574" t="s">
        <v>2027</v>
      </c>
      <c r="I574" t="s">
        <v>2600</v>
      </c>
      <c r="J574" t="s">
        <v>4032</v>
      </c>
      <c r="K574" t="s">
        <v>4046</v>
      </c>
      <c r="L574">
        <v>4692.96</v>
      </c>
    </row>
    <row r="575" spans="1:12">
      <c r="A575" t="s">
        <v>585</v>
      </c>
      <c r="B575" s="2">
        <v>45524</v>
      </c>
      <c r="C575">
        <v>6000</v>
      </c>
      <c r="D575" t="s">
        <v>2014</v>
      </c>
      <c r="E575">
        <v>179.56</v>
      </c>
      <c r="F575">
        <v>0</v>
      </c>
      <c r="G575" t="s">
        <v>2021</v>
      </c>
      <c r="H575" t="s">
        <v>2023</v>
      </c>
      <c r="I575" t="s">
        <v>2601</v>
      </c>
      <c r="J575" t="s">
        <v>4028</v>
      </c>
      <c r="K575" t="s">
        <v>4058</v>
      </c>
      <c r="L575">
        <v>-179.56</v>
      </c>
    </row>
    <row r="576" spans="1:12">
      <c r="A576" t="s">
        <v>586</v>
      </c>
      <c r="B576" s="2">
        <v>45594</v>
      </c>
      <c r="C576">
        <v>5010</v>
      </c>
      <c r="D576" t="s">
        <v>2015</v>
      </c>
      <c r="E576">
        <v>649.71</v>
      </c>
      <c r="F576">
        <v>0</v>
      </c>
      <c r="G576" t="s">
        <v>2017</v>
      </c>
      <c r="H576" t="s">
        <v>2025</v>
      </c>
      <c r="I576" t="s">
        <v>2602</v>
      </c>
      <c r="J576" t="s">
        <v>4028</v>
      </c>
      <c r="K576" t="s">
        <v>4059</v>
      </c>
      <c r="L576">
        <v>-649.71</v>
      </c>
    </row>
    <row r="577" spans="1:12">
      <c r="A577" t="s">
        <v>587</v>
      </c>
      <c r="B577" s="2">
        <v>45272</v>
      </c>
      <c r="C577">
        <v>4010</v>
      </c>
      <c r="D577" t="s">
        <v>2016</v>
      </c>
      <c r="E577">
        <v>0</v>
      </c>
      <c r="F577">
        <v>3347.45</v>
      </c>
      <c r="G577" t="s">
        <v>2017</v>
      </c>
      <c r="H577" t="s">
        <v>2023</v>
      </c>
      <c r="I577" t="s">
        <v>2603</v>
      </c>
      <c r="J577" t="s">
        <v>4031</v>
      </c>
      <c r="K577" t="s">
        <v>4039</v>
      </c>
      <c r="L577">
        <v>3347.45</v>
      </c>
    </row>
    <row r="578" spans="1:12">
      <c r="A578" t="s">
        <v>588</v>
      </c>
      <c r="B578" s="2">
        <v>45814</v>
      </c>
      <c r="C578">
        <v>4010</v>
      </c>
      <c r="D578" t="s">
        <v>2016</v>
      </c>
      <c r="E578">
        <v>0</v>
      </c>
      <c r="F578">
        <v>2584</v>
      </c>
      <c r="G578" t="s">
        <v>2018</v>
      </c>
      <c r="H578" t="s">
        <v>2026</v>
      </c>
      <c r="I578" t="s">
        <v>2604</v>
      </c>
      <c r="J578" t="s">
        <v>4029</v>
      </c>
      <c r="K578" t="s">
        <v>4052</v>
      </c>
      <c r="L578">
        <v>2584</v>
      </c>
    </row>
    <row r="579" spans="1:12">
      <c r="A579" t="s">
        <v>589</v>
      </c>
      <c r="B579" s="2">
        <v>45161</v>
      </c>
      <c r="C579">
        <v>4000</v>
      </c>
      <c r="D579" t="s">
        <v>2012</v>
      </c>
      <c r="E579">
        <v>0</v>
      </c>
      <c r="F579">
        <v>4254.54</v>
      </c>
      <c r="G579" t="s">
        <v>2020</v>
      </c>
      <c r="H579" t="s">
        <v>2024</v>
      </c>
      <c r="I579" t="s">
        <v>2605</v>
      </c>
      <c r="J579" t="s">
        <v>4032</v>
      </c>
      <c r="K579" t="s">
        <v>4037</v>
      </c>
      <c r="L579">
        <v>4254.54</v>
      </c>
    </row>
    <row r="580" spans="1:12">
      <c r="A580" t="s">
        <v>590</v>
      </c>
      <c r="B580" s="2">
        <v>45628</v>
      </c>
      <c r="C580">
        <v>4000</v>
      </c>
      <c r="D580" t="s">
        <v>2012</v>
      </c>
      <c r="E580">
        <v>0</v>
      </c>
      <c r="F580">
        <v>1301.08</v>
      </c>
      <c r="G580" t="s">
        <v>2019</v>
      </c>
      <c r="H580" t="s">
        <v>2026</v>
      </c>
      <c r="I580" t="s">
        <v>2606</v>
      </c>
      <c r="J580" t="s">
        <v>4028</v>
      </c>
      <c r="K580" t="s">
        <v>4056</v>
      </c>
      <c r="L580">
        <v>1301.08</v>
      </c>
    </row>
    <row r="581" spans="1:12">
      <c r="A581" t="s">
        <v>591</v>
      </c>
      <c r="B581" s="2">
        <v>45070</v>
      </c>
      <c r="C581">
        <v>4010</v>
      </c>
      <c r="D581" t="s">
        <v>2016</v>
      </c>
      <c r="E581">
        <v>0</v>
      </c>
      <c r="F581">
        <v>1565.18</v>
      </c>
      <c r="G581" t="s">
        <v>2018</v>
      </c>
      <c r="H581" t="s">
        <v>2025</v>
      </c>
      <c r="I581" t="s">
        <v>2607</v>
      </c>
      <c r="J581" t="s">
        <v>4031</v>
      </c>
      <c r="K581" t="s">
        <v>4062</v>
      </c>
      <c r="L581">
        <v>1565.18</v>
      </c>
    </row>
    <row r="582" spans="1:12">
      <c r="A582" t="s">
        <v>592</v>
      </c>
      <c r="B582" s="2">
        <v>45829</v>
      </c>
      <c r="C582">
        <v>5000</v>
      </c>
      <c r="D582" t="s">
        <v>2013</v>
      </c>
      <c r="E582">
        <v>69.31</v>
      </c>
      <c r="F582">
        <v>0</v>
      </c>
      <c r="G582" t="s">
        <v>2017</v>
      </c>
      <c r="H582" t="s">
        <v>2027</v>
      </c>
      <c r="I582" t="s">
        <v>2608</v>
      </c>
      <c r="J582" t="s">
        <v>4031</v>
      </c>
      <c r="K582" t="s">
        <v>4052</v>
      </c>
      <c r="L582">
        <v>-69.31</v>
      </c>
    </row>
    <row r="583" spans="1:12">
      <c r="A583" t="s">
        <v>593</v>
      </c>
      <c r="B583" s="2">
        <v>45587</v>
      </c>
      <c r="C583">
        <v>5000</v>
      </c>
      <c r="D583" t="s">
        <v>2013</v>
      </c>
      <c r="E583">
        <v>1752.75</v>
      </c>
      <c r="F583">
        <v>0</v>
      </c>
      <c r="G583" t="s">
        <v>2018</v>
      </c>
      <c r="H583" t="s">
        <v>2023</v>
      </c>
      <c r="I583" t="s">
        <v>2609</v>
      </c>
      <c r="J583" t="s">
        <v>4032</v>
      </c>
      <c r="K583" t="s">
        <v>4059</v>
      </c>
      <c r="L583">
        <v>-1752.75</v>
      </c>
    </row>
    <row r="584" spans="1:12">
      <c r="A584" t="s">
        <v>594</v>
      </c>
      <c r="B584" s="2">
        <v>45208</v>
      </c>
      <c r="C584">
        <v>4010</v>
      </c>
      <c r="D584" t="s">
        <v>2016</v>
      </c>
      <c r="E584">
        <v>0</v>
      </c>
      <c r="F584">
        <v>759.16</v>
      </c>
      <c r="G584" t="s">
        <v>2022</v>
      </c>
      <c r="H584" t="s">
        <v>2025</v>
      </c>
      <c r="I584" t="s">
        <v>2610</v>
      </c>
      <c r="J584" t="s">
        <v>4032</v>
      </c>
      <c r="K584" t="s">
        <v>4060</v>
      </c>
      <c r="L584">
        <v>759.16</v>
      </c>
    </row>
    <row r="585" spans="1:12">
      <c r="A585" t="s">
        <v>595</v>
      </c>
      <c r="B585" s="2">
        <v>45262</v>
      </c>
      <c r="C585">
        <v>6000</v>
      </c>
      <c r="D585" t="s">
        <v>2014</v>
      </c>
      <c r="E585">
        <v>350.75</v>
      </c>
      <c r="F585">
        <v>0</v>
      </c>
      <c r="G585" t="s">
        <v>2021</v>
      </c>
      <c r="H585" t="s">
        <v>2025</v>
      </c>
      <c r="I585" t="s">
        <v>2611</v>
      </c>
      <c r="J585" t="s">
        <v>4032</v>
      </c>
      <c r="K585" t="s">
        <v>4039</v>
      </c>
      <c r="L585">
        <v>-350.75</v>
      </c>
    </row>
    <row r="586" spans="1:12">
      <c r="A586" t="s">
        <v>596</v>
      </c>
      <c r="B586" s="2">
        <v>45351</v>
      </c>
      <c r="C586">
        <v>6000</v>
      </c>
      <c r="D586" t="s">
        <v>2014</v>
      </c>
      <c r="E586">
        <v>1991.12</v>
      </c>
      <c r="F586">
        <v>0</v>
      </c>
      <c r="G586" t="s">
        <v>2019</v>
      </c>
      <c r="H586" t="s">
        <v>2027</v>
      </c>
      <c r="I586" t="s">
        <v>2612</v>
      </c>
      <c r="J586" t="s">
        <v>4030</v>
      </c>
      <c r="K586" t="s">
        <v>4044</v>
      </c>
      <c r="L586">
        <v>-1991.12</v>
      </c>
    </row>
    <row r="587" spans="1:12">
      <c r="A587" t="s">
        <v>597</v>
      </c>
      <c r="B587" s="2">
        <v>45055</v>
      </c>
      <c r="C587">
        <v>5000</v>
      </c>
      <c r="D587" t="s">
        <v>2013</v>
      </c>
      <c r="E587">
        <v>661.12</v>
      </c>
      <c r="F587">
        <v>0</v>
      </c>
      <c r="G587" t="s">
        <v>2018</v>
      </c>
      <c r="H587" t="s">
        <v>2027</v>
      </c>
      <c r="I587" t="s">
        <v>2613</v>
      </c>
      <c r="J587" t="s">
        <v>4032</v>
      </c>
      <c r="K587" t="s">
        <v>4062</v>
      </c>
      <c r="L587">
        <v>-661.12</v>
      </c>
    </row>
    <row r="588" spans="1:12">
      <c r="A588" t="s">
        <v>598</v>
      </c>
      <c r="B588" s="2">
        <v>45205</v>
      </c>
      <c r="C588">
        <v>5010</v>
      </c>
      <c r="D588" t="s">
        <v>2015</v>
      </c>
      <c r="E588">
        <v>1109.8599999999999</v>
      </c>
      <c r="F588">
        <v>0</v>
      </c>
      <c r="G588" t="s">
        <v>2022</v>
      </c>
      <c r="H588" t="s">
        <v>2023</v>
      </c>
      <c r="I588" t="s">
        <v>2614</v>
      </c>
      <c r="J588" t="s">
        <v>4029</v>
      </c>
      <c r="K588" t="s">
        <v>4060</v>
      </c>
      <c r="L588">
        <v>-1109.8599999999999</v>
      </c>
    </row>
    <row r="589" spans="1:12">
      <c r="A589" t="s">
        <v>599</v>
      </c>
      <c r="B589" s="2">
        <v>45782</v>
      </c>
      <c r="C589">
        <v>4010</v>
      </c>
      <c r="D589" t="s">
        <v>2016</v>
      </c>
      <c r="E589">
        <v>0</v>
      </c>
      <c r="F589">
        <v>4533.8</v>
      </c>
      <c r="G589" t="s">
        <v>2022</v>
      </c>
      <c r="H589" t="s">
        <v>2026</v>
      </c>
      <c r="I589" t="s">
        <v>2615</v>
      </c>
      <c r="J589" t="s">
        <v>4032</v>
      </c>
      <c r="K589" t="s">
        <v>4038</v>
      </c>
      <c r="L589">
        <v>4533.8</v>
      </c>
    </row>
    <row r="590" spans="1:12">
      <c r="A590" t="s">
        <v>600</v>
      </c>
      <c r="B590" s="2">
        <v>45757</v>
      </c>
      <c r="C590">
        <v>5010</v>
      </c>
      <c r="D590" t="s">
        <v>2015</v>
      </c>
      <c r="E590">
        <v>329.57</v>
      </c>
      <c r="F590">
        <v>0</v>
      </c>
      <c r="G590" t="s">
        <v>2020</v>
      </c>
      <c r="H590" t="s">
        <v>2027</v>
      </c>
      <c r="I590" t="s">
        <v>2616</v>
      </c>
      <c r="J590" t="s">
        <v>4032</v>
      </c>
      <c r="K590" t="s">
        <v>4045</v>
      </c>
      <c r="L590">
        <v>-329.57</v>
      </c>
    </row>
    <row r="591" spans="1:12">
      <c r="A591" t="s">
        <v>601</v>
      </c>
      <c r="B591" s="2">
        <v>44992</v>
      </c>
      <c r="C591">
        <v>4000</v>
      </c>
      <c r="D591" t="s">
        <v>2012</v>
      </c>
      <c r="E591">
        <v>0</v>
      </c>
      <c r="F591">
        <v>4725.13</v>
      </c>
      <c r="G591" t="s">
        <v>2021</v>
      </c>
      <c r="H591" t="s">
        <v>2023</v>
      </c>
      <c r="I591" t="s">
        <v>2617</v>
      </c>
      <c r="J591" t="s">
        <v>4029</v>
      </c>
      <c r="K591" t="s">
        <v>4051</v>
      </c>
      <c r="L591">
        <v>4725.13</v>
      </c>
    </row>
    <row r="592" spans="1:12">
      <c r="A592" t="s">
        <v>602</v>
      </c>
      <c r="B592" s="2">
        <v>45121</v>
      </c>
      <c r="C592">
        <v>5010</v>
      </c>
      <c r="D592" t="s">
        <v>2015</v>
      </c>
      <c r="E592">
        <v>206.46</v>
      </c>
      <c r="F592">
        <v>0</v>
      </c>
      <c r="G592" t="s">
        <v>2018</v>
      </c>
      <c r="H592" t="s">
        <v>2026</v>
      </c>
      <c r="I592" t="s">
        <v>2618</v>
      </c>
      <c r="J592" t="s">
        <v>4030</v>
      </c>
      <c r="K592" t="s">
        <v>4050</v>
      </c>
      <c r="L592">
        <v>-206.46</v>
      </c>
    </row>
    <row r="593" spans="1:12">
      <c r="A593" t="s">
        <v>603</v>
      </c>
      <c r="B593" s="2">
        <v>45795</v>
      </c>
      <c r="C593">
        <v>6000</v>
      </c>
      <c r="D593" t="s">
        <v>2014</v>
      </c>
      <c r="E593">
        <v>402.92</v>
      </c>
      <c r="F593">
        <v>0</v>
      </c>
      <c r="G593" t="s">
        <v>2022</v>
      </c>
      <c r="H593" t="s">
        <v>2025</v>
      </c>
      <c r="I593" t="s">
        <v>2619</v>
      </c>
      <c r="J593" t="s">
        <v>4028</v>
      </c>
      <c r="K593" t="s">
        <v>4038</v>
      </c>
      <c r="L593">
        <v>-402.92</v>
      </c>
    </row>
    <row r="594" spans="1:12">
      <c r="A594" t="s">
        <v>604</v>
      </c>
      <c r="B594" s="2">
        <v>45670</v>
      </c>
      <c r="C594">
        <v>4010</v>
      </c>
      <c r="D594" t="s">
        <v>2016</v>
      </c>
      <c r="E594">
        <v>0</v>
      </c>
      <c r="F594">
        <v>4295.83</v>
      </c>
      <c r="G594" t="s">
        <v>2019</v>
      </c>
      <c r="H594" t="s">
        <v>2023</v>
      </c>
      <c r="I594" t="s">
        <v>2620</v>
      </c>
      <c r="J594" t="s">
        <v>4028</v>
      </c>
      <c r="K594" t="s">
        <v>4035</v>
      </c>
      <c r="L594">
        <v>4295.83</v>
      </c>
    </row>
    <row r="595" spans="1:12">
      <c r="A595" t="s">
        <v>605</v>
      </c>
      <c r="B595" s="2">
        <v>45278</v>
      </c>
      <c r="C595">
        <v>4010</v>
      </c>
      <c r="D595" t="s">
        <v>2016</v>
      </c>
      <c r="E595">
        <v>0</v>
      </c>
      <c r="F595">
        <v>3237.32</v>
      </c>
      <c r="G595" t="s">
        <v>2021</v>
      </c>
      <c r="H595" t="s">
        <v>2025</v>
      </c>
      <c r="I595" t="s">
        <v>2621</v>
      </c>
      <c r="J595" t="s">
        <v>4028</v>
      </c>
      <c r="K595" t="s">
        <v>4039</v>
      </c>
      <c r="L595">
        <v>3237.32</v>
      </c>
    </row>
    <row r="596" spans="1:12">
      <c r="A596" t="s">
        <v>606</v>
      </c>
      <c r="B596" s="2">
        <v>45256</v>
      </c>
      <c r="C596">
        <v>6000</v>
      </c>
      <c r="D596" t="s">
        <v>2014</v>
      </c>
      <c r="E596">
        <v>648.30999999999995</v>
      </c>
      <c r="F596">
        <v>0</v>
      </c>
      <c r="G596" t="s">
        <v>2021</v>
      </c>
      <c r="H596" t="s">
        <v>2024</v>
      </c>
      <c r="I596" t="s">
        <v>2622</v>
      </c>
      <c r="J596" t="s">
        <v>4028</v>
      </c>
      <c r="K596" t="s">
        <v>4042</v>
      </c>
      <c r="L596">
        <v>-648.30999999999995</v>
      </c>
    </row>
    <row r="597" spans="1:12">
      <c r="A597" t="s">
        <v>607</v>
      </c>
      <c r="B597" s="2">
        <v>45418</v>
      </c>
      <c r="C597">
        <v>5000</v>
      </c>
      <c r="D597" t="s">
        <v>2013</v>
      </c>
      <c r="E597">
        <v>710.64</v>
      </c>
      <c r="F597">
        <v>0</v>
      </c>
      <c r="G597" t="s">
        <v>2017</v>
      </c>
      <c r="H597" t="s">
        <v>2023</v>
      </c>
      <c r="I597" t="s">
        <v>2623</v>
      </c>
      <c r="J597" t="s">
        <v>4029</v>
      </c>
      <c r="K597" t="s">
        <v>4033</v>
      </c>
      <c r="L597">
        <v>-710.64</v>
      </c>
    </row>
    <row r="598" spans="1:12">
      <c r="A598" t="s">
        <v>608</v>
      </c>
      <c r="B598" s="2">
        <v>45230</v>
      </c>
      <c r="C598">
        <v>5000</v>
      </c>
      <c r="D598" t="s">
        <v>2013</v>
      </c>
      <c r="E598">
        <v>309.33999999999997</v>
      </c>
      <c r="F598">
        <v>0</v>
      </c>
      <c r="G598" t="s">
        <v>2021</v>
      </c>
      <c r="H598" t="s">
        <v>2024</v>
      </c>
      <c r="I598" t="s">
        <v>2624</v>
      </c>
      <c r="J598" t="s">
        <v>4029</v>
      </c>
      <c r="K598" t="s">
        <v>4060</v>
      </c>
      <c r="L598">
        <v>-309.33999999999997</v>
      </c>
    </row>
    <row r="599" spans="1:12">
      <c r="A599" t="s">
        <v>609</v>
      </c>
      <c r="B599" s="2">
        <v>44988</v>
      </c>
      <c r="C599">
        <v>6000</v>
      </c>
      <c r="D599" t="s">
        <v>2014</v>
      </c>
      <c r="E599">
        <v>1657.7</v>
      </c>
      <c r="F599">
        <v>0</v>
      </c>
      <c r="G599" t="s">
        <v>2017</v>
      </c>
      <c r="H599" t="s">
        <v>2024</v>
      </c>
      <c r="I599" t="s">
        <v>2625</v>
      </c>
      <c r="J599" t="s">
        <v>4030</v>
      </c>
      <c r="K599" t="s">
        <v>4051</v>
      </c>
      <c r="L599">
        <v>-1657.7</v>
      </c>
    </row>
    <row r="600" spans="1:12">
      <c r="A600" t="s">
        <v>610</v>
      </c>
      <c r="B600" s="2">
        <v>45271</v>
      </c>
      <c r="C600">
        <v>5010</v>
      </c>
      <c r="D600" t="s">
        <v>2015</v>
      </c>
      <c r="E600">
        <v>1748.81</v>
      </c>
      <c r="F600">
        <v>0</v>
      </c>
      <c r="G600" t="s">
        <v>2021</v>
      </c>
      <c r="H600" t="s">
        <v>2023</v>
      </c>
      <c r="I600" t="s">
        <v>2626</v>
      </c>
      <c r="J600" t="s">
        <v>4029</v>
      </c>
      <c r="K600" t="s">
        <v>4039</v>
      </c>
      <c r="L600">
        <v>-1748.81</v>
      </c>
    </row>
    <row r="601" spans="1:12">
      <c r="A601" t="s">
        <v>611</v>
      </c>
      <c r="B601" s="2">
        <v>45492</v>
      </c>
      <c r="C601">
        <v>6000</v>
      </c>
      <c r="D601" t="s">
        <v>2014</v>
      </c>
      <c r="E601">
        <v>278.26</v>
      </c>
      <c r="F601">
        <v>0</v>
      </c>
      <c r="G601" t="s">
        <v>2017</v>
      </c>
      <c r="H601" t="s">
        <v>2025</v>
      </c>
      <c r="I601" t="s">
        <v>2627</v>
      </c>
      <c r="J601" t="s">
        <v>4031</v>
      </c>
      <c r="K601" t="s">
        <v>4054</v>
      </c>
      <c r="L601">
        <v>-278.26</v>
      </c>
    </row>
    <row r="602" spans="1:12">
      <c r="A602" t="s">
        <v>612</v>
      </c>
      <c r="B602" s="2">
        <v>45103</v>
      </c>
      <c r="C602">
        <v>5010</v>
      </c>
      <c r="D602" t="s">
        <v>2015</v>
      </c>
      <c r="E602">
        <v>387.61</v>
      </c>
      <c r="F602">
        <v>0</v>
      </c>
      <c r="G602" t="s">
        <v>2022</v>
      </c>
      <c r="H602" t="s">
        <v>2025</v>
      </c>
      <c r="I602" t="s">
        <v>2628</v>
      </c>
      <c r="J602" t="s">
        <v>4028</v>
      </c>
      <c r="K602" t="s">
        <v>4055</v>
      </c>
      <c r="L602">
        <v>-387.61</v>
      </c>
    </row>
    <row r="603" spans="1:12">
      <c r="A603" t="s">
        <v>613</v>
      </c>
      <c r="B603" s="2">
        <v>45717</v>
      </c>
      <c r="C603">
        <v>5000</v>
      </c>
      <c r="D603" t="s">
        <v>2013</v>
      </c>
      <c r="E603">
        <v>930.92</v>
      </c>
      <c r="F603">
        <v>0</v>
      </c>
      <c r="G603" t="s">
        <v>2018</v>
      </c>
      <c r="H603" t="s">
        <v>2023</v>
      </c>
      <c r="I603" t="s">
        <v>2629</v>
      </c>
      <c r="J603" t="s">
        <v>4032</v>
      </c>
      <c r="K603" t="s">
        <v>4046</v>
      </c>
      <c r="L603">
        <v>-930.92</v>
      </c>
    </row>
    <row r="604" spans="1:12">
      <c r="A604" t="s">
        <v>614</v>
      </c>
      <c r="B604" s="2">
        <v>45772</v>
      </c>
      <c r="C604">
        <v>5000</v>
      </c>
      <c r="D604" t="s">
        <v>2013</v>
      </c>
      <c r="E604">
        <v>1231.94</v>
      </c>
      <c r="F604">
        <v>0</v>
      </c>
      <c r="G604" t="s">
        <v>2020</v>
      </c>
      <c r="H604" t="s">
        <v>2024</v>
      </c>
      <c r="I604" t="s">
        <v>2630</v>
      </c>
      <c r="J604" t="s">
        <v>4028</v>
      </c>
      <c r="K604" t="s">
        <v>4045</v>
      </c>
      <c r="L604">
        <v>-1231.94</v>
      </c>
    </row>
    <row r="605" spans="1:12">
      <c r="A605" t="s">
        <v>615</v>
      </c>
      <c r="B605" s="2">
        <v>45691</v>
      </c>
      <c r="C605">
        <v>5010</v>
      </c>
      <c r="D605" t="s">
        <v>2015</v>
      </c>
      <c r="E605">
        <v>1911.86</v>
      </c>
      <c r="F605">
        <v>0</v>
      </c>
      <c r="G605" t="s">
        <v>2022</v>
      </c>
      <c r="H605" t="s">
        <v>2026</v>
      </c>
      <c r="I605" t="s">
        <v>2631</v>
      </c>
      <c r="J605" t="s">
        <v>4032</v>
      </c>
      <c r="K605" t="s">
        <v>4061</v>
      </c>
      <c r="L605">
        <v>-1911.86</v>
      </c>
    </row>
    <row r="606" spans="1:12">
      <c r="A606" t="s">
        <v>616</v>
      </c>
      <c r="B606" s="2">
        <v>45059</v>
      </c>
      <c r="C606">
        <v>4010</v>
      </c>
      <c r="D606" t="s">
        <v>2016</v>
      </c>
      <c r="E606">
        <v>0</v>
      </c>
      <c r="F606">
        <v>1161.8599999999999</v>
      </c>
      <c r="G606" t="s">
        <v>2020</v>
      </c>
      <c r="H606" t="s">
        <v>2025</v>
      </c>
      <c r="I606" t="s">
        <v>2632</v>
      </c>
      <c r="J606" t="s">
        <v>4030</v>
      </c>
      <c r="K606" t="s">
        <v>4062</v>
      </c>
      <c r="L606">
        <v>1161.8599999999999</v>
      </c>
    </row>
    <row r="607" spans="1:12">
      <c r="A607" t="s">
        <v>617</v>
      </c>
      <c r="B607" s="2">
        <v>45194</v>
      </c>
      <c r="C607">
        <v>5010</v>
      </c>
      <c r="D607" t="s">
        <v>2015</v>
      </c>
      <c r="E607">
        <v>622.09</v>
      </c>
      <c r="F607">
        <v>0</v>
      </c>
      <c r="G607" t="s">
        <v>2022</v>
      </c>
      <c r="H607" t="s">
        <v>2027</v>
      </c>
      <c r="I607" t="s">
        <v>2633</v>
      </c>
      <c r="J607" t="s">
        <v>4028</v>
      </c>
      <c r="K607" t="s">
        <v>4036</v>
      </c>
      <c r="L607">
        <v>-622.09</v>
      </c>
    </row>
    <row r="608" spans="1:12">
      <c r="A608" t="s">
        <v>618</v>
      </c>
      <c r="B608" s="2">
        <v>45006</v>
      </c>
      <c r="C608">
        <v>6000</v>
      </c>
      <c r="D608" t="s">
        <v>2014</v>
      </c>
      <c r="E608">
        <v>895.07</v>
      </c>
      <c r="F608">
        <v>0</v>
      </c>
      <c r="G608" t="s">
        <v>2022</v>
      </c>
      <c r="H608" t="s">
        <v>2026</v>
      </c>
      <c r="I608" t="s">
        <v>2634</v>
      </c>
      <c r="J608" t="s">
        <v>4031</v>
      </c>
      <c r="K608" t="s">
        <v>4051</v>
      </c>
      <c r="L608">
        <v>-895.07</v>
      </c>
    </row>
    <row r="609" spans="1:12">
      <c r="A609" t="s">
        <v>619</v>
      </c>
      <c r="B609" s="2">
        <v>45334</v>
      </c>
      <c r="C609">
        <v>6000</v>
      </c>
      <c r="D609" t="s">
        <v>2014</v>
      </c>
      <c r="E609">
        <v>1093.48</v>
      </c>
      <c r="F609">
        <v>0</v>
      </c>
      <c r="G609" t="s">
        <v>2021</v>
      </c>
      <c r="H609" t="s">
        <v>2024</v>
      </c>
      <c r="I609" t="s">
        <v>2635</v>
      </c>
      <c r="J609" t="s">
        <v>4032</v>
      </c>
      <c r="K609" t="s">
        <v>4044</v>
      </c>
      <c r="L609">
        <v>-1093.48</v>
      </c>
    </row>
    <row r="610" spans="1:12">
      <c r="A610" t="s">
        <v>620</v>
      </c>
      <c r="B610" s="2">
        <v>45224</v>
      </c>
      <c r="C610">
        <v>4000</v>
      </c>
      <c r="D610" t="s">
        <v>2012</v>
      </c>
      <c r="E610">
        <v>0</v>
      </c>
      <c r="F610">
        <v>1178.75</v>
      </c>
      <c r="G610" t="s">
        <v>2017</v>
      </c>
      <c r="H610" t="s">
        <v>2027</v>
      </c>
      <c r="I610" t="s">
        <v>2636</v>
      </c>
      <c r="J610" t="s">
        <v>4030</v>
      </c>
      <c r="K610" t="s">
        <v>4060</v>
      </c>
      <c r="L610">
        <v>1178.75</v>
      </c>
    </row>
    <row r="611" spans="1:12">
      <c r="A611" t="s">
        <v>621</v>
      </c>
      <c r="B611" s="2">
        <v>45584</v>
      </c>
      <c r="C611">
        <v>4010</v>
      </c>
      <c r="D611" t="s">
        <v>2016</v>
      </c>
      <c r="E611">
        <v>0</v>
      </c>
      <c r="F611">
        <v>1843.27</v>
      </c>
      <c r="G611" t="s">
        <v>2017</v>
      </c>
      <c r="H611" t="s">
        <v>2024</v>
      </c>
      <c r="I611" t="s">
        <v>2637</v>
      </c>
      <c r="J611" t="s">
        <v>4032</v>
      </c>
      <c r="K611" t="s">
        <v>4059</v>
      </c>
      <c r="L611">
        <v>1843.27</v>
      </c>
    </row>
    <row r="612" spans="1:12">
      <c r="A612" t="s">
        <v>622</v>
      </c>
      <c r="B612" s="2">
        <v>45468</v>
      </c>
      <c r="C612">
        <v>6000</v>
      </c>
      <c r="D612" t="s">
        <v>2014</v>
      </c>
      <c r="E612">
        <v>1239.45</v>
      </c>
      <c r="F612">
        <v>0</v>
      </c>
      <c r="G612" t="s">
        <v>2019</v>
      </c>
      <c r="H612" t="s">
        <v>2024</v>
      </c>
      <c r="I612" t="s">
        <v>2638</v>
      </c>
      <c r="J612" t="s">
        <v>4029</v>
      </c>
      <c r="K612" t="s">
        <v>4034</v>
      </c>
      <c r="L612">
        <v>-1239.45</v>
      </c>
    </row>
    <row r="613" spans="1:12">
      <c r="A613" t="s">
        <v>623</v>
      </c>
      <c r="B613" s="2">
        <v>44943</v>
      </c>
      <c r="C613">
        <v>4000</v>
      </c>
      <c r="D613" t="s">
        <v>2012</v>
      </c>
      <c r="E613">
        <v>0</v>
      </c>
      <c r="F613">
        <v>3317.75</v>
      </c>
      <c r="G613" t="s">
        <v>2017</v>
      </c>
      <c r="H613" t="s">
        <v>2024</v>
      </c>
      <c r="I613" t="s">
        <v>2639</v>
      </c>
      <c r="J613" t="s">
        <v>4029</v>
      </c>
      <c r="K613" t="s">
        <v>4047</v>
      </c>
      <c r="L613">
        <v>3317.75</v>
      </c>
    </row>
    <row r="614" spans="1:12">
      <c r="A614" t="s">
        <v>624</v>
      </c>
      <c r="B614" s="2">
        <v>45736</v>
      </c>
      <c r="C614">
        <v>4000</v>
      </c>
      <c r="D614" t="s">
        <v>2012</v>
      </c>
      <c r="E614">
        <v>0</v>
      </c>
      <c r="F614">
        <v>493.21</v>
      </c>
      <c r="G614" t="s">
        <v>2020</v>
      </c>
      <c r="H614" t="s">
        <v>2024</v>
      </c>
      <c r="I614" t="s">
        <v>2640</v>
      </c>
      <c r="J614" t="s">
        <v>4032</v>
      </c>
      <c r="K614" t="s">
        <v>4046</v>
      </c>
      <c r="L614">
        <v>493.21</v>
      </c>
    </row>
    <row r="615" spans="1:12">
      <c r="A615" t="s">
        <v>625</v>
      </c>
      <c r="B615" s="2">
        <v>45000</v>
      </c>
      <c r="C615">
        <v>6000</v>
      </c>
      <c r="D615" t="s">
        <v>2014</v>
      </c>
      <c r="E615">
        <v>1638.5</v>
      </c>
      <c r="F615">
        <v>0</v>
      </c>
      <c r="G615" t="s">
        <v>2019</v>
      </c>
      <c r="H615" t="s">
        <v>2023</v>
      </c>
      <c r="I615" t="s">
        <v>2641</v>
      </c>
      <c r="J615" t="s">
        <v>4028</v>
      </c>
      <c r="K615" t="s">
        <v>4051</v>
      </c>
      <c r="L615">
        <v>-1638.5</v>
      </c>
    </row>
    <row r="616" spans="1:12">
      <c r="A616" t="s">
        <v>626</v>
      </c>
      <c r="B616" s="2">
        <v>45291</v>
      </c>
      <c r="C616">
        <v>4000</v>
      </c>
      <c r="D616" t="s">
        <v>2012</v>
      </c>
      <c r="E616">
        <v>0</v>
      </c>
      <c r="F616">
        <v>1848.61</v>
      </c>
      <c r="G616" t="s">
        <v>2018</v>
      </c>
      <c r="H616" t="s">
        <v>2024</v>
      </c>
      <c r="I616" t="s">
        <v>2642</v>
      </c>
      <c r="J616" t="s">
        <v>4028</v>
      </c>
      <c r="K616" t="s">
        <v>4039</v>
      </c>
      <c r="L616">
        <v>1848.61</v>
      </c>
    </row>
    <row r="617" spans="1:12">
      <c r="A617" t="s">
        <v>627</v>
      </c>
      <c r="B617" s="2">
        <v>45022</v>
      </c>
      <c r="C617">
        <v>5010</v>
      </c>
      <c r="D617" t="s">
        <v>2015</v>
      </c>
      <c r="E617">
        <v>436.93</v>
      </c>
      <c r="F617">
        <v>0</v>
      </c>
      <c r="G617" t="s">
        <v>2018</v>
      </c>
      <c r="H617" t="s">
        <v>2026</v>
      </c>
      <c r="I617" t="s">
        <v>2643</v>
      </c>
      <c r="J617" t="s">
        <v>4032</v>
      </c>
      <c r="K617" t="s">
        <v>4041</v>
      </c>
      <c r="L617">
        <v>-436.93</v>
      </c>
    </row>
    <row r="618" spans="1:12">
      <c r="A618" t="s">
        <v>628</v>
      </c>
      <c r="B618" s="2">
        <v>45475</v>
      </c>
      <c r="C618">
        <v>5000</v>
      </c>
      <c r="D618" t="s">
        <v>2013</v>
      </c>
      <c r="E618">
        <v>1498.49</v>
      </c>
      <c r="F618">
        <v>0</v>
      </c>
      <c r="G618" t="s">
        <v>2018</v>
      </c>
      <c r="H618" t="s">
        <v>2025</v>
      </c>
      <c r="I618" t="s">
        <v>2644</v>
      </c>
      <c r="J618" t="s">
        <v>4031</v>
      </c>
      <c r="K618" t="s">
        <v>4054</v>
      </c>
      <c r="L618">
        <v>-1498.49</v>
      </c>
    </row>
    <row r="619" spans="1:12">
      <c r="A619" t="s">
        <v>629</v>
      </c>
      <c r="B619" s="2">
        <v>45781</v>
      </c>
      <c r="C619">
        <v>6000</v>
      </c>
      <c r="D619" t="s">
        <v>2014</v>
      </c>
      <c r="E619">
        <v>1030.46</v>
      </c>
      <c r="F619">
        <v>0</v>
      </c>
      <c r="G619" t="s">
        <v>2019</v>
      </c>
      <c r="H619" t="s">
        <v>2023</v>
      </c>
      <c r="I619" t="s">
        <v>2645</v>
      </c>
      <c r="J619" t="s">
        <v>4031</v>
      </c>
      <c r="K619" t="s">
        <v>4038</v>
      </c>
      <c r="L619">
        <v>-1030.46</v>
      </c>
    </row>
    <row r="620" spans="1:12">
      <c r="A620" t="s">
        <v>630</v>
      </c>
      <c r="B620" s="2">
        <v>45838</v>
      </c>
      <c r="C620">
        <v>4010</v>
      </c>
      <c r="D620" t="s">
        <v>2016</v>
      </c>
      <c r="E620">
        <v>0</v>
      </c>
      <c r="F620">
        <v>2665.08</v>
      </c>
      <c r="G620" t="s">
        <v>2021</v>
      </c>
      <c r="H620" t="s">
        <v>2023</v>
      </c>
      <c r="I620" t="s">
        <v>2646</v>
      </c>
      <c r="J620" t="s">
        <v>4032</v>
      </c>
      <c r="K620" t="s">
        <v>4052</v>
      </c>
      <c r="L620">
        <v>2665.08</v>
      </c>
    </row>
    <row r="621" spans="1:12">
      <c r="A621" t="s">
        <v>631</v>
      </c>
      <c r="B621" s="2">
        <v>45509</v>
      </c>
      <c r="C621">
        <v>5010</v>
      </c>
      <c r="D621" t="s">
        <v>2015</v>
      </c>
      <c r="E621">
        <v>416.41</v>
      </c>
      <c r="F621">
        <v>0</v>
      </c>
      <c r="G621" t="s">
        <v>2020</v>
      </c>
      <c r="H621" t="s">
        <v>2024</v>
      </c>
      <c r="I621" t="s">
        <v>2647</v>
      </c>
      <c r="J621" t="s">
        <v>4032</v>
      </c>
      <c r="K621" t="s">
        <v>4058</v>
      </c>
      <c r="L621">
        <v>-416.41</v>
      </c>
    </row>
    <row r="622" spans="1:12">
      <c r="A622" t="s">
        <v>632</v>
      </c>
      <c r="B622" s="2">
        <v>45696</v>
      </c>
      <c r="C622">
        <v>4000</v>
      </c>
      <c r="D622" t="s">
        <v>2012</v>
      </c>
      <c r="E622">
        <v>0</v>
      </c>
      <c r="F622">
        <v>2058.4</v>
      </c>
      <c r="G622" t="s">
        <v>2019</v>
      </c>
      <c r="H622" t="s">
        <v>2026</v>
      </c>
      <c r="I622" t="s">
        <v>2648</v>
      </c>
      <c r="J622" t="s">
        <v>4028</v>
      </c>
      <c r="K622" t="s">
        <v>4061</v>
      </c>
      <c r="L622">
        <v>2058.4</v>
      </c>
    </row>
    <row r="623" spans="1:12">
      <c r="A623" t="s">
        <v>633</v>
      </c>
      <c r="B623" s="2">
        <v>45669</v>
      </c>
      <c r="C623">
        <v>4000</v>
      </c>
      <c r="D623" t="s">
        <v>2012</v>
      </c>
      <c r="E623">
        <v>0</v>
      </c>
      <c r="F623">
        <v>203.81</v>
      </c>
      <c r="G623" t="s">
        <v>2022</v>
      </c>
      <c r="H623" t="s">
        <v>2023</v>
      </c>
      <c r="I623" t="s">
        <v>2649</v>
      </c>
      <c r="J623" t="s">
        <v>4030</v>
      </c>
      <c r="K623" t="s">
        <v>4035</v>
      </c>
      <c r="L623">
        <v>203.81</v>
      </c>
    </row>
    <row r="624" spans="1:12">
      <c r="A624" t="s">
        <v>634</v>
      </c>
      <c r="B624" s="2">
        <v>45595</v>
      </c>
      <c r="C624">
        <v>5010</v>
      </c>
      <c r="D624" t="s">
        <v>2015</v>
      </c>
      <c r="E624">
        <v>1876.28</v>
      </c>
      <c r="F624">
        <v>0</v>
      </c>
      <c r="G624" t="s">
        <v>2021</v>
      </c>
      <c r="H624" t="s">
        <v>2025</v>
      </c>
      <c r="I624" t="s">
        <v>2650</v>
      </c>
      <c r="J624" t="s">
        <v>4032</v>
      </c>
      <c r="K624" t="s">
        <v>4059</v>
      </c>
      <c r="L624">
        <v>-1876.28</v>
      </c>
    </row>
    <row r="625" spans="1:12">
      <c r="A625" t="s">
        <v>635</v>
      </c>
      <c r="B625" s="2">
        <v>45202</v>
      </c>
      <c r="C625">
        <v>5000</v>
      </c>
      <c r="D625" t="s">
        <v>2013</v>
      </c>
      <c r="E625">
        <v>1047.55</v>
      </c>
      <c r="F625">
        <v>0</v>
      </c>
      <c r="G625" t="s">
        <v>2018</v>
      </c>
      <c r="H625" t="s">
        <v>2025</v>
      </c>
      <c r="I625" t="s">
        <v>2651</v>
      </c>
      <c r="J625" t="s">
        <v>4030</v>
      </c>
      <c r="K625" t="s">
        <v>4060</v>
      </c>
      <c r="L625">
        <v>-1047.55</v>
      </c>
    </row>
    <row r="626" spans="1:12">
      <c r="A626" t="s">
        <v>636</v>
      </c>
      <c r="B626" s="2">
        <v>44943</v>
      </c>
      <c r="C626">
        <v>4000</v>
      </c>
      <c r="D626" t="s">
        <v>2012</v>
      </c>
      <c r="E626">
        <v>0</v>
      </c>
      <c r="F626">
        <v>3567.5</v>
      </c>
      <c r="G626" t="s">
        <v>2021</v>
      </c>
      <c r="H626" t="s">
        <v>2026</v>
      </c>
      <c r="I626" t="s">
        <v>2652</v>
      </c>
      <c r="J626" t="s">
        <v>4029</v>
      </c>
      <c r="K626" t="s">
        <v>4047</v>
      </c>
      <c r="L626">
        <v>3567.5</v>
      </c>
    </row>
    <row r="627" spans="1:12">
      <c r="A627" t="s">
        <v>637</v>
      </c>
      <c r="B627" s="2">
        <v>45338</v>
      </c>
      <c r="C627">
        <v>4000</v>
      </c>
      <c r="D627" t="s">
        <v>2012</v>
      </c>
      <c r="E627">
        <v>0</v>
      </c>
      <c r="F627">
        <v>1073.3499999999999</v>
      </c>
      <c r="G627" t="s">
        <v>2018</v>
      </c>
      <c r="H627" t="s">
        <v>2023</v>
      </c>
      <c r="I627" t="s">
        <v>2653</v>
      </c>
      <c r="J627" t="s">
        <v>4032</v>
      </c>
      <c r="K627" t="s">
        <v>4044</v>
      </c>
      <c r="L627">
        <v>1073.3499999999999</v>
      </c>
    </row>
    <row r="628" spans="1:12">
      <c r="A628" t="s">
        <v>638</v>
      </c>
      <c r="B628" s="2">
        <v>45709</v>
      </c>
      <c r="C628">
        <v>6000</v>
      </c>
      <c r="D628" t="s">
        <v>2014</v>
      </c>
      <c r="E628">
        <v>1340.18</v>
      </c>
      <c r="F628">
        <v>0</v>
      </c>
      <c r="G628" t="s">
        <v>2017</v>
      </c>
      <c r="H628" t="s">
        <v>2023</v>
      </c>
      <c r="I628" t="s">
        <v>2654</v>
      </c>
      <c r="J628" t="s">
        <v>4031</v>
      </c>
      <c r="K628" t="s">
        <v>4061</v>
      </c>
      <c r="L628">
        <v>-1340.18</v>
      </c>
    </row>
    <row r="629" spans="1:12">
      <c r="A629" t="s">
        <v>639</v>
      </c>
      <c r="B629" s="2">
        <v>45367</v>
      </c>
      <c r="C629">
        <v>4010</v>
      </c>
      <c r="D629" t="s">
        <v>2016</v>
      </c>
      <c r="E629">
        <v>0</v>
      </c>
      <c r="F629">
        <v>2847.98</v>
      </c>
      <c r="G629" t="s">
        <v>2017</v>
      </c>
      <c r="H629" t="s">
        <v>2027</v>
      </c>
      <c r="I629" t="s">
        <v>2655</v>
      </c>
      <c r="J629" t="s">
        <v>4031</v>
      </c>
      <c r="K629" t="s">
        <v>4049</v>
      </c>
      <c r="L629">
        <v>2847.98</v>
      </c>
    </row>
    <row r="630" spans="1:12">
      <c r="A630" t="s">
        <v>640</v>
      </c>
      <c r="B630" s="2">
        <v>45681</v>
      </c>
      <c r="C630">
        <v>5000</v>
      </c>
      <c r="D630" t="s">
        <v>2013</v>
      </c>
      <c r="E630">
        <v>1084.3800000000001</v>
      </c>
      <c r="F630">
        <v>0</v>
      </c>
      <c r="G630" t="s">
        <v>2022</v>
      </c>
      <c r="H630" t="s">
        <v>2023</v>
      </c>
      <c r="I630" t="s">
        <v>2656</v>
      </c>
      <c r="J630" t="s">
        <v>4028</v>
      </c>
      <c r="K630" t="s">
        <v>4035</v>
      </c>
      <c r="L630">
        <v>-1084.3800000000001</v>
      </c>
    </row>
    <row r="631" spans="1:12">
      <c r="A631" t="s">
        <v>641</v>
      </c>
      <c r="B631" s="2">
        <v>45809</v>
      </c>
      <c r="C631">
        <v>5000</v>
      </c>
      <c r="D631" t="s">
        <v>2013</v>
      </c>
      <c r="E631">
        <v>1437.11</v>
      </c>
      <c r="F631">
        <v>0</v>
      </c>
      <c r="G631" t="s">
        <v>2021</v>
      </c>
      <c r="H631" t="s">
        <v>2026</v>
      </c>
      <c r="I631" t="s">
        <v>2657</v>
      </c>
      <c r="J631" t="s">
        <v>4031</v>
      </c>
      <c r="K631" t="s">
        <v>4052</v>
      </c>
      <c r="L631">
        <v>-1437.11</v>
      </c>
    </row>
    <row r="632" spans="1:12">
      <c r="A632" t="s">
        <v>642</v>
      </c>
      <c r="B632" s="2">
        <v>45470</v>
      </c>
      <c r="C632">
        <v>4000</v>
      </c>
      <c r="D632" t="s">
        <v>2012</v>
      </c>
      <c r="E632">
        <v>0</v>
      </c>
      <c r="F632">
        <v>4116.3900000000003</v>
      </c>
      <c r="G632" t="s">
        <v>2018</v>
      </c>
      <c r="H632" t="s">
        <v>2027</v>
      </c>
      <c r="I632" t="s">
        <v>2658</v>
      </c>
      <c r="J632" t="s">
        <v>4028</v>
      </c>
      <c r="K632" t="s">
        <v>4034</v>
      </c>
      <c r="L632">
        <v>4116.3900000000003</v>
      </c>
    </row>
    <row r="633" spans="1:12">
      <c r="A633" t="s">
        <v>643</v>
      </c>
      <c r="B633" s="2">
        <v>44979</v>
      </c>
      <c r="C633">
        <v>5010</v>
      </c>
      <c r="D633" t="s">
        <v>2015</v>
      </c>
      <c r="E633">
        <v>1732.79</v>
      </c>
      <c r="F633">
        <v>0</v>
      </c>
      <c r="G633" t="s">
        <v>2018</v>
      </c>
      <c r="H633" t="s">
        <v>2025</v>
      </c>
      <c r="I633" t="s">
        <v>2659</v>
      </c>
      <c r="J633" t="s">
        <v>4032</v>
      </c>
      <c r="K633" t="s">
        <v>4057</v>
      </c>
      <c r="L633">
        <v>-1732.79</v>
      </c>
    </row>
    <row r="634" spans="1:12">
      <c r="A634" t="s">
        <v>644</v>
      </c>
      <c r="B634" s="2">
        <v>45298</v>
      </c>
      <c r="C634">
        <v>5000</v>
      </c>
      <c r="D634" t="s">
        <v>2013</v>
      </c>
      <c r="E634">
        <v>1107.71</v>
      </c>
      <c r="F634">
        <v>0</v>
      </c>
      <c r="G634" t="s">
        <v>2022</v>
      </c>
      <c r="H634" t="s">
        <v>2024</v>
      </c>
      <c r="I634" t="s">
        <v>2660</v>
      </c>
      <c r="J634" t="s">
        <v>4028</v>
      </c>
      <c r="K634" t="s">
        <v>4053</v>
      </c>
      <c r="L634">
        <v>-1107.71</v>
      </c>
    </row>
    <row r="635" spans="1:12">
      <c r="A635" t="s">
        <v>645</v>
      </c>
      <c r="B635" s="2">
        <v>45145</v>
      </c>
      <c r="C635">
        <v>4010</v>
      </c>
      <c r="D635" t="s">
        <v>2016</v>
      </c>
      <c r="E635">
        <v>0</v>
      </c>
      <c r="F635">
        <v>303.27</v>
      </c>
      <c r="G635" t="s">
        <v>2018</v>
      </c>
      <c r="H635" t="s">
        <v>2026</v>
      </c>
      <c r="I635" t="s">
        <v>2661</v>
      </c>
      <c r="J635" t="s">
        <v>4030</v>
      </c>
      <c r="K635" t="s">
        <v>4037</v>
      </c>
      <c r="L635">
        <v>303.27</v>
      </c>
    </row>
    <row r="636" spans="1:12">
      <c r="A636" t="s">
        <v>646</v>
      </c>
      <c r="B636" s="2">
        <v>44933</v>
      </c>
      <c r="C636">
        <v>5000</v>
      </c>
      <c r="D636" t="s">
        <v>2013</v>
      </c>
      <c r="E636">
        <v>608.84</v>
      </c>
      <c r="F636">
        <v>0</v>
      </c>
      <c r="G636" t="s">
        <v>2022</v>
      </c>
      <c r="H636" t="s">
        <v>2027</v>
      </c>
      <c r="I636" t="s">
        <v>2662</v>
      </c>
      <c r="J636" t="s">
        <v>4030</v>
      </c>
      <c r="K636" t="s">
        <v>4047</v>
      </c>
      <c r="L636">
        <v>-608.84</v>
      </c>
    </row>
    <row r="637" spans="1:12">
      <c r="A637" t="s">
        <v>647</v>
      </c>
      <c r="B637" s="2">
        <v>45104</v>
      </c>
      <c r="C637">
        <v>6000</v>
      </c>
      <c r="D637" t="s">
        <v>2014</v>
      </c>
      <c r="E637">
        <v>1438.43</v>
      </c>
      <c r="F637">
        <v>0</v>
      </c>
      <c r="G637" t="s">
        <v>2018</v>
      </c>
      <c r="H637" t="s">
        <v>2025</v>
      </c>
      <c r="I637" t="s">
        <v>2663</v>
      </c>
      <c r="J637" t="s">
        <v>4032</v>
      </c>
      <c r="K637" t="s">
        <v>4055</v>
      </c>
      <c r="L637">
        <v>-1438.43</v>
      </c>
    </row>
    <row r="638" spans="1:12">
      <c r="A638" t="s">
        <v>648</v>
      </c>
      <c r="B638" s="2">
        <v>44989</v>
      </c>
      <c r="C638">
        <v>4000</v>
      </c>
      <c r="D638" t="s">
        <v>2012</v>
      </c>
      <c r="E638">
        <v>0</v>
      </c>
      <c r="F638">
        <v>1141.46</v>
      </c>
      <c r="G638" t="s">
        <v>2021</v>
      </c>
      <c r="H638" t="s">
        <v>2027</v>
      </c>
      <c r="I638" t="s">
        <v>2664</v>
      </c>
      <c r="J638" t="s">
        <v>4029</v>
      </c>
      <c r="K638" t="s">
        <v>4051</v>
      </c>
      <c r="L638">
        <v>1141.46</v>
      </c>
    </row>
    <row r="639" spans="1:12">
      <c r="A639" t="s">
        <v>649</v>
      </c>
      <c r="B639" s="2">
        <v>45523</v>
      </c>
      <c r="C639">
        <v>6000</v>
      </c>
      <c r="D639" t="s">
        <v>2014</v>
      </c>
      <c r="E639">
        <v>1263.43</v>
      </c>
      <c r="F639">
        <v>0</v>
      </c>
      <c r="G639" t="s">
        <v>2021</v>
      </c>
      <c r="H639" t="s">
        <v>2024</v>
      </c>
      <c r="I639" t="s">
        <v>2665</v>
      </c>
      <c r="J639" t="s">
        <v>4032</v>
      </c>
      <c r="K639" t="s">
        <v>4058</v>
      </c>
      <c r="L639">
        <v>-1263.43</v>
      </c>
    </row>
    <row r="640" spans="1:12">
      <c r="A640" t="s">
        <v>650</v>
      </c>
      <c r="B640" s="2">
        <v>45121</v>
      </c>
      <c r="C640">
        <v>4000</v>
      </c>
      <c r="D640" t="s">
        <v>2012</v>
      </c>
      <c r="E640">
        <v>0</v>
      </c>
      <c r="F640">
        <v>3107.95</v>
      </c>
      <c r="G640" t="s">
        <v>2018</v>
      </c>
      <c r="H640" t="s">
        <v>2023</v>
      </c>
      <c r="I640" t="s">
        <v>2666</v>
      </c>
      <c r="J640" t="s">
        <v>4028</v>
      </c>
      <c r="K640" t="s">
        <v>4050</v>
      </c>
      <c r="L640">
        <v>3107.95</v>
      </c>
    </row>
    <row r="641" spans="1:12">
      <c r="A641" t="s">
        <v>651</v>
      </c>
      <c r="B641" s="2">
        <v>45589</v>
      </c>
      <c r="C641">
        <v>5000</v>
      </c>
      <c r="D641" t="s">
        <v>2013</v>
      </c>
      <c r="E641">
        <v>1600.99</v>
      </c>
      <c r="F641">
        <v>0</v>
      </c>
      <c r="G641" t="s">
        <v>2021</v>
      </c>
      <c r="H641" t="s">
        <v>2027</v>
      </c>
      <c r="I641" t="s">
        <v>2667</v>
      </c>
      <c r="J641" t="s">
        <v>4032</v>
      </c>
      <c r="K641" t="s">
        <v>4059</v>
      </c>
      <c r="L641">
        <v>-1600.99</v>
      </c>
    </row>
    <row r="642" spans="1:12">
      <c r="A642" t="s">
        <v>652</v>
      </c>
      <c r="B642" s="2">
        <v>45632</v>
      </c>
      <c r="C642">
        <v>5000</v>
      </c>
      <c r="D642" t="s">
        <v>2013</v>
      </c>
      <c r="E642">
        <v>563.6</v>
      </c>
      <c r="F642">
        <v>0</v>
      </c>
      <c r="G642" t="s">
        <v>2017</v>
      </c>
      <c r="H642" t="s">
        <v>2026</v>
      </c>
      <c r="I642" t="s">
        <v>2668</v>
      </c>
      <c r="J642" t="s">
        <v>4031</v>
      </c>
      <c r="K642" t="s">
        <v>4056</v>
      </c>
      <c r="L642">
        <v>-563.6</v>
      </c>
    </row>
    <row r="643" spans="1:12">
      <c r="A643" t="s">
        <v>653</v>
      </c>
      <c r="B643" s="2">
        <v>45096</v>
      </c>
      <c r="C643">
        <v>5000</v>
      </c>
      <c r="D643" t="s">
        <v>2013</v>
      </c>
      <c r="E643">
        <v>961.83</v>
      </c>
      <c r="F643">
        <v>0</v>
      </c>
      <c r="G643" t="s">
        <v>2020</v>
      </c>
      <c r="H643" t="s">
        <v>2027</v>
      </c>
      <c r="I643" t="s">
        <v>2669</v>
      </c>
      <c r="J643" t="s">
        <v>4028</v>
      </c>
      <c r="K643" t="s">
        <v>4055</v>
      </c>
      <c r="L643">
        <v>-961.83</v>
      </c>
    </row>
    <row r="644" spans="1:12">
      <c r="A644" t="s">
        <v>654</v>
      </c>
      <c r="B644" s="2">
        <v>45779</v>
      </c>
      <c r="C644">
        <v>6000</v>
      </c>
      <c r="D644" t="s">
        <v>2014</v>
      </c>
      <c r="E644">
        <v>1455.41</v>
      </c>
      <c r="F644">
        <v>0</v>
      </c>
      <c r="G644" t="s">
        <v>2021</v>
      </c>
      <c r="H644" t="s">
        <v>2025</v>
      </c>
      <c r="I644" t="s">
        <v>2670</v>
      </c>
      <c r="J644" t="s">
        <v>4031</v>
      </c>
      <c r="K644" t="s">
        <v>4038</v>
      </c>
      <c r="L644">
        <v>-1455.41</v>
      </c>
    </row>
    <row r="645" spans="1:12">
      <c r="A645" t="s">
        <v>655</v>
      </c>
      <c r="B645" s="2">
        <v>44956</v>
      </c>
      <c r="C645">
        <v>5000</v>
      </c>
      <c r="D645" t="s">
        <v>2013</v>
      </c>
      <c r="E645">
        <v>1057.3599999999999</v>
      </c>
      <c r="F645">
        <v>0</v>
      </c>
      <c r="G645" t="s">
        <v>2017</v>
      </c>
      <c r="H645" t="s">
        <v>2024</v>
      </c>
      <c r="I645" t="s">
        <v>2671</v>
      </c>
      <c r="J645" t="s">
        <v>4031</v>
      </c>
      <c r="K645" t="s">
        <v>4047</v>
      </c>
      <c r="L645">
        <v>-1057.3599999999999</v>
      </c>
    </row>
    <row r="646" spans="1:12">
      <c r="A646" t="s">
        <v>656</v>
      </c>
      <c r="B646" s="2">
        <v>45432</v>
      </c>
      <c r="C646">
        <v>4010</v>
      </c>
      <c r="D646" t="s">
        <v>2016</v>
      </c>
      <c r="E646">
        <v>0</v>
      </c>
      <c r="F646">
        <v>3358.16</v>
      </c>
      <c r="G646" t="s">
        <v>2018</v>
      </c>
      <c r="H646" t="s">
        <v>2027</v>
      </c>
      <c r="I646" t="s">
        <v>2672</v>
      </c>
      <c r="J646" t="s">
        <v>4029</v>
      </c>
      <c r="K646" t="s">
        <v>4033</v>
      </c>
      <c r="L646">
        <v>3358.16</v>
      </c>
    </row>
    <row r="647" spans="1:12">
      <c r="A647" t="s">
        <v>657</v>
      </c>
      <c r="B647" s="2">
        <v>45055</v>
      </c>
      <c r="C647">
        <v>4010</v>
      </c>
      <c r="D647" t="s">
        <v>2016</v>
      </c>
      <c r="E647">
        <v>0</v>
      </c>
      <c r="F647">
        <v>1525.47</v>
      </c>
      <c r="G647" t="s">
        <v>2019</v>
      </c>
      <c r="H647" t="s">
        <v>2026</v>
      </c>
      <c r="I647" t="s">
        <v>2673</v>
      </c>
      <c r="J647" t="s">
        <v>4028</v>
      </c>
      <c r="K647" t="s">
        <v>4062</v>
      </c>
      <c r="L647">
        <v>1525.47</v>
      </c>
    </row>
    <row r="648" spans="1:12">
      <c r="A648" t="s">
        <v>658</v>
      </c>
      <c r="B648" s="2">
        <v>44993</v>
      </c>
      <c r="C648">
        <v>5010</v>
      </c>
      <c r="D648" t="s">
        <v>2015</v>
      </c>
      <c r="E648">
        <v>707.2</v>
      </c>
      <c r="F648">
        <v>0</v>
      </c>
      <c r="G648" t="s">
        <v>2021</v>
      </c>
      <c r="H648" t="s">
        <v>2023</v>
      </c>
      <c r="I648" t="s">
        <v>2674</v>
      </c>
      <c r="J648" t="s">
        <v>4029</v>
      </c>
      <c r="K648" t="s">
        <v>4051</v>
      </c>
      <c r="L648">
        <v>-707.2</v>
      </c>
    </row>
    <row r="649" spans="1:12">
      <c r="A649" t="s">
        <v>659</v>
      </c>
      <c r="B649" s="2">
        <v>45227</v>
      </c>
      <c r="C649">
        <v>6000</v>
      </c>
      <c r="D649" t="s">
        <v>2014</v>
      </c>
      <c r="E649">
        <v>1209.72</v>
      </c>
      <c r="F649">
        <v>0</v>
      </c>
      <c r="G649" t="s">
        <v>2019</v>
      </c>
      <c r="H649" t="s">
        <v>2025</v>
      </c>
      <c r="I649" t="s">
        <v>2675</v>
      </c>
      <c r="J649" t="s">
        <v>4030</v>
      </c>
      <c r="K649" t="s">
        <v>4060</v>
      </c>
      <c r="L649">
        <v>-1209.72</v>
      </c>
    </row>
    <row r="650" spans="1:12">
      <c r="A650" t="s">
        <v>660</v>
      </c>
      <c r="B650" s="2">
        <v>45441</v>
      </c>
      <c r="C650">
        <v>5000</v>
      </c>
      <c r="D650" t="s">
        <v>2013</v>
      </c>
      <c r="E650">
        <v>1696.57</v>
      </c>
      <c r="F650">
        <v>0</v>
      </c>
      <c r="G650" t="s">
        <v>2017</v>
      </c>
      <c r="H650" t="s">
        <v>2025</v>
      </c>
      <c r="I650" t="s">
        <v>2676</v>
      </c>
      <c r="J650" t="s">
        <v>4028</v>
      </c>
      <c r="K650" t="s">
        <v>4033</v>
      </c>
      <c r="L650">
        <v>-1696.57</v>
      </c>
    </row>
    <row r="651" spans="1:12">
      <c r="A651" t="s">
        <v>661</v>
      </c>
      <c r="B651" s="2">
        <v>45341</v>
      </c>
      <c r="C651">
        <v>4000</v>
      </c>
      <c r="D651" t="s">
        <v>2012</v>
      </c>
      <c r="E651">
        <v>0</v>
      </c>
      <c r="F651">
        <v>2657.38</v>
      </c>
      <c r="G651" t="s">
        <v>2022</v>
      </c>
      <c r="H651" t="s">
        <v>2024</v>
      </c>
      <c r="I651" t="s">
        <v>2677</v>
      </c>
      <c r="J651" t="s">
        <v>4028</v>
      </c>
      <c r="K651" t="s">
        <v>4044</v>
      </c>
      <c r="L651">
        <v>2657.38</v>
      </c>
    </row>
    <row r="652" spans="1:12">
      <c r="A652" t="s">
        <v>662</v>
      </c>
      <c r="B652" s="2">
        <v>45742</v>
      </c>
      <c r="C652">
        <v>4000</v>
      </c>
      <c r="D652" t="s">
        <v>2012</v>
      </c>
      <c r="E652">
        <v>0</v>
      </c>
      <c r="F652">
        <v>4294.0600000000004</v>
      </c>
      <c r="G652" t="s">
        <v>2018</v>
      </c>
      <c r="H652" t="s">
        <v>2026</v>
      </c>
      <c r="I652" t="s">
        <v>2678</v>
      </c>
      <c r="J652" t="s">
        <v>4031</v>
      </c>
      <c r="K652" t="s">
        <v>4046</v>
      </c>
      <c r="L652">
        <v>4294.0600000000004</v>
      </c>
    </row>
    <row r="653" spans="1:12">
      <c r="A653" t="s">
        <v>663</v>
      </c>
      <c r="B653" s="2">
        <v>45253</v>
      </c>
      <c r="C653">
        <v>4000</v>
      </c>
      <c r="D653" t="s">
        <v>2012</v>
      </c>
      <c r="E653">
        <v>0</v>
      </c>
      <c r="F653">
        <v>451.28</v>
      </c>
      <c r="G653" t="s">
        <v>2021</v>
      </c>
      <c r="H653" t="s">
        <v>2024</v>
      </c>
      <c r="I653" t="s">
        <v>2679</v>
      </c>
      <c r="J653" t="s">
        <v>4031</v>
      </c>
      <c r="K653" t="s">
        <v>4042</v>
      </c>
      <c r="L653">
        <v>451.28</v>
      </c>
    </row>
    <row r="654" spans="1:12">
      <c r="A654" t="s">
        <v>664</v>
      </c>
      <c r="B654" s="2">
        <v>45527</v>
      </c>
      <c r="C654">
        <v>5010</v>
      </c>
      <c r="D654" t="s">
        <v>2015</v>
      </c>
      <c r="E654">
        <v>1730.45</v>
      </c>
      <c r="F654">
        <v>0</v>
      </c>
      <c r="G654" t="s">
        <v>2018</v>
      </c>
      <c r="H654" t="s">
        <v>2026</v>
      </c>
      <c r="I654" t="s">
        <v>2680</v>
      </c>
      <c r="J654" t="s">
        <v>4031</v>
      </c>
      <c r="K654" t="s">
        <v>4058</v>
      </c>
      <c r="L654">
        <v>-1730.45</v>
      </c>
    </row>
    <row r="655" spans="1:12">
      <c r="A655" t="s">
        <v>665</v>
      </c>
      <c r="B655" s="2">
        <v>44927</v>
      </c>
      <c r="C655">
        <v>4000</v>
      </c>
      <c r="D655" t="s">
        <v>2012</v>
      </c>
      <c r="E655">
        <v>0</v>
      </c>
      <c r="F655">
        <v>4570.1099999999997</v>
      </c>
      <c r="G655" t="s">
        <v>2021</v>
      </c>
      <c r="H655" t="s">
        <v>2027</v>
      </c>
      <c r="I655" t="s">
        <v>2681</v>
      </c>
      <c r="J655" t="s">
        <v>4031</v>
      </c>
      <c r="K655" t="s">
        <v>4047</v>
      </c>
      <c r="L655">
        <v>4570.1099999999997</v>
      </c>
    </row>
    <row r="656" spans="1:12">
      <c r="A656" t="s">
        <v>666</v>
      </c>
      <c r="B656" s="2">
        <v>45638</v>
      </c>
      <c r="C656">
        <v>5010</v>
      </c>
      <c r="D656" t="s">
        <v>2015</v>
      </c>
      <c r="E656">
        <v>1200.67</v>
      </c>
      <c r="F656">
        <v>0</v>
      </c>
      <c r="G656" t="s">
        <v>2022</v>
      </c>
      <c r="H656" t="s">
        <v>2023</v>
      </c>
      <c r="I656" t="s">
        <v>2682</v>
      </c>
      <c r="J656" t="s">
        <v>4032</v>
      </c>
      <c r="K656" t="s">
        <v>4056</v>
      </c>
      <c r="L656">
        <v>-1200.67</v>
      </c>
    </row>
    <row r="657" spans="1:12">
      <c r="A657" t="s">
        <v>667</v>
      </c>
      <c r="B657" s="2">
        <v>45388</v>
      </c>
      <c r="C657">
        <v>5000</v>
      </c>
      <c r="D657" t="s">
        <v>2013</v>
      </c>
      <c r="E657">
        <v>1429.26</v>
      </c>
      <c r="F657">
        <v>0</v>
      </c>
      <c r="G657" t="s">
        <v>2022</v>
      </c>
      <c r="H657" t="s">
        <v>2026</v>
      </c>
      <c r="I657" t="s">
        <v>2683</v>
      </c>
      <c r="J657" t="s">
        <v>4029</v>
      </c>
      <c r="K657" t="s">
        <v>4040</v>
      </c>
      <c r="L657">
        <v>-1429.26</v>
      </c>
    </row>
    <row r="658" spans="1:12">
      <c r="A658" t="s">
        <v>668</v>
      </c>
      <c r="B658" s="2">
        <v>45143</v>
      </c>
      <c r="C658">
        <v>5010</v>
      </c>
      <c r="D658" t="s">
        <v>2015</v>
      </c>
      <c r="E658">
        <v>1489.09</v>
      </c>
      <c r="F658">
        <v>0</v>
      </c>
      <c r="G658" t="s">
        <v>2017</v>
      </c>
      <c r="H658" t="s">
        <v>2025</v>
      </c>
      <c r="I658" t="s">
        <v>2684</v>
      </c>
      <c r="J658" t="s">
        <v>4029</v>
      </c>
      <c r="K658" t="s">
        <v>4037</v>
      </c>
      <c r="L658">
        <v>-1489.09</v>
      </c>
    </row>
    <row r="659" spans="1:12">
      <c r="A659" t="s">
        <v>669</v>
      </c>
      <c r="B659" s="2">
        <v>45438</v>
      </c>
      <c r="C659">
        <v>4000</v>
      </c>
      <c r="D659" t="s">
        <v>2012</v>
      </c>
      <c r="E659">
        <v>0</v>
      </c>
      <c r="F659">
        <v>1528.95</v>
      </c>
      <c r="G659" t="s">
        <v>2020</v>
      </c>
      <c r="H659" t="s">
        <v>2027</v>
      </c>
      <c r="I659" t="s">
        <v>2685</v>
      </c>
      <c r="J659" t="s">
        <v>4032</v>
      </c>
      <c r="K659" t="s">
        <v>4033</v>
      </c>
      <c r="L659">
        <v>1528.95</v>
      </c>
    </row>
    <row r="660" spans="1:12">
      <c r="A660" t="s">
        <v>670</v>
      </c>
      <c r="B660" s="2">
        <v>45620</v>
      </c>
      <c r="C660">
        <v>4010</v>
      </c>
      <c r="D660" t="s">
        <v>2016</v>
      </c>
      <c r="E660">
        <v>0</v>
      </c>
      <c r="F660">
        <v>4139.3100000000004</v>
      </c>
      <c r="G660" t="s">
        <v>2018</v>
      </c>
      <c r="H660" t="s">
        <v>2024</v>
      </c>
      <c r="I660" t="s">
        <v>2686</v>
      </c>
      <c r="J660" t="s">
        <v>4032</v>
      </c>
      <c r="K660" t="s">
        <v>4043</v>
      </c>
      <c r="L660">
        <v>4139.3100000000004</v>
      </c>
    </row>
    <row r="661" spans="1:12">
      <c r="A661" t="s">
        <v>671</v>
      </c>
      <c r="B661" s="2">
        <v>45463</v>
      </c>
      <c r="C661">
        <v>6000</v>
      </c>
      <c r="D661" t="s">
        <v>2014</v>
      </c>
      <c r="E661">
        <v>1781.01</v>
      </c>
      <c r="F661">
        <v>0</v>
      </c>
      <c r="G661" t="s">
        <v>2017</v>
      </c>
      <c r="H661" t="s">
        <v>2027</v>
      </c>
      <c r="I661" t="s">
        <v>2687</v>
      </c>
      <c r="J661" t="s">
        <v>4032</v>
      </c>
      <c r="K661" t="s">
        <v>4034</v>
      </c>
      <c r="L661">
        <v>-1781.01</v>
      </c>
    </row>
    <row r="662" spans="1:12">
      <c r="A662" t="s">
        <v>672</v>
      </c>
      <c r="B662" s="2">
        <v>45188</v>
      </c>
      <c r="C662">
        <v>5000</v>
      </c>
      <c r="D662" t="s">
        <v>2013</v>
      </c>
      <c r="E662">
        <v>1659.6</v>
      </c>
      <c r="F662">
        <v>0</v>
      </c>
      <c r="G662" t="s">
        <v>2018</v>
      </c>
      <c r="H662" t="s">
        <v>2026</v>
      </c>
      <c r="I662" t="s">
        <v>2688</v>
      </c>
      <c r="J662" t="s">
        <v>4028</v>
      </c>
      <c r="K662" t="s">
        <v>4036</v>
      </c>
      <c r="L662">
        <v>-1659.6</v>
      </c>
    </row>
    <row r="663" spans="1:12">
      <c r="A663" t="s">
        <v>673</v>
      </c>
      <c r="B663" s="2">
        <v>45777</v>
      </c>
      <c r="C663">
        <v>6000</v>
      </c>
      <c r="D663" t="s">
        <v>2014</v>
      </c>
      <c r="E663">
        <v>1220.3</v>
      </c>
      <c r="F663">
        <v>0</v>
      </c>
      <c r="G663" t="s">
        <v>2019</v>
      </c>
      <c r="H663" t="s">
        <v>2024</v>
      </c>
      <c r="I663" t="s">
        <v>2689</v>
      </c>
      <c r="J663" t="s">
        <v>4031</v>
      </c>
      <c r="K663" t="s">
        <v>4045</v>
      </c>
      <c r="L663">
        <v>-1220.3</v>
      </c>
    </row>
    <row r="664" spans="1:12">
      <c r="A664" t="s">
        <v>674</v>
      </c>
      <c r="B664" s="2">
        <v>45569</v>
      </c>
      <c r="C664">
        <v>5000</v>
      </c>
      <c r="D664" t="s">
        <v>2013</v>
      </c>
      <c r="E664">
        <v>1327.71</v>
      </c>
      <c r="F664">
        <v>0</v>
      </c>
      <c r="G664" t="s">
        <v>2020</v>
      </c>
      <c r="H664" t="s">
        <v>2026</v>
      </c>
      <c r="I664" t="s">
        <v>2690</v>
      </c>
      <c r="J664" t="s">
        <v>4029</v>
      </c>
      <c r="K664" t="s">
        <v>4059</v>
      </c>
      <c r="L664">
        <v>-1327.71</v>
      </c>
    </row>
    <row r="665" spans="1:12">
      <c r="A665" t="s">
        <v>675</v>
      </c>
      <c r="B665" s="2">
        <v>45631</v>
      </c>
      <c r="C665">
        <v>5000</v>
      </c>
      <c r="D665" t="s">
        <v>2013</v>
      </c>
      <c r="E665">
        <v>1760.57</v>
      </c>
      <c r="F665">
        <v>0</v>
      </c>
      <c r="G665" t="s">
        <v>2020</v>
      </c>
      <c r="H665" t="s">
        <v>2024</v>
      </c>
      <c r="I665" t="s">
        <v>2691</v>
      </c>
      <c r="J665" t="s">
        <v>4028</v>
      </c>
      <c r="K665" t="s">
        <v>4056</v>
      </c>
      <c r="L665">
        <v>-1760.57</v>
      </c>
    </row>
    <row r="666" spans="1:12">
      <c r="A666" t="s">
        <v>676</v>
      </c>
      <c r="B666" s="2">
        <v>45367</v>
      </c>
      <c r="C666">
        <v>6000</v>
      </c>
      <c r="D666" t="s">
        <v>2014</v>
      </c>
      <c r="E666">
        <v>832.19</v>
      </c>
      <c r="F666">
        <v>0</v>
      </c>
      <c r="G666" t="s">
        <v>2019</v>
      </c>
      <c r="H666" t="s">
        <v>2023</v>
      </c>
      <c r="I666" t="s">
        <v>2692</v>
      </c>
      <c r="J666" t="s">
        <v>4030</v>
      </c>
      <c r="K666" t="s">
        <v>4049</v>
      </c>
      <c r="L666">
        <v>-832.19</v>
      </c>
    </row>
    <row r="667" spans="1:12">
      <c r="A667" t="s">
        <v>677</v>
      </c>
      <c r="B667" s="2">
        <v>44951</v>
      </c>
      <c r="C667">
        <v>5000</v>
      </c>
      <c r="D667" t="s">
        <v>2013</v>
      </c>
      <c r="E667">
        <v>243.79</v>
      </c>
      <c r="F667">
        <v>0</v>
      </c>
      <c r="G667" t="s">
        <v>2018</v>
      </c>
      <c r="H667" t="s">
        <v>2025</v>
      </c>
      <c r="I667" t="s">
        <v>2693</v>
      </c>
      <c r="J667" t="s">
        <v>4032</v>
      </c>
      <c r="K667" t="s">
        <v>4047</v>
      </c>
      <c r="L667">
        <v>-243.79</v>
      </c>
    </row>
    <row r="668" spans="1:12">
      <c r="A668" t="s">
        <v>678</v>
      </c>
      <c r="B668" s="2">
        <v>45770</v>
      </c>
      <c r="C668">
        <v>5010</v>
      </c>
      <c r="D668" t="s">
        <v>2015</v>
      </c>
      <c r="E668">
        <v>560.62</v>
      </c>
      <c r="F668">
        <v>0</v>
      </c>
      <c r="G668" t="s">
        <v>2017</v>
      </c>
      <c r="H668" t="s">
        <v>2024</v>
      </c>
      <c r="I668" t="s">
        <v>2694</v>
      </c>
      <c r="J668" t="s">
        <v>4030</v>
      </c>
      <c r="K668" t="s">
        <v>4045</v>
      </c>
      <c r="L668">
        <v>-560.62</v>
      </c>
    </row>
    <row r="669" spans="1:12">
      <c r="A669" t="s">
        <v>679</v>
      </c>
      <c r="B669" s="2">
        <v>45224</v>
      </c>
      <c r="C669">
        <v>4010</v>
      </c>
      <c r="D669" t="s">
        <v>2016</v>
      </c>
      <c r="E669">
        <v>0</v>
      </c>
      <c r="F669">
        <v>4106.57</v>
      </c>
      <c r="G669" t="s">
        <v>2020</v>
      </c>
      <c r="H669" t="s">
        <v>2023</v>
      </c>
      <c r="I669" t="s">
        <v>2695</v>
      </c>
      <c r="J669" t="s">
        <v>4028</v>
      </c>
      <c r="K669" t="s">
        <v>4060</v>
      </c>
      <c r="L669">
        <v>4106.57</v>
      </c>
    </row>
    <row r="670" spans="1:12">
      <c r="A670" t="s">
        <v>680</v>
      </c>
      <c r="B670" s="2">
        <v>45724</v>
      </c>
      <c r="C670">
        <v>5010</v>
      </c>
      <c r="D670" t="s">
        <v>2015</v>
      </c>
      <c r="E670">
        <v>873.19</v>
      </c>
      <c r="F670">
        <v>0</v>
      </c>
      <c r="G670" t="s">
        <v>2019</v>
      </c>
      <c r="H670" t="s">
        <v>2024</v>
      </c>
      <c r="I670" t="s">
        <v>2696</v>
      </c>
      <c r="J670" t="s">
        <v>4028</v>
      </c>
      <c r="K670" t="s">
        <v>4046</v>
      </c>
      <c r="L670">
        <v>-873.19</v>
      </c>
    </row>
    <row r="671" spans="1:12">
      <c r="A671" t="s">
        <v>681</v>
      </c>
      <c r="B671" s="2">
        <v>45223</v>
      </c>
      <c r="C671">
        <v>4010</v>
      </c>
      <c r="D671" t="s">
        <v>2016</v>
      </c>
      <c r="E671">
        <v>0</v>
      </c>
      <c r="F671">
        <v>541.23</v>
      </c>
      <c r="G671" t="s">
        <v>2020</v>
      </c>
      <c r="H671" t="s">
        <v>2025</v>
      </c>
      <c r="I671" t="s">
        <v>2697</v>
      </c>
      <c r="J671" t="s">
        <v>4032</v>
      </c>
      <c r="K671" t="s">
        <v>4060</v>
      </c>
      <c r="L671">
        <v>541.23</v>
      </c>
    </row>
    <row r="672" spans="1:12">
      <c r="A672" t="s">
        <v>682</v>
      </c>
      <c r="B672" s="2">
        <v>45402</v>
      </c>
      <c r="C672">
        <v>5000</v>
      </c>
      <c r="D672" t="s">
        <v>2013</v>
      </c>
      <c r="E672">
        <v>793.98</v>
      </c>
      <c r="F672">
        <v>0</v>
      </c>
      <c r="G672" t="s">
        <v>2019</v>
      </c>
      <c r="H672" t="s">
        <v>2026</v>
      </c>
      <c r="I672" t="s">
        <v>2698</v>
      </c>
      <c r="J672" t="s">
        <v>4029</v>
      </c>
      <c r="K672" t="s">
        <v>4040</v>
      </c>
      <c r="L672">
        <v>-793.98</v>
      </c>
    </row>
    <row r="673" spans="1:12">
      <c r="A673" t="s">
        <v>683</v>
      </c>
      <c r="B673" s="2">
        <v>45099</v>
      </c>
      <c r="C673">
        <v>5010</v>
      </c>
      <c r="D673" t="s">
        <v>2015</v>
      </c>
      <c r="E673">
        <v>644.58000000000004</v>
      </c>
      <c r="F673">
        <v>0</v>
      </c>
      <c r="G673" t="s">
        <v>2022</v>
      </c>
      <c r="H673" t="s">
        <v>2025</v>
      </c>
      <c r="I673" t="s">
        <v>2699</v>
      </c>
      <c r="J673" t="s">
        <v>4031</v>
      </c>
      <c r="K673" t="s">
        <v>4055</v>
      </c>
      <c r="L673">
        <v>-644.58000000000004</v>
      </c>
    </row>
    <row r="674" spans="1:12">
      <c r="A674" t="s">
        <v>684</v>
      </c>
      <c r="B674" s="2">
        <v>44969</v>
      </c>
      <c r="C674">
        <v>5010</v>
      </c>
      <c r="D674" t="s">
        <v>2015</v>
      </c>
      <c r="E674">
        <v>222.19</v>
      </c>
      <c r="F674">
        <v>0</v>
      </c>
      <c r="G674" t="s">
        <v>2020</v>
      </c>
      <c r="H674" t="s">
        <v>2026</v>
      </c>
      <c r="I674" t="s">
        <v>2700</v>
      </c>
      <c r="J674" t="s">
        <v>4028</v>
      </c>
      <c r="K674" t="s">
        <v>4057</v>
      </c>
      <c r="L674">
        <v>-222.19</v>
      </c>
    </row>
    <row r="675" spans="1:12">
      <c r="A675" t="s">
        <v>685</v>
      </c>
      <c r="B675" s="2">
        <v>45381</v>
      </c>
      <c r="C675">
        <v>6000</v>
      </c>
      <c r="D675" t="s">
        <v>2014</v>
      </c>
      <c r="E675">
        <v>296.98</v>
      </c>
      <c r="F675">
        <v>0</v>
      </c>
      <c r="G675" t="s">
        <v>2022</v>
      </c>
      <c r="H675" t="s">
        <v>2027</v>
      </c>
      <c r="I675" t="s">
        <v>2701</v>
      </c>
      <c r="J675" t="s">
        <v>4030</v>
      </c>
      <c r="K675" t="s">
        <v>4049</v>
      </c>
      <c r="L675">
        <v>-296.98</v>
      </c>
    </row>
    <row r="676" spans="1:12">
      <c r="A676" t="s">
        <v>686</v>
      </c>
      <c r="B676" s="2">
        <v>45408</v>
      </c>
      <c r="C676">
        <v>5010</v>
      </c>
      <c r="D676" t="s">
        <v>2015</v>
      </c>
      <c r="E676">
        <v>1919.89</v>
      </c>
      <c r="F676">
        <v>0</v>
      </c>
      <c r="G676" t="s">
        <v>2017</v>
      </c>
      <c r="H676" t="s">
        <v>2026</v>
      </c>
      <c r="I676" t="s">
        <v>2702</v>
      </c>
      <c r="J676" t="s">
        <v>4032</v>
      </c>
      <c r="K676" t="s">
        <v>4040</v>
      </c>
      <c r="L676">
        <v>-1919.89</v>
      </c>
    </row>
    <row r="677" spans="1:12">
      <c r="A677" t="s">
        <v>687</v>
      </c>
      <c r="B677" s="2">
        <v>45467</v>
      </c>
      <c r="C677">
        <v>4010</v>
      </c>
      <c r="D677" t="s">
        <v>2016</v>
      </c>
      <c r="E677">
        <v>0</v>
      </c>
      <c r="F677">
        <v>3948.96</v>
      </c>
      <c r="G677" t="s">
        <v>2020</v>
      </c>
      <c r="H677" t="s">
        <v>2026</v>
      </c>
      <c r="I677" t="s">
        <v>2703</v>
      </c>
      <c r="J677" t="s">
        <v>4029</v>
      </c>
      <c r="K677" t="s">
        <v>4034</v>
      </c>
      <c r="L677">
        <v>3948.96</v>
      </c>
    </row>
    <row r="678" spans="1:12">
      <c r="A678" t="s">
        <v>688</v>
      </c>
      <c r="B678" s="2">
        <v>45165</v>
      </c>
      <c r="C678">
        <v>4000</v>
      </c>
      <c r="D678" t="s">
        <v>2012</v>
      </c>
      <c r="E678">
        <v>0</v>
      </c>
      <c r="F678">
        <v>1952.91</v>
      </c>
      <c r="G678" t="s">
        <v>2021</v>
      </c>
      <c r="H678" t="s">
        <v>2023</v>
      </c>
      <c r="I678" t="s">
        <v>2704</v>
      </c>
      <c r="J678" t="s">
        <v>4029</v>
      </c>
      <c r="K678" t="s">
        <v>4037</v>
      </c>
      <c r="L678">
        <v>1952.91</v>
      </c>
    </row>
    <row r="679" spans="1:12">
      <c r="A679" t="s">
        <v>689</v>
      </c>
      <c r="B679" s="2">
        <v>45278</v>
      </c>
      <c r="C679">
        <v>4000</v>
      </c>
      <c r="D679" t="s">
        <v>2012</v>
      </c>
      <c r="E679">
        <v>0</v>
      </c>
      <c r="F679">
        <v>4819.25</v>
      </c>
      <c r="G679" t="s">
        <v>2022</v>
      </c>
      <c r="H679" t="s">
        <v>2023</v>
      </c>
      <c r="I679" t="s">
        <v>2705</v>
      </c>
      <c r="J679" t="s">
        <v>4031</v>
      </c>
      <c r="K679" t="s">
        <v>4039</v>
      </c>
      <c r="L679">
        <v>4819.25</v>
      </c>
    </row>
    <row r="680" spans="1:12">
      <c r="A680" t="s">
        <v>690</v>
      </c>
      <c r="B680" s="2">
        <v>45061</v>
      </c>
      <c r="C680">
        <v>6000</v>
      </c>
      <c r="D680" t="s">
        <v>2014</v>
      </c>
      <c r="E680">
        <v>385.69</v>
      </c>
      <c r="F680">
        <v>0</v>
      </c>
      <c r="G680" t="s">
        <v>2020</v>
      </c>
      <c r="H680" t="s">
        <v>2027</v>
      </c>
      <c r="I680" t="s">
        <v>2706</v>
      </c>
      <c r="J680" t="s">
        <v>4030</v>
      </c>
      <c r="K680" t="s">
        <v>4062</v>
      </c>
      <c r="L680">
        <v>-385.69</v>
      </c>
    </row>
    <row r="681" spans="1:12">
      <c r="A681" t="s">
        <v>691</v>
      </c>
      <c r="B681" s="2">
        <v>44949</v>
      </c>
      <c r="C681">
        <v>5010</v>
      </c>
      <c r="D681" t="s">
        <v>2015</v>
      </c>
      <c r="E681">
        <v>269.3</v>
      </c>
      <c r="F681">
        <v>0</v>
      </c>
      <c r="G681" t="s">
        <v>2021</v>
      </c>
      <c r="H681" t="s">
        <v>2027</v>
      </c>
      <c r="I681" t="s">
        <v>2707</v>
      </c>
      <c r="J681" t="s">
        <v>4029</v>
      </c>
      <c r="K681" t="s">
        <v>4047</v>
      </c>
      <c r="L681">
        <v>-269.3</v>
      </c>
    </row>
    <row r="682" spans="1:12">
      <c r="A682" t="s">
        <v>692</v>
      </c>
      <c r="B682" s="2">
        <v>45504</v>
      </c>
      <c r="C682">
        <v>4010</v>
      </c>
      <c r="D682" t="s">
        <v>2016</v>
      </c>
      <c r="E682">
        <v>0</v>
      </c>
      <c r="F682">
        <v>4910.29</v>
      </c>
      <c r="G682" t="s">
        <v>2017</v>
      </c>
      <c r="H682" t="s">
        <v>2027</v>
      </c>
      <c r="I682" t="s">
        <v>2708</v>
      </c>
      <c r="J682" t="s">
        <v>4028</v>
      </c>
      <c r="K682" t="s">
        <v>4054</v>
      </c>
      <c r="L682">
        <v>4910.29</v>
      </c>
    </row>
    <row r="683" spans="1:12">
      <c r="A683" t="s">
        <v>693</v>
      </c>
      <c r="B683" s="2">
        <v>45397</v>
      </c>
      <c r="C683">
        <v>4010</v>
      </c>
      <c r="D683" t="s">
        <v>2016</v>
      </c>
      <c r="E683">
        <v>0</v>
      </c>
      <c r="F683">
        <v>2866.16</v>
      </c>
      <c r="G683" t="s">
        <v>2021</v>
      </c>
      <c r="H683" t="s">
        <v>2026</v>
      </c>
      <c r="I683" t="s">
        <v>2709</v>
      </c>
      <c r="J683" t="s">
        <v>4030</v>
      </c>
      <c r="K683" t="s">
        <v>4040</v>
      </c>
      <c r="L683">
        <v>2866.16</v>
      </c>
    </row>
    <row r="684" spans="1:12">
      <c r="A684" t="s">
        <v>694</v>
      </c>
      <c r="B684" s="2">
        <v>45832</v>
      </c>
      <c r="C684">
        <v>5010</v>
      </c>
      <c r="D684" t="s">
        <v>2015</v>
      </c>
      <c r="E684">
        <v>151.68</v>
      </c>
      <c r="F684">
        <v>0</v>
      </c>
      <c r="G684" t="s">
        <v>2019</v>
      </c>
      <c r="H684" t="s">
        <v>2026</v>
      </c>
      <c r="I684" t="s">
        <v>2710</v>
      </c>
      <c r="J684" t="s">
        <v>4030</v>
      </c>
      <c r="K684" t="s">
        <v>4052</v>
      </c>
      <c r="L684">
        <v>-151.68</v>
      </c>
    </row>
    <row r="685" spans="1:12">
      <c r="A685" t="s">
        <v>695</v>
      </c>
      <c r="B685" s="2">
        <v>45149</v>
      </c>
      <c r="C685">
        <v>4010</v>
      </c>
      <c r="D685" t="s">
        <v>2016</v>
      </c>
      <c r="E685">
        <v>0</v>
      </c>
      <c r="F685">
        <v>1246.53</v>
      </c>
      <c r="G685" t="s">
        <v>2019</v>
      </c>
      <c r="H685" t="s">
        <v>2025</v>
      </c>
      <c r="I685" t="s">
        <v>2711</v>
      </c>
      <c r="J685" t="s">
        <v>4031</v>
      </c>
      <c r="K685" t="s">
        <v>4037</v>
      </c>
      <c r="L685">
        <v>1246.53</v>
      </c>
    </row>
    <row r="686" spans="1:12">
      <c r="A686" t="s">
        <v>696</v>
      </c>
      <c r="B686" s="2">
        <v>45646</v>
      </c>
      <c r="C686">
        <v>6000</v>
      </c>
      <c r="D686" t="s">
        <v>2014</v>
      </c>
      <c r="E686">
        <v>1724.65</v>
      </c>
      <c r="F686">
        <v>0</v>
      </c>
      <c r="G686" t="s">
        <v>2021</v>
      </c>
      <c r="H686" t="s">
        <v>2023</v>
      </c>
      <c r="I686" t="s">
        <v>2712</v>
      </c>
      <c r="J686" t="s">
        <v>4028</v>
      </c>
      <c r="K686" t="s">
        <v>4056</v>
      </c>
      <c r="L686">
        <v>-1724.65</v>
      </c>
    </row>
    <row r="687" spans="1:12">
      <c r="A687" t="s">
        <v>697</v>
      </c>
      <c r="B687" s="2">
        <v>45716</v>
      </c>
      <c r="C687">
        <v>5010</v>
      </c>
      <c r="D687" t="s">
        <v>2015</v>
      </c>
      <c r="E687">
        <v>1411.99</v>
      </c>
      <c r="F687">
        <v>0</v>
      </c>
      <c r="G687" t="s">
        <v>2017</v>
      </c>
      <c r="H687" t="s">
        <v>2026</v>
      </c>
      <c r="I687" t="s">
        <v>2713</v>
      </c>
      <c r="J687" t="s">
        <v>4031</v>
      </c>
      <c r="K687" t="s">
        <v>4061</v>
      </c>
      <c r="L687">
        <v>-1411.99</v>
      </c>
    </row>
    <row r="688" spans="1:12">
      <c r="A688" t="s">
        <v>698</v>
      </c>
      <c r="B688" s="2">
        <v>45299</v>
      </c>
      <c r="C688">
        <v>5010</v>
      </c>
      <c r="D688" t="s">
        <v>2015</v>
      </c>
      <c r="E688">
        <v>753.12</v>
      </c>
      <c r="F688">
        <v>0</v>
      </c>
      <c r="G688" t="s">
        <v>2021</v>
      </c>
      <c r="H688" t="s">
        <v>2025</v>
      </c>
      <c r="I688" t="s">
        <v>2714</v>
      </c>
      <c r="J688" t="s">
        <v>4031</v>
      </c>
      <c r="K688" t="s">
        <v>4053</v>
      </c>
      <c r="L688">
        <v>-753.12</v>
      </c>
    </row>
    <row r="689" spans="1:12">
      <c r="A689" t="s">
        <v>699</v>
      </c>
      <c r="B689" s="2">
        <v>45613</v>
      </c>
      <c r="C689">
        <v>4000</v>
      </c>
      <c r="D689" t="s">
        <v>2012</v>
      </c>
      <c r="E689">
        <v>0</v>
      </c>
      <c r="F689">
        <v>3744.19</v>
      </c>
      <c r="G689" t="s">
        <v>2021</v>
      </c>
      <c r="H689" t="s">
        <v>2027</v>
      </c>
      <c r="I689" t="s">
        <v>2715</v>
      </c>
      <c r="J689" t="s">
        <v>4029</v>
      </c>
      <c r="K689" t="s">
        <v>4043</v>
      </c>
      <c r="L689">
        <v>3744.19</v>
      </c>
    </row>
    <row r="690" spans="1:12">
      <c r="A690" t="s">
        <v>700</v>
      </c>
      <c r="B690" s="2">
        <v>45365</v>
      </c>
      <c r="C690">
        <v>5000</v>
      </c>
      <c r="D690" t="s">
        <v>2013</v>
      </c>
      <c r="E690">
        <v>906.55</v>
      </c>
      <c r="F690">
        <v>0</v>
      </c>
      <c r="G690" t="s">
        <v>2017</v>
      </c>
      <c r="H690" t="s">
        <v>2026</v>
      </c>
      <c r="I690" t="s">
        <v>2716</v>
      </c>
      <c r="J690" t="s">
        <v>4032</v>
      </c>
      <c r="K690" t="s">
        <v>4049</v>
      </c>
      <c r="L690">
        <v>-906.55</v>
      </c>
    </row>
    <row r="691" spans="1:12">
      <c r="A691" t="s">
        <v>701</v>
      </c>
      <c r="B691" s="2">
        <v>44982</v>
      </c>
      <c r="C691">
        <v>5010</v>
      </c>
      <c r="D691" t="s">
        <v>2015</v>
      </c>
      <c r="E691">
        <v>215.69</v>
      </c>
      <c r="F691">
        <v>0</v>
      </c>
      <c r="G691" t="s">
        <v>2019</v>
      </c>
      <c r="H691" t="s">
        <v>2024</v>
      </c>
      <c r="I691" t="s">
        <v>2717</v>
      </c>
      <c r="J691" t="s">
        <v>4030</v>
      </c>
      <c r="K691" t="s">
        <v>4057</v>
      </c>
      <c r="L691">
        <v>-215.69</v>
      </c>
    </row>
    <row r="692" spans="1:12">
      <c r="A692" t="s">
        <v>702</v>
      </c>
      <c r="B692" s="2">
        <v>45631</v>
      </c>
      <c r="C692">
        <v>5000</v>
      </c>
      <c r="D692" t="s">
        <v>2013</v>
      </c>
      <c r="E692">
        <v>1478.7</v>
      </c>
      <c r="F692">
        <v>0</v>
      </c>
      <c r="G692" t="s">
        <v>2018</v>
      </c>
      <c r="H692" t="s">
        <v>2027</v>
      </c>
      <c r="I692" t="s">
        <v>2718</v>
      </c>
      <c r="J692" t="s">
        <v>4030</v>
      </c>
      <c r="K692" t="s">
        <v>4056</v>
      </c>
      <c r="L692">
        <v>-1478.7</v>
      </c>
    </row>
    <row r="693" spans="1:12">
      <c r="A693" t="s">
        <v>703</v>
      </c>
      <c r="B693" s="2">
        <v>45733</v>
      </c>
      <c r="C693">
        <v>4000</v>
      </c>
      <c r="D693" t="s">
        <v>2012</v>
      </c>
      <c r="E693">
        <v>0</v>
      </c>
      <c r="F693">
        <v>3502.79</v>
      </c>
      <c r="G693" t="s">
        <v>2022</v>
      </c>
      <c r="H693" t="s">
        <v>2023</v>
      </c>
      <c r="I693" t="s">
        <v>2719</v>
      </c>
      <c r="J693" t="s">
        <v>4028</v>
      </c>
      <c r="K693" t="s">
        <v>4046</v>
      </c>
      <c r="L693">
        <v>3502.79</v>
      </c>
    </row>
    <row r="694" spans="1:12">
      <c r="A694" t="s">
        <v>704</v>
      </c>
      <c r="B694" s="2">
        <v>45367</v>
      </c>
      <c r="C694">
        <v>4000</v>
      </c>
      <c r="D694" t="s">
        <v>2012</v>
      </c>
      <c r="E694">
        <v>0</v>
      </c>
      <c r="F694">
        <v>2828.86</v>
      </c>
      <c r="G694" t="s">
        <v>2017</v>
      </c>
      <c r="H694" t="s">
        <v>2023</v>
      </c>
      <c r="I694" t="s">
        <v>2720</v>
      </c>
      <c r="J694" t="s">
        <v>4031</v>
      </c>
      <c r="K694" t="s">
        <v>4049</v>
      </c>
      <c r="L694">
        <v>2828.86</v>
      </c>
    </row>
    <row r="695" spans="1:12">
      <c r="A695" t="s">
        <v>705</v>
      </c>
      <c r="B695" s="2">
        <v>45025</v>
      </c>
      <c r="C695">
        <v>6000</v>
      </c>
      <c r="D695" t="s">
        <v>2014</v>
      </c>
      <c r="E695">
        <v>130.63999999999999</v>
      </c>
      <c r="F695">
        <v>0</v>
      </c>
      <c r="G695" t="s">
        <v>2021</v>
      </c>
      <c r="H695" t="s">
        <v>2023</v>
      </c>
      <c r="I695" t="s">
        <v>2721</v>
      </c>
      <c r="J695" t="s">
        <v>4029</v>
      </c>
      <c r="K695" t="s">
        <v>4041</v>
      </c>
      <c r="L695">
        <v>-130.63999999999999</v>
      </c>
    </row>
    <row r="696" spans="1:12">
      <c r="A696" t="s">
        <v>706</v>
      </c>
      <c r="B696" s="2">
        <v>45423</v>
      </c>
      <c r="C696">
        <v>6000</v>
      </c>
      <c r="D696" t="s">
        <v>2014</v>
      </c>
      <c r="E696">
        <v>1824.18</v>
      </c>
      <c r="F696">
        <v>0</v>
      </c>
      <c r="G696" t="s">
        <v>2019</v>
      </c>
      <c r="H696" t="s">
        <v>2024</v>
      </c>
      <c r="I696" t="s">
        <v>2722</v>
      </c>
      <c r="J696" t="s">
        <v>4032</v>
      </c>
      <c r="K696" t="s">
        <v>4033</v>
      </c>
      <c r="L696">
        <v>-1824.18</v>
      </c>
    </row>
    <row r="697" spans="1:12">
      <c r="A697" t="s">
        <v>707</v>
      </c>
      <c r="B697" s="2">
        <v>45634</v>
      </c>
      <c r="C697">
        <v>4010</v>
      </c>
      <c r="D697" t="s">
        <v>2016</v>
      </c>
      <c r="E697">
        <v>0</v>
      </c>
      <c r="F697">
        <v>2401.06</v>
      </c>
      <c r="G697" t="s">
        <v>2017</v>
      </c>
      <c r="H697" t="s">
        <v>2023</v>
      </c>
      <c r="I697" t="s">
        <v>2723</v>
      </c>
      <c r="J697" t="s">
        <v>4029</v>
      </c>
      <c r="K697" t="s">
        <v>4056</v>
      </c>
      <c r="L697">
        <v>2401.06</v>
      </c>
    </row>
    <row r="698" spans="1:12">
      <c r="A698" t="s">
        <v>708</v>
      </c>
      <c r="B698" s="2">
        <v>45226</v>
      </c>
      <c r="C698">
        <v>4010</v>
      </c>
      <c r="D698" t="s">
        <v>2016</v>
      </c>
      <c r="E698">
        <v>0</v>
      </c>
      <c r="F698">
        <v>3086.33</v>
      </c>
      <c r="G698" t="s">
        <v>2018</v>
      </c>
      <c r="H698" t="s">
        <v>2025</v>
      </c>
      <c r="I698" t="s">
        <v>2724</v>
      </c>
      <c r="J698" t="s">
        <v>4029</v>
      </c>
      <c r="K698" t="s">
        <v>4060</v>
      </c>
      <c r="L698">
        <v>3086.33</v>
      </c>
    </row>
    <row r="699" spans="1:12">
      <c r="A699" t="s">
        <v>709</v>
      </c>
      <c r="B699" s="2">
        <v>45681</v>
      </c>
      <c r="C699">
        <v>5000</v>
      </c>
      <c r="D699" t="s">
        <v>2013</v>
      </c>
      <c r="E699">
        <v>1546.69</v>
      </c>
      <c r="F699">
        <v>0</v>
      </c>
      <c r="G699" t="s">
        <v>2018</v>
      </c>
      <c r="H699" t="s">
        <v>2026</v>
      </c>
      <c r="I699" t="s">
        <v>2725</v>
      </c>
      <c r="J699" t="s">
        <v>4028</v>
      </c>
      <c r="K699" t="s">
        <v>4035</v>
      </c>
      <c r="L699">
        <v>-1546.69</v>
      </c>
    </row>
    <row r="700" spans="1:12">
      <c r="A700" t="s">
        <v>710</v>
      </c>
      <c r="B700" s="2">
        <v>45369</v>
      </c>
      <c r="C700">
        <v>4010</v>
      </c>
      <c r="D700" t="s">
        <v>2016</v>
      </c>
      <c r="E700">
        <v>0</v>
      </c>
      <c r="F700">
        <v>2135.0700000000002</v>
      </c>
      <c r="G700" t="s">
        <v>2019</v>
      </c>
      <c r="H700" t="s">
        <v>2024</v>
      </c>
      <c r="I700" t="s">
        <v>2726</v>
      </c>
      <c r="J700" t="s">
        <v>4031</v>
      </c>
      <c r="K700" t="s">
        <v>4049</v>
      </c>
      <c r="L700">
        <v>2135.0700000000002</v>
      </c>
    </row>
    <row r="701" spans="1:12">
      <c r="A701" t="s">
        <v>711</v>
      </c>
      <c r="B701" s="2">
        <v>45030</v>
      </c>
      <c r="C701">
        <v>4000</v>
      </c>
      <c r="D701" t="s">
        <v>2012</v>
      </c>
      <c r="E701">
        <v>0</v>
      </c>
      <c r="F701">
        <v>337.27</v>
      </c>
      <c r="G701" t="s">
        <v>2021</v>
      </c>
      <c r="H701" t="s">
        <v>2026</v>
      </c>
      <c r="I701" t="s">
        <v>2727</v>
      </c>
      <c r="J701" t="s">
        <v>4029</v>
      </c>
      <c r="K701" t="s">
        <v>4041</v>
      </c>
      <c r="L701">
        <v>337.27</v>
      </c>
    </row>
    <row r="702" spans="1:12">
      <c r="A702" t="s">
        <v>712</v>
      </c>
      <c r="B702" s="2">
        <v>44988</v>
      </c>
      <c r="C702">
        <v>4010</v>
      </c>
      <c r="D702" t="s">
        <v>2016</v>
      </c>
      <c r="E702">
        <v>0</v>
      </c>
      <c r="F702">
        <v>4145.3100000000004</v>
      </c>
      <c r="G702" t="s">
        <v>2020</v>
      </c>
      <c r="H702" t="s">
        <v>2027</v>
      </c>
      <c r="I702" t="s">
        <v>2728</v>
      </c>
      <c r="J702" t="s">
        <v>4028</v>
      </c>
      <c r="K702" t="s">
        <v>4051</v>
      </c>
      <c r="L702">
        <v>4145.3100000000004</v>
      </c>
    </row>
    <row r="703" spans="1:12">
      <c r="A703" t="s">
        <v>713</v>
      </c>
      <c r="B703" s="2">
        <v>45249</v>
      </c>
      <c r="C703">
        <v>5010</v>
      </c>
      <c r="D703" t="s">
        <v>2015</v>
      </c>
      <c r="E703">
        <v>322.43</v>
      </c>
      <c r="F703">
        <v>0</v>
      </c>
      <c r="G703" t="s">
        <v>2021</v>
      </c>
      <c r="H703" t="s">
        <v>2026</v>
      </c>
      <c r="I703" t="s">
        <v>2729</v>
      </c>
      <c r="J703" t="s">
        <v>4032</v>
      </c>
      <c r="K703" t="s">
        <v>4042</v>
      </c>
      <c r="L703">
        <v>-322.43</v>
      </c>
    </row>
    <row r="704" spans="1:12">
      <c r="A704" t="s">
        <v>714</v>
      </c>
      <c r="B704" s="2">
        <v>45474</v>
      </c>
      <c r="C704">
        <v>6000</v>
      </c>
      <c r="D704" t="s">
        <v>2014</v>
      </c>
      <c r="E704">
        <v>1350.68</v>
      </c>
      <c r="F704">
        <v>0</v>
      </c>
      <c r="G704" t="s">
        <v>2017</v>
      </c>
      <c r="H704" t="s">
        <v>2026</v>
      </c>
      <c r="I704" t="s">
        <v>2730</v>
      </c>
      <c r="J704" t="s">
        <v>4031</v>
      </c>
      <c r="K704" t="s">
        <v>4054</v>
      </c>
      <c r="L704">
        <v>-1350.68</v>
      </c>
    </row>
    <row r="705" spans="1:12">
      <c r="A705" t="s">
        <v>715</v>
      </c>
      <c r="B705" s="2">
        <v>45264</v>
      </c>
      <c r="C705">
        <v>6000</v>
      </c>
      <c r="D705" t="s">
        <v>2014</v>
      </c>
      <c r="E705">
        <v>1038.71</v>
      </c>
      <c r="F705">
        <v>0</v>
      </c>
      <c r="G705" t="s">
        <v>2019</v>
      </c>
      <c r="H705" t="s">
        <v>2024</v>
      </c>
      <c r="I705" t="s">
        <v>2731</v>
      </c>
      <c r="J705" t="s">
        <v>4029</v>
      </c>
      <c r="K705" t="s">
        <v>4039</v>
      </c>
      <c r="L705">
        <v>-1038.71</v>
      </c>
    </row>
    <row r="706" spans="1:12">
      <c r="A706" t="s">
        <v>716</v>
      </c>
      <c r="B706" s="2">
        <v>45672</v>
      </c>
      <c r="C706">
        <v>5000</v>
      </c>
      <c r="D706" t="s">
        <v>2013</v>
      </c>
      <c r="E706">
        <v>1455.61</v>
      </c>
      <c r="F706">
        <v>0</v>
      </c>
      <c r="G706" t="s">
        <v>2019</v>
      </c>
      <c r="H706" t="s">
        <v>2023</v>
      </c>
      <c r="I706" t="s">
        <v>2732</v>
      </c>
      <c r="J706" t="s">
        <v>4029</v>
      </c>
      <c r="K706" t="s">
        <v>4035</v>
      </c>
      <c r="L706">
        <v>-1455.61</v>
      </c>
    </row>
    <row r="707" spans="1:12">
      <c r="A707" t="s">
        <v>717</v>
      </c>
      <c r="B707" s="2">
        <v>45303</v>
      </c>
      <c r="C707">
        <v>6000</v>
      </c>
      <c r="D707" t="s">
        <v>2014</v>
      </c>
      <c r="E707">
        <v>1723.07</v>
      </c>
      <c r="F707">
        <v>0</v>
      </c>
      <c r="G707" t="s">
        <v>2022</v>
      </c>
      <c r="H707" t="s">
        <v>2027</v>
      </c>
      <c r="I707" t="s">
        <v>2733</v>
      </c>
      <c r="J707" t="s">
        <v>4028</v>
      </c>
      <c r="K707" t="s">
        <v>4053</v>
      </c>
      <c r="L707">
        <v>-1723.07</v>
      </c>
    </row>
    <row r="708" spans="1:12">
      <c r="A708" t="s">
        <v>718</v>
      </c>
      <c r="B708" s="2">
        <v>45282</v>
      </c>
      <c r="C708">
        <v>4010</v>
      </c>
      <c r="D708" t="s">
        <v>2016</v>
      </c>
      <c r="E708">
        <v>0</v>
      </c>
      <c r="F708">
        <v>965.55</v>
      </c>
      <c r="G708" t="s">
        <v>2017</v>
      </c>
      <c r="H708" t="s">
        <v>2024</v>
      </c>
      <c r="I708" t="s">
        <v>2734</v>
      </c>
      <c r="J708" t="s">
        <v>4029</v>
      </c>
      <c r="K708" t="s">
        <v>4039</v>
      </c>
      <c r="L708">
        <v>965.55</v>
      </c>
    </row>
    <row r="709" spans="1:12">
      <c r="A709" t="s">
        <v>719</v>
      </c>
      <c r="B709" s="2">
        <v>45656</v>
      </c>
      <c r="C709">
        <v>4010</v>
      </c>
      <c r="D709" t="s">
        <v>2016</v>
      </c>
      <c r="E709">
        <v>0</v>
      </c>
      <c r="F709">
        <v>1927.89</v>
      </c>
      <c r="G709" t="s">
        <v>2018</v>
      </c>
      <c r="H709" t="s">
        <v>2023</v>
      </c>
      <c r="I709" t="s">
        <v>2735</v>
      </c>
      <c r="J709" t="s">
        <v>4028</v>
      </c>
      <c r="K709" t="s">
        <v>4056</v>
      </c>
      <c r="L709">
        <v>1927.89</v>
      </c>
    </row>
    <row r="710" spans="1:12">
      <c r="A710" t="s">
        <v>720</v>
      </c>
      <c r="B710" s="2">
        <v>45827</v>
      </c>
      <c r="C710">
        <v>5010</v>
      </c>
      <c r="D710" t="s">
        <v>2015</v>
      </c>
      <c r="E710">
        <v>1789.3</v>
      </c>
      <c r="F710">
        <v>0</v>
      </c>
      <c r="G710" t="s">
        <v>2020</v>
      </c>
      <c r="H710" t="s">
        <v>2027</v>
      </c>
      <c r="I710" t="s">
        <v>2736</v>
      </c>
      <c r="J710" t="s">
        <v>4029</v>
      </c>
      <c r="K710" t="s">
        <v>4052</v>
      </c>
      <c r="L710">
        <v>-1789.3</v>
      </c>
    </row>
    <row r="711" spans="1:12">
      <c r="A711" t="s">
        <v>721</v>
      </c>
      <c r="B711" s="2">
        <v>45362</v>
      </c>
      <c r="C711">
        <v>4010</v>
      </c>
      <c r="D711" t="s">
        <v>2016</v>
      </c>
      <c r="E711">
        <v>0</v>
      </c>
      <c r="F711">
        <v>1155.8499999999999</v>
      </c>
      <c r="G711" t="s">
        <v>2021</v>
      </c>
      <c r="H711" t="s">
        <v>2027</v>
      </c>
      <c r="I711" t="s">
        <v>2737</v>
      </c>
      <c r="J711" t="s">
        <v>4032</v>
      </c>
      <c r="K711" t="s">
        <v>4049</v>
      </c>
      <c r="L711">
        <v>1155.8499999999999</v>
      </c>
    </row>
    <row r="712" spans="1:12">
      <c r="A712" t="s">
        <v>722</v>
      </c>
      <c r="B712" s="2">
        <v>45068</v>
      </c>
      <c r="C712">
        <v>4000</v>
      </c>
      <c r="D712" t="s">
        <v>2012</v>
      </c>
      <c r="E712">
        <v>0</v>
      </c>
      <c r="F712">
        <v>1701.37</v>
      </c>
      <c r="G712" t="s">
        <v>2020</v>
      </c>
      <c r="H712" t="s">
        <v>2025</v>
      </c>
      <c r="I712" t="s">
        <v>2738</v>
      </c>
      <c r="J712" t="s">
        <v>4031</v>
      </c>
      <c r="K712" t="s">
        <v>4062</v>
      </c>
      <c r="L712">
        <v>1701.37</v>
      </c>
    </row>
    <row r="713" spans="1:12">
      <c r="A713" t="s">
        <v>723</v>
      </c>
      <c r="B713" s="2">
        <v>45803</v>
      </c>
      <c r="C713">
        <v>5010</v>
      </c>
      <c r="D713" t="s">
        <v>2015</v>
      </c>
      <c r="E713">
        <v>706.44</v>
      </c>
      <c r="F713">
        <v>0</v>
      </c>
      <c r="G713" t="s">
        <v>2018</v>
      </c>
      <c r="H713" t="s">
        <v>2025</v>
      </c>
      <c r="I713" t="s">
        <v>2739</v>
      </c>
      <c r="J713" t="s">
        <v>4031</v>
      </c>
      <c r="K713" t="s">
        <v>4038</v>
      </c>
      <c r="L713">
        <v>-706.44</v>
      </c>
    </row>
    <row r="714" spans="1:12">
      <c r="A714" t="s">
        <v>724</v>
      </c>
      <c r="B714" s="2">
        <v>45588</v>
      </c>
      <c r="C714">
        <v>4000</v>
      </c>
      <c r="D714" t="s">
        <v>2012</v>
      </c>
      <c r="E714">
        <v>0</v>
      </c>
      <c r="F714">
        <v>734.04</v>
      </c>
      <c r="G714" t="s">
        <v>2017</v>
      </c>
      <c r="H714" t="s">
        <v>2027</v>
      </c>
      <c r="I714" t="s">
        <v>2740</v>
      </c>
      <c r="J714" t="s">
        <v>4030</v>
      </c>
      <c r="K714" t="s">
        <v>4059</v>
      </c>
      <c r="L714">
        <v>734.04</v>
      </c>
    </row>
    <row r="715" spans="1:12">
      <c r="A715" t="s">
        <v>725</v>
      </c>
      <c r="B715" s="2">
        <v>45752</v>
      </c>
      <c r="C715">
        <v>5010</v>
      </c>
      <c r="D715" t="s">
        <v>2015</v>
      </c>
      <c r="E715">
        <v>1551.77</v>
      </c>
      <c r="F715">
        <v>0</v>
      </c>
      <c r="G715" t="s">
        <v>2017</v>
      </c>
      <c r="H715" t="s">
        <v>2025</v>
      </c>
      <c r="I715" t="s">
        <v>2741</v>
      </c>
      <c r="J715" t="s">
        <v>4030</v>
      </c>
      <c r="K715" t="s">
        <v>4045</v>
      </c>
      <c r="L715">
        <v>-1551.77</v>
      </c>
    </row>
    <row r="716" spans="1:12">
      <c r="A716" t="s">
        <v>726</v>
      </c>
      <c r="B716" s="2">
        <v>45368</v>
      </c>
      <c r="C716">
        <v>6000</v>
      </c>
      <c r="D716" t="s">
        <v>2014</v>
      </c>
      <c r="E716">
        <v>176.54</v>
      </c>
      <c r="F716">
        <v>0</v>
      </c>
      <c r="G716" t="s">
        <v>2022</v>
      </c>
      <c r="H716" t="s">
        <v>2026</v>
      </c>
      <c r="I716" t="s">
        <v>2742</v>
      </c>
      <c r="J716" t="s">
        <v>4029</v>
      </c>
      <c r="K716" t="s">
        <v>4049</v>
      </c>
      <c r="L716">
        <v>-176.54</v>
      </c>
    </row>
    <row r="717" spans="1:12">
      <c r="A717" t="s">
        <v>727</v>
      </c>
      <c r="B717" s="2">
        <v>45222</v>
      </c>
      <c r="C717">
        <v>4010</v>
      </c>
      <c r="D717" t="s">
        <v>2016</v>
      </c>
      <c r="E717">
        <v>0</v>
      </c>
      <c r="F717">
        <v>1019.92</v>
      </c>
      <c r="G717" t="s">
        <v>2019</v>
      </c>
      <c r="H717" t="s">
        <v>2024</v>
      </c>
      <c r="I717" t="s">
        <v>2743</v>
      </c>
      <c r="J717" t="s">
        <v>4030</v>
      </c>
      <c r="K717" t="s">
        <v>4060</v>
      </c>
      <c r="L717">
        <v>1019.92</v>
      </c>
    </row>
    <row r="718" spans="1:12">
      <c r="A718" t="s">
        <v>728</v>
      </c>
      <c r="B718" s="2">
        <v>45476</v>
      </c>
      <c r="C718">
        <v>6000</v>
      </c>
      <c r="D718" t="s">
        <v>2014</v>
      </c>
      <c r="E718">
        <v>1858.28</v>
      </c>
      <c r="F718">
        <v>0</v>
      </c>
      <c r="G718" t="s">
        <v>2022</v>
      </c>
      <c r="H718" t="s">
        <v>2025</v>
      </c>
      <c r="I718" t="s">
        <v>2744</v>
      </c>
      <c r="J718" t="s">
        <v>4031</v>
      </c>
      <c r="K718" t="s">
        <v>4054</v>
      </c>
      <c r="L718">
        <v>-1858.28</v>
      </c>
    </row>
    <row r="719" spans="1:12">
      <c r="A719" t="s">
        <v>729</v>
      </c>
      <c r="B719" s="2">
        <v>45718</v>
      </c>
      <c r="C719">
        <v>6000</v>
      </c>
      <c r="D719" t="s">
        <v>2014</v>
      </c>
      <c r="E719">
        <v>682.74</v>
      </c>
      <c r="F719">
        <v>0</v>
      </c>
      <c r="G719" t="s">
        <v>2017</v>
      </c>
      <c r="H719" t="s">
        <v>2026</v>
      </c>
      <c r="I719" t="s">
        <v>2745</v>
      </c>
      <c r="J719" t="s">
        <v>4031</v>
      </c>
      <c r="K719" t="s">
        <v>4046</v>
      </c>
      <c r="L719">
        <v>-682.74</v>
      </c>
    </row>
    <row r="720" spans="1:12">
      <c r="A720" t="s">
        <v>730</v>
      </c>
      <c r="B720" s="2">
        <v>45689</v>
      </c>
      <c r="C720">
        <v>6000</v>
      </c>
      <c r="D720" t="s">
        <v>2014</v>
      </c>
      <c r="E720">
        <v>958.28</v>
      </c>
      <c r="F720">
        <v>0</v>
      </c>
      <c r="G720" t="s">
        <v>2020</v>
      </c>
      <c r="H720" t="s">
        <v>2023</v>
      </c>
      <c r="I720" t="s">
        <v>2746</v>
      </c>
      <c r="J720" t="s">
        <v>4031</v>
      </c>
      <c r="K720" t="s">
        <v>4061</v>
      </c>
      <c r="L720">
        <v>-958.28</v>
      </c>
    </row>
    <row r="721" spans="1:12">
      <c r="A721" t="s">
        <v>731</v>
      </c>
      <c r="B721" s="2">
        <v>45641</v>
      </c>
      <c r="C721">
        <v>4010</v>
      </c>
      <c r="D721" t="s">
        <v>2016</v>
      </c>
      <c r="E721">
        <v>0</v>
      </c>
      <c r="F721">
        <v>3448.25</v>
      </c>
      <c r="G721" t="s">
        <v>2021</v>
      </c>
      <c r="H721" t="s">
        <v>2027</v>
      </c>
      <c r="I721" t="s">
        <v>2747</v>
      </c>
      <c r="J721" t="s">
        <v>4031</v>
      </c>
      <c r="K721" t="s">
        <v>4056</v>
      </c>
      <c r="L721">
        <v>3448.25</v>
      </c>
    </row>
    <row r="722" spans="1:12">
      <c r="A722" t="s">
        <v>732</v>
      </c>
      <c r="B722" s="2">
        <v>45700</v>
      </c>
      <c r="C722">
        <v>5000</v>
      </c>
      <c r="D722" t="s">
        <v>2013</v>
      </c>
      <c r="E722">
        <v>863.44</v>
      </c>
      <c r="F722">
        <v>0</v>
      </c>
      <c r="G722" t="s">
        <v>2020</v>
      </c>
      <c r="H722" t="s">
        <v>2026</v>
      </c>
      <c r="I722" t="s">
        <v>2748</v>
      </c>
      <c r="J722" t="s">
        <v>4031</v>
      </c>
      <c r="K722" t="s">
        <v>4061</v>
      </c>
      <c r="L722">
        <v>-863.44</v>
      </c>
    </row>
    <row r="723" spans="1:12">
      <c r="A723" t="s">
        <v>733</v>
      </c>
      <c r="B723" s="2">
        <v>44987</v>
      </c>
      <c r="C723">
        <v>6000</v>
      </c>
      <c r="D723" t="s">
        <v>2014</v>
      </c>
      <c r="E723">
        <v>1764.03</v>
      </c>
      <c r="F723">
        <v>0</v>
      </c>
      <c r="G723" t="s">
        <v>2018</v>
      </c>
      <c r="H723" t="s">
        <v>2023</v>
      </c>
      <c r="I723" t="s">
        <v>2749</v>
      </c>
      <c r="J723" t="s">
        <v>4030</v>
      </c>
      <c r="K723" t="s">
        <v>4051</v>
      </c>
      <c r="L723">
        <v>-1764.03</v>
      </c>
    </row>
    <row r="724" spans="1:12">
      <c r="A724" t="s">
        <v>734</v>
      </c>
      <c r="B724" s="2">
        <v>45632</v>
      </c>
      <c r="C724">
        <v>5010</v>
      </c>
      <c r="D724" t="s">
        <v>2015</v>
      </c>
      <c r="E724">
        <v>1182.72</v>
      </c>
      <c r="F724">
        <v>0</v>
      </c>
      <c r="G724" t="s">
        <v>2021</v>
      </c>
      <c r="H724" t="s">
        <v>2027</v>
      </c>
      <c r="I724" t="s">
        <v>2750</v>
      </c>
      <c r="J724" t="s">
        <v>4029</v>
      </c>
      <c r="K724" t="s">
        <v>4056</v>
      </c>
      <c r="L724">
        <v>-1182.72</v>
      </c>
    </row>
    <row r="725" spans="1:12">
      <c r="A725" t="s">
        <v>735</v>
      </c>
      <c r="B725" s="2">
        <v>45756</v>
      </c>
      <c r="C725">
        <v>6000</v>
      </c>
      <c r="D725" t="s">
        <v>2014</v>
      </c>
      <c r="E725">
        <v>1094.9100000000001</v>
      </c>
      <c r="F725">
        <v>0</v>
      </c>
      <c r="G725" t="s">
        <v>2018</v>
      </c>
      <c r="H725" t="s">
        <v>2025</v>
      </c>
      <c r="I725" t="s">
        <v>2751</v>
      </c>
      <c r="J725" t="s">
        <v>4028</v>
      </c>
      <c r="K725" t="s">
        <v>4045</v>
      </c>
      <c r="L725">
        <v>-1094.9100000000001</v>
      </c>
    </row>
    <row r="726" spans="1:12">
      <c r="A726" t="s">
        <v>736</v>
      </c>
      <c r="B726" s="2">
        <v>45821</v>
      </c>
      <c r="C726">
        <v>5010</v>
      </c>
      <c r="D726" t="s">
        <v>2015</v>
      </c>
      <c r="E726">
        <v>889.16</v>
      </c>
      <c r="F726">
        <v>0</v>
      </c>
      <c r="G726" t="s">
        <v>2018</v>
      </c>
      <c r="H726" t="s">
        <v>2027</v>
      </c>
      <c r="I726" t="s">
        <v>2752</v>
      </c>
      <c r="J726" t="s">
        <v>4028</v>
      </c>
      <c r="K726" t="s">
        <v>4052</v>
      </c>
      <c r="L726">
        <v>-889.16</v>
      </c>
    </row>
    <row r="727" spans="1:12">
      <c r="A727" t="s">
        <v>737</v>
      </c>
      <c r="B727" s="2">
        <v>45442</v>
      </c>
      <c r="C727">
        <v>5000</v>
      </c>
      <c r="D727" t="s">
        <v>2013</v>
      </c>
      <c r="E727">
        <v>1474.83</v>
      </c>
      <c r="F727">
        <v>0</v>
      </c>
      <c r="G727" t="s">
        <v>2018</v>
      </c>
      <c r="H727" t="s">
        <v>2026</v>
      </c>
      <c r="I727" t="s">
        <v>2753</v>
      </c>
      <c r="J727" t="s">
        <v>4031</v>
      </c>
      <c r="K727" t="s">
        <v>4033</v>
      </c>
      <c r="L727">
        <v>-1474.83</v>
      </c>
    </row>
    <row r="728" spans="1:12">
      <c r="A728" t="s">
        <v>738</v>
      </c>
      <c r="B728" s="2">
        <v>45326</v>
      </c>
      <c r="C728">
        <v>5000</v>
      </c>
      <c r="D728" t="s">
        <v>2013</v>
      </c>
      <c r="E728">
        <v>1846.14</v>
      </c>
      <c r="F728">
        <v>0</v>
      </c>
      <c r="G728" t="s">
        <v>2018</v>
      </c>
      <c r="H728" t="s">
        <v>2024</v>
      </c>
      <c r="I728" t="s">
        <v>2754</v>
      </c>
      <c r="J728" t="s">
        <v>4032</v>
      </c>
      <c r="K728" t="s">
        <v>4044</v>
      </c>
      <c r="L728">
        <v>-1846.14</v>
      </c>
    </row>
    <row r="729" spans="1:12">
      <c r="A729" t="s">
        <v>739</v>
      </c>
      <c r="B729" s="2">
        <v>45704</v>
      </c>
      <c r="C729">
        <v>4000</v>
      </c>
      <c r="D729" t="s">
        <v>2012</v>
      </c>
      <c r="E729">
        <v>0</v>
      </c>
      <c r="F729">
        <v>4903.1499999999996</v>
      </c>
      <c r="G729" t="s">
        <v>2019</v>
      </c>
      <c r="H729" t="s">
        <v>2025</v>
      </c>
      <c r="I729" t="s">
        <v>2755</v>
      </c>
      <c r="J729" t="s">
        <v>4030</v>
      </c>
      <c r="K729" t="s">
        <v>4061</v>
      </c>
      <c r="L729">
        <v>4903.1499999999996</v>
      </c>
    </row>
    <row r="730" spans="1:12">
      <c r="A730" t="s">
        <v>740</v>
      </c>
      <c r="B730" s="2">
        <v>45615</v>
      </c>
      <c r="C730">
        <v>4000</v>
      </c>
      <c r="D730" t="s">
        <v>2012</v>
      </c>
      <c r="E730">
        <v>0</v>
      </c>
      <c r="F730">
        <v>2093.2399999999998</v>
      </c>
      <c r="G730" t="s">
        <v>2022</v>
      </c>
      <c r="H730" t="s">
        <v>2027</v>
      </c>
      <c r="I730" t="s">
        <v>2756</v>
      </c>
      <c r="J730" t="s">
        <v>4030</v>
      </c>
      <c r="K730" t="s">
        <v>4043</v>
      </c>
      <c r="L730">
        <v>2093.2399999999998</v>
      </c>
    </row>
    <row r="731" spans="1:12">
      <c r="A731" t="s">
        <v>741</v>
      </c>
      <c r="B731" s="2">
        <v>45450</v>
      </c>
      <c r="C731">
        <v>6000</v>
      </c>
      <c r="D731" t="s">
        <v>2014</v>
      </c>
      <c r="E731">
        <v>1171.3</v>
      </c>
      <c r="F731">
        <v>0</v>
      </c>
      <c r="G731" t="s">
        <v>2017</v>
      </c>
      <c r="H731" t="s">
        <v>2023</v>
      </c>
      <c r="I731" t="s">
        <v>2757</v>
      </c>
      <c r="J731" t="s">
        <v>4032</v>
      </c>
      <c r="K731" t="s">
        <v>4034</v>
      </c>
      <c r="L731">
        <v>-1171.3</v>
      </c>
    </row>
    <row r="732" spans="1:12">
      <c r="A732" t="s">
        <v>742</v>
      </c>
      <c r="B732" s="2">
        <v>45540</v>
      </c>
      <c r="C732">
        <v>5010</v>
      </c>
      <c r="D732" t="s">
        <v>2015</v>
      </c>
      <c r="E732">
        <v>930.25</v>
      </c>
      <c r="F732">
        <v>0</v>
      </c>
      <c r="G732" t="s">
        <v>2019</v>
      </c>
      <c r="H732" t="s">
        <v>2023</v>
      </c>
      <c r="I732" t="s">
        <v>2758</v>
      </c>
      <c r="J732" t="s">
        <v>4028</v>
      </c>
      <c r="K732" t="s">
        <v>4048</v>
      </c>
      <c r="L732">
        <v>-930.25</v>
      </c>
    </row>
    <row r="733" spans="1:12">
      <c r="A733" t="s">
        <v>743</v>
      </c>
      <c r="B733" s="2">
        <v>45543</v>
      </c>
      <c r="C733">
        <v>4000</v>
      </c>
      <c r="D733" t="s">
        <v>2012</v>
      </c>
      <c r="E733">
        <v>0</v>
      </c>
      <c r="F733">
        <v>4977.82</v>
      </c>
      <c r="G733" t="s">
        <v>2019</v>
      </c>
      <c r="H733" t="s">
        <v>2025</v>
      </c>
      <c r="I733" t="s">
        <v>2759</v>
      </c>
      <c r="J733" t="s">
        <v>4032</v>
      </c>
      <c r="K733" t="s">
        <v>4048</v>
      </c>
      <c r="L733">
        <v>4977.82</v>
      </c>
    </row>
    <row r="734" spans="1:12">
      <c r="A734" t="s">
        <v>744</v>
      </c>
      <c r="B734" s="2">
        <v>45080</v>
      </c>
      <c r="C734">
        <v>5010</v>
      </c>
      <c r="D734" t="s">
        <v>2015</v>
      </c>
      <c r="E734">
        <v>1937.34</v>
      </c>
      <c r="F734">
        <v>0</v>
      </c>
      <c r="G734" t="s">
        <v>2020</v>
      </c>
      <c r="H734" t="s">
        <v>2027</v>
      </c>
      <c r="I734" t="s">
        <v>2760</v>
      </c>
      <c r="J734" t="s">
        <v>4030</v>
      </c>
      <c r="K734" t="s">
        <v>4055</v>
      </c>
      <c r="L734">
        <v>-1937.34</v>
      </c>
    </row>
    <row r="735" spans="1:12">
      <c r="A735" t="s">
        <v>745</v>
      </c>
      <c r="B735" s="2">
        <v>45794</v>
      </c>
      <c r="C735">
        <v>4000</v>
      </c>
      <c r="D735" t="s">
        <v>2012</v>
      </c>
      <c r="E735">
        <v>0</v>
      </c>
      <c r="F735">
        <v>1978.42</v>
      </c>
      <c r="G735" t="s">
        <v>2020</v>
      </c>
      <c r="H735" t="s">
        <v>2027</v>
      </c>
      <c r="I735" t="s">
        <v>2761</v>
      </c>
      <c r="J735" t="s">
        <v>4029</v>
      </c>
      <c r="K735" t="s">
        <v>4038</v>
      </c>
      <c r="L735">
        <v>1978.42</v>
      </c>
    </row>
    <row r="736" spans="1:12">
      <c r="A736" t="s">
        <v>746</v>
      </c>
      <c r="B736" s="2">
        <v>45445</v>
      </c>
      <c r="C736">
        <v>6000</v>
      </c>
      <c r="D736" t="s">
        <v>2014</v>
      </c>
      <c r="E736">
        <v>678.83</v>
      </c>
      <c r="F736">
        <v>0</v>
      </c>
      <c r="G736" t="s">
        <v>2021</v>
      </c>
      <c r="H736" t="s">
        <v>2026</v>
      </c>
      <c r="I736" t="s">
        <v>2762</v>
      </c>
      <c r="J736" t="s">
        <v>4030</v>
      </c>
      <c r="K736" t="s">
        <v>4034</v>
      </c>
      <c r="L736">
        <v>-678.83</v>
      </c>
    </row>
    <row r="737" spans="1:12">
      <c r="A737" t="s">
        <v>747</v>
      </c>
      <c r="B737" s="2">
        <v>45344</v>
      </c>
      <c r="C737">
        <v>4010</v>
      </c>
      <c r="D737" t="s">
        <v>2016</v>
      </c>
      <c r="E737">
        <v>0</v>
      </c>
      <c r="F737">
        <v>463.02</v>
      </c>
      <c r="G737" t="s">
        <v>2022</v>
      </c>
      <c r="H737" t="s">
        <v>2023</v>
      </c>
      <c r="I737" t="s">
        <v>2763</v>
      </c>
      <c r="J737" t="s">
        <v>4028</v>
      </c>
      <c r="K737" t="s">
        <v>4044</v>
      </c>
      <c r="L737">
        <v>463.02</v>
      </c>
    </row>
    <row r="738" spans="1:12">
      <c r="A738" t="s">
        <v>748</v>
      </c>
      <c r="B738" s="2">
        <v>45403</v>
      </c>
      <c r="C738">
        <v>5010</v>
      </c>
      <c r="D738" t="s">
        <v>2015</v>
      </c>
      <c r="E738">
        <v>1296.07</v>
      </c>
      <c r="F738">
        <v>0</v>
      </c>
      <c r="G738" t="s">
        <v>2018</v>
      </c>
      <c r="H738" t="s">
        <v>2027</v>
      </c>
      <c r="I738" t="s">
        <v>2764</v>
      </c>
      <c r="J738" t="s">
        <v>4030</v>
      </c>
      <c r="K738" t="s">
        <v>4040</v>
      </c>
      <c r="L738">
        <v>-1296.07</v>
      </c>
    </row>
    <row r="739" spans="1:12">
      <c r="A739" t="s">
        <v>749</v>
      </c>
      <c r="B739" s="2">
        <v>45271</v>
      </c>
      <c r="C739">
        <v>4010</v>
      </c>
      <c r="D739" t="s">
        <v>2016</v>
      </c>
      <c r="E739">
        <v>0</v>
      </c>
      <c r="F739">
        <v>3270.5</v>
      </c>
      <c r="G739" t="s">
        <v>2017</v>
      </c>
      <c r="H739" t="s">
        <v>2024</v>
      </c>
      <c r="I739" t="s">
        <v>2765</v>
      </c>
      <c r="J739" t="s">
        <v>4029</v>
      </c>
      <c r="K739" t="s">
        <v>4039</v>
      </c>
      <c r="L739">
        <v>3270.5</v>
      </c>
    </row>
    <row r="740" spans="1:12">
      <c r="A740" t="s">
        <v>750</v>
      </c>
      <c r="B740" s="2">
        <v>45380</v>
      </c>
      <c r="C740">
        <v>4010</v>
      </c>
      <c r="D740" t="s">
        <v>2016</v>
      </c>
      <c r="E740">
        <v>0</v>
      </c>
      <c r="F740">
        <v>2188.77</v>
      </c>
      <c r="G740" t="s">
        <v>2021</v>
      </c>
      <c r="H740" t="s">
        <v>2026</v>
      </c>
      <c r="I740" t="s">
        <v>2766</v>
      </c>
      <c r="J740" t="s">
        <v>4032</v>
      </c>
      <c r="K740" t="s">
        <v>4049</v>
      </c>
      <c r="L740">
        <v>2188.77</v>
      </c>
    </row>
    <row r="741" spans="1:12">
      <c r="A741" t="s">
        <v>751</v>
      </c>
      <c r="B741" s="2">
        <v>45569</v>
      </c>
      <c r="C741">
        <v>5000</v>
      </c>
      <c r="D741" t="s">
        <v>2013</v>
      </c>
      <c r="E741">
        <v>655.77</v>
      </c>
      <c r="F741">
        <v>0</v>
      </c>
      <c r="G741" t="s">
        <v>2018</v>
      </c>
      <c r="H741" t="s">
        <v>2027</v>
      </c>
      <c r="I741" t="s">
        <v>2767</v>
      </c>
      <c r="J741" t="s">
        <v>4030</v>
      </c>
      <c r="K741" t="s">
        <v>4059</v>
      </c>
      <c r="L741">
        <v>-655.77</v>
      </c>
    </row>
    <row r="742" spans="1:12">
      <c r="A742" t="s">
        <v>752</v>
      </c>
      <c r="B742" s="2">
        <v>45524</v>
      </c>
      <c r="C742">
        <v>6000</v>
      </c>
      <c r="D742" t="s">
        <v>2014</v>
      </c>
      <c r="E742">
        <v>407.27</v>
      </c>
      <c r="F742">
        <v>0</v>
      </c>
      <c r="G742" t="s">
        <v>2021</v>
      </c>
      <c r="H742" t="s">
        <v>2026</v>
      </c>
      <c r="I742" t="s">
        <v>2768</v>
      </c>
      <c r="J742" t="s">
        <v>4028</v>
      </c>
      <c r="K742" t="s">
        <v>4058</v>
      </c>
      <c r="L742">
        <v>-407.27</v>
      </c>
    </row>
    <row r="743" spans="1:12">
      <c r="A743" t="s">
        <v>753</v>
      </c>
      <c r="B743" s="2">
        <v>45273</v>
      </c>
      <c r="C743">
        <v>5010</v>
      </c>
      <c r="D743" t="s">
        <v>2015</v>
      </c>
      <c r="E743">
        <v>744.16</v>
      </c>
      <c r="F743">
        <v>0</v>
      </c>
      <c r="G743" t="s">
        <v>2018</v>
      </c>
      <c r="H743" t="s">
        <v>2023</v>
      </c>
      <c r="I743" t="s">
        <v>2769</v>
      </c>
      <c r="J743" t="s">
        <v>4028</v>
      </c>
      <c r="K743" t="s">
        <v>4039</v>
      </c>
      <c r="L743">
        <v>-744.16</v>
      </c>
    </row>
    <row r="744" spans="1:12">
      <c r="A744" t="s">
        <v>754</v>
      </c>
      <c r="B744" s="2">
        <v>45139</v>
      </c>
      <c r="C744">
        <v>4010</v>
      </c>
      <c r="D744" t="s">
        <v>2016</v>
      </c>
      <c r="E744">
        <v>0</v>
      </c>
      <c r="F744">
        <v>4474.66</v>
      </c>
      <c r="G744" t="s">
        <v>2018</v>
      </c>
      <c r="H744" t="s">
        <v>2024</v>
      </c>
      <c r="I744" t="s">
        <v>2770</v>
      </c>
      <c r="J744" t="s">
        <v>4028</v>
      </c>
      <c r="K744" t="s">
        <v>4037</v>
      </c>
      <c r="L744">
        <v>4474.66</v>
      </c>
    </row>
    <row r="745" spans="1:12">
      <c r="A745" t="s">
        <v>755</v>
      </c>
      <c r="B745" s="2">
        <v>45754</v>
      </c>
      <c r="C745">
        <v>5000</v>
      </c>
      <c r="D745" t="s">
        <v>2013</v>
      </c>
      <c r="E745">
        <v>75.27</v>
      </c>
      <c r="F745">
        <v>0</v>
      </c>
      <c r="G745" t="s">
        <v>2022</v>
      </c>
      <c r="H745" t="s">
        <v>2025</v>
      </c>
      <c r="I745" t="s">
        <v>2771</v>
      </c>
      <c r="J745" t="s">
        <v>4029</v>
      </c>
      <c r="K745" t="s">
        <v>4045</v>
      </c>
      <c r="L745">
        <v>-75.27</v>
      </c>
    </row>
    <row r="746" spans="1:12">
      <c r="A746" t="s">
        <v>756</v>
      </c>
      <c r="B746" s="2">
        <v>45663</v>
      </c>
      <c r="C746">
        <v>5000</v>
      </c>
      <c r="D746" t="s">
        <v>2013</v>
      </c>
      <c r="E746">
        <v>1164.26</v>
      </c>
      <c r="F746">
        <v>0</v>
      </c>
      <c r="G746" t="s">
        <v>2018</v>
      </c>
      <c r="H746" t="s">
        <v>2025</v>
      </c>
      <c r="I746" t="s">
        <v>2772</v>
      </c>
      <c r="J746" t="s">
        <v>4029</v>
      </c>
      <c r="K746" t="s">
        <v>4035</v>
      </c>
      <c r="L746">
        <v>-1164.26</v>
      </c>
    </row>
    <row r="747" spans="1:12">
      <c r="A747" t="s">
        <v>757</v>
      </c>
      <c r="B747" s="2">
        <v>44988</v>
      </c>
      <c r="C747">
        <v>5000</v>
      </c>
      <c r="D747" t="s">
        <v>2013</v>
      </c>
      <c r="E747">
        <v>937.56</v>
      </c>
      <c r="F747">
        <v>0</v>
      </c>
      <c r="G747" t="s">
        <v>2017</v>
      </c>
      <c r="H747" t="s">
        <v>2027</v>
      </c>
      <c r="I747" t="s">
        <v>2773</v>
      </c>
      <c r="J747" t="s">
        <v>4030</v>
      </c>
      <c r="K747" t="s">
        <v>4051</v>
      </c>
      <c r="L747">
        <v>-937.56</v>
      </c>
    </row>
    <row r="748" spans="1:12">
      <c r="A748" t="s">
        <v>758</v>
      </c>
      <c r="B748" s="2">
        <v>45578</v>
      </c>
      <c r="C748">
        <v>4010</v>
      </c>
      <c r="D748" t="s">
        <v>2016</v>
      </c>
      <c r="E748">
        <v>0</v>
      </c>
      <c r="F748">
        <v>4164.95</v>
      </c>
      <c r="G748" t="s">
        <v>2017</v>
      </c>
      <c r="H748" t="s">
        <v>2024</v>
      </c>
      <c r="I748" t="s">
        <v>2774</v>
      </c>
      <c r="J748" t="s">
        <v>4028</v>
      </c>
      <c r="K748" t="s">
        <v>4059</v>
      </c>
      <c r="L748">
        <v>4164.95</v>
      </c>
    </row>
    <row r="749" spans="1:12">
      <c r="A749" t="s">
        <v>759</v>
      </c>
      <c r="B749" s="2">
        <v>44949</v>
      </c>
      <c r="C749">
        <v>4000</v>
      </c>
      <c r="D749" t="s">
        <v>2012</v>
      </c>
      <c r="E749">
        <v>0</v>
      </c>
      <c r="F749">
        <v>2820.1</v>
      </c>
      <c r="G749" t="s">
        <v>2021</v>
      </c>
      <c r="H749" t="s">
        <v>2026</v>
      </c>
      <c r="I749" t="s">
        <v>2775</v>
      </c>
      <c r="J749" t="s">
        <v>4028</v>
      </c>
      <c r="K749" t="s">
        <v>4047</v>
      </c>
      <c r="L749">
        <v>2820.1</v>
      </c>
    </row>
    <row r="750" spans="1:12">
      <c r="A750" t="s">
        <v>760</v>
      </c>
      <c r="B750" s="2">
        <v>45019</v>
      </c>
      <c r="C750">
        <v>4000</v>
      </c>
      <c r="D750" t="s">
        <v>2012</v>
      </c>
      <c r="E750">
        <v>0</v>
      </c>
      <c r="F750">
        <v>2983.93</v>
      </c>
      <c r="G750" t="s">
        <v>2019</v>
      </c>
      <c r="H750" t="s">
        <v>2023</v>
      </c>
      <c r="I750" t="s">
        <v>2776</v>
      </c>
      <c r="J750" t="s">
        <v>4030</v>
      </c>
      <c r="K750" t="s">
        <v>4041</v>
      </c>
      <c r="L750">
        <v>2983.93</v>
      </c>
    </row>
    <row r="751" spans="1:12">
      <c r="A751" t="s">
        <v>761</v>
      </c>
      <c r="B751" s="2">
        <v>45350</v>
      </c>
      <c r="C751">
        <v>5000</v>
      </c>
      <c r="D751" t="s">
        <v>2013</v>
      </c>
      <c r="E751">
        <v>319.47000000000003</v>
      </c>
      <c r="F751">
        <v>0</v>
      </c>
      <c r="G751" t="s">
        <v>2019</v>
      </c>
      <c r="H751" t="s">
        <v>2027</v>
      </c>
      <c r="I751" t="s">
        <v>2777</v>
      </c>
      <c r="J751" t="s">
        <v>4028</v>
      </c>
      <c r="K751" t="s">
        <v>4044</v>
      </c>
      <c r="L751">
        <v>-319.47000000000003</v>
      </c>
    </row>
    <row r="752" spans="1:12">
      <c r="A752" t="s">
        <v>762</v>
      </c>
      <c r="B752" s="2">
        <v>45268</v>
      </c>
      <c r="C752">
        <v>4000</v>
      </c>
      <c r="D752" t="s">
        <v>2012</v>
      </c>
      <c r="E752">
        <v>0</v>
      </c>
      <c r="F752">
        <v>1222.08</v>
      </c>
      <c r="G752" t="s">
        <v>2018</v>
      </c>
      <c r="H752" t="s">
        <v>2023</v>
      </c>
      <c r="I752" t="s">
        <v>2778</v>
      </c>
      <c r="J752" t="s">
        <v>4031</v>
      </c>
      <c r="K752" t="s">
        <v>4039</v>
      </c>
      <c r="L752">
        <v>1222.08</v>
      </c>
    </row>
    <row r="753" spans="1:12">
      <c r="A753" t="s">
        <v>763</v>
      </c>
      <c r="B753" s="2">
        <v>45161</v>
      </c>
      <c r="C753">
        <v>5010</v>
      </c>
      <c r="D753" t="s">
        <v>2015</v>
      </c>
      <c r="E753">
        <v>199.77</v>
      </c>
      <c r="F753">
        <v>0</v>
      </c>
      <c r="G753" t="s">
        <v>2022</v>
      </c>
      <c r="H753" t="s">
        <v>2024</v>
      </c>
      <c r="I753" t="s">
        <v>2779</v>
      </c>
      <c r="J753" t="s">
        <v>4030</v>
      </c>
      <c r="K753" t="s">
        <v>4037</v>
      </c>
      <c r="L753">
        <v>-199.77</v>
      </c>
    </row>
    <row r="754" spans="1:12">
      <c r="A754" t="s">
        <v>764</v>
      </c>
      <c r="B754" s="2">
        <v>44957</v>
      </c>
      <c r="C754">
        <v>4000</v>
      </c>
      <c r="D754" t="s">
        <v>2012</v>
      </c>
      <c r="E754">
        <v>0</v>
      </c>
      <c r="F754">
        <v>4349.28</v>
      </c>
      <c r="G754" t="s">
        <v>2018</v>
      </c>
      <c r="H754" t="s">
        <v>2024</v>
      </c>
      <c r="I754" t="s">
        <v>2780</v>
      </c>
      <c r="J754" t="s">
        <v>4030</v>
      </c>
      <c r="K754" t="s">
        <v>4047</v>
      </c>
      <c r="L754">
        <v>4349.28</v>
      </c>
    </row>
    <row r="755" spans="1:12">
      <c r="A755" t="s">
        <v>765</v>
      </c>
      <c r="B755" s="2">
        <v>45702</v>
      </c>
      <c r="C755">
        <v>5010</v>
      </c>
      <c r="D755" t="s">
        <v>2015</v>
      </c>
      <c r="E755">
        <v>1496.23</v>
      </c>
      <c r="F755">
        <v>0</v>
      </c>
      <c r="G755" t="s">
        <v>2019</v>
      </c>
      <c r="H755" t="s">
        <v>2027</v>
      </c>
      <c r="I755" t="s">
        <v>2781</v>
      </c>
      <c r="J755" t="s">
        <v>4029</v>
      </c>
      <c r="K755" t="s">
        <v>4061</v>
      </c>
      <c r="L755">
        <v>-1496.23</v>
      </c>
    </row>
    <row r="756" spans="1:12">
      <c r="A756" t="s">
        <v>766</v>
      </c>
      <c r="B756" s="2">
        <v>45710</v>
      </c>
      <c r="C756">
        <v>4010</v>
      </c>
      <c r="D756" t="s">
        <v>2016</v>
      </c>
      <c r="E756">
        <v>0</v>
      </c>
      <c r="F756">
        <v>324.7</v>
      </c>
      <c r="G756" t="s">
        <v>2017</v>
      </c>
      <c r="H756" t="s">
        <v>2024</v>
      </c>
      <c r="I756" t="s">
        <v>2782</v>
      </c>
      <c r="J756" t="s">
        <v>4029</v>
      </c>
      <c r="K756" t="s">
        <v>4061</v>
      </c>
      <c r="L756">
        <v>324.7</v>
      </c>
    </row>
    <row r="757" spans="1:12">
      <c r="A757" t="s">
        <v>767</v>
      </c>
      <c r="B757" s="2">
        <v>44947</v>
      </c>
      <c r="C757">
        <v>5000</v>
      </c>
      <c r="D757" t="s">
        <v>2013</v>
      </c>
      <c r="E757">
        <v>1504.62</v>
      </c>
      <c r="F757">
        <v>0</v>
      </c>
      <c r="G757" t="s">
        <v>2017</v>
      </c>
      <c r="H757" t="s">
        <v>2026</v>
      </c>
      <c r="I757" t="s">
        <v>2783</v>
      </c>
      <c r="J757" t="s">
        <v>4031</v>
      </c>
      <c r="K757" t="s">
        <v>4047</v>
      </c>
      <c r="L757">
        <v>-1504.62</v>
      </c>
    </row>
    <row r="758" spans="1:12">
      <c r="A758" t="s">
        <v>768</v>
      </c>
      <c r="B758" s="2">
        <v>45740</v>
      </c>
      <c r="C758">
        <v>4010</v>
      </c>
      <c r="D758" t="s">
        <v>2016</v>
      </c>
      <c r="E758">
        <v>0</v>
      </c>
      <c r="F758">
        <v>2507.58</v>
      </c>
      <c r="G758" t="s">
        <v>2022</v>
      </c>
      <c r="H758" t="s">
        <v>2024</v>
      </c>
      <c r="I758" t="s">
        <v>2784</v>
      </c>
      <c r="J758" t="s">
        <v>4030</v>
      </c>
      <c r="K758" t="s">
        <v>4046</v>
      </c>
      <c r="L758">
        <v>2507.58</v>
      </c>
    </row>
    <row r="759" spans="1:12">
      <c r="A759" t="s">
        <v>769</v>
      </c>
      <c r="B759" s="2">
        <v>45202</v>
      </c>
      <c r="C759">
        <v>5010</v>
      </c>
      <c r="D759" t="s">
        <v>2015</v>
      </c>
      <c r="E759">
        <v>837.65</v>
      </c>
      <c r="F759">
        <v>0</v>
      </c>
      <c r="G759" t="s">
        <v>2018</v>
      </c>
      <c r="H759" t="s">
        <v>2026</v>
      </c>
      <c r="I759" t="s">
        <v>2785</v>
      </c>
      <c r="J759" t="s">
        <v>4029</v>
      </c>
      <c r="K759" t="s">
        <v>4060</v>
      </c>
      <c r="L759">
        <v>-837.65</v>
      </c>
    </row>
    <row r="760" spans="1:12">
      <c r="A760" t="s">
        <v>770</v>
      </c>
      <c r="B760" s="2">
        <v>45533</v>
      </c>
      <c r="C760">
        <v>6000</v>
      </c>
      <c r="D760" t="s">
        <v>2014</v>
      </c>
      <c r="E760">
        <v>787.73</v>
      </c>
      <c r="F760">
        <v>0</v>
      </c>
      <c r="G760" t="s">
        <v>2017</v>
      </c>
      <c r="H760" t="s">
        <v>2024</v>
      </c>
      <c r="I760" t="s">
        <v>2786</v>
      </c>
      <c r="J760" t="s">
        <v>4031</v>
      </c>
      <c r="K760" t="s">
        <v>4058</v>
      </c>
      <c r="L760">
        <v>-787.73</v>
      </c>
    </row>
    <row r="761" spans="1:12">
      <c r="A761" t="s">
        <v>771</v>
      </c>
      <c r="B761" s="2">
        <v>45609</v>
      </c>
      <c r="C761">
        <v>6000</v>
      </c>
      <c r="D761" t="s">
        <v>2014</v>
      </c>
      <c r="E761">
        <v>910.72</v>
      </c>
      <c r="F761">
        <v>0</v>
      </c>
      <c r="G761" t="s">
        <v>2020</v>
      </c>
      <c r="H761" t="s">
        <v>2023</v>
      </c>
      <c r="I761" t="s">
        <v>2787</v>
      </c>
      <c r="J761" t="s">
        <v>4030</v>
      </c>
      <c r="K761" t="s">
        <v>4043</v>
      </c>
      <c r="L761">
        <v>-910.72</v>
      </c>
    </row>
    <row r="762" spans="1:12">
      <c r="A762" t="s">
        <v>772</v>
      </c>
      <c r="B762" s="2">
        <v>44929</v>
      </c>
      <c r="C762">
        <v>5010</v>
      </c>
      <c r="D762" t="s">
        <v>2015</v>
      </c>
      <c r="E762">
        <v>1362.52</v>
      </c>
      <c r="F762">
        <v>0</v>
      </c>
      <c r="G762" t="s">
        <v>2020</v>
      </c>
      <c r="H762" t="s">
        <v>2023</v>
      </c>
      <c r="I762" t="s">
        <v>2788</v>
      </c>
      <c r="J762" t="s">
        <v>4031</v>
      </c>
      <c r="K762" t="s">
        <v>4047</v>
      </c>
      <c r="L762">
        <v>-1362.52</v>
      </c>
    </row>
    <row r="763" spans="1:12">
      <c r="A763" t="s">
        <v>773</v>
      </c>
      <c r="B763" s="2">
        <v>45661</v>
      </c>
      <c r="C763">
        <v>5000</v>
      </c>
      <c r="D763" t="s">
        <v>2013</v>
      </c>
      <c r="E763">
        <v>1261.48</v>
      </c>
      <c r="F763">
        <v>0</v>
      </c>
      <c r="G763" t="s">
        <v>2020</v>
      </c>
      <c r="H763" t="s">
        <v>2024</v>
      </c>
      <c r="I763" t="s">
        <v>2789</v>
      </c>
      <c r="J763" t="s">
        <v>4031</v>
      </c>
      <c r="K763" t="s">
        <v>4035</v>
      </c>
      <c r="L763">
        <v>-1261.48</v>
      </c>
    </row>
    <row r="764" spans="1:12">
      <c r="A764" t="s">
        <v>774</v>
      </c>
      <c r="B764" s="2">
        <v>45823</v>
      </c>
      <c r="C764">
        <v>4010</v>
      </c>
      <c r="D764" t="s">
        <v>2016</v>
      </c>
      <c r="E764">
        <v>0</v>
      </c>
      <c r="F764">
        <v>3519.33</v>
      </c>
      <c r="G764" t="s">
        <v>2021</v>
      </c>
      <c r="H764" t="s">
        <v>2025</v>
      </c>
      <c r="I764" t="s">
        <v>2790</v>
      </c>
      <c r="J764" t="s">
        <v>4028</v>
      </c>
      <c r="K764" t="s">
        <v>4052</v>
      </c>
      <c r="L764">
        <v>3519.33</v>
      </c>
    </row>
    <row r="765" spans="1:12">
      <c r="A765" t="s">
        <v>775</v>
      </c>
      <c r="B765" s="2">
        <v>45706</v>
      </c>
      <c r="C765">
        <v>5000</v>
      </c>
      <c r="D765" t="s">
        <v>2013</v>
      </c>
      <c r="E765">
        <v>1425.68</v>
      </c>
      <c r="F765">
        <v>0</v>
      </c>
      <c r="G765" t="s">
        <v>2019</v>
      </c>
      <c r="H765" t="s">
        <v>2024</v>
      </c>
      <c r="I765" t="s">
        <v>2791</v>
      </c>
      <c r="J765" t="s">
        <v>4031</v>
      </c>
      <c r="K765" t="s">
        <v>4061</v>
      </c>
      <c r="L765">
        <v>-1425.68</v>
      </c>
    </row>
    <row r="766" spans="1:12">
      <c r="A766" t="s">
        <v>776</v>
      </c>
      <c r="B766" s="2">
        <v>45492</v>
      </c>
      <c r="C766">
        <v>4010</v>
      </c>
      <c r="D766" t="s">
        <v>2016</v>
      </c>
      <c r="E766">
        <v>0</v>
      </c>
      <c r="F766">
        <v>4831.59</v>
      </c>
      <c r="G766" t="s">
        <v>2022</v>
      </c>
      <c r="H766" t="s">
        <v>2027</v>
      </c>
      <c r="I766" t="s">
        <v>2792</v>
      </c>
      <c r="J766" t="s">
        <v>4032</v>
      </c>
      <c r="K766" t="s">
        <v>4054</v>
      </c>
      <c r="L766">
        <v>4831.59</v>
      </c>
    </row>
    <row r="767" spans="1:12">
      <c r="A767" t="s">
        <v>777</v>
      </c>
      <c r="B767" s="2">
        <v>45444</v>
      </c>
      <c r="C767">
        <v>4010</v>
      </c>
      <c r="D767" t="s">
        <v>2016</v>
      </c>
      <c r="E767">
        <v>0</v>
      </c>
      <c r="F767">
        <v>3282.7</v>
      </c>
      <c r="G767" t="s">
        <v>2021</v>
      </c>
      <c r="H767" t="s">
        <v>2023</v>
      </c>
      <c r="I767" t="s">
        <v>2793</v>
      </c>
      <c r="J767" t="s">
        <v>4030</v>
      </c>
      <c r="K767" t="s">
        <v>4034</v>
      </c>
      <c r="L767">
        <v>3282.7</v>
      </c>
    </row>
    <row r="768" spans="1:12">
      <c r="A768" t="s">
        <v>778</v>
      </c>
      <c r="B768" s="2">
        <v>45800</v>
      </c>
      <c r="C768">
        <v>5000</v>
      </c>
      <c r="D768" t="s">
        <v>2013</v>
      </c>
      <c r="E768">
        <v>1789.76</v>
      </c>
      <c r="F768">
        <v>0</v>
      </c>
      <c r="G768" t="s">
        <v>2019</v>
      </c>
      <c r="H768" t="s">
        <v>2025</v>
      </c>
      <c r="I768" t="s">
        <v>2794</v>
      </c>
      <c r="J768" t="s">
        <v>4030</v>
      </c>
      <c r="K768" t="s">
        <v>4038</v>
      </c>
      <c r="L768">
        <v>-1789.76</v>
      </c>
    </row>
    <row r="769" spans="1:12">
      <c r="A769" t="s">
        <v>779</v>
      </c>
      <c r="B769" s="2">
        <v>44992</v>
      </c>
      <c r="C769">
        <v>5000</v>
      </c>
      <c r="D769" t="s">
        <v>2013</v>
      </c>
      <c r="E769">
        <v>1557.62</v>
      </c>
      <c r="F769">
        <v>0</v>
      </c>
      <c r="G769" t="s">
        <v>2021</v>
      </c>
      <c r="H769" t="s">
        <v>2026</v>
      </c>
      <c r="I769" t="s">
        <v>2795</v>
      </c>
      <c r="J769" t="s">
        <v>4029</v>
      </c>
      <c r="K769" t="s">
        <v>4051</v>
      </c>
      <c r="L769">
        <v>-1557.62</v>
      </c>
    </row>
    <row r="770" spans="1:12">
      <c r="A770" t="s">
        <v>780</v>
      </c>
      <c r="B770" s="2">
        <v>45720</v>
      </c>
      <c r="C770">
        <v>4000</v>
      </c>
      <c r="D770" t="s">
        <v>2012</v>
      </c>
      <c r="E770">
        <v>0</v>
      </c>
      <c r="F770">
        <v>4262.2299999999996</v>
      </c>
      <c r="G770" t="s">
        <v>2022</v>
      </c>
      <c r="H770" t="s">
        <v>2024</v>
      </c>
      <c r="I770" t="s">
        <v>2796</v>
      </c>
      <c r="J770" t="s">
        <v>4029</v>
      </c>
      <c r="K770" t="s">
        <v>4046</v>
      </c>
      <c r="L770">
        <v>4262.2299999999996</v>
      </c>
    </row>
    <row r="771" spans="1:12">
      <c r="A771" t="s">
        <v>781</v>
      </c>
      <c r="B771" s="2">
        <v>45445</v>
      </c>
      <c r="C771">
        <v>5000</v>
      </c>
      <c r="D771" t="s">
        <v>2013</v>
      </c>
      <c r="E771">
        <v>1754.04</v>
      </c>
      <c r="F771">
        <v>0</v>
      </c>
      <c r="G771" t="s">
        <v>2020</v>
      </c>
      <c r="H771" t="s">
        <v>2026</v>
      </c>
      <c r="I771" t="s">
        <v>2797</v>
      </c>
      <c r="J771" t="s">
        <v>4029</v>
      </c>
      <c r="K771" t="s">
        <v>4034</v>
      </c>
      <c r="L771">
        <v>-1754.04</v>
      </c>
    </row>
    <row r="772" spans="1:12">
      <c r="A772" t="s">
        <v>782</v>
      </c>
      <c r="B772" s="2">
        <v>45624</v>
      </c>
      <c r="C772">
        <v>5010</v>
      </c>
      <c r="D772" t="s">
        <v>2015</v>
      </c>
      <c r="E772">
        <v>604.27</v>
      </c>
      <c r="F772">
        <v>0</v>
      </c>
      <c r="G772" t="s">
        <v>2022</v>
      </c>
      <c r="H772" t="s">
        <v>2026</v>
      </c>
      <c r="I772" t="s">
        <v>2798</v>
      </c>
      <c r="J772" t="s">
        <v>4029</v>
      </c>
      <c r="K772" t="s">
        <v>4043</v>
      </c>
      <c r="L772">
        <v>-604.27</v>
      </c>
    </row>
    <row r="773" spans="1:12">
      <c r="A773" t="s">
        <v>783</v>
      </c>
      <c r="B773" s="2">
        <v>45571</v>
      </c>
      <c r="C773">
        <v>5010</v>
      </c>
      <c r="D773" t="s">
        <v>2015</v>
      </c>
      <c r="E773">
        <v>788.46</v>
      </c>
      <c r="F773">
        <v>0</v>
      </c>
      <c r="G773" t="s">
        <v>2021</v>
      </c>
      <c r="H773" t="s">
        <v>2026</v>
      </c>
      <c r="I773" t="s">
        <v>2799</v>
      </c>
      <c r="J773" t="s">
        <v>4032</v>
      </c>
      <c r="K773" t="s">
        <v>4059</v>
      </c>
      <c r="L773">
        <v>-788.46</v>
      </c>
    </row>
    <row r="774" spans="1:12">
      <c r="A774" t="s">
        <v>784</v>
      </c>
      <c r="B774" s="2">
        <v>45166</v>
      </c>
      <c r="C774">
        <v>4000</v>
      </c>
      <c r="D774" t="s">
        <v>2012</v>
      </c>
      <c r="E774">
        <v>0</v>
      </c>
      <c r="F774">
        <v>1493.92</v>
      </c>
      <c r="G774" t="s">
        <v>2018</v>
      </c>
      <c r="H774" t="s">
        <v>2024</v>
      </c>
      <c r="I774" t="s">
        <v>2800</v>
      </c>
      <c r="J774" t="s">
        <v>4031</v>
      </c>
      <c r="K774" t="s">
        <v>4037</v>
      </c>
      <c r="L774">
        <v>1493.92</v>
      </c>
    </row>
    <row r="775" spans="1:12">
      <c r="A775" t="s">
        <v>785</v>
      </c>
      <c r="B775" s="2">
        <v>45423</v>
      </c>
      <c r="C775">
        <v>5000</v>
      </c>
      <c r="D775" t="s">
        <v>2013</v>
      </c>
      <c r="E775">
        <v>588.44000000000005</v>
      </c>
      <c r="F775">
        <v>0</v>
      </c>
      <c r="G775" t="s">
        <v>2020</v>
      </c>
      <c r="H775" t="s">
        <v>2024</v>
      </c>
      <c r="I775" t="s">
        <v>2801</v>
      </c>
      <c r="J775" t="s">
        <v>4032</v>
      </c>
      <c r="K775" t="s">
        <v>4033</v>
      </c>
      <c r="L775">
        <v>-588.44000000000005</v>
      </c>
    </row>
    <row r="776" spans="1:12">
      <c r="A776" t="s">
        <v>786</v>
      </c>
      <c r="B776" s="2">
        <v>45538</v>
      </c>
      <c r="C776">
        <v>5000</v>
      </c>
      <c r="D776" t="s">
        <v>2013</v>
      </c>
      <c r="E776">
        <v>1078.52</v>
      </c>
      <c r="F776">
        <v>0</v>
      </c>
      <c r="G776" t="s">
        <v>2020</v>
      </c>
      <c r="H776" t="s">
        <v>2024</v>
      </c>
      <c r="I776" t="s">
        <v>2802</v>
      </c>
      <c r="J776" t="s">
        <v>4030</v>
      </c>
      <c r="K776" t="s">
        <v>4048</v>
      </c>
      <c r="L776">
        <v>-1078.52</v>
      </c>
    </row>
    <row r="777" spans="1:12">
      <c r="A777" t="s">
        <v>787</v>
      </c>
      <c r="B777" s="2">
        <v>45400</v>
      </c>
      <c r="C777">
        <v>4010</v>
      </c>
      <c r="D777" t="s">
        <v>2016</v>
      </c>
      <c r="E777">
        <v>0</v>
      </c>
      <c r="F777">
        <v>4324.54</v>
      </c>
      <c r="G777" t="s">
        <v>2019</v>
      </c>
      <c r="H777" t="s">
        <v>2023</v>
      </c>
      <c r="I777" t="s">
        <v>2803</v>
      </c>
      <c r="J777" t="s">
        <v>4029</v>
      </c>
      <c r="K777" t="s">
        <v>4040</v>
      </c>
      <c r="L777">
        <v>4324.54</v>
      </c>
    </row>
    <row r="778" spans="1:12">
      <c r="A778" t="s">
        <v>788</v>
      </c>
      <c r="B778" s="2">
        <v>45472</v>
      </c>
      <c r="C778">
        <v>4010</v>
      </c>
      <c r="D778" t="s">
        <v>2016</v>
      </c>
      <c r="E778">
        <v>0</v>
      </c>
      <c r="F778">
        <v>2300.21</v>
      </c>
      <c r="G778" t="s">
        <v>2021</v>
      </c>
      <c r="H778" t="s">
        <v>2024</v>
      </c>
      <c r="I778" t="s">
        <v>2804</v>
      </c>
      <c r="J778" t="s">
        <v>4028</v>
      </c>
      <c r="K778" t="s">
        <v>4034</v>
      </c>
      <c r="L778">
        <v>2300.21</v>
      </c>
    </row>
    <row r="779" spans="1:12">
      <c r="A779" t="s">
        <v>789</v>
      </c>
      <c r="B779" s="2">
        <v>45170</v>
      </c>
      <c r="C779">
        <v>6000</v>
      </c>
      <c r="D779" t="s">
        <v>2014</v>
      </c>
      <c r="E779">
        <v>446.19</v>
      </c>
      <c r="F779">
        <v>0</v>
      </c>
      <c r="G779" t="s">
        <v>2022</v>
      </c>
      <c r="H779" t="s">
        <v>2026</v>
      </c>
      <c r="I779" t="s">
        <v>2805</v>
      </c>
      <c r="J779" t="s">
        <v>4028</v>
      </c>
      <c r="K779" t="s">
        <v>4036</v>
      </c>
      <c r="L779">
        <v>-446.19</v>
      </c>
    </row>
    <row r="780" spans="1:12">
      <c r="A780" t="s">
        <v>790</v>
      </c>
      <c r="B780" s="2">
        <v>45367</v>
      </c>
      <c r="C780">
        <v>4000</v>
      </c>
      <c r="D780" t="s">
        <v>2012</v>
      </c>
      <c r="E780">
        <v>0</v>
      </c>
      <c r="F780">
        <v>1518.24</v>
      </c>
      <c r="G780" t="s">
        <v>2020</v>
      </c>
      <c r="H780" t="s">
        <v>2026</v>
      </c>
      <c r="I780" t="s">
        <v>2806</v>
      </c>
      <c r="J780" t="s">
        <v>4030</v>
      </c>
      <c r="K780" t="s">
        <v>4049</v>
      </c>
      <c r="L780">
        <v>1518.24</v>
      </c>
    </row>
    <row r="781" spans="1:12">
      <c r="A781" t="s">
        <v>791</v>
      </c>
      <c r="B781" s="2">
        <v>45386</v>
      </c>
      <c r="C781">
        <v>6000</v>
      </c>
      <c r="D781" t="s">
        <v>2014</v>
      </c>
      <c r="E781">
        <v>1385.02</v>
      </c>
      <c r="F781">
        <v>0</v>
      </c>
      <c r="G781" t="s">
        <v>2020</v>
      </c>
      <c r="H781" t="s">
        <v>2026</v>
      </c>
      <c r="I781" t="s">
        <v>2807</v>
      </c>
      <c r="J781" t="s">
        <v>4030</v>
      </c>
      <c r="K781" t="s">
        <v>4040</v>
      </c>
      <c r="L781">
        <v>-1385.02</v>
      </c>
    </row>
    <row r="782" spans="1:12">
      <c r="A782" t="s">
        <v>792</v>
      </c>
      <c r="B782" s="2">
        <v>45446</v>
      </c>
      <c r="C782">
        <v>6000</v>
      </c>
      <c r="D782" t="s">
        <v>2014</v>
      </c>
      <c r="E782">
        <v>1887.31</v>
      </c>
      <c r="F782">
        <v>0</v>
      </c>
      <c r="G782" t="s">
        <v>2020</v>
      </c>
      <c r="H782" t="s">
        <v>2023</v>
      </c>
      <c r="I782" t="s">
        <v>2808</v>
      </c>
      <c r="J782" t="s">
        <v>4028</v>
      </c>
      <c r="K782" t="s">
        <v>4034</v>
      </c>
      <c r="L782">
        <v>-1887.31</v>
      </c>
    </row>
    <row r="783" spans="1:12">
      <c r="A783" t="s">
        <v>793</v>
      </c>
      <c r="B783" s="2">
        <v>45528</v>
      </c>
      <c r="C783">
        <v>4000</v>
      </c>
      <c r="D783" t="s">
        <v>2012</v>
      </c>
      <c r="E783">
        <v>0</v>
      </c>
      <c r="F783">
        <v>4476.07</v>
      </c>
      <c r="G783" t="s">
        <v>2022</v>
      </c>
      <c r="H783" t="s">
        <v>2026</v>
      </c>
      <c r="I783" t="s">
        <v>2809</v>
      </c>
      <c r="J783" t="s">
        <v>4030</v>
      </c>
      <c r="K783" t="s">
        <v>4058</v>
      </c>
      <c r="L783">
        <v>4476.07</v>
      </c>
    </row>
    <row r="784" spans="1:12">
      <c r="A784" t="s">
        <v>794</v>
      </c>
      <c r="B784" s="2">
        <v>45421</v>
      </c>
      <c r="C784">
        <v>6000</v>
      </c>
      <c r="D784" t="s">
        <v>2014</v>
      </c>
      <c r="E784">
        <v>170.41</v>
      </c>
      <c r="F784">
        <v>0</v>
      </c>
      <c r="G784" t="s">
        <v>2022</v>
      </c>
      <c r="H784" t="s">
        <v>2026</v>
      </c>
      <c r="I784" t="s">
        <v>2810</v>
      </c>
      <c r="J784" t="s">
        <v>4031</v>
      </c>
      <c r="K784" t="s">
        <v>4033</v>
      </c>
      <c r="L784">
        <v>-170.41</v>
      </c>
    </row>
    <row r="785" spans="1:12">
      <c r="A785" t="s">
        <v>795</v>
      </c>
      <c r="B785" s="2">
        <v>45016</v>
      </c>
      <c r="C785">
        <v>5010</v>
      </c>
      <c r="D785" t="s">
        <v>2015</v>
      </c>
      <c r="E785">
        <v>1650.02</v>
      </c>
      <c r="F785">
        <v>0</v>
      </c>
      <c r="G785" t="s">
        <v>2022</v>
      </c>
      <c r="H785" t="s">
        <v>2025</v>
      </c>
      <c r="I785" t="s">
        <v>2811</v>
      </c>
      <c r="J785" t="s">
        <v>4028</v>
      </c>
      <c r="K785" t="s">
        <v>4051</v>
      </c>
      <c r="L785">
        <v>-1650.02</v>
      </c>
    </row>
    <row r="786" spans="1:12">
      <c r="A786" t="s">
        <v>796</v>
      </c>
      <c r="B786" s="2">
        <v>45826</v>
      </c>
      <c r="C786">
        <v>4010</v>
      </c>
      <c r="D786" t="s">
        <v>2016</v>
      </c>
      <c r="E786">
        <v>0</v>
      </c>
      <c r="F786">
        <v>3235.44</v>
      </c>
      <c r="G786" t="s">
        <v>2017</v>
      </c>
      <c r="H786" t="s">
        <v>2023</v>
      </c>
      <c r="I786" t="s">
        <v>2812</v>
      </c>
      <c r="J786" t="s">
        <v>4030</v>
      </c>
      <c r="K786" t="s">
        <v>4052</v>
      </c>
      <c r="L786">
        <v>3235.44</v>
      </c>
    </row>
    <row r="787" spans="1:12">
      <c r="A787" t="s">
        <v>797</v>
      </c>
      <c r="B787" s="2">
        <v>45312</v>
      </c>
      <c r="C787">
        <v>5000</v>
      </c>
      <c r="D787" t="s">
        <v>2013</v>
      </c>
      <c r="E787">
        <v>459.65</v>
      </c>
      <c r="F787">
        <v>0</v>
      </c>
      <c r="G787" t="s">
        <v>2017</v>
      </c>
      <c r="H787" t="s">
        <v>2023</v>
      </c>
      <c r="I787" t="s">
        <v>2813</v>
      </c>
      <c r="J787" t="s">
        <v>4032</v>
      </c>
      <c r="K787" t="s">
        <v>4053</v>
      </c>
      <c r="L787">
        <v>-459.65</v>
      </c>
    </row>
    <row r="788" spans="1:12">
      <c r="A788" t="s">
        <v>798</v>
      </c>
      <c r="B788" s="2">
        <v>45226</v>
      </c>
      <c r="C788">
        <v>5010</v>
      </c>
      <c r="D788" t="s">
        <v>2015</v>
      </c>
      <c r="E788">
        <v>882.11</v>
      </c>
      <c r="F788">
        <v>0</v>
      </c>
      <c r="G788" t="s">
        <v>2022</v>
      </c>
      <c r="H788" t="s">
        <v>2026</v>
      </c>
      <c r="I788" t="s">
        <v>2814</v>
      </c>
      <c r="J788" t="s">
        <v>4032</v>
      </c>
      <c r="K788" t="s">
        <v>4060</v>
      </c>
      <c r="L788">
        <v>-882.11</v>
      </c>
    </row>
    <row r="789" spans="1:12">
      <c r="A789" t="s">
        <v>799</v>
      </c>
      <c r="B789" s="2">
        <v>45597</v>
      </c>
      <c r="C789">
        <v>6000</v>
      </c>
      <c r="D789" t="s">
        <v>2014</v>
      </c>
      <c r="E789">
        <v>1023.17</v>
      </c>
      <c r="F789">
        <v>0</v>
      </c>
      <c r="G789" t="s">
        <v>2022</v>
      </c>
      <c r="H789" t="s">
        <v>2026</v>
      </c>
      <c r="I789" t="s">
        <v>2815</v>
      </c>
      <c r="J789" t="s">
        <v>4028</v>
      </c>
      <c r="K789" t="s">
        <v>4043</v>
      </c>
      <c r="L789">
        <v>-1023.17</v>
      </c>
    </row>
    <row r="790" spans="1:12">
      <c r="A790" t="s">
        <v>800</v>
      </c>
      <c r="B790" s="2">
        <v>45378</v>
      </c>
      <c r="C790">
        <v>5010</v>
      </c>
      <c r="D790" t="s">
        <v>2015</v>
      </c>
      <c r="E790">
        <v>510.05</v>
      </c>
      <c r="F790">
        <v>0</v>
      </c>
      <c r="G790" t="s">
        <v>2020</v>
      </c>
      <c r="H790" t="s">
        <v>2023</v>
      </c>
      <c r="I790" t="s">
        <v>2816</v>
      </c>
      <c r="J790" t="s">
        <v>4032</v>
      </c>
      <c r="K790" t="s">
        <v>4049</v>
      </c>
      <c r="L790">
        <v>-510.05</v>
      </c>
    </row>
    <row r="791" spans="1:12">
      <c r="A791" t="s">
        <v>801</v>
      </c>
      <c r="B791" s="2">
        <v>45008</v>
      </c>
      <c r="C791">
        <v>4010</v>
      </c>
      <c r="D791" t="s">
        <v>2016</v>
      </c>
      <c r="E791">
        <v>0</v>
      </c>
      <c r="F791">
        <v>3848.25</v>
      </c>
      <c r="G791" t="s">
        <v>2017</v>
      </c>
      <c r="H791" t="s">
        <v>2024</v>
      </c>
      <c r="I791" t="s">
        <v>2817</v>
      </c>
      <c r="J791" t="s">
        <v>4030</v>
      </c>
      <c r="K791" t="s">
        <v>4051</v>
      </c>
      <c r="L791">
        <v>3848.25</v>
      </c>
    </row>
    <row r="792" spans="1:12">
      <c r="A792" t="s">
        <v>802</v>
      </c>
      <c r="B792" s="2">
        <v>45389</v>
      </c>
      <c r="C792">
        <v>5000</v>
      </c>
      <c r="D792" t="s">
        <v>2013</v>
      </c>
      <c r="E792">
        <v>315.25</v>
      </c>
      <c r="F792">
        <v>0</v>
      </c>
      <c r="G792" t="s">
        <v>2020</v>
      </c>
      <c r="H792" t="s">
        <v>2026</v>
      </c>
      <c r="I792" t="s">
        <v>2818</v>
      </c>
      <c r="J792" t="s">
        <v>4030</v>
      </c>
      <c r="K792" t="s">
        <v>4040</v>
      </c>
      <c r="L792">
        <v>-315.25</v>
      </c>
    </row>
    <row r="793" spans="1:12">
      <c r="A793" t="s">
        <v>803</v>
      </c>
      <c r="B793" s="2">
        <v>45385</v>
      </c>
      <c r="C793">
        <v>4010</v>
      </c>
      <c r="D793" t="s">
        <v>2016</v>
      </c>
      <c r="E793">
        <v>0</v>
      </c>
      <c r="F793">
        <v>4030.96</v>
      </c>
      <c r="G793" t="s">
        <v>2022</v>
      </c>
      <c r="H793" t="s">
        <v>2024</v>
      </c>
      <c r="I793" t="s">
        <v>2819</v>
      </c>
      <c r="J793" t="s">
        <v>4031</v>
      </c>
      <c r="K793" t="s">
        <v>4040</v>
      </c>
      <c r="L793">
        <v>4030.96</v>
      </c>
    </row>
    <row r="794" spans="1:12">
      <c r="A794" t="s">
        <v>804</v>
      </c>
      <c r="B794" s="2">
        <v>44965</v>
      </c>
      <c r="C794">
        <v>4000</v>
      </c>
      <c r="D794" t="s">
        <v>2012</v>
      </c>
      <c r="E794">
        <v>0</v>
      </c>
      <c r="F794">
        <v>1965.39</v>
      </c>
      <c r="G794" t="s">
        <v>2020</v>
      </c>
      <c r="H794" t="s">
        <v>2024</v>
      </c>
      <c r="I794" t="s">
        <v>2820</v>
      </c>
      <c r="J794" t="s">
        <v>4032</v>
      </c>
      <c r="K794" t="s">
        <v>4057</v>
      </c>
      <c r="L794">
        <v>1965.39</v>
      </c>
    </row>
    <row r="795" spans="1:12">
      <c r="A795" t="s">
        <v>805</v>
      </c>
      <c r="B795" s="2">
        <v>45516</v>
      </c>
      <c r="C795">
        <v>4010</v>
      </c>
      <c r="D795" t="s">
        <v>2016</v>
      </c>
      <c r="E795">
        <v>0</v>
      </c>
      <c r="F795">
        <v>3170.84</v>
      </c>
      <c r="G795" t="s">
        <v>2021</v>
      </c>
      <c r="H795" t="s">
        <v>2027</v>
      </c>
      <c r="I795" t="s">
        <v>2821</v>
      </c>
      <c r="J795" t="s">
        <v>4031</v>
      </c>
      <c r="K795" t="s">
        <v>4058</v>
      </c>
      <c r="L795">
        <v>3170.84</v>
      </c>
    </row>
    <row r="796" spans="1:12">
      <c r="A796" t="s">
        <v>806</v>
      </c>
      <c r="B796" s="2">
        <v>45397</v>
      </c>
      <c r="C796">
        <v>4010</v>
      </c>
      <c r="D796" t="s">
        <v>2016</v>
      </c>
      <c r="E796">
        <v>0</v>
      </c>
      <c r="F796">
        <v>3010.78</v>
      </c>
      <c r="G796" t="s">
        <v>2020</v>
      </c>
      <c r="H796" t="s">
        <v>2024</v>
      </c>
      <c r="I796" t="s">
        <v>2822</v>
      </c>
      <c r="J796" t="s">
        <v>4031</v>
      </c>
      <c r="K796" t="s">
        <v>4040</v>
      </c>
      <c r="L796">
        <v>3010.78</v>
      </c>
    </row>
    <row r="797" spans="1:12">
      <c r="A797" t="s">
        <v>807</v>
      </c>
      <c r="B797" s="2">
        <v>45747</v>
      </c>
      <c r="C797">
        <v>6000</v>
      </c>
      <c r="D797" t="s">
        <v>2014</v>
      </c>
      <c r="E797">
        <v>1953.3</v>
      </c>
      <c r="F797">
        <v>0</v>
      </c>
      <c r="G797" t="s">
        <v>2021</v>
      </c>
      <c r="H797" t="s">
        <v>2024</v>
      </c>
      <c r="I797" t="s">
        <v>2823</v>
      </c>
      <c r="J797" t="s">
        <v>4032</v>
      </c>
      <c r="K797" t="s">
        <v>4046</v>
      </c>
      <c r="L797">
        <v>-1953.3</v>
      </c>
    </row>
    <row r="798" spans="1:12">
      <c r="A798" t="s">
        <v>808</v>
      </c>
      <c r="B798" s="2">
        <v>45494</v>
      </c>
      <c r="C798">
        <v>5010</v>
      </c>
      <c r="D798" t="s">
        <v>2015</v>
      </c>
      <c r="E798">
        <v>1420.92</v>
      </c>
      <c r="F798">
        <v>0</v>
      </c>
      <c r="G798" t="s">
        <v>2021</v>
      </c>
      <c r="H798" t="s">
        <v>2023</v>
      </c>
      <c r="I798" t="s">
        <v>2824</v>
      </c>
      <c r="J798" t="s">
        <v>4030</v>
      </c>
      <c r="K798" t="s">
        <v>4054</v>
      </c>
      <c r="L798">
        <v>-1420.92</v>
      </c>
    </row>
    <row r="799" spans="1:12">
      <c r="A799" t="s">
        <v>809</v>
      </c>
      <c r="B799" s="2">
        <v>45294</v>
      </c>
      <c r="C799">
        <v>6000</v>
      </c>
      <c r="D799" t="s">
        <v>2014</v>
      </c>
      <c r="E799">
        <v>203.96</v>
      </c>
      <c r="F799">
        <v>0</v>
      </c>
      <c r="G799" t="s">
        <v>2022</v>
      </c>
      <c r="H799" t="s">
        <v>2025</v>
      </c>
      <c r="I799" t="s">
        <v>2825</v>
      </c>
      <c r="J799" t="s">
        <v>4031</v>
      </c>
      <c r="K799" t="s">
        <v>4053</v>
      </c>
      <c r="L799">
        <v>-203.96</v>
      </c>
    </row>
    <row r="800" spans="1:12">
      <c r="A800" t="s">
        <v>810</v>
      </c>
      <c r="B800" s="2">
        <v>45082</v>
      </c>
      <c r="C800">
        <v>4010</v>
      </c>
      <c r="D800" t="s">
        <v>2016</v>
      </c>
      <c r="E800">
        <v>0</v>
      </c>
      <c r="F800">
        <v>2860.2</v>
      </c>
      <c r="G800" t="s">
        <v>2020</v>
      </c>
      <c r="H800" t="s">
        <v>2024</v>
      </c>
      <c r="I800" t="s">
        <v>2826</v>
      </c>
      <c r="J800" t="s">
        <v>4032</v>
      </c>
      <c r="K800" t="s">
        <v>4055</v>
      </c>
      <c r="L800">
        <v>2860.2</v>
      </c>
    </row>
    <row r="801" spans="1:12">
      <c r="A801" t="s">
        <v>811</v>
      </c>
      <c r="B801" s="2">
        <v>45159</v>
      </c>
      <c r="C801">
        <v>5010</v>
      </c>
      <c r="D801" t="s">
        <v>2015</v>
      </c>
      <c r="E801">
        <v>1363.92</v>
      </c>
      <c r="F801">
        <v>0</v>
      </c>
      <c r="G801" t="s">
        <v>2022</v>
      </c>
      <c r="H801" t="s">
        <v>2024</v>
      </c>
      <c r="I801" t="s">
        <v>2827</v>
      </c>
      <c r="J801" t="s">
        <v>4032</v>
      </c>
      <c r="K801" t="s">
        <v>4037</v>
      </c>
      <c r="L801">
        <v>-1363.92</v>
      </c>
    </row>
    <row r="802" spans="1:12">
      <c r="A802" t="s">
        <v>812</v>
      </c>
      <c r="B802" s="2">
        <v>45303</v>
      </c>
      <c r="C802">
        <v>4000</v>
      </c>
      <c r="D802" t="s">
        <v>2012</v>
      </c>
      <c r="E802">
        <v>0</v>
      </c>
      <c r="F802">
        <v>4449.82</v>
      </c>
      <c r="G802" t="s">
        <v>2020</v>
      </c>
      <c r="H802" t="s">
        <v>2024</v>
      </c>
      <c r="I802" t="s">
        <v>2828</v>
      </c>
      <c r="J802" t="s">
        <v>4032</v>
      </c>
      <c r="K802" t="s">
        <v>4053</v>
      </c>
      <c r="L802">
        <v>4449.82</v>
      </c>
    </row>
    <row r="803" spans="1:12">
      <c r="A803" t="s">
        <v>813</v>
      </c>
      <c r="B803" s="2">
        <v>45056</v>
      </c>
      <c r="C803">
        <v>5010</v>
      </c>
      <c r="D803" t="s">
        <v>2015</v>
      </c>
      <c r="E803">
        <v>256.63</v>
      </c>
      <c r="F803">
        <v>0</v>
      </c>
      <c r="G803" t="s">
        <v>2020</v>
      </c>
      <c r="H803" t="s">
        <v>2026</v>
      </c>
      <c r="I803" t="s">
        <v>2829</v>
      </c>
      <c r="J803" t="s">
        <v>4030</v>
      </c>
      <c r="K803" t="s">
        <v>4062</v>
      </c>
      <c r="L803">
        <v>-256.63</v>
      </c>
    </row>
    <row r="804" spans="1:12">
      <c r="A804" t="s">
        <v>814</v>
      </c>
      <c r="B804" s="2">
        <v>45504</v>
      </c>
      <c r="C804">
        <v>4000</v>
      </c>
      <c r="D804" t="s">
        <v>2012</v>
      </c>
      <c r="E804">
        <v>0</v>
      </c>
      <c r="F804">
        <v>303.74</v>
      </c>
      <c r="G804" t="s">
        <v>2017</v>
      </c>
      <c r="H804" t="s">
        <v>2026</v>
      </c>
      <c r="I804" t="s">
        <v>2830</v>
      </c>
      <c r="J804" t="s">
        <v>4029</v>
      </c>
      <c r="K804" t="s">
        <v>4054</v>
      </c>
      <c r="L804">
        <v>303.74</v>
      </c>
    </row>
    <row r="805" spans="1:12">
      <c r="A805" t="s">
        <v>815</v>
      </c>
      <c r="B805" s="2">
        <v>45600</v>
      </c>
      <c r="C805">
        <v>5000</v>
      </c>
      <c r="D805" t="s">
        <v>2013</v>
      </c>
      <c r="E805">
        <v>1181.69</v>
      </c>
      <c r="F805">
        <v>0</v>
      </c>
      <c r="G805" t="s">
        <v>2017</v>
      </c>
      <c r="H805" t="s">
        <v>2027</v>
      </c>
      <c r="I805" t="s">
        <v>2831</v>
      </c>
      <c r="J805" t="s">
        <v>4028</v>
      </c>
      <c r="K805" t="s">
        <v>4043</v>
      </c>
      <c r="L805">
        <v>-1181.69</v>
      </c>
    </row>
    <row r="806" spans="1:12">
      <c r="A806" t="s">
        <v>816</v>
      </c>
      <c r="B806" s="2">
        <v>45200</v>
      </c>
      <c r="C806">
        <v>4010</v>
      </c>
      <c r="D806" t="s">
        <v>2016</v>
      </c>
      <c r="E806">
        <v>0</v>
      </c>
      <c r="F806">
        <v>2568.02</v>
      </c>
      <c r="G806" t="s">
        <v>2022</v>
      </c>
      <c r="H806" t="s">
        <v>2023</v>
      </c>
      <c r="I806" t="s">
        <v>2832</v>
      </c>
      <c r="J806" t="s">
        <v>4030</v>
      </c>
      <c r="K806" t="s">
        <v>4060</v>
      </c>
      <c r="L806">
        <v>2568.02</v>
      </c>
    </row>
    <row r="807" spans="1:12">
      <c r="A807" t="s">
        <v>817</v>
      </c>
      <c r="B807" s="2">
        <v>45209</v>
      </c>
      <c r="C807">
        <v>5000</v>
      </c>
      <c r="D807" t="s">
        <v>2013</v>
      </c>
      <c r="E807">
        <v>1567.28</v>
      </c>
      <c r="F807">
        <v>0</v>
      </c>
      <c r="G807" t="s">
        <v>2020</v>
      </c>
      <c r="H807" t="s">
        <v>2027</v>
      </c>
      <c r="I807" t="s">
        <v>2833</v>
      </c>
      <c r="J807" t="s">
        <v>4030</v>
      </c>
      <c r="K807" t="s">
        <v>4060</v>
      </c>
      <c r="L807">
        <v>-1567.28</v>
      </c>
    </row>
    <row r="808" spans="1:12">
      <c r="A808" t="s">
        <v>818</v>
      </c>
      <c r="B808" s="2">
        <v>45772</v>
      </c>
      <c r="C808">
        <v>4010</v>
      </c>
      <c r="D808" t="s">
        <v>2016</v>
      </c>
      <c r="E808">
        <v>0</v>
      </c>
      <c r="F808">
        <v>1614.33</v>
      </c>
      <c r="G808" t="s">
        <v>2017</v>
      </c>
      <c r="H808" t="s">
        <v>2026</v>
      </c>
      <c r="I808" t="s">
        <v>2834</v>
      </c>
      <c r="J808" t="s">
        <v>4028</v>
      </c>
      <c r="K808" t="s">
        <v>4045</v>
      </c>
      <c r="L808">
        <v>1614.33</v>
      </c>
    </row>
    <row r="809" spans="1:12">
      <c r="A809" t="s">
        <v>819</v>
      </c>
      <c r="B809" s="2">
        <v>45485</v>
      </c>
      <c r="C809">
        <v>6000</v>
      </c>
      <c r="D809" t="s">
        <v>2014</v>
      </c>
      <c r="E809">
        <v>335.31</v>
      </c>
      <c r="F809">
        <v>0</v>
      </c>
      <c r="G809" t="s">
        <v>2017</v>
      </c>
      <c r="H809" t="s">
        <v>2023</v>
      </c>
      <c r="I809" t="s">
        <v>2835</v>
      </c>
      <c r="J809" t="s">
        <v>4028</v>
      </c>
      <c r="K809" t="s">
        <v>4054</v>
      </c>
      <c r="L809">
        <v>-335.31</v>
      </c>
    </row>
    <row r="810" spans="1:12">
      <c r="A810" t="s">
        <v>820</v>
      </c>
      <c r="B810" s="2">
        <v>45832</v>
      </c>
      <c r="C810">
        <v>5010</v>
      </c>
      <c r="D810" t="s">
        <v>2015</v>
      </c>
      <c r="E810">
        <v>1491.54</v>
      </c>
      <c r="F810">
        <v>0</v>
      </c>
      <c r="G810" t="s">
        <v>2020</v>
      </c>
      <c r="H810" t="s">
        <v>2027</v>
      </c>
      <c r="I810" t="s">
        <v>2836</v>
      </c>
      <c r="J810" t="s">
        <v>4031</v>
      </c>
      <c r="K810" t="s">
        <v>4052</v>
      </c>
      <c r="L810">
        <v>-1491.54</v>
      </c>
    </row>
    <row r="811" spans="1:12">
      <c r="A811" t="s">
        <v>821</v>
      </c>
      <c r="B811" s="2">
        <v>45699</v>
      </c>
      <c r="C811">
        <v>4010</v>
      </c>
      <c r="D811" t="s">
        <v>2016</v>
      </c>
      <c r="E811">
        <v>0</v>
      </c>
      <c r="F811">
        <v>2809.76</v>
      </c>
      <c r="G811" t="s">
        <v>2021</v>
      </c>
      <c r="H811" t="s">
        <v>2024</v>
      </c>
      <c r="I811" t="s">
        <v>2837</v>
      </c>
      <c r="J811" t="s">
        <v>4031</v>
      </c>
      <c r="K811" t="s">
        <v>4061</v>
      </c>
      <c r="L811">
        <v>2809.76</v>
      </c>
    </row>
    <row r="812" spans="1:12">
      <c r="A812" t="s">
        <v>822</v>
      </c>
      <c r="B812" s="2">
        <v>45229</v>
      </c>
      <c r="C812">
        <v>4000</v>
      </c>
      <c r="D812" t="s">
        <v>2012</v>
      </c>
      <c r="E812">
        <v>0</v>
      </c>
      <c r="F812">
        <v>460.23</v>
      </c>
      <c r="G812" t="s">
        <v>2019</v>
      </c>
      <c r="H812" t="s">
        <v>2026</v>
      </c>
      <c r="I812" t="s">
        <v>2838</v>
      </c>
      <c r="J812" t="s">
        <v>4031</v>
      </c>
      <c r="K812" t="s">
        <v>4060</v>
      </c>
      <c r="L812">
        <v>460.23</v>
      </c>
    </row>
    <row r="813" spans="1:12">
      <c r="A813" t="s">
        <v>823</v>
      </c>
      <c r="B813" s="2">
        <v>45181</v>
      </c>
      <c r="C813">
        <v>4010</v>
      </c>
      <c r="D813" t="s">
        <v>2016</v>
      </c>
      <c r="E813">
        <v>0</v>
      </c>
      <c r="F813">
        <v>2788.91</v>
      </c>
      <c r="G813" t="s">
        <v>2022</v>
      </c>
      <c r="H813" t="s">
        <v>2026</v>
      </c>
      <c r="I813" t="s">
        <v>2839</v>
      </c>
      <c r="J813" t="s">
        <v>4028</v>
      </c>
      <c r="K813" t="s">
        <v>4036</v>
      </c>
      <c r="L813">
        <v>2788.91</v>
      </c>
    </row>
    <row r="814" spans="1:12">
      <c r="A814" t="s">
        <v>824</v>
      </c>
      <c r="B814" s="2">
        <v>45775</v>
      </c>
      <c r="C814">
        <v>6000</v>
      </c>
      <c r="D814" t="s">
        <v>2014</v>
      </c>
      <c r="E814">
        <v>695.92</v>
      </c>
      <c r="F814">
        <v>0</v>
      </c>
      <c r="G814" t="s">
        <v>2018</v>
      </c>
      <c r="H814" t="s">
        <v>2025</v>
      </c>
      <c r="I814" t="s">
        <v>2840</v>
      </c>
      <c r="J814" t="s">
        <v>4028</v>
      </c>
      <c r="K814" t="s">
        <v>4045</v>
      </c>
      <c r="L814">
        <v>-695.92</v>
      </c>
    </row>
    <row r="815" spans="1:12">
      <c r="A815" t="s">
        <v>825</v>
      </c>
      <c r="B815" s="2">
        <v>45764</v>
      </c>
      <c r="C815">
        <v>5010</v>
      </c>
      <c r="D815" t="s">
        <v>2015</v>
      </c>
      <c r="E815">
        <v>1845.75</v>
      </c>
      <c r="F815">
        <v>0</v>
      </c>
      <c r="G815" t="s">
        <v>2017</v>
      </c>
      <c r="H815" t="s">
        <v>2026</v>
      </c>
      <c r="I815" t="s">
        <v>2841</v>
      </c>
      <c r="J815" t="s">
        <v>4028</v>
      </c>
      <c r="K815" t="s">
        <v>4045</v>
      </c>
      <c r="L815">
        <v>-1845.75</v>
      </c>
    </row>
    <row r="816" spans="1:12">
      <c r="A816" t="s">
        <v>826</v>
      </c>
      <c r="B816" s="2">
        <v>45687</v>
      </c>
      <c r="C816">
        <v>5000</v>
      </c>
      <c r="D816" t="s">
        <v>2013</v>
      </c>
      <c r="E816">
        <v>892.42</v>
      </c>
      <c r="F816">
        <v>0</v>
      </c>
      <c r="G816" t="s">
        <v>2021</v>
      </c>
      <c r="H816" t="s">
        <v>2023</v>
      </c>
      <c r="I816" t="s">
        <v>2842</v>
      </c>
      <c r="J816" t="s">
        <v>4032</v>
      </c>
      <c r="K816" t="s">
        <v>4035</v>
      </c>
      <c r="L816">
        <v>-892.42</v>
      </c>
    </row>
    <row r="817" spans="1:12">
      <c r="A817" t="s">
        <v>827</v>
      </c>
      <c r="B817" s="2">
        <v>45170</v>
      </c>
      <c r="C817">
        <v>5010</v>
      </c>
      <c r="D817" t="s">
        <v>2015</v>
      </c>
      <c r="E817">
        <v>1024.68</v>
      </c>
      <c r="F817">
        <v>0</v>
      </c>
      <c r="G817" t="s">
        <v>2018</v>
      </c>
      <c r="H817" t="s">
        <v>2023</v>
      </c>
      <c r="I817" t="s">
        <v>2843</v>
      </c>
      <c r="J817" t="s">
        <v>4028</v>
      </c>
      <c r="K817" t="s">
        <v>4036</v>
      </c>
      <c r="L817">
        <v>-1024.68</v>
      </c>
    </row>
    <row r="818" spans="1:12">
      <c r="A818" t="s">
        <v>828</v>
      </c>
      <c r="B818" s="2">
        <v>45231</v>
      </c>
      <c r="C818">
        <v>6000</v>
      </c>
      <c r="D818" t="s">
        <v>2014</v>
      </c>
      <c r="E818">
        <v>927.04</v>
      </c>
      <c r="F818">
        <v>0</v>
      </c>
      <c r="G818" t="s">
        <v>2020</v>
      </c>
      <c r="H818" t="s">
        <v>2026</v>
      </c>
      <c r="I818" t="s">
        <v>2844</v>
      </c>
      <c r="J818" t="s">
        <v>4032</v>
      </c>
      <c r="K818" t="s">
        <v>4042</v>
      </c>
      <c r="L818">
        <v>-927.04</v>
      </c>
    </row>
    <row r="819" spans="1:12">
      <c r="A819" t="s">
        <v>829</v>
      </c>
      <c r="B819" s="2">
        <v>45376</v>
      </c>
      <c r="C819">
        <v>4000</v>
      </c>
      <c r="D819" t="s">
        <v>2012</v>
      </c>
      <c r="E819">
        <v>0</v>
      </c>
      <c r="F819">
        <v>3540.18</v>
      </c>
      <c r="G819" t="s">
        <v>2020</v>
      </c>
      <c r="H819" t="s">
        <v>2023</v>
      </c>
      <c r="I819" t="s">
        <v>2845</v>
      </c>
      <c r="J819" t="s">
        <v>4032</v>
      </c>
      <c r="K819" t="s">
        <v>4049</v>
      </c>
      <c r="L819">
        <v>3540.18</v>
      </c>
    </row>
    <row r="820" spans="1:12">
      <c r="A820" t="s">
        <v>830</v>
      </c>
      <c r="B820" s="2">
        <v>45635</v>
      </c>
      <c r="C820">
        <v>4010</v>
      </c>
      <c r="D820" t="s">
        <v>2016</v>
      </c>
      <c r="E820">
        <v>0</v>
      </c>
      <c r="F820">
        <v>4254.72</v>
      </c>
      <c r="G820" t="s">
        <v>2019</v>
      </c>
      <c r="H820" t="s">
        <v>2023</v>
      </c>
      <c r="I820" t="s">
        <v>2846</v>
      </c>
      <c r="J820" t="s">
        <v>4028</v>
      </c>
      <c r="K820" t="s">
        <v>4056</v>
      </c>
      <c r="L820">
        <v>4254.72</v>
      </c>
    </row>
    <row r="821" spans="1:12">
      <c r="A821" t="s">
        <v>831</v>
      </c>
      <c r="B821" s="2">
        <v>45211</v>
      </c>
      <c r="C821">
        <v>5010</v>
      </c>
      <c r="D821" t="s">
        <v>2015</v>
      </c>
      <c r="E821">
        <v>1013.65</v>
      </c>
      <c r="F821">
        <v>0</v>
      </c>
      <c r="G821" t="s">
        <v>2017</v>
      </c>
      <c r="H821" t="s">
        <v>2026</v>
      </c>
      <c r="I821" t="s">
        <v>2847</v>
      </c>
      <c r="J821" t="s">
        <v>4030</v>
      </c>
      <c r="K821" t="s">
        <v>4060</v>
      </c>
      <c r="L821">
        <v>-1013.65</v>
      </c>
    </row>
    <row r="822" spans="1:12">
      <c r="A822" t="s">
        <v>832</v>
      </c>
      <c r="B822" s="2">
        <v>45067</v>
      </c>
      <c r="C822">
        <v>4010</v>
      </c>
      <c r="D822" t="s">
        <v>2016</v>
      </c>
      <c r="E822">
        <v>0</v>
      </c>
      <c r="F822">
        <v>2994.63</v>
      </c>
      <c r="G822" t="s">
        <v>2019</v>
      </c>
      <c r="H822" t="s">
        <v>2026</v>
      </c>
      <c r="I822" t="s">
        <v>2848</v>
      </c>
      <c r="J822" t="s">
        <v>4031</v>
      </c>
      <c r="K822" t="s">
        <v>4062</v>
      </c>
      <c r="L822">
        <v>2994.63</v>
      </c>
    </row>
    <row r="823" spans="1:12">
      <c r="A823" t="s">
        <v>833</v>
      </c>
      <c r="B823" s="2">
        <v>45187</v>
      </c>
      <c r="C823">
        <v>4000</v>
      </c>
      <c r="D823" t="s">
        <v>2012</v>
      </c>
      <c r="E823">
        <v>0</v>
      </c>
      <c r="F823">
        <v>4094.14</v>
      </c>
      <c r="G823" t="s">
        <v>2021</v>
      </c>
      <c r="H823" t="s">
        <v>2023</v>
      </c>
      <c r="I823" t="s">
        <v>2849</v>
      </c>
      <c r="J823" t="s">
        <v>4031</v>
      </c>
      <c r="K823" t="s">
        <v>4036</v>
      </c>
      <c r="L823">
        <v>4094.14</v>
      </c>
    </row>
    <row r="824" spans="1:12">
      <c r="A824" t="s">
        <v>834</v>
      </c>
      <c r="B824" s="2">
        <v>45174</v>
      </c>
      <c r="C824">
        <v>6000</v>
      </c>
      <c r="D824" t="s">
        <v>2014</v>
      </c>
      <c r="E824">
        <v>784.89</v>
      </c>
      <c r="F824">
        <v>0</v>
      </c>
      <c r="G824" t="s">
        <v>2018</v>
      </c>
      <c r="H824" t="s">
        <v>2024</v>
      </c>
      <c r="I824" t="s">
        <v>2850</v>
      </c>
      <c r="J824" t="s">
        <v>4030</v>
      </c>
      <c r="K824" t="s">
        <v>4036</v>
      </c>
      <c r="L824">
        <v>-784.89</v>
      </c>
    </row>
    <row r="825" spans="1:12">
      <c r="A825" t="s">
        <v>835</v>
      </c>
      <c r="B825" s="2">
        <v>45709</v>
      </c>
      <c r="C825">
        <v>5000</v>
      </c>
      <c r="D825" t="s">
        <v>2013</v>
      </c>
      <c r="E825">
        <v>219.41</v>
      </c>
      <c r="F825">
        <v>0</v>
      </c>
      <c r="G825" t="s">
        <v>2019</v>
      </c>
      <c r="H825" t="s">
        <v>2023</v>
      </c>
      <c r="I825" t="s">
        <v>2851</v>
      </c>
      <c r="J825" t="s">
        <v>4030</v>
      </c>
      <c r="K825" t="s">
        <v>4061</v>
      </c>
      <c r="L825">
        <v>-219.41</v>
      </c>
    </row>
    <row r="826" spans="1:12">
      <c r="A826" t="s">
        <v>836</v>
      </c>
      <c r="B826" s="2">
        <v>45551</v>
      </c>
      <c r="C826">
        <v>4000</v>
      </c>
      <c r="D826" t="s">
        <v>2012</v>
      </c>
      <c r="E826">
        <v>0</v>
      </c>
      <c r="F826">
        <v>1558.82</v>
      </c>
      <c r="G826" t="s">
        <v>2021</v>
      </c>
      <c r="H826" t="s">
        <v>2026</v>
      </c>
      <c r="I826" t="s">
        <v>2852</v>
      </c>
      <c r="J826" t="s">
        <v>4029</v>
      </c>
      <c r="K826" t="s">
        <v>4048</v>
      </c>
      <c r="L826">
        <v>1558.82</v>
      </c>
    </row>
    <row r="827" spans="1:12">
      <c r="A827" t="s">
        <v>837</v>
      </c>
      <c r="B827" s="2">
        <v>45699</v>
      </c>
      <c r="C827">
        <v>6000</v>
      </c>
      <c r="D827" t="s">
        <v>2014</v>
      </c>
      <c r="E827">
        <v>723.9</v>
      </c>
      <c r="F827">
        <v>0</v>
      </c>
      <c r="G827" t="s">
        <v>2019</v>
      </c>
      <c r="H827" t="s">
        <v>2025</v>
      </c>
      <c r="I827" t="s">
        <v>2853</v>
      </c>
      <c r="J827" t="s">
        <v>4032</v>
      </c>
      <c r="K827" t="s">
        <v>4061</v>
      </c>
      <c r="L827">
        <v>-723.9</v>
      </c>
    </row>
    <row r="828" spans="1:12">
      <c r="A828" t="s">
        <v>838</v>
      </c>
      <c r="B828" s="2">
        <v>45613</v>
      </c>
      <c r="C828">
        <v>4010</v>
      </c>
      <c r="D828" t="s">
        <v>2016</v>
      </c>
      <c r="E828">
        <v>0</v>
      </c>
      <c r="F828">
        <v>2447.66</v>
      </c>
      <c r="G828" t="s">
        <v>2022</v>
      </c>
      <c r="H828" t="s">
        <v>2024</v>
      </c>
      <c r="I828" t="s">
        <v>2854</v>
      </c>
      <c r="J828" t="s">
        <v>4030</v>
      </c>
      <c r="K828" t="s">
        <v>4043</v>
      </c>
      <c r="L828">
        <v>2447.66</v>
      </c>
    </row>
    <row r="829" spans="1:12">
      <c r="A829" t="s">
        <v>839</v>
      </c>
      <c r="B829" s="2">
        <v>45016</v>
      </c>
      <c r="C829">
        <v>4000</v>
      </c>
      <c r="D829" t="s">
        <v>2012</v>
      </c>
      <c r="E829">
        <v>0</v>
      </c>
      <c r="F829">
        <v>1067.43</v>
      </c>
      <c r="G829" t="s">
        <v>2022</v>
      </c>
      <c r="H829" t="s">
        <v>2023</v>
      </c>
      <c r="I829" t="s">
        <v>2855</v>
      </c>
      <c r="J829" t="s">
        <v>4029</v>
      </c>
      <c r="K829" t="s">
        <v>4051</v>
      </c>
      <c r="L829">
        <v>1067.43</v>
      </c>
    </row>
    <row r="830" spans="1:12">
      <c r="A830" t="s">
        <v>840</v>
      </c>
      <c r="B830" s="2">
        <v>45068</v>
      </c>
      <c r="C830">
        <v>5010</v>
      </c>
      <c r="D830" t="s">
        <v>2015</v>
      </c>
      <c r="E830">
        <v>977.48</v>
      </c>
      <c r="F830">
        <v>0</v>
      </c>
      <c r="G830" t="s">
        <v>2018</v>
      </c>
      <c r="H830" t="s">
        <v>2026</v>
      </c>
      <c r="I830" t="s">
        <v>2856</v>
      </c>
      <c r="J830" t="s">
        <v>4030</v>
      </c>
      <c r="K830" t="s">
        <v>4062</v>
      </c>
      <c r="L830">
        <v>-977.48</v>
      </c>
    </row>
    <row r="831" spans="1:12">
      <c r="A831" t="s">
        <v>841</v>
      </c>
      <c r="B831" s="2">
        <v>45730</v>
      </c>
      <c r="C831">
        <v>6000</v>
      </c>
      <c r="D831" t="s">
        <v>2014</v>
      </c>
      <c r="E831">
        <v>1331.39</v>
      </c>
      <c r="F831">
        <v>0</v>
      </c>
      <c r="G831" t="s">
        <v>2017</v>
      </c>
      <c r="H831" t="s">
        <v>2023</v>
      </c>
      <c r="I831" t="s">
        <v>2857</v>
      </c>
      <c r="J831" t="s">
        <v>4031</v>
      </c>
      <c r="K831" t="s">
        <v>4046</v>
      </c>
      <c r="L831">
        <v>-1331.39</v>
      </c>
    </row>
    <row r="832" spans="1:12">
      <c r="A832" t="s">
        <v>842</v>
      </c>
      <c r="B832" s="2">
        <v>45017</v>
      </c>
      <c r="C832">
        <v>4010</v>
      </c>
      <c r="D832" t="s">
        <v>2016</v>
      </c>
      <c r="E832">
        <v>0</v>
      </c>
      <c r="F832">
        <v>4756.54</v>
      </c>
      <c r="G832" t="s">
        <v>2018</v>
      </c>
      <c r="H832" t="s">
        <v>2025</v>
      </c>
      <c r="I832" t="s">
        <v>2858</v>
      </c>
      <c r="J832" t="s">
        <v>4029</v>
      </c>
      <c r="K832" t="s">
        <v>4041</v>
      </c>
      <c r="L832">
        <v>4756.54</v>
      </c>
    </row>
    <row r="833" spans="1:12">
      <c r="A833" t="s">
        <v>843</v>
      </c>
      <c r="B833" s="2">
        <v>45134</v>
      </c>
      <c r="C833">
        <v>5000</v>
      </c>
      <c r="D833" t="s">
        <v>2013</v>
      </c>
      <c r="E833">
        <v>543</v>
      </c>
      <c r="F833">
        <v>0</v>
      </c>
      <c r="G833" t="s">
        <v>2019</v>
      </c>
      <c r="H833" t="s">
        <v>2024</v>
      </c>
      <c r="I833" t="s">
        <v>2859</v>
      </c>
      <c r="J833" t="s">
        <v>4031</v>
      </c>
      <c r="K833" t="s">
        <v>4050</v>
      </c>
      <c r="L833">
        <v>-543</v>
      </c>
    </row>
    <row r="834" spans="1:12">
      <c r="A834" t="s">
        <v>844</v>
      </c>
      <c r="B834" s="2">
        <v>45684</v>
      </c>
      <c r="C834">
        <v>5010</v>
      </c>
      <c r="D834" t="s">
        <v>2015</v>
      </c>
      <c r="E834">
        <v>635.02</v>
      </c>
      <c r="F834">
        <v>0</v>
      </c>
      <c r="G834" t="s">
        <v>2020</v>
      </c>
      <c r="H834" t="s">
        <v>2025</v>
      </c>
      <c r="I834" t="s">
        <v>2860</v>
      </c>
      <c r="J834" t="s">
        <v>4032</v>
      </c>
      <c r="K834" t="s">
        <v>4035</v>
      </c>
      <c r="L834">
        <v>-635.02</v>
      </c>
    </row>
    <row r="835" spans="1:12">
      <c r="A835" t="s">
        <v>845</v>
      </c>
      <c r="B835" s="2">
        <v>45342</v>
      </c>
      <c r="C835">
        <v>6000</v>
      </c>
      <c r="D835" t="s">
        <v>2014</v>
      </c>
      <c r="E835">
        <v>1114.53</v>
      </c>
      <c r="F835">
        <v>0</v>
      </c>
      <c r="G835" t="s">
        <v>2020</v>
      </c>
      <c r="H835" t="s">
        <v>2024</v>
      </c>
      <c r="I835" t="s">
        <v>2861</v>
      </c>
      <c r="J835" t="s">
        <v>4030</v>
      </c>
      <c r="K835" t="s">
        <v>4044</v>
      </c>
      <c r="L835">
        <v>-1114.53</v>
      </c>
    </row>
    <row r="836" spans="1:12">
      <c r="A836" t="s">
        <v>846</v>
      </c>
      <c r="B836" s="2">
        <v>45626</v>
      </c>
      <c r="C836">
        <v>4000</v>
      </c>
      <c r="D836" t="s">
        <v>2012</v>
      </c>
      <c r="E836">
        <v>0</v>
      </c>
      <c r="F836">
        <v>1484.62</v>
      </c>
      <c r="G836" t="s">
        <v>2020</v>
      </c>
      <c r="H836" t="s">
        <v>2026</v>
      </c>
      <c r="I836" t="s">
        <v>2862</v>
      </c>
      <c r="J836" t="s">
        <v>4028</v>
      </c>
      <c r="K836" t="s">
        <v>4043</v>
      </c>
      <c r="L836">
        <v>1484.62</v>
      </c>
    </row>
    <row r="837" spans="1:12">
      <c r="A837" t="s">
        <v>847</v>
      </c>
      <c r="B837" s="2">
        <v>45505</v>
      </c>
      <c r="C837">
        <v>6000</v>
      </c>
      <c r="D837" t="s">
        <v>2014</v>
      </c>
      <c r="E837">
        <v>742.51</v>
      </c>
      <c r="F837">
        <v>0</v>
      </c>
      <c r="G837" t="s">
        <v>2021</v>
      </c>
      <c r="H837" t="s">
        <v>2025</v>
      </c>
      <c r="I837" t="s">
        <v>2863</v>
      </c>
      <c r="J837" t="s">
        <v>4028</v>
      </c>
      <c r="K837" t="s">
        <v>4058</v>
      </c>
      <c r="L837">
        <v>-742.51</v>
      </c>
    </row>
    <row r="838" spans="1:12">
      <c r="A838" t="s">
        <v>848</v>
      </c>
      <c r="B838" s="2">
        <v>45465</v>
      </c>
      <c r="C838">
        <v>4000</v>
      </c>
      <c r="D838" t="s">
        <v>2012</v>
      </c>
      <c r="E838">
        <v>0</v>
      </c>
      <c r="F838">
        <v>3933.89</v>
      </c>
      <c r="G838" t="s">
        <v>2018</v>
      </c>
      <c r="H838" t="s">
        <v>2026</v>
      </c>
      <c r="I838" t="s">
        <v>2864</v>
      </c>
      <c r="J838" t="s">
        <v>4032</v>
      </c>
      <c r="K838" t="s">
        <v>4034</v>
      </c>
      <c r="L838">
        <v>3933.89</v>
      </c>
    </row>
    <row r="839" spans="1:12">
      <c r="A839" t="s">
        <v>849</v>
      </c>
      <c r="B839" s="2">
        <v>45370</v>
      </c>
      <c r="C839">
        <v>4010</v>
      </c>
      <c r="D839" t="s">
        <v>2016</v>
      </c>
      <c r="E839">
        <v>0</v>
      </c>
      <c r="F839">
        <v>4092.61</v>
      </c>
      <c r="G839" t="s">
        <v>2022</v>
      </c>
      <c r="H839" t="s">
        <v>2025</v>
      </c>
      <c r="I839" t="s">
        <v>2865</v>
      </c>
      <c r="J839" t="s">
        <v>4029</v>
      </c>
      <c r="K839" t="s">
        <v>4049</v>
      </c>
      <c r="L839">
        <v>4092.61</v>
      </c>
    </row>
    <row r="840" spans="1:12">
      <c r="A840" t="s">
        <v>850</v>
      </c>
      <c r="B840" s="2">
        <v>45198</v>
      </c>
      <c r="C840">
        <v>4010</v>
      </c>
      <c r="D840" t="s">
        <v>2016</v>
      </c>
      <c r="E840">
        <v>0</v>
      </c>
      <c r="F840">
        <v>4772.83</v>
      </c>
      <c r="G840" t="s">
        <v>2020</v>
      </c>
      <c r="H840" t="s">
        <v>2025</v>
      </c>
      <c r="I840" t="s">
        <v>2866</v>
      </c>
      <c r="J840" t="s">
        <v>4031</v>
      </c>
      <c r="K840" t="s">
        <v>4036</v>
      </c>
      <c r="L840">
        <v>4772.83</v>
      </c>
    </row>
    <row r="841" spans="1:12">
      <c r="A841" t="s">
        <v>851</v>
      </c>
      <c r="B841" s="2">
        <v>45836</v>
      </c>
      <c r="C841">
        <v>5010</v>
      </c>
      <c r="D841" t="s">
        <v>2015</v>
      </c>
      <c r="E841">
        <v>1965.5</v>
      </c>
      <c r="F841">
        <v>0</v>
      </c>
      <c r="G841" t="s">
        <v>2020</v>
      </c>
      <c r="H841" t="s">
        <v>2025</v>
      </c>
      <c r="I841" t="s">
        <v>2867</v>
      </c>
      <c r="J841" t="s">
        <v>4031</v>
      </c>
      <c r="K841" t="s">
        <v>4052</v>
      </c>
      <c r="L841">
        <v>-1965.5</v>
      </c>
    </row>
    <row r="842" spans="1:12">
      <c r="A842" t="s">
        <v>852</v>
      </c>
      <c r="B842" s="2">
        <v>45498</v>
      </c>
      <c r="C842">
        <v>6000</v>
      </c>
      <c r="D842" t="s">
        <v>2014</v>
      </c>
      <c r="E842">
        <v>1386.65</v>
      </c>
      <c r="F842">
        <v>0</v>
      </c>
      <c r="G842" t="s">
        <v>2021</v>
      </c>
      <c r="H842" t="s">
        <v>2024</v>
      </c>
      <c r="I842" t="s">
        <v>2868</v>
      </c>
      <c r="J842" t="s">
        <v>4031</v>
      </c>
      <c r="K842" t="s">
        <v>4054</v>
      </c>
      <c r="L842">
        <v>-1386.65</v>
      </c>
    </row>
    <row r="843" spans="1:12">
      <c r="A843" t="s">
        <v>853</v>
      </c>
      <c r="B843" s="2">
        <v>45052</v>
      </c>
      <c r="C843">
        <v>4010</v>
      </c>
      <c r="D843" t="s">
        <v>2016</v>
      </c>
      <c r="E843">
        <v>0</v>
      </c>
      <c r="F843">
        <v>872.06</v>
      </c>
      <c r="G843" t="s">
        <v>2018</v>
      </c>
      <c r="H843" t="s">
        <v>2023</v>
      </c>
      <c r="I843" t="s">
        <v>2869</v>
      </c>
      <c r="J843" t="s">
        <v>4028</v>
      </c>
      <c r="K843" t="s">
        <v>4062</v>
      </c>
      <c r="L843">
        <v>872.06</v>
      </c>
    </row>
    <row r="844" spans="1:12">
      <c r="A844" t="s">
        <v>854</v>
      </c>
      <c r="B844" s="2">
        <v>45574</v>
      </c>
      <c r="C844">
        <v>5010</v>
      </c>
      <c r="D844" t="s">
        <v>2015</v>
      </c>
      <c r="E844">
        <v>1801.16</v>
      </c>
      <c r="F844">
        <v>0</v>
      </c>
      <c r="G844" t="s">
        <v>2022</v>
      </c>
      <c r="H844" t="s">
        <v>2027</v>
      </c>
      <c r="I844" t="s">
        <v>2870</v>
      </c>
      <c r="J844" t="s">
        <v>4029</v>
      </c>
      <c r="K844" t="s">
        <v>4059</v>
      </c>
      <c r="L844">
        <v>-1801.16</v>
      </c>
    </row>
    <row r="845" spans="1:12">
      <c r="A845" t="s">
        <v>855</v>
      </c>
      <c r="B845" s="2">
        <v>45082</v>
      </c>
      <c r="C845">
        <v>5010</v>
      </c>
      <c r="D845" t="s">
        <v>2015</v>
      </c>
      <c r="E845">
        <v>1990.94</v>
      </c>
      <c r="F845">
        <v>0</v>
      </c>
      <c r="G845" t="s">
        <v>2020</v>
      </c>
      <c r="H845" t="s">
        <v>2027</v>
      </c>
      <c r="I845" t="s">
        <v>2871</v>
      </c>
      <c r="J845" t="s">
        <v>4030</v>
      </c>
      <c r="K845" t="s">
        <v>4055</v>
      </c>
      <c r="L845">
        <v>-1990.94</v>
      </c>
    </row>
    <row r="846" spans="1:12">
      <c r="A846" t="s">
        <v>856</v>
      </c>
      <c r="B846" s="2">
        <v>45538</v>
      </c>
      <c r="C846">
        <v>4000</v>
      </c>
      <c r="D846" t="s">
        <v>2012</v>
      </c>
      <c r="E846">
        <v>0</v>
      </c>
      <c r="F846">
        <v>1372.78</v>
      </c>
      <c r="G846" t="s">
        <v>2018</v>
      </c>
      <c r="H846" t="s">
        <v>2025</v>
      </c>
      <c r="I846" t="s">
        <v>2872</v>
      </c>
      <c r="J846" t="s">
        <v>4030</v>
      </c>
      <c r="K846" t="s">
        <v>4048</v>
      </c>
      <c r="L846">
        <v>1372.78</v>
      </c>
    </row>
    <row r="847" spans="1:12">
      <c r="A847" t="s">
        <v>857</v>
      </c>
      <c r="B847" s="2">
        <v>45552</v>
      </c>
      <c r="C847">
        <v>5000</v>
      </c>
      <c r="D847" t="s">
        <v>2013</v>
      </c>
      <c r="E847">
        <v>1600.28</v>
      </c>
      <c r="F847">
        <v>0</v>
      </c>
      <c r="G847" t="s">
        <v>2018</v>
      </c>
      <c r="H847" t="s">
        <v>2025</v>
      </c>
      <c r="I847" t="s">
        <v>2873</v>
      </c>
      <c r="J847" t="s">
        <v>4031</v>
      </c>
      <c r="K847" t="s">
        <v>4048</v>
      </c>
      <c r="L847">
        <v>-1600.28</v>
      </c>
    </row>
    <row r="848" spans="1:12">
      <c r="A848" t="s">
        <v>858</v>
      </c>
      <c r="B848" s="2">
        <v>45419</v>
      </c>
      <c r="C848">
        <v>5010</v>
      </c>
      <c r="D848" t="s">
        <v>2015</v>
      </c>
      <c r="E848">
        <v>618.05999999999995</v>
      </c>
      <c r="F848">
        <v>0</v>
      </c>
      <c r="G848" t="s">
        <v>2021</v>
      </c>
      <c r="H848" t="s">
        <v>2023</v>
      </c>
      <c r="I848" t="s">
        <v>2874</v>
      </c>
      <c r="J848" t="s">
        <v>4032</v>
      </c>
      <c r="K848" t="s">
        <v>4033</v>
      </c>
      <c r="L848">
        <v>-618.05999999999995</v>
      </c>
    </row>
    <row r="849" spans="1:12">
      <c r="A849" t="s">
        <v>859</v>
      </c>
      <c r="B849" s="2">
        <v>45416</v>
      </c>
      <c r="C849">
        <v>4000</v>
      </c>
      <c r="D849" t="s">
        <v>2012</v>
      </c>
      <c r="E849">
        <v>0</v>
      </c>
      <c r="F849">
        <v>3150.6</v>
      </c>
      <c r="G849" t="s">
        <v>2020</v>
      </c>
      <c r="H849" t="s">
        <v>2026</v>
      </c>
      <c r="I849" t="s">
        <v>2875</v>
      </c>
      <c r="J849" t="s">
        <v>4031</v>
      </c>
      <c r="K849" t="s">
        <v>4033</v>
      </c>
      <c r="L849">
        <v>3150.6</v>
      </c>
    </row>
    <row r="850" spans="1:12">
      <c r="A850" t="s">
        <v>860</v>
      </c>
      <c r="B850" s="2">
        <v>45754</v>
      </c>
      <c r="C850">
        <v>6000</v>
      </c>
      <c r="D850" t="s">
        <v>2014</v>
      </c>
      <c r="E850">
        <v>1288.25</v>
      </c>
      <c r="F850">
        <v>0</v>
      </c>
      <c r="G850" t="s">
        <v>2019</v>
      </c>
      <c r="H850" t="s">
        <v>2024</v>
      </c>
      <c r="I850" t="s">
        <v>2876</v>
      </c>
      <c r="J850" t="s">
        <v>4029</v>
      </c>
      <c r="K850" t="s">
        <v>4045</v>
      </c>
      <c r="L850">
        <v>-1288.25</v>
      </c>
    </row>
    <row r="851" spans="1:12">
      <c r="A851" t="s">
        <v>861</v>
      </c>
      <c r="B851" s="2">
        <v>45495</v>
      </c>
      <c r="C851">
        <v>5010</v>
      </c>
      <c r="D851" t="s">
        <v>2015</v>
      </c>
      <c r="E851">
        <v>1629.27</v>
      </c>
      <c r="F851">
        <v>0</v>
      </c>
      <c r="G851" t="s">
        <v>2022</v>
      </c>
      <c r="H851" t="s">
        <v>2026</v>
      </c>
      <c r="I851" t="s">
        <v>2877</v>
      </c>
      <c r="J851" t="s">
        <v>4032</v>
      </c>
      <c r="K851" t="s">
        <v>4054</v>
      </c>
      <c r="L851">
        <v>-1629.27</v>
      </c>
    </row>
    <row r="852" spans="1:12">
      <c r="A852" t="s">
        <v>862</v>
      </c>
      <c r="B852" s="2">
        <v>45687</v>
      </c>
      <c r="C852">
        <v>5000</v>
      </c>
      <c r="D852" t="s">
        <v>2013</v>
      </c>
      <c r="E852">
        <v>436.4</v>
      </c>
      <c r="F852">
        <v>0</v>
      </c>
      <c r="G852" t="s">
        <v>2017</v>
      </c>
      <c r="H852" t="s">
        <v>2027</v>
      </c>
      <c r="I852" t="s">
        <v>2878</v>
      </c>
      <c r="J852" t="s">
        <v>4031</v>
      </c>
      <c r="K852" t="s">
        <v>4035</v>
      </c>
      <c r="L852">
        <v>-436.4</v>
      </c>
    </row>
    <row r="853" spans="1:12">
      <c r="A853" t="s">
        <v>863</v>
      </c>
      <c r="B853" s="2">
        <v>45241</v>
      </c>
      <c r="C853">
        <v>5010</v>
      </c>
      <c r="D853" t="s">
        <v>2015</v>
      </c>
      <c r="E853">
        <v>186.27</v>
      </c>
      <c r="F853">
        <v>0</v>
      </c>
      <c r="G853" t="s">
        <v>2018</v>
      </c>
      <c r="H853" t="s">
        <v>2025</v>
      </c>
      <c r="I853" t="s">
        <v>2879</v>
      </c>
      <c r="J853" t="s">
        <v>4030</v>
      </c>
      <c r="K853" t="s">
        <v>4042</v>
      </c>
      <c r="L853">
        <v>-186.27</v>
      </c>
    </row>
    <row r="854" spans="1:12">
      <c r="A854" t="s">
        <v>864</v>
      </c>
      <c r="B854" s="2">
        <v>45218</v>
      </c>
      <c r="C854">
        <v>4000</v>
      </c>
      <c r="D854" t="s">
        <v>2012</v>
      </c>
      <c r="E854">
        <v>0</v>
      </c>
      <c r="F854">
        <v>3025.08</v>
      </c>
      <c r="G854" t="s">
        <v>2020</v>
      </c>
      <c r="H854" t="s">
        <v>2027</v>
      </c>
      <c r="I854" t="s">
        <v>2880</v>
      </c>
      <c r="J854" t="s">
        <v>4030</v>
      </c>
      <c r="K854" t="s">
        <v>4060</v>
      </c>
      <c r="L854">
        <v>3025.08</v>
      </c>
    </row>
    <row r="855" spans="1:12">
      <c r="A855" t="s">
        <v>865</v>
      </c>
      <c r="B855" s="2">
        <v>44943</v>
      </c>
      <c r="C855">
        <v>5000</v>
      </c>
      <c r="D855" t="s">
        <v>2013</v>
      </c>
      <c r="E855">
        <v>793.16</v>
      </c>
      <c r="F855">
        <v>0</v>
      </c>
      <c r="G855" t="s">
        <v>2021</v>
      </c>
      <c r="H855" t="s">
        <v>2026</v>
      </c>
      <c r="I855" t="s">
        <v>2881</v>
      </c>
      <c r="J855" t="s">
        <v>4031</v>
      </c>
      <c r="K855" t="s">
        <v>4047</v>
      </c>
      <c r="L855">
        <v>-793.16</v>
      </c>
    </row>
    <row r="856" spans="1:12">
      <c r="A856" t="s">
        <v>866</v>
      </c>
      <c r="B856" s="2">
        <v>45033</v>
      </c>
      <c r="C856">
        <v>5010</v>
      </c>
      <c r="D856" t="s">
        <v>2015</v>
      </c>
      <c r="E856">
        <v>1753.87</v>
      </c>
      <c r="F856">
        <v>0</v>
      </c>
      <c r="G856" t="s">
        <v>2022</v>
      </c>
      <c r="H856" t="s">
        <v>2025</v>
      </c>
      <c r="I856" t="s">
        <v>2882</v>
      </c>
      <c r="J856" t="s">
        <v>4030</v>
      </c>
      <c r="K856" t="s">
        <v>4041</v>
      </c>
      <c r="L856">
        <v>-1753.87</v>
      </c>
    </row>
    <row r="857" spans="1:12">
      <c r="A857" t="s">
        <v>867</v>
      </c>
      <c r="B857" s="2">
        <v>45448</v>
      </c>
      <c r="C857">
        <v>4000</v>
      </c>
      <c r="D857" t="s">
        <v>2012</v>
      </c>
      <c r="E857">
        <v>0</v>
      </c>
      <c r="F857">
        <v>915.77</v>
      </c>
      <c r="G857" t="s">
        <v>2017</v>
      </c>
      <c r="H857" t="s">
        <v>2024</v>
      </c>
      <c r="I857" t="s">
        <v>2883</v>
      </c>
      <c r="J857" t="s">
        <v>4030</v>
      </c>
      <c r="K857" t="s">
        <v>4034</v>
      </c>
      <c r="L857">
        <v>915.77</v>
      </c>
    </row>
    <row r="858" spans="1:12">
      <c r="A858" t="s">
        <v>868</v>
      </c>
      <c r="B858" s="2">
        <v>45038</v>
      </c>
      <c r="C858">
        <v>5000</v>
      </c>
      <c r="D858" t="s">
        <v>2013</v>
      </c>
      <c r="E858">
        <v>1083.5899999999999</v>
      </c>
      <c r="F858">
        <v>0</v>
      </c>
      <c r="G858" t="s">
        <v>2017</v>
      </c>
      <c r="H858" t="s">
        <v>2024</v>
      </c>
      <c r="I858" t="s">
        <v>2884</v>
      </c>
      <c r="J858" t="s">
        <v>4031</v>
      </c>
      <c r="K858" t="s">
        <v>4041</v>
      </c>
      <c r="L858">
        <v>-1083.5899999999999</v>
      </c>
    </row>
    <row r="859" spans="1:12">
      <c r="A859" t="s">
        <v>869</v>
      </c>
      <c r="B859" s="2">
        <v>45779</v>
      </c>
      <c r="C859">
        <v>4010</v>
      </c>
      <c r="D859" t="s">
        <v>2016</v>
      </c>
      <c r="E859">
        <v>0</v>
      </c>
      <c r="F859">
        <v>889.07</v>
      </c>
      <c r="G859" t="s">
        <v>2017</v>
      </c>
      <c r="H859" t="s">
        <v>2026</v>
      </c>
      <c r="I859" t="s">
        <v>2885</v>
      </c>
      <c r="J859" t="s">
        <v>4029</v>
      </c>
      <c r="K859" t="s">
        <v>4038</v>
      </c>
      <c r="L859">
        <v>889.07</v>
      </c>
    </row>
    <row r="860" spans="1:12">
      <c r="A860" t="s">
        <v>870</v>
      </c>
      <c r="B860" s="2">
        <v>45407</v>
      </c>
      <c r="C860">
        <v>6000</v>
      </c>
      <c r="D860" t="s">
        <v>2014</v>
      </c>
      <c r="E860">
        <v>1620.36</v>
      </c>
      <c r="F860">
        <v>0</v>
      </c>
      <c r="G860" t="s">
        <v>2017</v>
      </c>
      <c r="H860" t="s">
        <v>2025</v>
      </c>
      <c r="I860" t="s">
        <v>2886</v>
      </c>
      <c r="J860" t="s">
        <v>4029</v>
      </c>
      <c r="K860" t="s">
        <v>4040</v>
      </c>
      <c r="L860">
        <v>-1620.36</v>
      </c>
    </row>
    <row r="861" spans="1:12">
      <c r="A861" t="s">
        <v>871</v>
      </c>
      <c r="B861" s="2">
        <v>45807</v>
      </c>
      <c r="C861">
        <v>4000</v>
      </c>
      <c r="D861" t="s">
        <v>2012</v>
      </c>
      <c r="E861">
        <v>0</v>
      </c>
      <c r="F861">
        <v>549.91999999999996</v>
      </c>
      <c r="G861" t="s">
        <v>2021</v>
      </c>
      <c r="H861" t="s">
        <v>2024</v>
      </c>
      <c r="I861" t="s">
        <v>2887</v>
      </c>
      <c r="J861" t="s">
        <v>4028</v>
      </c>
      <c r="K861" t="s">
        <v>4038</v>
      </c>
      <c r="L861">
        <v>549.91999999999996</v>
      </c>
    </row>
    <row r="862" spans="1:12">
      <c r="A862" t="s">
        <v>872</v>
      </c>
      <c r="B862" s="2">
        <v>45769</v>
      </c>
      <c r="C862">
        <v>4010</v>
      </c>
      <c r="D862" t="s">
        <v>2016</v>
      </c>
      <c r="E862">
        <v>0</v>
      </c>
      <c r="F862">
        <v>4103.1000000000004</v>
      </c>
      <c r="G862" t="s">
        <v>2019</v>
      </c>
      <c r="H862" t="s">
        <v>2025</v>
      </c>
      <c r="I862" t="s">
        <v>2888</v>
      </c>
      <c r="J862" t="s">
        <v>4031</v>
      </c>
      <c r="K862" t="s">
        <v>4045</v>
      </c>
      <c r="L862">
        <v>4103.1000000000004</v>
      </c>
    </row>
    <row r="863" spans="1:12">
      <c r="A863" t="s">
        <v>873</v>
      </c>
      <c r="B863" s="2">
        <v>45443</v>
      </c>
      <c r="C863">
        <v>5010</v>
      </c>
      <c r="D863" t="s">
        <v>2015</v>
      </c>
      <c r="E863">
        <v>316.45</v>
      </c>
      <c r="F863">
        <v>0</v>
      </c>
      <c r="G863" t="s">
        <v>2021</v>
      </c>
      <c r="H863" t="s">
        <v>2026</v>
      </c>
      <c r="I863" t="s">
        <v>2889</v>
      </c>
      <c r="J863" t="s">
        <v>4031</v>
      </c>
      <c r="K863" t="s">
        <v>4033</v>
      </c>
      <c r="L863">
        <v>-316.45</v>
      </c>
    </row>
    <row r="864" spans="1:12">
      <c r="A864" t="s">
        <v>874</v>
      </c>
      <c r="B864" s="2">
        <v>45387</v>
      </c>
      <c r="C864">
        <v>6000</v>
      </c>
      <c r="D864" t="s">
        <v>2014</v>
      </c>
      <c r="E864">
        <v>1384.87</v>
      </c>
      <c r="F864">
        <v>0</v>
      </c>
      <c r="G864" t="s">
        <v>2018</v>
      </c>
      <c r="H864" t="s">
        <v>2026</v>
      </c>
      <c r="I864" t="s">
        <v>2890</v>
      </c>
      <c r="J864" t="s">
        <v>4030</v>
      </c>
      <c r="K864" t="s">
        <v>4040</v>
      </c>
      <c r="L864">
        <v>-1384.87</v>
      </c>
    </row>
    <row r="865" spans="1:12">
      <c r="A865" t="s">
        <v>875</v>
      </c>
      <c r="B865" s="2">
        <v>45446</v>
      </c>
      <c r="C865">
        <v>6000</v>
      </c>
      <c r="D865" t="s">
        <v>2014</v>
      </c>
      <c r="E865">
        <v>932.11</v>
      </c>
      <c r="F865">
        <v>0</v>
      </c>
      <c r="G865" t="s">
        <v>2019</v>
      </c>
      <c r="H865" t="s">
        <v>2023</v>
      </c>
      <c r="I865" t="s">
        <v>2891</v>
      </c>
      <c r="J865" t="s">
        <v>4028</v>
      </c>
      <c r="K865" t="s">
        <v>4034</v>
      </c>
      <c r="L865">
        <v>-932.11</v>
      </c>
    </row>
    <row r="866" spans="1:12">
      <c r="A866" t="s">
        <v>876</v>
      </c>
      <c r="B866" s="2">
        <v>45491</v>
      </c>
      <c r="C866">
        <v>4000</v>
      </c>
      <c r="D866" t="s">
        <v>2012</v>
      </c>
      <c r="E866">
        <v>0</v>
      </c>
      <c r="F866">
        <v>2355.54</v>
      </c>
      <c r="G866" t="s">
        <v>2022</v>
      </c>
      <c r="H866" t="s">
        <v>2025</v>
      </c>
      <c r="I866" t="s">
        <v>2892</v>
      </c>
      <c r="J866" t="s">
        <v>4032</v>
      </c>
      <c r="K866" t="s">
        <v>4054</v>
      </c>
      <c r="L866">
        <v>2355.54</v>
      </c>
    </row>
    <row r="867" spans="1:12">
      <c r="A867" t="s">
        <v>877</v>
      </c>
      <c r="B867" s="2">
        <v>45530</v>
      </c>
      <c r="C867">
        <v>5000</v>
      </c>
      <c r="D867" t="s">
        <v>2013</v>
      </c>
      <c r="E867">
        <v>1327.52</v>
      </c>
      <c r="F867">
        <v>0</v>
      </c>
      <c r="G867" t="s">
        <v>2022</v>
      </c>
      <c r="H867" t="s">
        <v>2025</v>
      </c>
      <c r="I867" t="s">
        <v>2893</v>
      </c>
      <c r="J867" t="s">
        <v>4031</v>
      </c>
      <c r="K867" t="s">
        <v>4058</v>
      </c>
      <c r="L867">
        <v>-1327.52</v>
      </c>
    </row>
    <row r="868" spans="1:12">
      <c r="A868" t="s">
        <v>878</v>
      </c>
      <c r="B868" s="2">
        <v>45044</v>
      </c>
      <c r="C868">
        <v>6000</v>
      </c>
      <c r="D868" t="s">
        <v>2014</v>
      </c>
      <c r="E868">
        <v>77.790000000000006</v>
      </c>
      <c r="F868">
        <v>0</v>
      </c>
      <c r="G868" t="s">
        <v>2020</v>
      </c>
      <c r="H868" t="s">
        <v>2026</v>
      </c>
      <c r="I868" t="s">
        <v>2894</v>
      </c>
      <c r="J868" t="s">
        <v>4031</v>
      </c>
      <c r="K868" t="s">
        <v>4041</v>
      </c>
      <c r="L868">
        <v>-77.790000000000006</v>
      </c>
    </row>
    <row r="869" spans="1:12">
      <c r="A869" t="s">
        <v>879</v>
      </c>
      <c r="B869" s="2">
        <v>45756</v>
      </c>
      <c r="C869">
        <v>4000</v>
      </c>
      <c r="D869" t="s">
        <v>2012</v>
      </c>
      <c r="E869">
        <v>0</v>
      </c>
      <c r="F869">
        <v>2100.39</v>
      </c>
      <c r="G869" t="s">
        <v>2019</v>
      </c>
      <c r="H869" t="s">
        <v>2025</v>
      </c>
      <c r="I869" t="s">
        <v>2895</v>
      </c>
      <c r="J869" t="s">
        <v>4028</v>
      </c>
      <c r="K869" t="s">
        <v>4045</v>
      </c>
      <c r="L869">
        <v>2100.39</v>
      </c>
    </row>
    <row r="870" spans="1:12">
      <c r="A870" t="s">
        <v>880</v>
      </c>
      <c r="B870" s="2">
        <v>45556</v>
      </c>
      <c r="C870">
        <v>5010</v>
      </c>
      <c r="D870" t="s">
        <v>2015</v>
      </c>
      <c r="E870">
        <v>882.8</v>
      </c>
      <c r="F870">
        <v>0</v>
      </c>
      <c r="G870" t="s">
        <v>2022</v>
      </c>
      <c r="H870" t="s">
        <v>2025</v>
      </c>
      <c r="I870" t="s">
        <v>2896</v>
      </c>
      <c r="J870" t="s">
        <v>4030</v>
      </c>
      <c r="K870" t="s">
        <v>4048</v>
      </c>
      <c r="L870">
        <v>-882.8</v>
      </c>
    </row>
    <row r="871" spans="1:12">
      <c r="A871" t="s">
        <v>881</v>
      </c>
      <c r="B871" s="2">
        <v>45137</v>
      </c>
      <c r="C871">
        <v>4010</v>
      </c>
      <c r="D871" t="s">
        <v>2016</v>
      </c>
      <c r="E871">
        <v>0</v>
      </c>
      <c r="F871">
        <v>3194.96</v>
      </c>
      <c r="G871" t="s">
        <v>2021</v>
      </c>
      <c r="H871" t="s">
        <v>2023</v>
      </c>
      <c r="I871" t="s">
        <v>2897</v>
      </c>
      <c r="J871" t="s">
        <v>4031</v>
      </c>
      <c r="K871" t="s">
        <v>4050</v>
      </c>
      <c r="L871">
        <v>3194.96</v>
      </c>
    </row>
    <row r="872" spans="1:12">
      <c r="A872" t="s">
        <v>882</v>
      </c>
      <c r="B872" s="2">
        <v>45662</v>
      </c>
      <c r="C872">
        <v>6000</v>
      </c>
      <c r="D872" t="s">
        <v>2014</v>
      </c>
      <c r="E872">
        <v>981.76</v>
      </c>
      <c r="F872">
        <v>0</v>
      </c>
      <c r="G872" t="s">
        <v>2021</v>
      </c>
      <c r="H872" t="s">
        <v>2026</v>
      </c>
      <c r="I872" t="s">
        <v>2898</v>
      </c>
      <c r="J872" t="s">
        <v>4029</v>
      </c>
      <c r="K872" t="s">
        <v>4035</v>
      </c>
      <c r="L872">
        <v>-981.76</v>
      </c>
    </row>
    <row r="873" spans="1:12">
      <c r="A873" t="s">
        <v>883</v>
      </c>
      <c r="B873" s="2">
        <v>45080</v>
      </c>
      <c r="C873">
        <v>4010</v>
      </c>
      <c r="D873" t="s">
        <v>2016</v>
      </c>
      <c r="E873">
        <v>0</v>
      </c>
      <c r="F873">
        <v>1322.78</v>
      </c>
      <c r="G873" t="s">
        <v>2018</v>
      </c>
      <c r="H873" t="s">
        <v>2026</v>
      </c>
      <c r="I873" t="s">
        <v>2899</v>
      </c>
      <c r="J873" t="s">
        <v>4031</v>
      </c>
      <c r="K873" t="s">
        <v>4055</v>
      </c>
      <c r="L873">
        <v>1322.78</v>
      </c>
    </row>
    <row r="874" spans="1:12">
      <c r="A874" t="s">
        <v>884</v>
      </c>
      <c r="B874" s="2">
        <v>45300</v>
      </c>
      <c r="C874">
        <v>6000</v>
      </c>
      <c r="D874" t="s">
        <v>2014</v>
      </c>
      <c r="E874">
        <v>508.47</v>
      </c>
      <c r="F874">
        <v>0</v>
      </c>
      <c r="G874" t="s">
        <v>2019</v>
      </c>
      <c r="H874" t="s">
        <v>2023</v>
      </c>
      <c r="I874" t="s">
        <v>2900</v>
      </c>
      <c r="J874" t="s">
        <v>4031</v>
      </c>
      <c r="K874" t="s">
        <v>4053</v>
      </c>
      <c r="L874">
        <v>-508.47</v>
      </c>
    </row>
    <row r="875" spans="1:12">
      <c r="A875" t="s">
        <v>885</v>
      </c>
      <c r="B875" s="2">
        <v>45771</v>
      </c>
      <c r="C875">
        <v>6000</v>
      </c>
      <c r="D875" t="s">
        <v>2014</v>
      </c>
      <c r="E875">
        <v>1587.23</v>
      </c>
      <c r="F875">
        <v>0</v>
      </c>
      <c r="G875" t="s">
        <v>2021</v>
      </c>
      <c r="H875" t="s">
        <v>2026</v>
      </c>
      <c r="I875" t="s">
        <v>2901</v>
      </c>
      <c r="J875" t="s">
        <v>4030</v>
      </c>
      <c r="K875" t="s">
        <v>4045</v>
      </c>
      <c r="L875">
        <v>-1587.23</v>
      </c>
    </row>
    <row r="876" spans="1:12">
      <c r="A876" t="s">
        <v>886</v>
      </c>
      <c r="B876" s="2">
        <v>45678</v>
      </c>
      <c r="C876">
        <v>4000</v>
      </c>
      <c r="D876" t="s">
        <v>2012</v>
      </c>
      <c r="E876">
        <v>0</v>
      </c>
      <c r="F876">
        <v>2067.5700000000002</v>
      </c>
      <c r="G876" t="s">
        <v>2021</v>
      </c>
      <c r="H876" t="s">
        <v>2027</v>
      </c>
      <c r="I876" t="s">
        <v>2902</v>
      </c>
      <c r="J876" t="s">
        <v>4028</v>
      </c>
      <c r="K876" t="s">
        <v>4035</v>
      </c>
      <c r="L876">
        <v>2067.5700000000002</v>
      </c>
    </row>
    <row r="877" spans="1:12">
      <c r="A877" t="s">
        <v>887</v>
      </c>
      <c r="B877" s="2">
        <v>45138</v>
      </c>
      <c r="C877">
        <v>4000</v>
      </c>
      <c r="D877" t="s">
        <v>2012</v>
      </c>
      <c r="E877">
        <v>0</v>
      </c>
      <c r="F877">
        <v>1379.98</v>
      </c>
      <c r="G877" t="s">
        <v>2020</v>
      </c>
      <c r="H877" t="s">
        <v>2025</v>
      </c>
      <c r="I877" t="s">
        <v>2903</v>
      </c>
      <c r="J877" t="s">
        <v>4032</v>
      </c>
      <c r="K877" t="s">
        <v>4050</v>
      </c>
      <c r="L877">
        <v>1379.98</v>
      </c>
    </row>
    <row r="878" spans="1:12">
      <c r="A878" t="s">
        <v>888</v>
      </c>
      <c r="B878" s="2">
        <v>45626</v>
      </c>
      <c r="C878">
        <v>4010</v>
      </c>
      <c r="D878" t="s">
        <v>2016</v>
      </c>
      <c r="E878">
        <v>0</v>
      </c>
      <c r="F878">
        <v>4346.96</v>
      </c>
      <c r="G878" t="s">
        <v>2021</v>
      </c>
      <c r="H878" t="s">
        <v>2025</v>
      </c>
      <c r="I878" t="s">
        <v>2904</v>
      </c>
      <c r="J878" t="s">
        <v>4032</v>
      </c>
      <c r="K878" t="s">
        <v>4043</v>
      </c>
      <c r="L878">
        <v>4346.96</v>
      </c>
    </row>
    <row r="879" spans="1:12">
      <c r="A879" t="s">
        <v>889</v>
      </c>
      <c r="B879" s="2">
        <v>45095</v>
      </c>
      <c r="C879">
        <v>4000</v>
      </c>
      <c r="D879" t="s">
        <v>2012</v>
      </c>
      <c r="E879">
        <v>0</v>
      </c>
      <c r="F879">
        <v>525.34</v>
      </c>
      <c r="G879" t="s">
        <v>2018</v>
      </c>
      <c r="H879" t="s">
        <v>2026</v>
      </c>
      <c r="I879" t="s">
        <v>2905</v>
      </c>
      <c r="J879" t="s">
        <v>4028</v>
      </c>
      <c r="K879" t="s">
        <v>4055</v>
      </c>
      <c r="L879">
        <v>525.34</v>
      </c>
    </row>
    <row r="880" spans="1:12">
      <c r="A880" t="s">
        <v>890</v>
      </c>
      <c r="B880" s="2">
        <v>45270</v>
      </c>
      <c r="C880">
        <v>5010</v>
      </c>
      <c r="D880" t="s">
        <v>2015</v>
      </c>
      <c r="E880">
        <v>275.32</v>
      </c>
      <c r="F880">
        <v>0</v>
      </c>
      <c r="G880" t="s">
        <v>2018</v>
      </c>
      <c r="H880" t="s">
        <v>2026</v>
      </c>
      <c r="I880" t="s">
        <v>2906</v>
      </c>
      <c r="J880" t="s">
        <v>4031</v>
      </c>
      <c r="K880" t="s">
        <v>4039</v>
      </c>
      <c r="L880">
        <v>-275.32</v>
      </c>
    </row>
    <row r="881" spans="1:12">
      <c r="A881" t="s">
        <v>891</v>
      </c>
      <c r="B881" s="2">
        <v>45475</v>
      </c>
      <c r="C881">
        <v>6000</v>
      </c>
      <c r="D881" t="s">
        <v>2014</v>
      </c>
      <c r="E881">
        <v>1408.29</v>
      </c>
      <c r="F881">
        <v>0</v>
      </c>
      <c r="G881" t="s">
        <v>2017</v>
      </c>
      <c r="H881" t="s">
        <v>2024</v>
      </c>
      <c r="I881" t="s">
        <v>2907</v>
      </c>
      <c r="J881" t="s">
        <v>4032</v>
      </c>
      <c r="K881" t="s">
        <v>4054</v>
      </c>
      <c r="L881">
        <v>-1408.29</v>
      </c>
    </row>
    <row r="882" spans="1:12">
      <c r="A882" t="s">
        <v>892</v>
      </c>
      <c r="B882" s="2">
        <v>45479</v>
      </c>
      <c r="C882">
        <v>4010</v>
      </c>
      <c r="D882" t="s">
        <v>2016</v>
      </c>
      <c r="E882">
        <v>0</v>
      </c>
      <c r="F882">
        <v>2640.87</v>
      </c>
      <c r="G882" t="s">
        <v>2019</v>
      </c>
      <c r="H882" t="s">
        <v>2023</v>
      </c>
      <c r="I882" t="s">
        <v>2908</v>
      </c>
      <c r="J882" t="s">
        <v>4031</v>
      </c>
      <c r="K882" t="s">
        <v>4054</v>
      </c>
      <c r="L882">
        <v>2640.87</v>
      </c>
    </row>
    <row r="883" spans="1:12">
      <c r="A883" t="s">
        <v>893</v>
      </c>
      <c r="B883" s="2">
        <v>45754</v>
      </c>
      <c r="C883">
        <v>4000</v>
      </c>
      <c r="D883" t="s">
        <v>2012</v>
      </c>
      <c r="E883">
        <v>0</v>
      </c>
      <c r="F883">
        <v>2978.56</v>
      </c>
      <c r="G883" t="s">
        <v>2022</v>
      </c>
      <c r="H883" t="s">
        <v>2026</v>
      </c>
      <c r="I883" t="s">
        <v>2909</v>
      </c>
      <c r="J883" t="s">
        <v>4028</v>
      </c>
      <c r="K883" t="s">
        <v>4045</v>
      </c>
      <c r="L883">
        <v>2978.56</v>
      </c>
    </row>
    <row r="884" spans="1:12">
      <c r="A884" t="s">
        <v>894</v>
      </c>
      <c r="B884" s="2">
        <v>45282</v>
      </c>
      <c r="C884">
        <v>5010</v>
      </c>
      <c r="D884" t="s">
        <v>2015</v>
      </c>
      <c r="E884">
        <v>100.56</v>
      </c>
      <c r="F884">
        <v>0</v>
      </c>
      <c r="G884" t="s">
        <v>2018</v>
      </c>
      <c r="H884" t="s">
        <v>2023</v>
      </c>
      <c r="I884" t="s">
        <v>2910</v>
      </c>
      <c r="J884" t="s">
        <v>4032</v>
      </c>
      <c r="K884" t="s">
        <v>4039</v>
      </c>
      <c r="L884">
        <v>-100.56</v>
      </c>
    </row>
    <row r="885" spans="1:12">
      <c r="A885" t="s">
        <v>895</v>
      </c>
      <c r="B885" s="2">
        <v>45323</v>
      </c>
      <c r="C885">
        <v>5010</v>
      </c>
      <c r="D885" t="s">
        <v>2015</v>
      </c>
      <c r="E885">
        <v>581.4</v>
      </c>
      <c r="F885">
        <v>0</v>
      </c>
      <c r="G885" t="s">
        <v>2019</v>
      </c>
      <c r="H885" t="s">
        <v>2025</v>
      </c>
      <c r="I885" t="s">
        <v>2911</v>
      </c>
      <c r="J885" t="s">
        <v>4030</v>
      </c>
      <c r="K885" t="s">
        <v>4044</v>
      </c>
      <c r="L885">
        <v>-581.4</v>
      </c>
    </row>
    <row r="886" spans="1:12">
      <c r="A886" t="s">
        <v>896</v>
      </c>
      <c r="B886" s="2">
        <v>44950</v>
      </c>
      <c r="C886">
        <v>6000</v>
      </c>
      <c r="D886" t="s">
        <v>2014</v>
      </c>
      <c r="E886">
        <v>176.17</v>
      </c>
      <c r="F886">
        <v>0</v>
      </c>
      <c r="G886" t="s">
        <v>2017</v>
      </c>
      <c r="H886" t="s">
        <v>2027</v>
      </c>
      <c r="I886" t="s">
        <v>2912</v>
      </c>
      <c r="J886" t="s">
        <v>4031</v>
      </c>
      <c r="K886" t="s">
        <v>4047</v>
      </c>
      <c r="L886">
        <v>-176.17</v>
      </c>
    </row>
    <row r="887" spans="1:12">
      <c r="A887" t="s">
        <v>897</v>
      </c>
      <c r="B887" s="2">
        <v>44966</v>
      </c>
      <c r="C887">
        <v>5010</v>
      </c>
      <c r="D887" t="s">
        <v>2015</v>
      </c>
      <c r="E887">
        <v>482.67</v>
      </c>
      <c r="F887">
        <v>0</v>
      </c>
      <c r="G887" t="s">
        <v>2019</v>
      </c>
      <c r="H887" t="s">
        <v>2027</v>
      </c>
      <c r="I887" t="s">
        <v>2913</v>
      </c>
      <c r="J887" t="s">
        <v>4031</v>
      </c>
      <c r="K887" t="s">
        <v>4057</v>
      </c>
      <c r="L887">
        <v>-482.67</v>
      </c>
    </row>
    <row r="888" spans="1:12">
      <c r="A888" t="s">
        <v>898</v>
      </c>
      <c r="B888" s="2">
        <v>45572</v>
      </c>
      <c r="C888">
        <v>6000</v>
      </c>
      <c r="D888" t="s">
        <v>2014</v>
      </c>
      <c r="E888">
        <v>1072.33</v>
      </c>
      <c r="F888">
        <v>0</v>
      </c>
      <c r="G888" t="s">
        <v>2022</v>
      </c>
      <c r="H888" t="s">
        <v>2027</v>
      </c>
      <c r="I888" t="s">
        <v>2914</v>
      </c>
      <c r="J888" t="s">
        <v>4028</v>
      </c>
      <c r="K888" t="s">
        <v>4059</v>
      </c>
      <c r="L888">
        <v>-1072.33</v>
      </c>
    </row>
    <row r="889" spans="1:12">
      <c r="A889" t="s">
        <v>899</v>
      </c>
      <c r="B889" s="2">
        <v>45468</v>
      </c>
      <c r="C889">
        <v>4000</v>
      </c>
      <c r="D889" t="s">
        <v>2012</v>
      </c>
      <c r="E889">
        <v>0</v>
      </c>
      <c r="F889">
        <v>1700.49</v>
      </c>
      <c r="G889" t="s">
        <v>2021</v>
      </c>
      <c r="H889" t="s">
        <v>2027</v>
      </c>
      <c r="I889" t="s">
        <v>2915</v>
      </c>
      <c r="J889" t="s">
        <v>4029</v>
      </c>
      <c r="K889" t="s">
        <v>4034</v>
      </c>
      <c r="L889">
        <v>1700.49</v>
      </c>
    </row>
    <row r="890" spans="1:12">
      <c r="A890" t="s">
        <v>900</v>
      </c>
      <c r="B890" s="2">
        <v>45574</v>
      </c>
      <c r="C890">
        <v>5010</v>
      </c>
      <c r="D890" t="s">
        <v>2015</v>
      </c>
      <c r="E890">
        <v>1915.1</v>
      </c>
      <c r="F890">
        <v>0</v>
      </c>
      <c r="G890" t="s">
        <v>2019</v>
      </c>
      <c r="H890" t="s">
        <v>2027</v>
      </c>
      <c r="I890" t="s">
        <v>2916</v>
      </c>
      <c r="J890" t="s">
        <v>4029</v>
      </c>
      <c r="K890" t="s">
        <v>4059</v>
      </c>
      <c r="L890">
        <v>-1915.1</v>
      </c>
    </row>
    <row r="891" spans="1:12">
      <c r="A891" t="s">
        <v>901</v>
      </c>
      <c r="B891" s="2">
        <v>45821</v>
      </c>
      <c r="C891">
        <v>5000</v>
      </c>
      <c r="D891" t="s">
        <v>2013</v>
      </c>
      <c r="E891">
        <v>1632.24</v>
      </c>
      <c r="F891">
        <v>0</v>
      </c>
      <c r="G891" t="s">
        <v>2022</v>
      </c>
      <c r="H891" t="s">
        <v>2025</v>
      </c>
      <c r="I891" t="s">
        <v>2917</v>
      </c>
      <c r="J891" t="s">
        <v>4032</v>
      </c>
      <c r="K891" t="s">
        <v>4052</v>
      </c>
      <c r="L891">
        <v>-1632.24</v>
      </c>
    </row>
    <row r="892" spans="1:12">
      <c r="A892" t="s">
        <v>902</v>
      </c>
      <c r="B892" s="2">
        <v>45718</v>
      </c>
      <c r="C892">
        <v>4010</v>
      </c>
      <c r="D892" t="s">
        <v>2016</v>
      </c>
      <c r="E892">
        <v>0</v>
      </c>
      <c r="F892">
        <v>2334.77</v>
      </c>
      <c r="G892" t="s">
        <v>2018</v>
      </c>
      <c r="H892" t="s">
        <v>2027</v>
      </c>
      <c r="I892" t="s">
        <v>2918</v>
      </c>
      <c r="J892" t="s">
        <v>4028</v>
      </c>
      <c r="K892" t="s">
        <v>4046</v>
      </c>
      <c r="L892">
        <v>2334.77</v>
      </c>
    </row>
    <row r="893" spans="1:12">
      <c r="A893" t="s">
        <v>903</v>
      </c>
      <c r="B893" s="2">
        <v>45068</v>
      </c>
      <c r="C893">
        <v>4000</v>
      </c>
      <c r="D893" t="s">
        <v>2012</v>
      </c>
      <c r="E893">
        <v>0</v>
      </c>
      <c r="F893">
        <v>2655.46</v>
      </c>
      <c r="G893" t="s">
        <v>2017</v>
      </c>
      <c r="H893" t="s">
        <v>2023</v>
      </c>
      <c r="I893" t="s">
        <v>2919</v>
      </c>
      <c r="J893" t="s">
        <v>4032</v>
      </c>
      <c r="K893" t="s">
        <v>4062</v>
      </c>
      <c r="L893">
        <v>2655.46</v>
      </c>
    </row>
    <row r="894" spans="1:12">
      <c r="A894" t="s">
        <v>904</v>
      </c>
      <c r="B894" s="2">
        <v>45288</v>
      </c>
      <c r="C894">
        <v>4000</v>
      </c>
      <c r="D894" t="s">
        <v>2012</v>
      </c>
      <c r="E894">
        <v>0</v>
      </c>
      <c r="F894">
        <v>4082.31</v>
      </c>
      <c r="G894" t="s">
        <v>2019</v>
      </c>
      <c r="H894" t="s">
        <v>2026</v>
      </c>
      <c r="I894" t="s">
        <v>2920</v>
      </c>
      <c r="J894" t="s">
        <v>4031</v>
      </c>
      <c r="K894" t="s">
        <v>4039</v>
      </c>
      <c r="L894">
        <v>4082.31</v>
      </c>
    </row>
    <row r="895" spans="1:12">
      <c r="A895" t="s">
        <v>905</v>
      </c>
      <c r="B895" s="2">
        <v>45280</v>
      </c>
      <c r="C895">
        <v>5010</v>
      </c>
      <c r="D895" t="s">
        <v>2015</v>
      </c>
      <c r="E895">
        <v>1204.8499999999999</v>
      </c>
      <c r="F895">
        <v>0</v>
      </c>
      <c r="G895" t="s">
        <v>2019</v>
      </c>
      <c r="H895" t="s">
        <v>2024</v>
      </c>
      <c r="I895" t="s">
        <v>2921</v>
      </c>
      <c r="J895" t="s">
        <v>4032</v>
      </c>
      <c r="K895" t="s">
        <v>4039</v>
      </c>
      <c r="L895">
        <v>-1204.8499999999999</v>
      </c>
    </row>
    <row r="896" spans="1:12">
      <c r="A896" t="s">
        <v>906</v>
      </c>
      <c r="B896" s="2">
        <v>45648</v>
      </c>
      <c r="C896">
        <v>4000</v>
      </c>
      <c r="D896" t="s">
        <v>2012</v>
      </c>
      <c r="E896">
        <v>0</v>
      </c>
      <c r="F896">
        <v>4496.12</v>
      </c>
      <c r="G896" t="s">
        <v>2018</v>
      </c>
      <c r="H896" t="s">
        <v>2024</v>
      </c>
      <c r="I896" t="s">
        <v>2922</v>
      </c>
      <c r="J896" t="s">
        <v>4029</v>
      </c>
      <c r="K896" t="s">
        <v>4056</v>
      </c>
      <c r="L896">
        <v>4496.12</v>
      </c>
    </row>
    <row r="897" spans="1:12">
      <c r="A897" t="s">
        <v>907</v>
      </c>
      <c r="B897" s="2">
        <v>45679</v>
      </c>
      <c r="C897">
        <v>4010</v>
      </c>
      <c r="D897" t="s">
        <v>2016</v>
      </c>
      <c r="E897">
        <v>0</v>
      </c>
      <c r="F897">
        <v>2776.15</v>
      </c>
      <c r="G897" t="s">
        <v>2019</v>
      </c>
      <c r="H897" t="s">
        <v>2027</v>
      </c>
      <c r="I897" t="s">
        <v>2923</v>
      </c>
      <c r="J897" t="s">
        <v>4029</v>
      </c>
      <c r="K897" t="s">
        <v>4035</v>
      </c>
      <c r="L897">
        <v>2776.15</v>
      </c>
    </row>
    <row r="898" spans="1:12">
      <c r="A898" t="s">
        <v>908</v>
      </c>
      <c r="B898" s="2">
        <v>45046</v>
      </c>
      <c r="C898">
        <v>4010</v>
      </c>
      <c r="D898" t="s">
        <v>2016</v>
      </c>
      <c r="E898">
        <v>0</v>
      </c>
      <c r="F898">
        <v>3598.62</v>
      </c>
      <c r="G898" t="s">
        <v>2021</v>
      </c>
      <c r="H898" t="s">
        <v>2025</v>
      </c>
      <c r="I898" t="s">
        <v>2924</v>
      </c>
      <c r="J898" t="s">
        <v>4029</v>
      </c>
      <c r="K898" t="s">
        <v>4041</v>
      </c>
      <c r="L898">
        <v>3598.62</v>
      </c>
    </row>
    <row r="899" spans="1:12">
      <c r="A899" t="s">
        <v>909</v>
      </c>
      <c r="B899" s="2">
        <v>45490</v>
      </c>
      <c r="C899">
        <v>5010</v>
      </c>
      <c r="D899" t="s">
        <v>2015</v>
      </c>
      <c r="E899">
        <v>1433.77</v>
      </c>
      <c r="F899">
        <v>0</v>
      </c>
      <c r="G899" t="s">
        <v>2017</v>
      </c>
      <c r="H899" t="s">
        <v>2023</v>
      </c>
      <c r="I899" t="s">
        <v>2925</v>
      </c>
      <c r="J899" t="s">
        <v>4029</v>
      </c>
      <c r="K899" t="s">
        <v>4054</v>
      </c>
      <c r="L899">
        <v>-1433.77</v>
      </c>
    </row>
    <row r="900" spans="1:12">
      <c r="A900" t="s">
        <v>910</v>
      </c>
      <c r="B900" s="2">
        <v>45435</v>
      </c>
      <c r="C900">
        <v>5010</v>
      </c>
      <c r="D900" t="s">
        <v>2015</v>
      </c>
      <c r="E900">
        <v>244.58</v>
      </c>
      <c r="F900">
        <v>0</v>
      </c>
      <c r="G900" t="s">
        <v>2017</v>
      </c>
      <c r="H900" t="s">
        <v>2025</v>
      </c>
      <c r="I900" t="s">
        <v>2926</v>
      </c>
      <c r="J900" t="s">
        <v>4030</v>
      </c>
      <c r="K900" t="s">
        <v>4033</v>
      </c>
      <c r="L900">
        <v>-244.58</v>
      </c>
    </row>
    <row r="901" spans="1:12">
      <c r="A901" t="s">
        <v>911</v>
      </c>
      <c r="B901" s="2">
        <v>44934</v>
      </c>
      <c r="C901">
        <v>6000</v>
      </c>
      <c r="D901" t="s">
        <v>2014</v>
      </c>
      <c r="E901">
        <v>958.53</v>
      </c>
      <c r="F901">
        <v>0</v>
      </c>
      <c r="G901" t="s">
        <v>2022</v>
      </c>
      <c r="H901" t="s">
        <v>2024</v>
      </c>
      <c r="I901" t="s">
        <v>2927</v>
      </c>
      <c r="J901" t="s">
        <v>4030</v>
      </c>
      <c r="K901" t="s">
        <v>4047</v>
      </c>
      <c r="L901">
        <v>-958.53</v>
      </c>
    </row>
    <row r="902" spans="1:12">
      <c r="A902" t="s">
        <v>912</v>
      </c>
      <c r="B902" s="2">
        <v>45115</v>
      </c>
      <c r="C902">
        <v>6000</v>
      </c>
      <c r="D902" t="s">
        <v>2014</v>
      </c>
      <c r="E902">
        <v>1312.28</v>
      </c>
      <c r="F902">
        <v>0</v>
      </c>
      <c r="G902" t="s">
        <v>2019</v>
      </c>
      <c r="H902" t="s">
        <v>2023</v>
      </c>
      <c r="I902" t="s">
        <v>2928</v>
      </c>
      <c r="J902" t="s">
        <v>4028</v>
      </c>
      <c r="K902" t="s">
        <v>4050</v>
      </c>
      <c r="L902">
        <v>-1312.28</v>
      </c>
    </row>
    <row r="903" spans="1:12">
      <c r="A903" t="s">
        <v>913</v>
      </c>
      <c r="B903" s="2">
        <v>44997</v>
      </c>
      <c r="C903">
        <v>4000</v>
      </c>
      <c r="D903" t="s">
        <v>2012</v>
      </c>
      <c r="E903">
        <v>0</v>
      </c>
      <c r="F903">
        <v>4549.33</v>
      </c>
      <c r="G903" t="s">
        <v>2022</v>
      </c>
      <c r="H903" t="s">
        <v>2023</v>
      </c>
      <c r="I903" t="s">
        <v>2929</v>
      </c>
      <c r="J903" t="s">
        <v>4028</v>
      </c>
      <c r="K903" t="s">
        <v>4051</v>
      </c>
      <c r="L903">
        <v>4549.33</v>
      </c>
    </row>
    <row r="904" spans="1:12">
      <c r="A904" t="s">
        <v>914</v>
      </c>
      <c r="B904" s="2">
        <v>45643</v>
      </c>
      <c r="C904">
        <v>6000</v>
      </c>
      <c r="D904" t="s">
        <v>2014</v>
      </c>
      <c r="E904">
        <v>1965.36</v>
      </c>
      <c r="F904">
        <v>0</v>
      </c>
      <c r="G904" t="s">
        <v>2019</v>
      </c>
      <c r="H904" t="s">
        <v>2026</v>
      </c>
      <c r="I904" t="s">
        <v>2930</v>
      </c>
      <c r="J904" t="s">
        <v>4032</v>
      </c>
      <c r="K904" t="s">
        <v>4056</v>
      </c>
      <c r="L904">
        <v>-1965.36</v>
      </c>
    </row>
    <row r="905" spans="1:12">
      <c r="A905" t="s">
        <v>915</v>
      </c>
      <c r="B905" s="2">
        <v>45159</v>
      </c>
      <c r="C905">
        <v>5010</v>
      </c>
      <c r="D905" t="s">
        <v>2015</v>
      </c>
      <c r="E905">
        <v>769.49</v>
      </c>
      <c r="F905">
        <v>0</v>
      </c>
      <c r="G905" t="s">
        <v>2019</v>
      </c>
      <c r="H905" t="s">
        <v>2027</v>
      </c>
      <c r="I905" t="s">
        <v>2931</v>
      </c>
      <c r="J905" t="s">
        <v>4028</v>
      </c>
      <c r="K905" t="s">
        <v>4037</v>
      </c>
      <c r="L905">
        <v>-769.49</v>
      </c>
    </row>
    <row r="906" spans="1:12">
      <c r="A906" t="s">
        <v>916</v>
      </c>
      <c r="B906" s="2">
        <v>45601</v>
      </c>
      <c r="C906">
        <v>5000</v>
      </c>
      <c r="D906" t="s">
        <v>2013</v>
      </c>
      <c r="E906">
        <v>743.08</v>
      </c>
      <c r="F906">
        <v>0</v>
      </c>
      <c r="G906" t="s">
        <v>2021</v>
      </c>
      <c r="H906" t="s">
        <v>2025</v>
      </c>
      <c r="I906" t="s">
        <v>2932</v>
      </c>
      <c r="J906" t="s">
        <v>4028</v>
      </c>
      <c r="K906" t="s">
        <v>4043</v>
      </c>
      <c r="L906">
        <v>-743.08</v>
      </c>
    </row>
    <row r="907" spans="1:12">
      <c r="A907" t="s">
        <v>917</v>
      </c>
      <c r="B907" s="2">
        <v>45145</v>
      </c>
      <c r="C907">
        <v>6000</v>
      </c>
      <c r="D907" t="s">
        <v>2014</v>
      </c>
      <c r="E907">
        <v>586.1</v>
      </c>
      <c r="F907">
        <v>0</v>
      </c>
      <c r="G907" t="s">
        <v>2022</v>
      </c>
      <c r="H907" t="s">
        <v>2027</v>
      </c>
      <c r="I907" t="s">
        <v>2933</v>
      </c>
      <c r="J907" t="s">
        <v>4032</v>
      </c>
      <c r="K907" t="s">
        <v>4037</v>
      </c>
      <c r="L907">
        <v>-586.1</v>
      </c>
    </row>
    <row r="908" spans="1:12">
      <c r="A908" t="s">
        <v>918</v>
      </c>
      <c r="B908" s="2">
        <v>45830</v>
      </c>
      <c r="C908">
        <v>6000</v>
      </c>
      <c r="D908" t="s">
        <v>2014</v>
      </c>
      <c r="E908">
        <v>1912.35</v>
      </c>
      <c r="F908">
        <v>0</v>
      </c>
      <c r="G908" t="s">
        <v>2017</v>
      </c>
      <c r="H908" t="s">
        <v>2023</v>
      </c>
      <c r="I908" t="s">
        <v>2934</v>
      </c>
      <c r="J908" t="s">
        <v>4031</v>
      </c>
      <c r="K908" t="s">
        <v>4052</v>
      </c>
      <c r="L908">
        <v>-1912.35</v>
      </c>
    </row>
    <row r="909" spans="1:12">
      <c r="A909" t="s">
        <v>919</v>
      </c>
      <c r="B909" s="2">
        <v>45054</v>
      </c>
      <c r="C909">
        <v>6000</v>
      </c>
      <c r="D909" t="s">
        <v>2014</v>
      </c>
      <c r="E909">
        <v>819.96</v>
      </c>
      <c r="F909">
        <v>0</v>
      </c>
      <c r="G909" t="s">
        <v>2020</v>
      </c>
      <c r="H909" t="s">
        <v>2024</v>
      </c>
      <c r="I909" t="s">
        <v>2935</v>
      </c>
      <c r="J909" t="s">
        <v>4031</v>
      </c>
      <c r="K909" t="s">
        <v>4062</v>
      </c>
      <c r="L909">
        <v>-819.96</v>
      </c>
    </row>
    <row r="910" spans="1:12">
      <c r="A910" t="s">
        <v>920</v>
      </c>
      <c r="B910" s="2">
        <v>45718</v>
      </c>
      <c r="C910">
        <v>5000</v>
      </c>
      <c r="D910" t="s">
        <v>2013</v>
      </c>
      <c r="E910">
        <v>1880.1</v>
      </c>
      <c r="F910">
        <v>0</v>
      </c>
      <c r="G910" t="s">
        <v>2019</v>
      </c>
      <c r="H910" t="s">
        <v>2024</v>
      </c>
      <c r="I910" t="s">
        <v>2936</v>
      </c>
      <c r="J910" t="s">
        <v>4030</v>
      </c>
      <c r="K910" t="s">
        <v>4046</v>
      </c>
      <c r="L910">
        <v>-1880.1</v>
      </c>
    </row>
    <row r="911" spans="1:12">
      <c r="A911" t="s">
        <v>921</v>
      </c>
      <c r="B911" s="2">
        <v>45754</v>
      </c>
      <c r="C911">
        <v>6000</v>
      </c>
      <c r="D911" t="s">
        <v>2014</v>
      </c>
      <c r="E911">
        <v>1255.8499999999999</v>
      </c>
      <c r="F911">
        <v>0</v>
      </c>
      <c r="G911" t="s">
        <v>2019</v>
      </c>
      <c r="H911" t="s">
        <v>2027</v>
      </c>
      <c r="I911" t="s">
        <v>2937</v>
      </c>
      <c r="J911" t="s">
        <v>4029</v>
      </c>
      <c r="K911" t="s">
        <v>4045</v>
      </c>
      <c r="L911">
        <v>-1255.8499999999999</v>
      </c>
    </row>
    <row r="912" spans="1:12">
      <c r="A912" t="s">
        <v>922</v>
      </c>
      <c r="B912" s="2">
        <v>44954</v>
      </c>
      <c r="C912">
        <v>4010</v>
      </c>
      <c r="D912" t="s">
        <v>2016</v>
      </c>
      <c r="E912">
        <v>0</v>
      </c>
      <c r="F912">
        <v>3738.97</v>
      </c>
      <c r="G912" t="s">
        <v>2022</v>
      </c>
      <c r="H912" t="s">
        <v>2026</v>
      </c>
      <c r="I912" t="s">
        <v>2938</v>
      </c>
      <c r="J912" t="s">
        <v>4032</v>
      </c>
      <c r="K912" t="s">
        <v>4047</v>
      </c>
      <c r="L912">
        <v>3738.97</v>
      </c>
    </row>
    <row r="913" spans="1:12">
      <c r="A913" t="s">
        <v>923</v>
      </c>
      <c r="B913" s="2">
        <v>45792</v>
      </c>
      <c r="C913">
        <v>5000</v>
      </c>
      <c r="D913" t="s">
        <v>2013</v>
      </c>
      <c r="E913">
        <v>50.19</v>
      </c>
      <c r="F913">
        <v>0</v>
      </c>
      <c r="G913" t="s">
        <v>2021</v>
      </c>
      <c r="H913" t="s">
        <v>2024</v>
      </c>
      <c r="I913" t="s">
        <v>2939</v>
      </c>
      <c r="J913" t="s">
        <v>4029</v>
      </c>
      <c r="K913" t="s">
        <v>4038</v>
      </c>
      <c r="L913">
        <v>-50.19</v>
      </c>
    </row>
    <row r="914" spans="1:12">
      <c r="A914" t="s">
        <v>924</v>
      </c>
      <c r="B914" s="2">
        <v>45549</v>
      </c>
      <c r="C914">
        <v>5010</v>
      </c>
      <c r="D914" t="s">
        <v>2015</v>
      </c>
      <c r="E914">
        <v>608.52</v>
      </c>
      <c r="F914">
        <v>0</v>
      </c>
      <c r="G914" t="s">
        <v>2017</v>
      </c>
      <c r="H914" t="s">
        <v>2024</v>
      </c>
      <c r="I914" t="s">
        <v>2940</v>
      </c>
      <c r="J914" t="s">
        <v>4029</v>
      </c>
      <c r="K914" t="s">
        <v>4048</v>
      </c>
      <c r="L914">
        <v>-608.52</v>
      </c>
    </row>
    <row r="915" spans="1:12">
      <c r="A915" t="s">
        <v>925</v>
      </c>
      <c r="B915" s="2">
        <v>45560</v>
      </c>
      <c r="C915">
        <v>5010</v>
      </c>
      <c r="D915" t="s">
        <v>2015</v>
      </c>
      <c r="E915">
        <v>287.52</v>
      </c>
      <c r="F915">
        <v>0</v>
      </c>
      <c r="G915" t="s">
        <v>2021</v>
      </c>
      <c r="H915" t="s">
        <v>2027</v>
      </c>
      <c r="I915" t="s">
        <v>2941</v>
      </c>
      <c r="J915" t="s">
        <v>4031</v>
      </c>
      <c r="K915" t="s">
        <v>4048</v>
      </c>
      <c r="L915">
        <v>-287.52</v>
      </c>
    </row>
    <row r="916" spans="1:12">
      <c r="A916" t="s">
        <v>926</v>
      </c>
      <c r="B916" s="2">
        <v>45288</v>
      </c>
      <c r="C916">
        <v>6000</v>
      </c>
      <c r="D916" t="s">
        <v>2014</v>
      </c>
      <c r="E916">
        <v>1749.98</v>
      </c>
      <c r="F916">
        <v>0</v>
      </c>
      <c r="G916" t="s">
        <v>2021</v>
      </c>
      <c r="H916" t="s">
        <v>2025</v>
      </c>
      <c r="I916" t="s">
        <v>2942</v>
      </c>
      <c r="J916" t="s">
        <v>4032</v>
      </c>
      <c r="K916" t="s">
        <v>4039</v>
      </c>
      <c r="L916">
        <v>-1749.98</v>
      </c>
    </row>
    <row r="917" spans="1:12">
      <c r="A917" t="s">
        <v>927</v>
      </c>
      <c r="B917" s="2">
        <v>45650</v>
      </c>
      <c r="C917">
        <v>5000</v>
      </c>
      <c r="D917" t="s">
        <v>2013</v>
      </c>
      <c r="E917">
        <v>221.12</v>
      </c>
      <c r="F917">
        <v>0</v>
      </c>
      <c r="G917" t="s">
        <v>2020</v>
      </c>
      <c r="H917" t="s">
        <v>2024</v>
      </c>
      <c r="I917" t="s">
        <v>2943</v>
      </c>
      <c r="J917" t="s">
        <v>4030</v>
      </c>
      <c r="K917" t="s">
        <v>4056</v>
      </c>
      <c r="L917">
        <v>-221.12</v>
      </c>
    </row>
    <row r="918" spans="1:12">
      <c r="A918" t="s">
        <v>928</v>
      </c>
      <c r="B918" s="2">
        <v>45594</v>
      </c>
      <c r="C918">
        <v>5000</v>
      </c>
      <c r="D918" t="s">
        <v>2013</v>
      </c>
      <c r="E918">
        <v>1012.53</v>
      </c>
      <c r="F918">
        <v>0</v>
      </c>
      <c r="G918" t="s">
        <v>2018</v>
      </c>
      <c r="H918" t="s">
        <v>2025</v>
      </c>
      <c r="I918" t="s">
        <v>2944</v>
      </c>
      <c r="J918" t="s">
        <v>4032</v>
      </c>
      <c r="K918" t="s">
        <v>4059</v>
      </c>
      <c r="L918">
        <v>-1012.53</v>
      </c>
    </row>
    <row r="919" spans="1:12">
      <c r="A919" t="s">
        <v>929</v>
      </c>
      <c r="B919" s="2">
        <v>45134</v>
      </c>
      <c r="C919">
        <v>4010</v>
      </c>
      <c r="D919" t="s">
        <v>2016</v>
      </c>
      <c r="E919">
        <v>0</v>
      </c>
      <c r="F919">
        <v>542.16999999999996</v>
      </c>
      <c r="G919" t="s">
        <v>2022</v>
      </c>
      <c r="H919" t="s">
        <v>2024</v>
      </c>
      <c r="I919" t="s">
        <v>2945</v>
      </c>
      <c r="J919" t="s">
        <v>4028</v>
      </c>
      <c r="K919" t="s">
        <v>4050</v>
      </c>
      <c r="L919">
        <v>542.16999999999996</v>
      </c>
    </row>
    <row r="920" spans="1:12">
      <c r="A920" t="s">
        <v>930</v>
      </c>
      <c r="B920" s="2">
        <v>45739</v>
      </c>
      <c r="C920">
        <v>5010</v>
      </c>
      <c r="D920" t="s">
        <v>2015</v>
      </c>
      <c r="E920">
        <v>580.21</v>
      </c>
      <c r="F920">
        <v>0</v>
      </c>
      <c r="G920" t="s">
        <v>2017</v>
      </c>
      <c r="H920" t="s">
        <v>2027</v>
      </c>
      <c r="I920" t="s">
        <v>2946</v>
      </c>
      <c r="J920" t="s">
        <v>4029</v>
      </c>
      <c r="K920" t="s">
        <v>4046</v>
      </c>
      <c r="L920">
        <v>-580.21</v>
      </c>
    </row>
    <row r="921" spans="1:12">
      <c r="A921" t="s">
        <v>931</v>
      </c>
      <c r="B921" s="2">
        <v>44930</v>
      </c>
      <c r="C921">
        <v>5010</v>
      </c>
      <c r="D921" t="s">
        <v>2015</v>
      </c>
      <c r="E921">
        <v>739.56</v>
      </c>
      <c r="F921">
        <v>0</v>
      </c>
      <c r="G921" t="s">
        <v>2021</v>
      </c>
      <c r="H921" t="s">
        <v>2025</v>
      </c>
      <c r="I921" t="s">
        <v>2947</v>
      </c>
      <c r="J921" t="s">
        <v>4030</v>
      </c>
      <c r="K921" t="s">
        <v>4047</v>
      </c>
      <c r="L921">
        <v>-739.56</v>
      </c>
    </row>
    <row r="922" spans="1:12">
      <c r="A922" t="s">
        <v>932</v>
      </c>
      <c r="B922" s="2">
        <v>45604</v>
      </c>
      <c r="C922">
        <v>5000</v>
      </c>
      <c r="D922" t="s">
        <v>2013</v>
      </c>
      <c r="E922">
        <v>1657.23</v>
      </c>
      <c r="F922">
        <v>0</v>
      </c>
      <c r="G922" t="s">
        <v>2017</v>
      </c>
      <c r="H922" t="s">
        <v>2026</v>
      </c>
      <c r="I922" t="s">
        <v>2948</v>
      </c>
      <c r="J922" t="s">
        <v>4030</v>
      </c>
      <c r="K922" t="s">
        <v>4043</v>
      </c>
      <c r="L922">
        <v>-1657.23</v>
      </c>
    </row>
    <row r="923" spans="1:12">
      <c r="A923" t="s">
        <v>933</v>
      </c>
      <c r="B923" s="2">
        <v>45440</v>
      </c>
      <c r="C923">
        <v>6000</v>
      </c>
      <c r="D923" t="s">
        <v>2014</v>
      </c>
      <c r="E923">
        <v>1181.06</v>
      </c>
      <c r="F923">
        <v>0</v>
      </c>
      <c r="G923" t="s">
        <v>2017</v>
      </c>
      <c r="H923" t="s">
        <v>2025</v>
      </c>
      <c r="I923" t="s">
        <v>2949</v>
      </c>
      <c r="J923" t="s">
        <v>4032</v>
      </c>
      <c r="K923" t="s">
        <v>4033</v>
      </c>
      <c r="L923">
        <v>-1181.06</v>
      </c>
    </row>
    <row r="924" spans="1:12">
      <c r="A924" t="s">
        <v>934</v>
      </c>
      <c r="B924" s="2">
        <v>45332</v>
      </c>
      <c r="C924">
        <v>5010</v>
      </c>
      <c r="D924" t="s">
        <v>2015</v>
      </c>
      <c r="E924">
        <v>944.72</v>
      </c>
      <c r="F924">
        <v>0</v>
      </c>
      <c r="G924" t="s">
        <v>2019</v>
      </c>
      <c r="H924" t="s">
        <v>2027</v>
      </c>
      <c r="I924" t="s">
        <v>2950</v>
      </c>
      <c r="J924" t="s">
        <v>4029</v>
      </c>
      <c r="K924" t="s">
        <v>4044</v>
      </c>
      <c r="L924">
        <v>-944.72</v>
      </c>
    </row>
    <row r="925" spans="1:12">
      <c r="A925" t="s">
        <v>935</v>
      </c>
      <c r="B925" s="2">
        <v>45345</v>
      </c>
      <c r="C925">
        <v>4000</v>
      </c>
      <c r="D925" t="s">
        <v>2012</v>
      </c>
      <c r="E925">
        <v>0</v>
      </c>
      <c r="F925">
        <v>3496.47</v>
      </c>
      <c r="G925" t="s">
        <v>2020</v>
      </c>
      <c r="H925" t="s">
        <v>2026</v>
      </c>
      <c r="I925" t="s">
        <v>2951</v>
      </c>
      <c r="J925" t="s">
        <v>4031</v>
      </c>
      <c r="K925" t="s">
        <v>4044</v>
      </c>
      <c r="L925">
        <v>3496.47</v>
      </c>
    </row>
    <row r="926" spans="1:12">
      <c r="A926" t="s">
        <v>936</v>
      </c>
      <c r="B926" s="2">
        <v>45373</v>
      </c>
      <c r="C926">
        <v>4000</v>
      </c>
      <c r="D926" t="s">
        <v>2012</v>
      </c>
      <c r="E926">
        <v>0</v>
      </c>
      <c r="F926">
        <v>389.32</v>
      </c>
      <c r="G926" t="s">
        <v>2019</v>
      </c>
      <c r="H926" t="s">
        <v>2023</v>
      </c>
      <c r="I926" t="s">
        <v>2952</v>
      </c>
      <c r="J926" t="s">
        <v>4031</v>
      </c>
      <c r="K926" t="s">
        <v>4049</v>
      </c>
      <c r="L926">
        <v>389.32</v>
      </c>
    </row>
    <row r="927" spans="1:12">
      <c r="A927" t="s">
        <v>937</v>
      </c>
      <c r="B927" s="2">
        <v>45326</v>
      </c>
      <c r="C927">
        <v>4010</v>
      </c>
      <c r="D927" t="s">
        <v>2016</v>
      </c>
      <c r="E927">
        <v>0</v>
      </c>
      <c r="F927">
        <v>2071.73</v>
      </c>
      <c r="G927" t="s">
        <v>2021</v>
      </c>
      <c r="H927" t="s">
        <v>2023</v>
      </c>
      <c r="I927" t="s">
        <v>2953</v>
      </c>
      <c r="J927" t="s">
        <v>4028</v>
      </c>
      <c r="K927" t="s">
        <v>4044</v>
      </c>
      <c r="L927">
        <v>2071.73</v>
      </c>
    </row>
    <row r="928" spans="1:12">
      <c r="A928" t="s">
        <v>938</v>
      </c>
      <c r="B928" s="2">
        <v>45535</v>
      </c>
      <c r="C928">
        <v>5000</v>
      </c>
      <c r="D928" t="s">
        <v>2013</v>
      </c>
      <c r="E928">
        <v>1719.48</v>
      </c>
      <c r="F928">
        <v>0</v>
      </c>
      <c r="G928" t="s">
        <v>2018</v>
      </c>
      <c r="H928" t="s">
        <v>2026</v>
      </c>
      <c r="I928" t="s">
        <v>2954</v>
      </c>
      <c r="J928" t="s">
        <v>4032</v>
      </c>
      <c r="K928" t="s">
        <v>4058</v>
      </c>
      <c r="L928">
        <v>-1719.48</v>
      </c>
    </row>
    <row r="929" spans="1:12">
      <c r="A929" t="s">
        <v>939</v>
      </c>
      <c r="B929" s="2">
        <v>45703</v>
      </c>
      <c r="C929">
        <v>6000</v>
      </c>
      <c r="D929" t="s">
        <v>2014</v>
      </c>
      <c r="E929">
        <v>260.58</v>
      </c>
      <c r="F929">
        <v>0</v>
      </c>
      <c r="G929" t="s">
        <v>2020</v>
      </c>
      <c r="H929" t="s">
        <v>2025</v>
      </c>
      <c r="I929" t="s">
        <v>2955</v>
      </c>
      <c r="J929" t="s">
        <v>4028</v>
      </c>
      <c r="K929" t="s">
        <v>4061</v>
      </c>
      <c r="L929">
        <v>-260.58</v>
      </c>
    </row>
    <row r="930" spans="1:12">
      <c r="A930" t="s">
        <v>940</v>
      </c>
      <c r="B930" s="2">
        <v>44951</v>
      </c>
      <c r="C930">
        <v>5010</v>
      </c>
      <c r="D930" t="s">
        <v>2015</v>
      </c>
      <c r="E930">
        <v>79.59</v>
      </c>
      <c r="F930">
        <v>0</v>
      </c>
      <c r="G930" t="s">
        <v>2017</v>
      </c>
      <c r="H930" t="s">
        <v>2024</v>
      </c>
      <c r="I930" t="s">
        <v>2956</v>
      </c>
      <c r="J930" t="s">
        <v>4031</v>
      </c>
      <c r="K930" t="s">
        <v>4047</v>
      </c>
      <c r="L930">
        <v>-79.59</v>
      </c>
    </row>
    <row r="931" spans="1:12">
      <c r="A931" t="s">
        <v>941</v>
      </c>
      <c r="B931" s="2">
        <v>45445</v>
      </c>
      <c r="C931">
        <v>4010</v>
      </c>
      <c r="D931" t="s">
        <v>2016</v>
      </c>
      <c r="E931">
        <v>0</v>
      </c>
      <c r="F931">
        <v>2860.93</v>
      </c>
      <c r="G931" t="s">
        <v>2019</v>
      </c>
      <c r="H931" t="s">
        <v>2027</v>
      </c>
      <c r="I931" t="s">
        <v>2957</v>
      </c>
      <c r="J931" t="s">
        <v>4032</v>
      </c>
      <c r="K931" t="s">
        <v>4034</v>
      </c>
      <c r="L931">
        <v>2860.93</v>
      </c>
    </row>
    <row r="932" spans="1:12">
      <c r="A932" t="s">
        <v>942</v>
      </c>
      <c r="B932" s="2">
        <v>45525</v>
      </c>
      <c r="C932">
        <v>4010</v>
      </c>
      <c r="D932" t="s">
        <v>2016</v>
      </c>
      <c r="E932">
        <v>0</v>
      </c>
      <c r="F932">
        <v>4074.77</v>
      </c>
      <c r="G932" t="s">
        <v>2020</v>
      </c>
      <c r="H932" t="s">
        <v>2024</v>
      </c>
      <c r="I932" t="s">
        <v>2958</v>
      </c>
      <c r="J932" t="s">
        <v>4029</v>
      </c>
      <c r="K932" t="s">
        <v>4058</v>
      </c>
      <c r="L932">
        <v>4074.77</v>
      </c>
    </row>
    <row r="933" spans="1:12">
      <c r="A933" t="s">
        <v>943</v>
      </c>
      <c r="B933" s="2">
        <v>45683</v>
      </c>
      <c r="C933">
        <v>4010</v>
      </c>
      <c r="D933" t="s">
        <v>2016</v>
      </c>
      <c r="E933">
        <v>0</v>
      </c>
      <c r="F933">
        <v>4702.84</v>
      </c>
      <c r="G933" t="s">
        <v>2021</v>
      </c>
      <c r="H933" t="s">
        <v>2026</v>
      </c>
      <c r="I933" t="s">
        <v>2959</v>
      </c>
      <c r="J933" t="s">
        <v>4028</v>
      </c>
      <c r="K933" t="s">
        <v>4035</v>
      </c>
      <c r="L933">
        <v>4702.84</v>
      </c>
    </row>
    <row r="934" spans="1:12">
      <c r="A934" t="s">
        <v>944</v>
      </c>
      <c r="B934" s="2">
        <v>45242</v>
      </c>
      <c r="C934">
        <v>5010</v>
      </c>
      <c r="D934" t="s">
        <v>2015</v>
      </c>
      <c r="E934">
        <v>920.32</v>
      </c>
      <c r="F934">
        <v>0</v>
      </c>
      <c r="G934" t="s">
        <v>2019</v>
      </c>
      <c r="H934" t="s">
        <v>2023</v>
      </c>
      <c r="I934" t="s">
        <v>2960</v>
      </c>
      <c r="J934" t="s">
        <v>4029</v>
      </c>
      <c r="K934" t="s">
        <v>4042</v>
      </c>
      <c r="L934">
        <v>-920.32</v>
      </c>
    </row>
    <row r="935" spans="1:12">
      <c r="A935" t="s">
        <v>945</v>
      </c>
      <c r="B935" s="2">
        <v>45164</v>
      </c>
      <c r="C935">
        <v>4010</v>
      </c>
      <c r="D935" t="s">
        <v>2016</v>
      </c>
      <c r="E935">
        <v>0</v>
      </c>
      <c r="F935">
        <v>1564.55</v>
      </c>
      <c r="G935" t="s">
        <v>2019</v>
      </c>
      <c r="H935" t="s">
        <v>2027</v>
      </c>
      <c r="I935" t="s">
        <v>2961</v>
      </c>
      <c r="J935" t="s">
        <v>4032</v>
      </c>
      <c r="K935" t="s">
        <v>4037</v>
      </c>
      <c r="L935">
        <v>1564.55</v>
      </c>
    </row>
    <row r="936" spans="1:12">
      <c r="A936" t="s">
        <v>946</v>
      </c>
      <c r="B936" s="2">
        <v>45425</v>
      </c>
      <c r="C936">
        <v>4010</v>
      </c>
      <c r="D936" t="s">
        <v>2016</v>
      </c>
      <c r="E936">
        <v>0</v>
      </c>
      <c r="F936">
        <v>2984.56</v>
      </c>
      <c r="G936" t="s">
        <v>2022</v>
      </c>
      <c r="H936" t="s">
        <v>2025</v>
      </c>
      <c r="I936" t="s">
        <v>2962</v>
      </c>
      <c r="J936" t="s">
        <v>4030</v>
      </c>
      <c r="K936" t="s">
        <v>4033</v>
      </c>
      <c r="L936">
        <v>2984.56</v>
      </c>
    </row>
    <row r="937" spans="1:12">
      <c r="A937" t="s">
        <v>947</v>
      </c>
      <c r="B937" s="2">
        <v>45399</v>
      </c>
      <c r="C937">
        <v>4010</v>
      </c>
      <c r="D937" t="s">
        <v>2016</v>
      </c>
      <c r="E937">
        <v>0</v>
      </c>
      <c r="F937">
        <v>4352.6000000000004</v>
      </c>
      <c r="G937" t="s">
        <v>2018</v>
      </c>
      <c r="H937" t="s">
        <v>2027</v>
      </c>
      <c r="I937" t="s">
        <v>2963</v>
      </c>
      <c r="J937" t="s">
        <v>4032</v>
      </c>
      <c r="K937" t="s">
        <v>4040</v>
      </c>
      <c r="L937">
        <v>4352.6000000000004</v>
      </c>
    </row>
    <row r="938" spans="1:12">
      <c r="A938" t="s">
        <v>948</v>
      </c>
      <c r="B938" s="2">
        <v>45650</v>
      </c>
      <c r="C938">
        <v>4010</v>
      </c>
      <c r="D938" t="s">
        <v>2016</v>
      </c>
      <c r="E938">
        <v>0</v>
      </c>
      <c r="F938">
        <v>1861.57</v>
      </c>
      <c r="G938" t="s">
        <v>2022</v>
      </c>
      <c r="H938" t="s">
        <v>2023</v>
      </c>
      <c r="I938" t="s">
        <v>2964</v>
      </c>
      <c r="J938" t="s">
        <v>4031</v>
      </c>
      <c r="K938" t="s">
        <v>4056</v>
      </c>
      <c r="L938">
        <v>1861.57</v>
      </c>
    </row>
    <row r="939" spans="1:12">
      <c r="A939" t="s">
        <v>949</v>
      </c>
      <c r="B939" s="2">
        <v>45007</v>
      </c>
      <c r="C939">
        <v>4010</v>
      </c>
      <c r="D939" t="s">
        <v>2016</v>
      </c>
      <c r="E939">
        <v>0</v>
      </c>
      <c r="F939">
        <v>1431.79</v>
      </c>
      <c r="G939" t="s">
        <v>2018</v>
      </c>
      <c r="H939" t="s">
        <v>2024</v>
      </c>
      <c r="I939" t="s">
        <v>2965</v>
      </c>
      <c r="J939" t="s">
        <v>4032</v>
      </c>
      <c r="K939" t="s">
        <v>4051</v>
      </c>
      <c r="L939">
        <v>1431.79</v>
      </c>
    </row>
    <row r="940" spans="1:12">
      <c r="A940" t="s">
        <v>950</v>
      </c>
      <c r="B940" s="2">
        <v>45751</v>
      </c>
      <c r="C940">
        <v>4010</v>
      </c>
      <c r="D940" t="s">
        <v>2016</v>
      </c>
      <c r="E940">
        <v>0</v>
      </c>
      <c r="F940">
        <v>3515.1</v>
      </c>
      <c r="G940" t="s">
        <v>2018</v>
      </c>
      <c r="H940" t="s">
        <v>2023</v>
      </c>
      <c r="I940" t="s">
        <v>2966</v>
      </c>
      <c r="J940" t="s">
        <v>4030</v>
      </c>
      <c r="K940" t="s">
        <v>4045</v>
      </c>
      <c r="L940">
        <v>3515.1</v>
      </c>
    </row>
    <row r="941" spans="1:12">
      <c r="A941" t="s">
        <v>951</v>
      </c>
      <c r="B941" s="2">
        <v>45116</v>
      </c>
      <c r="C941">
        <v>5000</v>
      </c>
      <c r="D941" t="s">
        <v>2013</v>
      </c>
      <c r="E941">
        <v>547.15</v>
      </c>
      <c r="F941">
        <v>0</v>
      </c>
      <c r="G941" t="s">
        <v>2017</v>
      </c>
      <c r="H941" t="s">
        <v>2023</v>
      </c>
      <c r="I941" t="s">
        <v>2967</v>
      </c>
      <c r="J941" t="s">
        <v>4029</v>
      </c>
      <c r="K941" t="s">
        <v>4050</v>
      </c>
      <c r="L941">
        <v>-547.15</v>
      </c>
    </row>
    <row r="942" spans="1:12">
      <c r="A942" t="s">
        <v>952</v>
      </c>
      <c r="B942" s="2">
        <v>45248</v>
      </c>
      <c r="C942">
        <v>4000</v>
      </c>
      <c r="D942" t="s">
        <v>2012</v>
      </c>
      <c r="E942">
        <v>0</v>
      </c>
      <c r="F942">
        <v>2941.46</v>
      </c>
      <c r="G942" t="s">
        <v>2018</v>
      </c>
      <c r="H942" t="s">
        <v>2027</v>
      </c>
      <c r="I942" t="s">
        <v>2968</v>
      </c>
      <c r="J942" t="s">
        <v>4030</v>
      </c>
      <c r="K942" t="s">
        <v>4042</v>
      </c>
      <c r="L942">
        <v>2941.46</v>
      </c>
    </row>
    <row r="943" spans="1:12">
      <c r="A943" t="s">
        <v>953</v>
      </c>
      <c r="B943" s="2">
        <v>45408</v>
      </c>
      <c r="C943">
        <v>6000</v>
      </c>
      <c r="D943" t="s">
        <v>2014</v>
      </c>
      <c r="E943">
        <v>1900.12</v>
      </c>
      <c r="F943">
        <v>0</v>
      </c>
      <c r="G943" t="s">
        <v>2022</v>
      </c>
      <c r="H943" t="s">
        <v>2024</v>
      </c>
      <c r="I943" t="s">
        <v>2969</v>
      </c>
      <c r="J943" t="s">
        <v>4031</v>
      </c>
      <c r="K943" t="s">
        <v>4040</v>
      </c>
      <c r="L943">
        <v>-1900.12</v>
      </c>
    </row>
    <row r="944" spans="1:12">
      <c r="A944" t="s">
        <v>954</v>
      </c>
      <c r="B944" s="2">
        <v>45006</v>
      </c>
      <c r="C944">
        <v>4010</v>
      </c>
      <c r="D944" t="s">
        <v>2016</v>
      </c>
      <c r="E944">
        <v>0</v>
      </c>
      <c r="F944">
        <v>1951.17</v>
      </c>
      <c r="G944" t="s">
        <v>2017</v>
      </c>
      <c r="H944" t="s">
        <v>2025</v>
      </c>
      <c r="I944" t="s">
        <v>2970</v>
      </c>
      <c r="J944" t="s">
        <v>4030</v>
      </c>
      <c r="K944" t="s">
        <v>4051</v>
      </c>
      <c r="L944">
        <v>1951.17</v>
      </c>
    </row>
    <row r="945" spans="1:12">
      <c r="A945" t="s">
        <v>955</v>
      </c>
      <c r="B945" s="2">
        <v>45761</v>
      </c>
      <c r="C945">
        <v>5000</v>
      </c>
      <c r="D945" t="s">
        <v>2013</v>
      </c>
      <c r="E945">
        <v>1649.25</v>
      </c>
      <c r="F945">
        <v>0</v>
      </c>
      <c r="G945" t="s">
        <v>2021</v>
      </c>
      <c r="H945" t="s">
        <v>2026</v>
      </c>
      <c r="I945" t="s">
        <v>2971</v>
      </c>
      <c r="J945" t="s">
        <v>4032</v>
      </c>
      <c r="K945" t="s">
        <v>4045</v>
      </c>
      <c r="L945">
        <v>-1649.25</v>
      </c>
    </row>
    <row r="946" spans="1:12">
      <c r="A946" t="s">
        <v>956</v>
      </c>
      <c r="B946" s="2">
        <v>45642</v>
      </c>
      <c r="C946">
        <v>6000</v>
      </c>
      <c r="D946" t="s">
        <v>2014</v>
      </c>
      <c r="E946">
        <v>770.2</v>
      </c>
      <c r="F946">
        <v>0</v>
      </c>
      <c r="G946" t="s">
        <v>2019</v>
      </c>
      <c r="H946" t="s">
        <v>2026</v>
      </c>
      <c r="I946" t="s">
        <v>2972</v>
      </c>
      <c r="J946" t="s">
        <v>4030</v>
      </c>
      <c r="K946" t="s">
        <v>4056</v>
      </c>
      <c r="L946">
        <v>-770.2</v>
      </c>
    </row>
    <row r="947" spans="1:12">
      <c r="A947" t="s">
        <v>957</v>
      </c>
      <c r="B947" s="2">
        <v>45440</v>
      </c>
      <c r="C947">
        <v>6000</v>
      </c>
      <c r="D947" t="s">
        <v>2014</v>
      </c>
      <c r="E947">
        <v>202.11</v>
      </c>
      <c r="F947">
        <v>0</v>
      </c>
      <c r="G947" t="s">
        <v>2018</v>
      </c>
      <c r="H947" t="s">
        <v>2024</v>
      </c>
      <c r="I947" t="s">
        <v>2973</v>
      </c>
      <c r="J947" t="s">
        <v>4030</v>
      </c>
      <c r="K947" t="s">
        <v>4033</v>
      </c>
      <c r="L947">
        <v>-202.11</v>
      </c>
    </row>
    <row r="948" spans="1:12">
      <c r="A948" t="s">
        <v>958</v>
      </c>
      <c r="B948" s="2">
        <v>45343</v>
      </c>
      <c r="C948">
        <v>6000</v>
      </c>
      <c r="D948" t="s">
        <v>2014</v>
      </c>
      <c r="E948">
        <v>1844.72</v>
      </c>
      <c r="F948">
        <v>0</v>
      </c>
      <c r="G948" t="s">
        <v>2020</v>
      </c>
      <c r="H948" t="s">
        <v>2023</v>
      </c>
      <c r="I948" t="s">
        <v>2974</v>
      </c>
      <c r="J948" t="s">
        <v>4032</v>
      </c>
      <c r="K948" t="s">
        <v>4044</v>
      </c>
      <c r="L948">
        <v>-1844.72</v>
      </c>
    </row>
    <row r="949" spans="1:12">
      <c r="A949" t="s">
        <v>959</v>
      </c>
      <c r="B949" s="2">
        <v>44946</v>
      </c>
      <c r="C949">
        <v>4010</v>
      </c>
      <c r="D949" t="s">
        <v>2016</v>
      </c>
      <c r="E949">
        <v>0</v>
      </c>
      <c r="F949">
        <v>1995.59</v>
      </c>
      <c r="G949" t="s">
        <v>2021</v>
      </c>
      <c r="H949" t="s">
        <v>2024</v>
      </c>
      <c r="I949" t="s">
        <v>2975</v>
      </c>
      <c r="J949" t="s">
        <v>4029</v>
      </c>
      <c r="K949" t="s">
        <v>4047</v>
      </c>
      <c r="L949">
        <v>1995.59</v>
      </c>
    </row>
    <row r="950" spans="1:12">
      <c r="A950" t="s">
        <v>960</v>
      </c>
      <c r="B950" s="2">
        <v>45195</v>
      </c>
      <c r="C950">
        <v>5000</v>
      </c>
      <c r="D950" t="s">
        <v>2013</v>
      </c>
      <c r="E950">
        <v>1875.24</v>
      </c>
      <c r="F950">
        <v>0</v>
      </c>
      <c r="G950" t="s">
        <v>2018</v>
      </c>
      <c r="H950" t="s">
        <v>2023</v>
      </c>
      <c r="I950" t="s">
        <v>2976</v>
      </c>
      <c r="J950" t="s">
        <v>4031</v>
      </c>
      <c r="K950" t="s">
        <v>4036</v>
      </c>
      <c r="L950">
        <v>-1875.24</v>
      </c>
    </row>
    <row r="951" spans="1:12">
      <c r="A951" t="s">
        <v>961</v>
      </c>
      <c r="B951" s="2">
        <v>45685</v>
      </c>
      <c r="C951">
        <v>5010</v>
      </c>
      <c r="D951" t="s">
        <v>2015</v>
      </c>
      <c r="E951">
        <v>80.59</v>
      </c>
      <c r="F951">
        <v>0</v>
      </c>
      <c r="G951" t="s">
        <v>2017</v>
      </c>
      <c r="H951" t="s">
        <v>2025</v>
      </c>
      <c r="I951" t="s">
        <v>2977</v>
      </c>
      <c r="J951" t="s">
        <v>4028</v>
      </c>
      <c r="K951" t="s">
        <v>4035</v>
      </c>
      <c r="L951">
        <v>-80.59</v>
      </c>
    </row>
    <row r="952" spans="1:12">
      <c r="A952" t="s">
        <v>962</v>
      </c>
      <c r="B952" s="2">
        <v>45131</v>
      </c>
      <c r="C952">
        <v>5010</v>
      </c>
      <c r="D952" t="s">
        <v>2015</v>
      </c>
      <c r="E952">
        <v>445.11</v>
      </c>
      <c r="F952">
        <v>0</v>
      </c>
      <c r="G952" t="s">
        <v>2019</v>
      </c>
      <c r="H952" t="s">
        <v>2024</v>
      </c>
      <c r="I952" t="s">
        <v>2978</v>
      </c>
      <c r="J952" t="s">
        <v>4030</v>
      </c>
      <c r="K952" t="s">
        <v>4050</v>
      </c>
      <c r="L952">
        <v>-445.11</v>
      </c>
    </row>
    <row r="953" spans="1:12">
      <c r="A953" t="s">
        <v>963</v>
      </c>
      <c r="B953" s="2">
        <v>45424</v>
      </c>
      <c r="C953">
        <v>4010</v>
      </c>
      <c r="D953" t="s">
        <v>2016</v>
      </c>
      <c r="E953">
        <v>0</v>
      </c>
      <c r="F953">
        <v>2882.01</v>
      </c>
      <c r="G953" t="s">
        <v>2020</v>
      </c>
      <c r="H953" t="s">
        <v>2023</v>
      </c>
      <c r="I953" t="s">
        <v>2979</v>
      </c>
      <c r="J953" t="s">
        <v>4031</v>
      </c>
      <c r="K953" t="s">
        <v>4033</v>
      </c>
      <c r="L953">
        <v>2882.01</v>
      </c>
    </row>
    <row r="954" spans="1:12">
      <c r="A954" t="s">
        <v>964</v>
      </c>
      <c r="B954" s="2">
        <v>45034</v>
      </c>
      <c r="C954">
        <v>5000</v>
      </c>
      <c r="D954" t="s">
        <v>2013</v>
      </c>
      <c r="E954">
        <v>788.01</v>
      </c>
      <c r="F954">
        <v>0</v>
      </c>
      <c r="G954" t="s">
        <v>2018</v>
      </c>
      <c r="H954" t="s">
        <v>2026</v>
      </c>
      <c r="I954" t="s">
        <v>2980</v>
      </c>
      <c r="J954" t="s">
        <v>4028</v>
      </c>
      <c r="K954" t="s">
        <v>4041</v>
      </c>
      <c r="L954">
        <v>-788.01</v>
      </c>
    </row>
    <row r="955" spans="1:12">
      <c r="A955" t="s">
        <v>965</v>
      </c>
      <c r="B955" s="2">
        <v>45098</v>
      </c>
      <c r="C955">
        <v>4010</v>
      </c>
      <c r="D955" t="s">
        <v>2016</v>
      </c>
      <c r="E955">
        <v>0</v>
      </c>
      <c r="F955">
        <v>1052.22</v>
      </c>
      <c r="G955" t="s">
        <v>2019</v>
      </c>
      <c r="H955" t="s">
        <v>2026</v>
      </c>
      <c r="I955" t="s">
        <v>2981</v>
      </c>
      <c r="J955" t="s">
        <v>4032</v>
      </c>
      <c r="K955" t="s">
        <v>4055</v>
      </c>
      <c r="L955">
        <v>1052.22</v>
      </c>
    </row>
    <row r="956" spans="1:12">
      <c r="A956" t="s">
        <v>966</v>
      </c>
      <c r="B956" s="2">
        <v>45033</v>
      </c>
      <c r="C956">
        <v>4010</v>
      </c>
      <c r="D956" t="s">
        <v>2016</v>
      </c>
      <c r="E956">
        <v>0</v>
      </c>
      <c r="F956">
        <v>583.57000000000005</v>
      </c>
      <c r="G956" t="s">
        <v>2017</v>
      </c>
      <c r="H956" t="s">
        <v>2024</v>
      </c>
      <c r="I956" t="s">
        <v>2982</v>
      </c>
      <c r="J956" t="s">
        <v>4031</v>
      </c>
      <c r="K956" t="s">
        <v>4041</v>
      </c>
      <c r="L956">
        <v>583.57000000000005</v>
      </c>
    </row>
    <row r="957" spans="1:12">
      <c r="A957" t="s">
        <v>967</v>
      </c>
      <c r="B957" s="2">
        <v>45713</v>
      </c>
      <c r="C957">
        <v>5000</v>
      </c>
      <c r="D957" t="s">
        <v>2013</v>
      </c>
      <c r="E957">
        <v>1472.38</v>
      </c>
      <c r="F957">
        <v>0</v>
      </c>
      <c r="G957" t="s">
        <v>2018</v>
      </c>
      <c r="H957" t="s">
        <v>2024</v>
      </c>
      <c r="I957" t="s">
        <v>2983</v>
      </c>
      <c r="J957" t="s">
        <v>4031</v>
      </c>
      <c r="K957" t="s">
        <v>4061</v>
      </c>
      <c r="L957">
        <v>-1472.38</v>
      </c>
    </row>
    <row r="958" spans="1:12">
      <c r="A958" t="s">
        <v>968</v>
      </c>
      <c r="B958" s="2">
        <v>45196</v>
      </c>
      <c r="C958">
        <v>5000</v>
      </c>
      <c r="D958" t="s">
        <v>2013</v>
      </c>
      <c r="E958">
        <v>1444.24</v>
      </c>
      <c r="F958">
        <v>0</v>
      </c>
      <c r="G958" t="s">
        <v>2021</v>
      </c>
      <c r="H958" t="s">
        <v>2024</v>
      </c>
      <c r="I958" t="s">
        <v>2984</v>
      </c>
      <c r="J958" t="s">
        <v>4028</v>
      </c>
      <c r="K958" t="s">
        <v>4036</v>
      </c>
      <c r="L958">
        <v>-1444.24</v>
      </c>
    </row>
    <row r="959" spans="1:12">
      <c r="A959" t="s">
        <v>969</v>
      </c>
      <c r="B959" s="2">
        <v>45812</v>
      </c>
      <c r="C959">
        <v>6000</v>
      </c>
      <c r="D959" t="s">
        <v>2014</v>
      </c>
      <c r="E959">
        <v>746.97</v>
      </c>
      <c r="F959">
        <v>0</v>
      </c>
      <c r="G959" t="s">
        <v>2022</v>
      </c>
      <c r="H959" t="s">
        <v>2027</v>
      </c>
      <c r="I959" t="s">
        <v>2985</v>
      </c>
      <c r="J959" t="s">
        <v>4031</v>
      </c>
      <c r="K959" t="s">
        <v>4052</v>
      </c>
      <c r="L959">
        <v>-746.97</v>
      </c>
    </row>
    <row r="960" spans="1:12">
      <c r="A960" t="s">
        <v>970</v>
      </c>
      <c r="B960" s="2">
        <v>45486</v>
      </c>
      <c r="C960">
        <v>5010</v>
      </c>
      <c r="D960" t="s">
        <v>2015</v>
      </c>
      <c r="E960">
        <v>1912.71</v>
      </c>
      <c r="F960">
        <v>0</v>
      </c>
      <c r="G960" t="s">
        <v>2022</v>
      </c>
      <c r="H960" t="s">
        <v>2026</v>
      </c>
      <c r="I960" t="s">
        <v>2986</v>
      </c>
      <c r="J960" t="s">
        <v>4030</v>
      </c>
      <c r="K960" t="s">
        <v>4054</v>
      </c>
      <c r="L960">
        <v>-1912.71</v>
      </c>
    </row>
    <row r="961" spans="1:12">
      <c r="A961" t="s">
        <v>971</v>
      </c>
      <c r="B961" s="2">
        <v>45136</v>
      </c>
      <c r="C961">
        <v>6000</v>
      </c>
      <c r="D961" t="s">
        <v>2014</v>
      </c>
      <c r="E961">
        <v>1714.13</v>
      </c>
      <c r="F961">
        <v>0</v>
      </c>
      <c r="G961" t="s">
        <v>2017</v>
      </c>
      <c r="H961" t="s">
        <v>2023</v>
      </c>
      <c r="I961" t="s">
        <v>2987</v>
      </c>
      <c r="J961" t="s">
        <v>4032</v>
      </c>
      <c r="K961" t="s">
        <v>4050</v>
      </c>
      <c r="L961">
        <v>-1714.13</v>
      </c>
    </row>
    <row r="962" spans="1:12">
      <c r="A962" t="s">
        <v>972</v>
      </c>
      <c r="B962" s="2">
        <v>45551</v>
      </c>
      <c r="C962">
        <v>5000</v>
      </c>
      <c r="D962" t="s">
        <v>2013</v>
      </c>
      <c r="E962">
        <v>996.13</v>
      </c>
      <c r="F962">
        <v>0</v>
      </c>
      <c r="G962" t="s">
        <v>2019</v>
      </c>
      <c r="H962" t="s">
        <v>2026</v>
      </c>
      <c r="I962" t="s">
        <v>2988</v>
      </c>
      <c r="J962" t="s">
        <v>4029</v>
      </c>
      <c r="K962" t="s">
        <v>4048</v>
      </c>
      <c r="L962">
        <v>-996.13</v>
      </c>
    </row>
    <row r="963" spans="1:12">
      <c r="A963" t="s">
        <v>973</v>
      </c>
      <c r="B963" s="2">
        <v>45523</v>
      </c>
      <c r="C963">
        <v>5000</v>
      </c>
      <c r="D963" t="s">
        <v>2013</v>
      </c>
      <c r="E963">
        <v>1735.24</v>
      </c>
      <c r="F963">
        <v>0</v>
      </c>
      <c r="G963" t="s">
        <v>2017</v>
      </c>
      <c r="H963" t="s">
        <v>2026</v>
      </c>
      <c r="I963" t="s">
        <v>2989</v>
      </c>
      <c r="J963" t="s">
        <v>4032</v>
      </c>
      <c r="K963" t="s">
        <v>4058</v>
      </c>
      <c r="L963">
        <v>-1735.24</v>
      </c>
    </row>
    <row r="964" spans="1:12">
      <c r="A964" t="s">
        <v>974</v>
      </c>
      <c r="B964" s="2">
        <v>44935</v>
      </c>
      <c r="C964">
        <v>6000</v>
      </c>
      <c r="D964" t="s">
        <v>2014</v>
      </c>
      <c r="E964">
        <v>1782.36</v>
      </c>
      <c r="F964">
        <v>0</v>
      </c>
      <c r="G964" t="s">
        <v>2018</v>
      </c>
      <c r="H964" t="s">
        <v>2026</v>
      </c>
      <c r="I964" t="s">
        <v>2990</v>
      </c>
      <c r="J964" t="s">
        <v>4032</v>
      </c>
      <c r="K964" t="s">
        <v>4047</v>
      </c>
      <c r="L964">
        <v>-1782.36</v>
      </c>
    </row>
    <row r="965" spans="1:12">
      <c r="A965" t="s">
        <v>975</v>
      </c>
      <c r="B965" s="2">
        <v>45341</v>
      </c>
      <c r="C965">
        <v>5010</v>
      </c>
      <c r="D965" t="s">
        <v>2015</v>
      </c>
      <c r="E965">
        <v>288.13</v>
      </c>
      <c r="F965">
        <v>0</v>
      </c>
      <c r="G965" t="s">
        <v>2017</v>
      </c>
      <c r="H965" t="s">
        <v>2024</v>
      </c>
      <c r="I965" t="s">
        <v>2991</v>
      </c>
      <c r="J965" t="s">
        <v>4028</v>
      </c>
      <c r="K965" t="s">
        <v>4044</v>
      </c>
      <c r="L965">
        <v>-288.13</v>
      </c>
    </row>
    <row r="966" spans="1:12">
      <c r="A966" t="s">
        <v>976</v>
      </c>
      <c r="B966" s="2">
        <v>45419</v>
      </c>
      <c r="C966">
        <v>6000</v>
      </c>
      <c r="D966" t="s">
        <v>2014</v>
      </c>
      <c r="E966">
        <v>760.63</v>
      </c>
      <c r="F966">
        <v>0</v>
      </c>
      <c r="G966" t="s">
        <v>2021</v>
      </c>
      <c r="H966" t="s">
        <v>2027</v>
      </c>
      <c r="I966" t="s">
        <v>2992</v>
      </c>
      <c r="J966" t="s">
        <v>4029</v>
      </c>
      <c r="K966" t="s">
        <v>4033</v>
      </c>
      <c r="L966">
        <v>-760.63</v>
      </c>
    </row>
    <row r="967" spans="1:12">
      <c r="A967" t="s">
        <v>977</v>
      </c>
      <c r="B967" s="2">
        <v>45092</v>
      </c>
      <c r="C967">
        <v>4010</v>
      </c>
      <c r="D967" t="s">
        <v>2016</v>
      </c>
      <c r="E967">
        <v>0</v>
      </c>
      <c r="F967">
        <v>4555.41</v>
      </c>
      <c r="G967" t="s">
        <v>2022</v>
      </c>
      <c r="H967" t="s">
        <v>2026</v>
      </c>
      <c r="I967" t="s">
        <v>2993</v>
      </c>
      <c r="J967" t="s">
        <v>4028</v>
      </c>
      <c r="K967" t="s">
        <v>4055</v>
      </c>
      <c r="L967">
        <v>4555.41</v>
      </c>
    </row>
    <row r="968" spans="1:12">
      <c r="A968" t="s">
        <v>978</v>
      </c>
      <c r="B968" s="2">
        <v>45049</v>
      </c>
      <c r="C968">
        <v>4000</v>
      </c>
      <c r="D968" t="s">
        <v>2012</v>
      </c>
      <c r="E968">
        <v>0</v>
      </c>
      <c r="F968">
        <v>1864.27</v>
      </c>
      <c r="G968" t="s">
        <v>2018</v>
      </c>
      <c r="H968" t="s">
        <v>2023</v>
      </c>
      <c r="I968" t="s">
        <v>2994</v>
      </c>
      <c r="J968" t="s">
        <v>4031</v>
      </c>
      <c r="K968" t="s">
        <v>4062</v>
      </c>
      <c r="L968">
        <v>1864.27</v>
      </c>
    </row>
    <row r="969" spans="1:12">
      <c r="A969" t="s">
        <v>979</v>
      </c>
      <c r="B969" s="2">
        <v>45690</v>
      </c>
      <c r="C969">
        <v>4010</v>
      </c>
      <c r="D969" t="s">
        <v>2016</v>
      </c>
      <c r="E969">
        <v>0</v>
      </c>
      <c r="F969">
        <v>705.16</v>
      </c>
      <c r="G969" t="s">
        <v>2019</v>
      </c>
      <c r="H969" t="s">
        <v>2026</v>
      </c>
      <c r="I969" t="s">
        <v>2995</v>
      </c>
      <c r="J969" t="s">
        <v>4031</v>
      </c>
      <c r="K969" t="s">
        <v>4061</v>
      </c>
      <c r="L969">
        <v>705.16</v>
      </c>
    </row>
    <row r="970" spans="1:12">
      <c r="A970" t="s">
        <v>980</v>
      </c>
      <c r="B970" s="2">
        <v>45138</v>
      </c>
      <c r="C970">
        <v>4000</v>
      </c>
      <c r="D970" t="s">
        <v>2012</v>
      </c>
      <c r="E970">
        <v>0</v>
      </c>
      <c r="F970">
        <v>2558.2800000000002</v>
      </c>
      <c r="G970" t="s">
        <v>2018</v>
      </c>
      <c r="H970" t="s">
        <v>2023</v>
      </c>
      <c r="I970" t="s">
        <v>2996</v>
      </c>
      <c r="J970" t="s">
        <v>4032</v>
      </c>
      <c r="K970" t="s">
        <v>4050</v>
      </c>
      <c r="L970">
        <v>2558.2800000000002</v>
      </c>
    </row>
    <row r="971" spans="1:12">
      <c r="A971" t="s">
        <v>981</v>
      </c>
      <c r="B971" s="2">
        <v>44946</v>
      </c>
      <c r="C971">
        <v>4010</v>
      </c>
      <c r="D971" t="s">
        <v>2016</v>
      </c>
      <c r="E971">
        <v>0</v>
      </c>
      <c r="F971">
        <v>583.33000000000004</v>
      </c>
      <c r="G971" t="s">
        <v>2020</v>
      </c>
      <c r="H971" t="s">
        <v>2024</v>
      </c>
      <c r="I971" t="s">
        <v>2997</v>
      </c>
      <c r="J971" t="s">
        <v>4030</v>
      </c>
      <c r="K971" t="s">
        <v>4047</v>
      </c>
      <c r="L971">
        <v>583.33000000000004</v>
      </c>
    </row>
    <row r="972" spans="1:12">
      <c r="A972" t="s">
        <v>982</v>
      </c>
      <c r="B972" s="2">
        <v>45629</v>
      </c>
      <c r="C972">
        <v>4010</v>
      </c>
      <c r="D972" t="s">
        <v>2016</v>
      </c>
      <c r="E972">
        <v>0</v>
      </c>
      <c r="F972">
        <v>2126.6999999999998</v>
      </c>
      <c r="G972" t="s">
        <v>2018</v>
      </c>
      <c r="H972" t="s">
        <v>2025</v>
      </c>
      <c r="I972" t="s">
        <v>2998</v>
      </c>
      <c r="J972" t="s">
        <v>4031</v>
      </c>
      <c r="K972" t="s">
        <v>4056</v>
      </c>
      <c r="L972">
        <v>2126.6999999999998</v>
      </c>
    </row>
    <row r="973" spans="1:12">
      <c r="A973" t="s">
        <v>983</v>
      </c>
      <c r="B973" s="2">
        <v>45658</v>
      </c>
      <c r="C973">
        <v>6000</v>
      </c>
      <c r="D973" t="s">
        <v>2014</v>
      </c>
      <c r="E973">
        <v>409.25</v>
      </c>
      <c r="F973">
        <v>0</v>
      </c>
      <c r="G973" t="s">
        <v>2022</v>
      </c>
      <c r="H973" t="s">
        <v>2027</v>
      </c>
      <c r="I973" t="s">
        <v>2999</v>
      </c>
      <c r="J973" t="s">
        <v>4032</v>
      </c>
      <c r="K973" t="s">
        <v>4035</v>
      </c>
      <c r="L973">
        <v>-409.25</v>
      </c>
    </row>
    <row r="974" spans="1:12">
      <c r="A974" t="s">
        <v>984</v>
      </c>
      <c r="B974" s="2">
        <v>45403</v>
      </c>
      <c r="C974">
        <v>4010</v>
      </c>
      <c r="D974" t="s">
        <v>2016</v>
      </c>
      <c r="E974">
        <v>0</v>
      </c>
      <c r="F974">
        <v>546.70000000000005</v>
      </c>
      <c r="G974" t="s">
        <v>2017</v>
      </c>
      <c r="H974" t="s">
        <v>2027</v>
      </c>
      <c r="I974" t="s">
        <v>3000</v>
      </c>
      <c r="J974" t="s">
        <v>4029</v>
      </c>
      <c r="K974" t="s">
        <v>4040</v>
      </c>
      <c r="L974">
        <v>546.70000000000005</v>
      </c>
    </row>
    <row r="975" spans="1:12">
      <c r="A975" t="s">
        <v>985</v>
      </c>
      <c r="B975" s="2">
        <v>45722</v>
      </c>
      <c r="C975">
        <v>5010</v>
      </c>
      <c r="D975" t="s">
        <v>2015</v>
      </c>
      <c r="E975">
        <v>1708.86</v>
      </c>
      <c r="F975">
        <v>0</v>
      </c>
      <c r="G975" t="s">
        <v>2018</v>
      </c>
      <c r="H975" t="s">
        <v>2026</v>
      </c>
      <c r="I975" t="s">
        <v>3001</v>
      </c>
      <c r="J975" t="s">
        <v>4032</v>
      </c>
      <c r="K975" t="s">
        <v>4046</v>
      </c>
      <c r="L975">
        <v>-1708.86</v>
      </c>
    </row>
    <row r="976" spans="1:12">
      <c r="A976" t="s">
        <v>986</v>
      </c>
      <c r="B976" s="2">
        <v>45126</v>
      </c>
      <c r="C976">
        <v>5000</v>
      </c>
      <c r="D976" t="s">
        <v>2013</v>
      </c>
      <c r="E976">
        <v>1155.1300000000001</v>
      </c>
      <c r="F976">
        <v>0</v>
      </c>
      <c r="G976" t="s">
        <v>2022</v>
      </c>
      <c r="H976" t="s">
        <v>2025</v>
      </c>
      <c r="I976" t="s">
        <v>3002</v>
      </c>
      <c r="J976" t="s">
        <v>4028</v>
      </c>
      <c r="K976" t="s">
        <v>4050</v>
      </c>
      <c r="L976">
        <v>-1155.1300000000001</v>
      </c>
    </row>
    <row r="977" spans="1:12">
      <c r="A977" t="s">
        <v>987</v>
      </c>
      <c r="B977" s="2">
        <v>45575</v>
      </c>
      <c r="C977">
        <v>5010</v>
      </c>
      <c r="D977" t="s">
        <v>2015</v>
      </c>
      <c r="E977">
        <v>906.36</v>
      </c>
      <c r="F977">
        <v>0</v>
      </c>
      <c r="G977" t="s">
        <v>2019</v>
      </c>
      <c r="H977" t="s">
        <v>2024</v>
      </c>
      <c r="I977" t="s">
        <v>3003</v>
      </c>
      <c r="J977" t="s">
        <v>4030</v>
      </c>
      <c r="K977" t="s">
        <v>4059</v>
      </c>
      <c r="L977">
        <v>-906.36</v>
      </c>
    </row>
    <row r="978" spans="1:12">
      <c r="A978" t="s">
        <v>988</v>
      </c>
      <c r="B978" s="2">
        <v>45349</v>
      </c>
      <c r="C978">
        <v>4000</v>
      </c>
      <c r="D978" t="s">
        <v>2012</v>
      </c>
      <c r="E978">
        <v>0</v>
      </c>
      <c r="F978">
        <v>1026.19</v>
      </c>
      <c r="G978" t="s">
        <v>2020</v>
      </c>
      <c r="H978" t="s">
        <v>2024</v>
      </c>
      <c r="I978" t="s">
        <v>3004</v>
      </c>
      <c r="J978" t="s">
        <v>4030</v>
      </c>
      <c r="K978" t="s">
        <v>4044</v>
      </c>
      <c r="L978">
        <v>1026.19</v>
      </c>
    </row>
    <row r="979" spans="1:12">
      <c r="A979" t="s">
        <v>989</v>
      </c>
      <c r="B979" s="2">
        <v>45540</v>
      </c>
      <c r="C979">
        <v>5010</v>
      </c>
      <c r="D979" t="s">
        <v>2015</v>
      </c>
      <c r="E979">
        <v>1571.91</v>
      </c>
      <c r="F979">
        <v>0</v>
      </c>
      <c r="G979" t="s">
        <v>2019</v>
      </c>
      <c r="H979" t="s">
        <v>2027</v>
      </c>
      <c r="I979" t="s">
        <v>3005</v>
      </c>
      <c r="J979" t="s">
        <v>4032</v>
      </c>
      <c r="K979" t="s">
        <v>4048</v>
      </c>
      <c r="L979">
        <v>-1571.91</v>
      </c>
    </row>
    <row r="980" spans="1:12">
      <c r="A980" t="s">
        <v>990</v>
      </c>
      <c r="B980" s="2">
        <v>45799</v>
      </c>
      <c r="C980">
        <v>4000</v>
      </c>
      <c r="D980" t="s">
        <v>2012</v>
      </c>
      <c r="E980">
        <v>0</v>
      </c>
      <c r="F980">
        <v>504.44</v>
      </c>
      <c r="G980" t="s">
        <v>2022</v>
      </c>
      <c r="H980" t="s">
        <v>2024</v>
      </c>
      <c r="I980" t="s">
        <v>3006</v>
      </c>
      <c r="J980" t="s">
        <v>4031</v>
      </c>
      <c r="K980" t="s">
        <v>4038</v>
      </c>
      <c r="L980">
        <v>504.44</v>
      </c>
    </row>
    <row r="981" spans="1:12">
      <c r="A981" t="s">
        <v>991</v>
      </c>
      <c r="B981" s="2">
        <v>45684</v>
      </c>
      <c r="C981">
        <v>4000</v>
      </c>
      <c r="D981" t="s">
        <v>2012</v>
      </c>
      <c r="E981">
        <v>0</v>
      </c>
      <c r="F981">
        <v>2486.2199999999998</v>
      </c>
      <c r="G981" t="s">
        <v>2019</v>
      </c>
      <c r="H981" t="s">
        <v>2027</v>
      </c>
      <c r="I981" t="s">
        <v>3007</v>
      </c>
      <c r="J981" t="s">
        <v>4028</v>
      </c>
      <c r="K981" t="s">
        <v>4035</v>
      </c>
      <c r="L981">
        <v>2486.2199999999998</v>
      </c>
    </row>
    <row r="982" spans="1:12">
      <c r="A982" t="s">
        <v>992</v>
      </c>
      <c r="B982" s="2">
        <v>45705</v>
      </c>
      <c r="C982">
        <v>5010</v>
      </c>
      <c r="D982" t="s">
        <v>2015</v>
      </c>
      <c r="E982">
        <v>397.17</v>
      </c>
      <c r="F982">
        <v>0</v>
      </c>
      <c r="G982" t="s">
        <v>2021</v>
      </c>
      <c r="H982" t="s">
        <v>2026</v>
      </c>
      <c r="I982" t="s">
        <v>3008</v>
      </c>
      <c r="J982" t="s">
        <v>4029</v>
      </c>
      <c r="K982" t="s">
        <v>4061</v>
      </c>
      <c r="L982">
        <v>-397.17</v>
      </c>
    </row>
    <row r="983" spans="1:12">
      <c r="A983" t="s">
        <v>993</v>
      </c>
      <c r="B983" s="2">
        <v>45534</v>
      </c>
      <c r="C983">
        <v>5010</v>
      </c>
      <c r="D983" t="s">
        <v>2015</v>
      </c>
      <c r="E983">
        <v>1558.38</v>
      </c>
      <c r="F983">
        <v>0</v>
      </c>
      <c r="G983" t="s">
        <v>2021</v>
      </c>
      <c r="H983" t="s">
        <v>2026</v>
      </c>
      <c r="I983" t="s">
        <v>3009</v>
      </c>
      <c r="J983" t="s">
        <v>4028</v>
      </c>
      <c r="K983" t="s">
        <v>4058</v>
      </c>
      <c r="L983">
        <v>-1558.38</v>
      </c>
    </row>
    <row r="984" spans="1:12">
      <c r="A984" t="s">
        <v>994</v>
      </c>
      <c r="B984" s="2">
        <v>45270</v>
      </c>
      <c r="C984">
        <v>4000</v>
      </c>
      <c r="D984" t="s">
        <v>2012</v>
      </c>
      <c r="E984">
        <v>0</v>
      </c>
      <c r="F984">
        <v>1902.31</v>
      </c>
      <c r="G984" t="s">
        <v>2020</v>
      </c>
      <c r="H984" t="s">
        <v>2025</v>
      </c>
      <c r="I984" t="s">
        <v>3010</v>
      </c>
      <c r="J984" t="s">
        <v>4031</v>
      </c>
      <c r="K984" t="s">
        <v>4039</v>
      </c>
      <c r="L984">
        <v>1902.31</v>
      </c>
    </row>
    <row r="985" spans="1:12">
      <c r="A985" t="s">
        <v>995</v>
      </c>
      <c r="B985" s="2">
        <v>45604</v>
      </c>
      <c r="C985">
        <v>6000</v>
      </c>
      <c r="D985" t="s">
        <v>2014</v>
      </c>
      <c r="E985">
        <v>330.31</v>
      </c>
      <c r="F985">
        <v>0</v>
      </c>
      <c r="G985" t="s">
        <v>2020</v>
      </c>
      <c r="H985" t="s">
        <v>2025</v>
      </c>
      <c r="I985" t="s">
        <v>3011</v>
      </c>
      <c r="J985" t="s">
        <v>4029</v>
      </c>
      <c r="K985" t="s">
        <v>4043</v>
      </c>
      <c r="L985">
        <v>-330.31</v>
      </c>
    </row>
    <row r="986" spans="1:12">
      <c r="A986" t="s">
        <v>996</v>
      </c>
      <c r="B986" s="2">
        <v>45502</v>
      </c>
      <c r="C986">
        <v>4010</v>
      </c>
      <c r="D986" t="s">
        <v>2016</v>
      </c>
      <c r="E986">
        <v>0</v>
      </c>
      <c r="F986">
        <v>369.23</v>
      </c>
      <c r="G986" t="s">
        <v>2022</v>
      </c>
      <c r="H986" t="s">
        <v>2024</v>
      </c>
      <c r="I986" t="s">
        <v>3012</v>
      </c>
      <c r="J986" t="s">
        <v>4030</v>
      </c>
      <c r="K986" t="s">
        <v>4054</v>
      </c>
      <c r="L986">
        <v>369.23</v>
      </c>
    </row>
    <row r="987" spans="1:12">
      <c r="A987" t="s">
        <v>997</v>
      </c>
      <c r="B987" s="2">
        <v>45130</v>
      </c>
      <c r="C987">
        <v>4010</v>
      </c>
      <c r="D987" t="s">
        <v>2016</v>
      </c>
      <c r="E987">
        <v>0</v>
      </c>
      <c r="F987">
        <v>2516.86</v>
      </c>
      <c r="G987" t="s">
        <v>2018</v>
      </c>
      <c r="H987" t="s">
        <v>2026</v>
      </c>
      <c r="I987" t="s">
        <v>3013</v>
      </c>
      <c r="J987" t="s">
        <v>4029</v>
      </c>
      <c r="K987" t="s">
        <v>4050</v>
      </c>
      <c r="L987">
        <v>2516.86</v>
      </c>
    </row>
    <row r="988" spans="1:12">
      <c r="A988" t="s">
        <v>998</v>
      </c>
      <c r="B988" s="2">
        <v>45769</v>
      </c>
      <c r="C988">
        <v>4010</v>
      </c>
      <c r="D988" t="s">
        <v>2016</v>
      </c>
      <c r="E988">
        <v>0</v>
      </c>
      <c r="F988">
        <v>2267.1999999999998</v>
      </c>
      <c r="G988" t="s">
        <v>2021</v>
      </c>
      <c r="H988" t="s">
        <v>2024</v>
      </c>
      <c r="I988" t="s">
        <v>3014</v>
      </c>
      <c r="J988" t="s">
        <v>4030</v>
      </c>
      <c r="K988" t="s">
        <v>4045</v>
      </c>
      <c r="L988">
        <v>2267.1999999999998</v>
      </c>
    </row>
    <row r="989" spans="1:12">
      <c r="A989" t="s">
        <v>999</v>
      </c>
      <c r="B989" s="2">
        <v>45572</v>
      </c>
      <c r="C989">
        <v>5000</v>
      </c>
      <c r="D989" t="s">
        <v>2013</v>
      </c>
      <c r="E989">
        <v>270.42</v>
      </c>
      <c r="F989">
        <v>0</v>
      </c>
      <c r="G989" t="s">
        <v>2019</v>
      </c>
      <c r="H989" t="s">
        <v>2023</v>
      </c>
      <c r="I989" t="s">
        <v>3015</v>
      </c>
      <c r="J989" t="s">
        <v>4032</v>
      </c>
      <c r="K989" t="s">
        <v>4059</v>
      </c>
      <c r="L989">
        <v>-270.42</v>
      </c>
    </row>
    <row r="990" spans="1:12">
      <c r="A990" t="s">
        <v>1000</v>
      </c>
      <c r="B990" s="2">
        <v>45587</v>
      </c>
      <c r="C990">
        <v>4000</v>
      </c>
      <c r="D990" t="s">
        <v>2012</v>
      </c>
      <c r="E990">
        <v>0</v>
      </c>
      <c r="F990">
        <v>1807.47</v>
      </c>
      <c r="G990" t="s">
        <v>2021</v>
      </c>
      <c r="H990" t="s">
        <v>2026</v>
      </c>
      <c r="I990" t="s">
        <v>3016</v>
      </c>
      <c r="J990" t="s">
        <v>4031</v>
      </c>
      <c r="K990" t="s">
        <v>4059</v>
      </c>
      <c r="L990">
        <v>1807.47</v>
      </c>
    </row>
    <row r="991" spans="1:12">
      <c r="A991" t="s">
        <v>1001</v>
      </c>
      <c r="B991" s="2">
        <v>45723</v>
      </c>
      <c r="C991">
        <v>5000</v>
      </c>
      <c r="D991" t="s">
        <v>2013</v>
      </c>
      <c r="E991">
        <v>1404.46</v>
      </c>
      <c r="F991">
        <v>0</v>
      </c>
      <c r="G991" t="s">
        <v>2019</v>
      </c>
      <c r="H991" t="s">
        <v>2024</v>
      </c>
      <c r="I991" t="s">
        <v>3017</v>
      </c>
      <c r="J991" t="s">
        <v>4032</v>
      </c>
      <c r="K991" t="s">
        <v>4046</v>
      </c>
      <c r="L991">
        <v>-1404.46</v>
      </c>
    </row>
    <row r="992" spans="1:12">
      <c r="A992" t="s">
        <v>1002</v>
      </c>
      <c r="B992" s="2">
        <v>45667</v>
      </c>
      <c r="C992">
        <v>6000</v>
      </c>
      <c r="D992" t="s">
        <v>2014</v>
      </c>
      <c r="E992">
        <v>1628.38</v>
      </c>
      <c r="F992">
        <v>0</v>
      </c>
      <c r="G992" t="s">
        <v>2022</v>
      </c>
      <c r="H992" t="s">
        <v>2023</v>
      </c>
      <c r="I992" t="s">
        <v>3018</v>
      </c>
      <c r="J992" t="s">
        <v>4032</v>
      </c>
      <c r="K992" t="s">
        <v>4035</v>
      </c>
      <c r="L992">
        <v>-1628.38</v>
      </c>
    </row>
    <row r="993" spans="1:12">
      <c r="A993" t="s">
        <v>1003</v>
      </c>
      <c r="B993" s="2">
        <v>45132</v>
      </c>
      <c r="C993">
        <v>5010</v>
      </c>
      <c r="D993" t="s">
        <v>2015</v>
      </c>
      <c r="E993">
        <v>1593.21</v>
      </c>
      <c r="F993">
        <v>0</v>
      </c>
      <c r="G993" t="s">
        <v>2018</v>
      </c>
      <c r="H993" t="s">
        <v>2026</v>
      </c>
      <c r="I993" t="s">
        <v>3019</v>
      </c>
      <c r="J993" t="s">
        <v>4029</v>
      </c>
      <c r="K993" t="s">
        <v>4050</v>
      </c>
      <c r="L993">
        <v>-1593.21</v>
      </c>
    </row>
    <row r="994" spans="1:12">
      <c r="A994" t="s">
        <v>1004</v>
      </c>
      <c r="B994" s="2">
        <v>45275</v>
      </c>
      <c r="C994">
        <v>4000</v>
      </c>
      <c r="D994" t="s">
        <v>2012</v>
      </c>
      <c r="E994">
        <v>0</v>
      </c>
      <c r="F994">
        <v>3100.79</v>
      </c>
      <c r="G994" t="s">
        <v>2021</v>
      </c>
      <c r="H994" t="s">
        <v>2026</v>
      </c>
      <c r="I994" t="s">
        <v>3020</v>
      </c>
      <c r="J994" t="s">
        <v>4032</v>
      </c>
      <c r="K994" t="s">
        <v>4039</v>
      </c>
      <c r="L994">
        <v>3100.79</v>
      </c>
    </row>
    <row r="995" spans="1:12">
      <c r="A995" t="s">
        <v>1005</v>
      </c>
      <c r="B995" s="2">
        <v>45127</v>
      </c>
      <c r="C995">
        <v>5000</v>
      </c>
      <c r="D995" t="s">
        <v>2013</v>
      </c>
      <c r="E995">
        <v>759.38</v>
      </c>
      <c r="F995">
        <v>0</v>
      </c>
      <c r="G995" t="s">
        <v>2017</v>
      </c>
      <c r="H995" t="s">
        <v>2027</v>
      </c>
      <c r="I995" t="s">
        <v>3021</v>
      </c>
      <c r="J995" t="s">
        <v>4030</v>
      </c>
      <c r="K995" t="s">
        <v>4050</v>
      </c>
      <c r="L995">
        <v>-759.38</v>
      </c>
    </row>
    <row r="996" spans="1:12">
      <c r="A996" t="s">
        <v>1006</v>
      </c>
      <c r="B996" s="2">
        <v>45655</v>
      </c>
      <c r="C996">
        <v>6000</v>
      </c>
      <c r="D996" t="s">
        <v>2014</v>
      </c>
      <c r="E996">
        <v>818.52</v>
      </c>
      <c r="F996">
        <v>0</v>
      </c>
      <c r="G996" t="s">
        <v>2017</v>
      </c>
      <c r="H996" t="s">
        <v>2023</v>
      </c>
      <c r="I996" t="s">
        <v>3022</v>
      </c>
      <c r="J996" t="s">
        <v>4028</v>
      </c>
      <c r="K996" t="s">
        <v>4056</v>
      </c>
      <c r="L996">
        <v>-818.52</v>
      </c>
    </row>
    <row r="997" spans="1:12">
      <c r="A997" t="s">
        <v>1007</v>
      </c>
      <c r="B997" s="2">
        <v>44958</v>
      </c>
      <c r="C997">
        <v>6000</v>
      </c>
      <c r="D997" t="s">
        <v>2014</v>
      </c>
      <c r="E997">
        <v>1003.28</v>
      </c>
      <c r="F997">
        <v>0</v>
      </c>
      <c r="G997" t="s">
        <v>2017</v>
      </c>
      <c r="H997" t="s">
        <v>2026</v>
      </c>
      <c r="I997" t="s">
        <v>3023</v>
      </c>
      <c r="J997" t="s">
        <v>4030</v>
      </c>
      <c r="K997" t="s">
        <v>4057</v>
      </c>
      <c r="L997">
        <v>-1003.28</v>
      </c>
    </row>
    <row r="998" spans="1:12">
      <c r="A998" t="s">
        <v>1008</v>
      </c>
      <c r="B998" s="2">
        <v>45377</v>
      </c>
      <c r="C998">
        <v>4010</v>
      </c>
      <c r="D998" t="s">
        <v>2016</v>
      </c>
      <c r="E998">
        <v>0</v>
      </c>
      <c r="F998">
        <v>3683.5</v>
      </c>
      <c r="G998" t="s">
        <v>2021</v>
      </c>
      <c r="H998" t="s">
        <v>2027</v>
      </c>
      <c r="I998" t="s">
        <v>3024</v>
      </c>
      <c r="J998" t="s">
        <v>4031</v>
      </c>
      <c r="K998" t="s">
        <v>4049</v>
      </c>
      <c r="L998">
        <v>3683.5</v>
      </c>
    </row>
    <row r="999" spans="1:12">
      <c r="A999" t="s">
        <v>1009</v>
      </c>
      <c r="B999" s="2">
        <v>45725</v>
      </c>
      <c r="C999">
        <v>5010</v>
      </c>
      <c r="D999" t="s">
        <v>2015</v>
      </c>
      <c r="E999">
        <v>1336.12</v>
      </c>
      <c r="F999">
        <v>0</v>
      </c>
      <c r="G999" t="s">
        <v>2017</v>
      </c>
      <c r="H999" t="s">
        <v>2027</v>
      </c>
      <c r="I999" t="s">
        <v>3025</v>
      </c>
      <c r="J999" t="s">
        <v>4032</v>
      </c>
      <c r="K999" t="s">
        <v>4046</v>
      </c>
      <c r="L999">
        <v>-1336.12</v>
      </c>
    </row>
    <row r="1000" spans="1:12">
      <c r="A1000" t="s">
        <v>1010</v>
      </c>
      <c r="B1000" s="2">
        <v>45490</v>
      </c>
      <c r="C1000">
        <v>4000</v>
      </c>
      <c r="D1000" t="s">
        <v>2012</v>
      </c>
      <c r="E1000">
        <v>0</v>
      </c>
      <c r="F1000">
        <v>142.47999999999999</v>
      </c>
      <c r="G1000" t="s">
        <v>2021</v>
      </c>
      <c r="H1000" t="s">
        <v>2027</v>
      </c>
      <c r="I1000" t="s">
        <v>3026</v>
      </c>
      <c r="J1000" t="s">
        <v>4028</v>
      </c>
      <c r="K1000" t="s">
        <v>4054</v>
      </c>
      <c r="L1000">
        <v>142.47999999999999</v>
      </c>
    </row>
    <row r="1001" spans="1:12">
      <c r="A1001" t="s">
        <v>1011</v>
      </c>
      <c r="B1001" s="2">
        <v>45797</v>
      </c>
      <c r="C1001">
        <v>6000</v>
      </c>
      <c r="D1001" t="s">
        <v>2014</v>
      </c>
      <c r="E1001">
        <v>225.03</v>
      </c>
      <c r="F1001">
        <v>0</v>
      </c>
      <c r="G1001" t="s">
        <v>2017</v>
      </c>
      <c r="H1001" t="s">
        <v>2027</v>
      </c>
      <c r="I1001" t="s">
        <v>3027</v>
      </c>
      <c r="J1001" t="s">
        <v>4032</v>
      </c>
      <c r="K1001" t="s">
        <v>4038</v>
      </c>
      <c r="L1001">
        <v>-225.03</v>
      </c>
    </row>
    <row r="1002" spans="1:12">
      <c r="A1002" t="s">
        <v>1012</v>
      </c>
      <c r="B1002" s="2">
        <v>45701</v>
      </c>
      <c r="C1002">
        <v>5000</v>
      </c>
      <c r="D1002" t="s">
        <v>2013</v>
      </c>
      <c r="E1002">
        <v>1959.72</v>
      </c>
      <c r="F1002">
        <v>0</v>
      </c>
      <c r="G1002" t="s">
        <v>2017</v>
      </c>
      <c r="H1002" t="s">
        <v>2026</v>
      </c>
      <c r="I1002" t="s">
        <v>3028</v>
      </c>
      <c r="J1002" t="s">
        <v>4030</v>
      </c>
      <c r="K1002" t="s">
        <v>4061</v>
      </c>
      <c r="L1002">
        <v>-1959.72</v>
      </c>
    </row>
    <row r="1003" spans="1:12">
      <c r="A1003" t="s">
        <v>1013</v>
      </c>
      <c r="B1003" s="2">
        <v>45528</v>
      </c>
      <c r="C1003">
        <v>6000</v>
      </c>
      <c r="D1003" t="s">
        <v>2014</v>
      </c>
      <c r="E1003">
        <v>459.97</v>
      </c>
      <c r="F1003">
        <v>0</v>
      </c>
      <c r="G1003" t="s">
        <v>2017</v>
      </c>
      <c r="H1003" t="s">
        <v>2027</v>
      </c>
      <c r="I1003" t="s">
        <v>3029</v>
      </c>
      <c r="J1003" t="s">
        <v>4031</v>
      </c>
      <c r="K1003" t="s">
        <v>4058</v>
      </c>
      <c r="L1003">
        <v>-459.97</v>
      </c>
    </row>
    <row r="1004" spans="1:12">
      <c r="A1004" t="s">
        <v>1014</v>
      </c>
      <c r="B1004" s="2">
        <v>45420</v>
      </c>
      <c r="C1004">
        <v>4000</v>
      </c>
      <c r="D1004" t="s">
        <v>2012</v>
      </c>
      <c r="E1004">
        <v>0</v>
      </c>
      <c r="F1004">
        <v>1518.16</v>
      </c>
      <c r="G1004" t="s">
        <v>2019</v>
      </c>
      <c r="H1004" t="s">
        <v>2023</v>
      </c>
      <c r="I1004" t="s">
        <v>3030</v>
      </c>
      <c r="J1004" t="s">
        <v>4031</v>
      </c>
      <c r="K1004" t="s">
        <v>4033</v>
      </c>
      <c r="L1004">
        <v>1518.16</v>
      </c>
    </row>
    <row r="1005" spans="1:12">
      <c r="A1005" t="s">
        <v>1015</v>
      </c>
      <c r="B1005" s="2">
        <v>45471</v>
      </c>
      <c r="C1005">
        <v>6000</v>
      </c>
      <c r="D1005" t="s">
        <v>2014</v>
      </c>
      <c r="E1005">
        <v>1278.1199999999999</v>
      </c>
      <c r="F1005">
        <v>0</v>
      </c>
      <c r="G1005" t="s">
        <v>2022</v>
      </c>
      <c r="H1005" t="s">
        <v>2023</v>
      </c>
      <c r="I1005" t="s">
        <v>3031</v>
      </c>
      <c r="J1005" t="s">
        <v>4029</v>
      </c>
      <c r="K1005" t="s">
        <v>4034</v>
      </c>
      <c r="L1005">
        <v>-1278.1199999999999</v>
      </c>
    </row>
    <row r="1006" spans="1:12">
      <c r="A1006" t="s">
        <v>1016</v>
      </c>
      <c r="B1006" s="2">
        <v>45410</v>
      </c>
      <c r="C1006">
        <v>5000</v>
      </c>
      <c r="D1006" t="s">
        <v>2013</v>
      </c>
      <c r="E1006">
        <v>1956.42</v>
      </c>
      <c r="F1006">
        <v>0</v>
      </c>
      <c r="G1006" t="s">
        <v>2017</v>
      </c>
      <c r="H1006" t="s">
        <v>2027</v>
      </c>
      <c r="I1006" t="s">
        <v>3032</v>
      </c>
      <c r="J1006" t="s">
        <v>4029</v>
      </c>
      <c r="K1006" t="s">
        <v>4040</v>
      </c>
      <c r="L1006">
        <v>-1956.42</v>
      </c>
    </row>
    <row r="1007" spans="1:12">
      <c r="A1007" t="s">
        <v>1017</v>
      </c>
      <c r="B1007" s="2">
        <v>45445</v>
      </c>
      <c r="C1007">
        <v>5010</v>
      </c>
      <c r="D1007" t="s">
        <v>2015</v>
      </c>
      <c r="E1007">
        <v>1816.11</v>
      </c>
      <c r="F1007">
        <v>0</v>
      </c>
      <c r="G1007" t="s">
        <v>2019</v>
      </c>
      <c r="H1007" t="s">
        <v>2025</v>
      </c>
      <c r="I1007" t="s">
        <v>3033</v>
      </c>
      <c r="J1007" t="s">
        <v>4028</v>
      </c>
      <c r="K1007" t="s">
        <v>4034</v>
      </c>
      <c r="L1007">
        <v>-1816.11</v>
      </c>
    </row>
    <row r="1008" spans="1:12">
      <c r="A1008" t="s">
        <v>1018</v>
      </c>
      <c r="B1008" s="2">
        <v>45615</v>
      </c>
      <c r="C1008">
        <v>5000</v>
      </c>
      <c r="D1008" t="s">
        <v>2013</v>
      </c>
      <c r="E1008">
        <v>1309.5</v>
      </c>
      <c r="F1008">
        <v>0</v>
      </c>
      <c r="G1008" t="s">
        <v>2021</v>
      </c>
      <c r="H1008" t="s">
        <v>2024</v>
      </c>
      <c r="I1008" t="s">
        <v>3034</v>
      </c>
      <c r="J1008" t="s">
        <v>4029</v>
      </c>
      <c r="K1008" t="s">
        <v>4043</v>
      </c>
      <c r="L1008">
        <v>-1309.5</v>
      </c>
    </row>
    <row r="1009" spans="1:12">
      <c r="A1009" t="s">
        <v>1019</v>
      </c>
      <c r="B1009" s="2">
        <v>45101</v>
      </c>
      <c r="C1009">
        <v>5000</v>
      </c>
      <c r="D1009" t="s">
        <v>2013</v>
      </c>
      <c r="E1009">
        <v>316.43</v>
      </c>
      <c r="F1009">
        <v>0</v>
      </c>
      <c r="G1009" t="s">
        <v>2019</v>
      </c>
      <c r="H1009" t="s">
        <v>2027</v>
      </c>
      <c r="I1009" t="s">
        <v>3035</v>
      </c>
      <c r="J1009" t="s">
        <v>4029</v>
      </c>
      <c r="K1009" t="s">
        <v>4055</v>
      </c>
      <c r="L1009">
        <v>-316.43</v>
      </c>
    </row>
    <row r="1010" spans="1:12">
      <c r="A1010" t="s">
        <v>1020</v>
      </c>
      <c r="B1010" s="2">
        <v>45407</v>
      </c>
      <c r="C1010">
        <v>4000</v>
      </c>
      <c r="D1010" t="s">
        <v>2012</v>
      </c>
      <c r="E1010">
        <v>0</v>
      </c>
      <c r="F1010">
        <v>4239.59</v>
      </c>
      <c r="G1010" t="s">
        <v>2017</v>
      </c>
      <c r="H1010" t="s">
        <v>2027</v>
      </c>
      <c r="I1010" t="s">
        <v>3036</v>
      </c>
      <c r="J1010" t="s">
        <v>4029</v>
      </c>
      <c r="K1010" t="s">
        <v>4040</v>
      </c>
      <c r="L1010">
        <v>4239.59</v>
      </c>
    </row>
    <row r="1011" spans="1:12">
      <c r="A1011" t="s">
        <v>1021</v>
      </c>
      <c r="B1011" s="2">
        <v>45607</v>
      </c>
      <c r="C1011">
        <v>5000</v>
      </c>
      <c r="D1011" t="s">
        <v>2013</v>
      </c>
      <c r="E1011">
        <v>497.55</v>
      </c>
      <c r="F1011">
        <v>0</v>
      </c>
      <c r="G1011" t="s">
        <v>2017</v>
      </c>
      <c r="H1011" t="s">
        <v>2024</v>
      </c>
      <c r="I1011" t="s">
        <v>3037</v>
      </c>
      <c r="J1011" t="s">
        <v>4028</v>
      </c>
      <c r="K1011" t="s">
        <v>4043</v>
      </c>
      <c r="L1011">
        <v>-497.55</v>
      </c>
    </row>
    <row r="1012" spans="1:12">
      <c r="A1012" t="s">
        <v>1022</v>
      </c>
      <c r="B1012" s="2">
        <v>45729</v>
      </c>
      <c r="C1012">
        <v>6000</v>
      </c>
      <c r="D1012" t="s">
        <v>2014</v>
      </c>
      <c r="E1012">
        <v>1978.21</v>
      </c>
      <c r="F1012">
        <v>0</v>
      </c>
      <c r="G1012" t="s">
        <v>2018</v>
      </c>
      <c r="H1012" t="s">
        <v>2023</v>
      </c>
      <c r="I1012" t="s">
        <v>3038</v>
      </c>
      <c r="J1012" t="s">
        <v>4031</v>
      </c>
      <c r="K1012" t="s">
        <v>4046</v>
      </c>
      <c r="L1012">
        <v>-1978.21</v>
      </c>
    </row>
    <row r="1013" spans="1:12">
      <c r="A1013" t="s">
        <v>1023</v>
      </c>
      <c r="B1013" s="2">
        <v>45055</v>
      </c>
      <c r="C1013">
        <v>5000</v>
      </c>
      <c r="D1013" t="s">
        <v>2013</v>
      </c>
      <c r="E1013">
        <v>1691.11</v>
      </c>
      <c r="F1013">
        <v>0</v>
      </c>
      <c r="G1013" t="s">
        <v>2019</v>
      </c>
      <c r="H1013" t="s">
        <v>2024</v>
      </c>
      <c r="I1013" t="s">
        <v>3039</v>
      </c>
      <c r="J1013" t="s">
        <v>4028</v>
      </c>
      <c r="K1013" t="s">
        <v>4062</v>
      </c>
      <c r="L1013">
        <v>-1691.11</v>
      </c>
    </row>
    <row r="1014" spans="1:12">
      <c r="A1014" t="s">
        <v>1024</v>
      </c>
      <c r="B1014" s="2">
        <v>45282</v>
      </c>
      <c r="C1014">
        <v>4000</v>
      </c>
      <c r="D1014" t="s">
        <v>2012</v>
      </c>
      <c r="E1014">
        <v>0</v>
      </c>
      <c r="F1014">
        <v>3238.48</v>
      </c>
      <c r="G1014" t="s">
        <v>2017</v>
      </c>
      <c r="H1014" t="s">
        <v>2024</v>
      </c>
      <c r="I1014" t="s">
        <v>3040</v>
      </c>
      <c r="J1014" t="s">
        <v>4028</v>
      </c>
      <c r="K1014" t="s">
        <v>4039</v>
      </c>
      <c r="L1014">
        <v>3238.48</v>
      </c>
    </row>
    <row r="1015" spans="1:12">
      <c r="A1015" t="s">
        <v>1025</v>
      </c>
      <c r="B1015" s="2">
        <v>44955</v>
      </c>
      <c r="C1015">
        <v>4010</v>
      </c>
      <c r="D1015" t="s">
        <v>2016</v>
      </c>
      <c r="E1015">
        <v>0</v>
      </c>
      <c r="F1015">
        <v>2318.9699999999998</v>
      </c>
      <c r="G1015" t="s">
        <v>2022</v>
      </c>
      <c r="H1015" t="s">
        <v>2023</v>
      </c>
      <c r="I1015" t="s">
        <v>3041</v>
      </c>
      <c r="J1015" t="s">
        <v>4030</v>
      </c>
      <c r="K1015" t="s">
        <v>4047</v>
      </c>
      <c r="L1015">
        <v>2318.9699999999998</v>
      </c>
    </row>
    <row r="1016" spans="1:12">
      <c r="A1016" t="s">
        <v>1026</v>
      </c>
      <c r="B1016" s="2">
        <v>45255</v>
      </c>
      <c r="C1016">
        <v>5000</v>
      </c>
      <c r="D1016" t="s">
        <v>2013</v>
      </c>
      <c r="E1016">
        <v>683.66</v>
      </c>
      <c r="F1016">
        <v>0</v>
      </c>
      <c r="G1016" t="s">
        <v>2018</v>
      </c>
      <c r="H1016" t="s">
        <v>2026</v>
      </c>
      <c r="I1016" t="s">
        <v>3042</v>
      </c>
      <c r="J1016" t="s">
        <v>4030</v>
      </c>
      <c r="K1016" t="s">
        <v>4042</v>
      </c>
      <c r="L1016">
        <v>-683.66</v>
      </c>
    </row>
    <row r="1017" spans="1:12">
      <c r="A1017" t="s">
        <v>1027</v>
      </c>
      <c r="B1017" s="2">
        <v>45087</v>
      </c>
      <c r="C1017">
        <v>6000</v>
      </c>
      <c r="D1017" t="s">
        <v>2014</v>
      </c>
      <c r="E1017">
        <v>1309.76</v>
      </c>
      <c r="F1017">
        <v>0</v>
      </c>
      <c r="G1017" t="s">
        <v>2018</v>
      </c>
      <c r="H1017" t="s">
        <v>2023</v>
      </c>
      <c r="I1017" t="s">
        <v>3043</v>
      </c>
      <c r="J1017" t="s">
        <v>4030</v>
      </c>
      <c r="K1017" t="s">
        <v>4055</v>
      </c>
      <c r="L1017">
        <v>-1309.76</v>
      </c>
    </row>
    <row r="1018" spans="1:12">
      <c r="A1018" t="s">
        <v>1028</v>
      </c>
      <c r="B1018" s="2">
        <v>45017</v>
      </c>
      <c r="C1018">
        <v>6000</v>
      </c>
      <c r="D1018" t="s">
        <v>2014</v>
      </c>
      <c r="E1018">
        <v>988.94</v>
      </c>
      <c r="F1018">
        <v>0</v>
      </c>
      <c r="G1018" t="s">
        <v>2022</v>
      </c>
      <c r="H1018" t="s">
        <v>2026</v>
      </c>
      <c r="I1018" t="s">
        <v>3044</v>
      </c>
      <c r="J1018" t="s">
        <v>4031</v>
      </c>
      <c r="K1018" t="s">
        <v>4041</v>
      </c>
      <c r="L1018">
        <v>-988.94</v>
      </c>
    </row>
    <row r="1019" spans="1:12">
      <c r="A1019" t="s">
        <v>1029</v>
      </c>
      <c r="B1019" s="2">
        <v>45642</v>
      </c>
      <c r="C1019">
        <v>4000</v>
      </c>
      <c r="D1019" t="s">
        <v>2012</v>
      </c>
      <c r="E1019">
        <v>0</v>
      </c>
      <c r="F1019">
        <v>3981.75</v>
      </c>
      <c r="G1019" t="s">
        <v>2021</v>
      </c>
      <c r="H1019" t="s">
        <v>2025</v>
      </c>
      <c r="I1019" t="s">
        <v>3045</v>
      </c>
      <c r="J1019" t="s">
        <v>4030</v>
      </c>
      <c r="K1019" t="s">
        <v>4056</v>
      </c>
      <c r="L1019">
        <v>3981.75</v>
      </c>
    </row>
    <row r="1020" spans="1:12">
      <c r="A1020" t="s">
        <v>1030</v>
      </c>
      <c r="B1020" s="2">
        <v>45669</v>
      </c>
      <c r="C1020">
        <v>4010</v>
      </c>
      <c r="D1020" t="s">
        <v>2016</v>
      </c>
      <c r="E1020">
        <v>0</v>
      </c>
      <c r="F1020">
        <v>4727.49</v>
      </c>
      <c r="G1020" t="s">
        <v>2021</v>
      </c>
      <c r="H1020" t="s">
        <v>2024</v>
      </c>
      <c r="I1020" t="s">
        <v>3046</v>
      </c>
      <c r="J1020" t="s">
        <v>4031</v>
      </c>
      <c r="K1020" t="s">
        <v>4035</v>
      </c>
      <c r="L1020">
        <v>4727.49</v>
      </c>
    </row>
    <row r="1021" spans="1:12">
      <c r="A1021" t="s">
        <v>1031</v>
      </c>
      <c r="B1021" s="2">
        <v>45226</v>
      </c>
      <c r="C1021">
        <v>4000</v>
      </c>
      <c r="D1021" t="s">
        <v>2012</v>
      </c>
      <c r="E1021">
        <v>0</v>
      </c>
      <c r="F1021">
        <v>4557.5600000000004</v>
      </c>
      <c r="G1021" t="s">
        <v>2020</v>
      </c>
      <c r="H1021" t="s">
        <v>2026</v>
      </c>
      <c r="I1021" t="s">
        <v>3047</v>
      </c>
      <c r="J1021" t="s">
        <v>4032</v>
      </c>
      <c r="K1021" t="s">
        <v>4060</v>
      </c>
      <c r="L1021">
        <v>4557.5600000000004</v>
      </c>
    </row>
    <row r="1022" spans="1:12">
      <c r="A1022" t="s">
        <v>1032</v>
      </c>
      <c r="B1022" s="2">
        <v>45540</v>
      </c>
      <c r="C1022">
        <v>5000</v>
      </c>
      <c r="D1022" t="s">
        <v>2013</v>
      </c>
      <c r="E1022">
        <v>402.15</v>
      </c>
      <c r="F1022">
        <v>0</v>
      </c>
      <c r="G1022" t="s">
        <v>2022</v>
      </c>
      <c r="H1022" t="s">
        <v>2023</v>
      </c>
      <c r="I1022" t="s">
        <v>3048</v>
      </c>
      <c r="J1022" t="s">
        <v>4029</v>
      </c>
      <c r="K1022" t="s">
        <v>4048</v>
      </c>
      <c r="L1022">
        <v>-402.15</v>
      </c>
    </row>
    <row r="1023" spans="1:12">
      <c r="A1023" t="s">
        <v>1033</v>
      </c>
      <c r="B1023" s="2">
        <v>45811</v>
      </c>
      <c r="C1023">
        <v>4000</v>
      </c>
      <c r="D1023" t="s">
        <v>2012</v>
      </c>
      <c r="E1023">
        <v>0</v>
      </c>
      <c r="F1023">
        <v>1210.2</v>
      </c>
      <c r="G1023" t="s">
        <v>2018</v>
      </c>
      <c r="H1023" t="s">
        <v>2023</v>
      </c>
      <c r="I1023" t="s">
        <v>3049</v>
      </c>
      <c r="J1023" t="s">
        <v>4031</v>
      </c>
      <c r="K1023" t="s">
        <v>4052</v>
      </c>
      <c r="L1023">
        <v>1210.2</v>
      </c>
    </row>
    <row r="1024" spans="1:12">
      <c r="A1024" t="s">
        <v>1034</v>
      </c>
      <c r="B1024" s="2">
        <v>44949</v>
      </c>
      <c r="C1024">
        <v>4000</v>
      </c>
      <c r="D1024" t="s">
        <v>2012</v>
      </c>
      <c r="E1024">
        <v>0</v>
      </c>
      <c r="F1024">
        <v>256.32</v>
      </c>
      <c r="G1024" t="s">
        <v>2017</v>
      </c>
      <c r="H1024" t="s">
        <v>2023</v>
      </c>
      <c r="I1024" t="s">
        <v>3050</v>
      </c>
      <c r="J1024" t="s">
        <v>4032</v>
      </c>
      <c r="K1024" t="s">
        <v>4047</v>
      </c>
      <c r="L1024">
        <v>256.32</v>
      </c>
    </row>
    <row r="1025" spans="1:12">
      <c r="A1025" t="s">
        <v>1035</v>
      </c>
      <c r="B1025" s="2">
        <v>45584</v>
      </c>
      <c r="C1025">
        <v>5000</v>
      </c>
      <c r="D1025" t="s">
        <v>2013</v>
      </c>
      <c r="E1025">
        <v>1493.77</v>
      </c>
      <c r="F1025">
        <v>0</v>
      </c>
      <c r="G1025" t="s">
        <v>2018</v>
      </c>
      <c r="H1025" t="s">
        <v>2026</v>
      </c>
      <c r="I1025" t="s">
        <v>3051</v>
      </c>
      <c r="J1025" t="s">
        <v>4032</v>
      </c>
      <c r="K1025" t="s">
        <v>4059</v>
      </c>
      <c r="L1025">
        <v>-1493.77</v>
      </c>
    </row>
    <row r="1026" spans="1:12">
      <c r="A1026" t="s">
        <v>1036</v>
      </c>
      <c r="B1026" s="2">
        <v>45332</v>
      </c>
      <c r="C1026">
        <v>6000</v>
      </c>
      <c r="D1026" t="s">
        <v>2014</v>
      </c>
      <c r="E1026">
        <v>1946.64</v>
      </c>
      <c r="F1026">
        <v>0</v>
      </c>
      <c r="G1026" t="s">
        <v>2021</v>
      </c>
      <c r="H1026" t="s">
        <v>2025</v>
      </c>
      <c r="I1026" t="s">
        <v>3052</v>
      </c>
      <c r="J1026" t="s">
        <v>4032</v>
      </c>
      <c r="K1026" t="s">
        <v>4044</v>
      </c>
      <c r="L1026">
        <v>-1946.64</v>
      </c>
    </row>
    <row r="1027" spans="1:12">
      <c r="A1027" t="s">
        <v>1037</v>
      </c>
      <c r="B1027" s="2">
        <v>44943</v>
      </c>
      <c r="C1027">
        <v>4010</v>
      </c>
      <c r="D1027" t="s">
        <v>2016</v>
      </c>
      <c r="E1027">
        <v>0</v>
      </c>
      <c r="F1027">
        <v>3890.34</v>
      </c>
      <c r="G1027" t="s">
        <v>2022</v>
      </c>
      <c r="H1027" t="s">
        <v>2024</v>
      </c>
      <c r="I1027" t="s">
        <v>3053</v>
      </c>
      <c r="J1027" t="s">
        <v>4030</v>
      </c>
      <c r="K1027" t="s">
        <v>4047</v>
      </c>
      <c r="L1027">
        <v>3890.34</v>
      </c>
    </row>
    <row r="1028" spans="1:12">
      <c r="A1028" t="s">
        <v>1038</v>
      </c>
      <c r="B1028" s="2">
        <v>45406</v>
      </c>
      <c r="C1028">
        <v>5010</v>
      </c>
      <c r="D1028" t="s">
        <v>2015</v>
      </c>
      <c r="E1028">
        <v>1085.95</v>
      </c>
      <c r="F1028">
        <v>0</v>
      </c>
      <c r="G1028" t="s">
        <v>2017</v>
      </c>
      <c r="H1028" t="s">
        <v>2026</v>
      </c>
      <c r="I1028" t="s">
        <v>3054</v>
      </c>
      <c r="J1028" t="s">
        <v>4030</v>
      </c>
      <c r="K1028" t="s">
        <v>4040</v>
      </c>
      <c r="L1028">
        <v>-1085.95</v>
      </c>
    </row>
    <row r="1029" spans="1:12">
      <c r="A1029" t="s">
        <v>1039</v>
      </c>
      <c r="B1029" s="2">
        <v>45721</v>
      </c>
      <c r="C1029">
        <v>6000</v>
      </c>
      <c r="D1029" t="s">
        <v>2014</v>
      </c>
      <c r="E1029">
        <v>1425.4</v>
      </c>
      <c r="F1029">
        <v>0</v>
      </c>
      <c r="G1029" t="s">
        <v>2018</v>
      </c>
      <c r="H1029" t="s">
        <v>2024</v>
      </c>
      <c r="I1029" t="s">
        <v>3055</v>
      </c>
      <c r="J1029" t="s">
        <v>4030</v>
      </c>
      <c r="K1029" t="s">
        <v>4046</v>
      </c>
      <c r="L1029">
        <v>-1425.4</v>
      </c>
    </row>
    <row r="1030" spans="1:12">
      <c r="A1030" t="s">
        <v>1040</v>
      </c>
      <c r="B1030" s="2">
        <v>45510</v>
      </c>
      <c r="C1030">
        <v>5010</v>
      </c>
      <c r="D1030" t="s">
        <v>2015</v>
      </c>
      <c r="E1030">
        <v>910.93</v>
      </c>
      <c r="F1030">
        <v>0</v>
      </c>
      <c r="G1030" t="s">
        <v>2020</v>
      </c>
      <c r="H1030" t="s">
        <v>2024</v>
      </c>
      <c r="I1030" t="s">
        <v>3056</v>
      </c>
      <c r="J1030" t="s">
        <v>4028</v>
      </c>
      <c r="K1030" t="s">
        <v>4058</v>
      </c>
      <c r="L1030">
        <v>-910.93</v>
      </c>
    </row>
    <row r="1031" spans="1:12">
      <c r="A1031" t="s">
        <v>1041</v>
      </c>
      <c r="B1031" s="2">
        <v>45574</v>
      </c>
      <c r="C1031">
        <v>6000</v>
      </c>
      <c r="D1031" t="s">
        <v>2014</v>
      </c>
      <c r="E1031">
        <v>973.12</v>
      </c>
      <c r="F1031">
        <v>0</v>
      </c>
      <c r="G1031" t="s">
        <v>2019</v>
      </c>
      <c r="H1031" t="s">
        <v>2027</v>
      </c>
      <c r="I1031" t="s">
        <v>3057</v>
      </c>
      <c r="J1031" t="s">
        <v>4028</v>
      </c>
      <c r="K1031" t="s">
        <v>4059</v>
      </c>
      <c r="L1031">
        <v>-973.12</v>
      </c>
    </row>
    <row r="1032" spans="1:12">
      <c r="A1032" t="s">
        <v>1042</v>
      </c>
      <c r="B1032" s="2">
        <v>45255</v>
      </c>
      <c r="C1032">
        <v>4010</v>
      </c>
      <c r="D1032" t="s">
        <v>2016</v>
      </c>
      <c r="E1032">
        <v>0</v>
      </c>
      <c r="F1032">
        <v>3221.92</v>
      </c>
      <c r="G1032" t="s">
        <v>2017</v>
      </c>
      <c r="H1032" t="s">
        <v>2025</v>
      </c>
      <c r="I1032" t="s">
        <v>3058</v>
      </c>
      <c r="J1032" t="s">
        <v>4031</v>
      </c>
      <c r="K1032" t="s">
        <v>4042</v>
      </c>
      <c r="L1032">
        <v>3221.92</v>
      </c>
    </row>
    <row r="1033" spans="1:12">
      <c r="A1033" t="s">
        <v>1043</v>
      </c>
      <c r="B1033" s="2">
        <v>45499</v>
      </c>
      <c r="C1033">
        <v>4010</v>
      </c>
      <c r="D1033" t="s">
        <v>2016</v>
      </c>
      <c r="E1033">
        <v>0</v>
      </c>
      <c r="F1033">
        <v>4508.8599999999997</v>
      </c>
      <c r="G1033" t="s">
        <v>2019</v>
      </c>
      <c r="H1033" t="s">
        <v>2024</v>
      </c>
      <c r="I1033" t="s">
        <v>3059</v>
      </c>
      <c r="J1033" t="s">
        <v>4032</v>
      </c>
      <c r="K1033" t="s">
        <v>4054</v>
      </c>
      <c r="L1033">
        <v>4508.8599999999997</v>
      </c>
    </row>
    <row r="1034" spans="1:12">
      <c r="A1034" t="s">
        <v>1044</v>
      </c>
      <c r="B1034" s="2">
        <v>44970</v>
      </c>
      <c r="C1034">
        <v>4010</v>
      </c>
      <c r="D1034" t="s">
        <v>2016</v>
      </c>
      <c r="E1034">
        <v>0</v>
      </c>
      <c r="F1034">
        <v>882.66</v>
      </c>
      <c r="G1034" t="s">
        <v>2020</v>
      </c>
      <c r="H1034" t="s">
        <v>2025</v>
      </c>
      <c r="I1034" t="s">
        <v>3060</v>
      </c>
      <c r="J1034" t="s">
        <v>4031</v>
      </c>
      <c r="K1034" t="s">
        <v>4057</v>
      </c>
      <c r="L1034">
        <v>882.66</v>
      </c>
    </row>
    <row r="1035" spans="1:12">
      <c r="A1035" t="s">
        <v>1045</v>
      </c>
      <c r="B1035" s="2">
        <v>45370</v>
      </c>
      <c r="C1035">
        <v>6000</v>
      </c>
      <c r="D1035" t="s">
        <v>2014</v>
      </c>
      <c r="E1035">
        <v>432.35</v>
      </c>
      <c r="F1035">
        <v>0</v>
      </c>
      <c r="G1035" t="s">
        <v>2019</v>
      </c>
      <c r="H1035" t="s">
        <v>2024</v>
      </c>
      <c r="I1035" t="s">
        <v>3061</v>
      </c>
      <c r="J1035" t="s">
        <v>4032</v>
      </c>
      <c r="K1035" t="s">
        <v>4049</v>
      </c>
      <c r="L1035">
        <v>-432.35</v>
      </c>
    </row>
    <row r="1036" spans="1:12">
      <c r="A1036" t="s">
        <v>1046</v>
      </c>
      <c r="B1036" s="2">
        <v>45050</v>
      </c>
      <c r="C1036">
        <v>4000</v>
      </c>
      <c r="D1036" t="s">
        <v>2012</v>
      </c>
      <c r="E1036">
        <v>0</v>
      </c>
      <c r="F1036">
        <v>1578.7</v>
      </c>
      <c r="G1036" t="s">
        <v>2020</v>
      </c>
      <c r="H1036" t="s">
        <v>2027</v>
      </c>
      <c r="I1036" t="s">
        <v>3062</v>
      </c>
      <c r="J1036" t="s">
        <v>4031</v>
      </c>
      <c r="K1036" t="s">
        <v>4062</v>
      </c>
      <c r="L1036">
        <v>1578.7</v>
      </c>
    </row>
    <row r="1037" spans="1:12">
      <c r="A1037" t="s">
        <v>1047</v>
      </c>
      <c r="B1037" s="2">
        <v>45117</v>
      </c>
      <c r="C1037">
        <v>6000</v>
      </c>
      <c r="D1037" t="s">
        <v>2014</v>
      </c>
      <c r="E1037">
        <v>880.83</v>
      </c>
      <c r="F1037">
        <v>0</v>
      </c>
      <c r="G1037" t="s">
        <v>2020</v>
      </c>
      <c r="H1037" t="s">
        <v>2023</v>
      </c>
      <c r="I1037" t="s">
        <v>3063</v>
      </c>
      <c r="J1037" t="s">
        <v>4028</v>
      </c>
      <c r="K1037" t="s">
        <v>4050</v>
      </c>
      <c r="L1037">
        <v>-880.83</v>
      </c>
    </row>
    <row r="1038" spans="1:12">
      <c r="A1038" t="s">
        <v>1048</v>
      </c>
      <c r="B1038" s="2">
        <v>45392</v>
      </c>
      <c r="C1038">
        <v>4000</v>
      </c>
      <c r="D1038" t="s">
        <v>2012</v>
      </c>
      <c r="E1038">
        <v>0</v>
      </c>
      <c r="F1038">
        <v>1378.62</v>
      </c>
      <c r="G1038" t="s">
        <v>2019</v>
      </c>
      <c r="H1038" t="s">
        <v>2023</v>
      </c>
      <c r="I1038" t="s">
        <v>3064</v>
      </c>
      <c r="J1038" t="s">
        <v>4030</v>
      </c>
      <c r="K1038" t="s">
        <v>4040</v>
      </c>
      <c r="L1038">
        <v>1378.62</v>
      </c>
    </row>
    <row r="1039" spans="1:12">
      <c r="A1039" t="s">
        <v>1049</v>
      </c>
      <c r="B1039" s="2">
        <v>45371</v>
      </c>
      <c r="C1039">
        <v>4000</v>
      </c>
      <c r="D1039" t="s">
        <v>2012</v>
      </c>
      <c r="E1039">
        <v>0</v>
      </c>
      <c r="F1039">
        <v>1884.23</v>
      </c>
      <c r="G1039" t="s">
        <v>2022</v>
      </c>
      <c r="H1039" t="s">
        <v>2023</v>
      </c>
      <c r="I1039" t="s">
        <v>3065</v>
      </c>
      <c r="J1039" t="s">
        <v>4031</v>
      </c>
      <c r="K1039" t="s">
        <v>4049</v>
      </c>
      <c r="L1039">
        <v>1884.23</v>
      </c>
    </row>
    <row r="1040" spans="1:12">
      <c r="A1040" t="s">
        <v>1050</v>
      </c>
      <c r="B1040" s="2">
        <v>45429</v>
      </c>
      <c r="C1040">
        <v>5000</v>
      </c>
      <c r="D1040" t="s">
        <v>2013</v>
      </c>
      <c r="E1040">
        <v>398.06</v>
      </c>
      <c r="F1040">
        <v>0</v>
      </c>
      <c r="G1040" t="s">
        <v>2021</v>
      </c>
      <c r="H1040" t="s">
        <v>2026</v>
      </c>
      <c r="I1040" t="s">
        <v>3066</v>
      </c>
      <c r="J1040" t="s">
        <v>4028</v>
      </c>
      <c r="K1040" t="s">
        <v>4033</v>
      </c>
      <c r="L1040">
        <v>-398.06</v>
      </c>
    </row>
    <row r="1041" spans="1:12">
      <c r="A1041" t="s">
        <v>1051</v>
      </c>
      <c r="B1041" s="2">
        <v>45093</v>
      </c>
      <c r="C1041">
        <v>6000</v>
      </c>
      <c r="D1041" t="s">
        <v>2014</v>
      </c>
      <c r="E1041">
        <v>1030.76</v>
      </c>
      <c r="F1041">
        <v>0</v>
      </c>
      <c r="G1041" t="s">
        <v>2019</v>
      </c>
      <c r="H1041" t="s">
        <v>2023</v>
      </c>
      <c r="I1041" t="s">
        <v>3067</v>
      </c>
      <c r="J1041" t="s">
        <v>4029</v>
      </c>
      <c r="K1041" t="s">
        <v>4055</v>
      </c>
      <c r="L1041">
        <v>-1030.76</v>
      </c>
    </row>
    <row r="1042" spans="1:12">
      <c r="A1042" t="s">
        <v>1052</v>
      </c>
      <c r="B1042" s="2">
        <v>45195</v>
      </c>
      <c r="C1042">
        <v>5010</v>
      </c>
      <c r="D1042" t="s">
        <v>2015</v>
      </c>
      <c r="E1042">
        <v>1713</v>
      </c>
      <c r="F1042">
        <v>0</v>
      </c>
      <c r="G1042" t="s">
        <v>2021</v>
      </c>
      <c r="H1042" t="s">
        <v>2026</v>
      </c>
      <c r="I1042" t="s">
        <v>3068</v>
      </c>
      <c r="J1042" t="s">
        <v>4030</v>
      </c>
      <c r="K1042" t="s">
        <v>4036</v>
      </c>
      <c r="L1042">
        <v>-1713</v>
      </c>
    </row>
    <row r="1043" spans="1:12">
      <c r="A1043" t="s">
        <v>1053</v>
      </c>
      <c r="B1043" s="2">
        <v>45573</v>
      </c>
      <c r="C1043">
        <v>4000</v>
      </c>
      <c r="D1043" t="s">
        <v>2012</v>
      </c>
      <c r="E1043">
        <v>0</v>
      </c>
      <c r="F1043">
        <v>3214.89</v>
      </c>
      <c r="G1043" t="s">
        <v>2019</v>
      </c>
      <c r="H1043" t="s">
        <v>2023</v>
      </c>
      <c r="I1043" t="s">
        <v>3069</v>
      </c>
      <c r="J1043" t="s">
        <v>4030</v>
      </c>
      <c r="K1043" t="s">
        <v>4059</v>
      </c>
      <c r="L1043">
        <v>3214.89</v>
      </c>
    </row>
    <row r="1044" spans="1:12">
      <c r="A1044" t="s">
        <v>1054</v>
      </c>
      <c r="B1044" s="2">
        <v>45364</v>
      </c>
      <c r="C1044">
        <v>4000</v>
      </c>
      <c r="D1044" t="s">
        <v>2012</v>
      </c>
      <c r="E1044">
        <v>0</v>
      </c>
      <c r="F1044">
        <v>284.06</v>
      </c>
      <c r="G1044" t="s">
        <v>2022</v>
      </c>
      <c r="H1044" t="s">
        <v>2023</v>
      </c>
      <c r="I1044" t="s">
        <v>3070</v>
      </c>
      <c r="J1044" t="s">
        <v>4030</v>
      </c>
      <c r="K1044" t="s">
        <v>4049</v>
      </c>
      <c r="L1044">
        <v>284.06</v>
      </c>
    </row>
    <row r="1045" spans="1:12">
      <c r="A1045" t="s">
        <v>1055</v>
      </c>
      <c r="B1045" s="2">
        <v>45236</v>
      </c>
      <c r="C1045">
        <v>4010</v>
      </c>
      <c r="D1045" t="s">
        <v>2016</v>
      </c>
      <c r="E1045">
        <v>0</v>
      </c>
      <c r="F1045">
        <v>3835.49</v>
      </c>
      <c r="G1045" t="s">
        <v>2017</v>
      </c>
      <c r="H1045" t="s">
        <v>2024</v>
      </c>
      <c r="I1045" t="s">
        <v>3071</v>
      </c>
      <c r="J1045" t="s">
        <v>4028</v>
      </c>
      <c r="K1045" t="s">
        <v>4042</v>
      </c>
      <c r="L1045">
        <v>3835.49</v>
      </c>
    </row>
    <row r="1046" spans="1:12">
      <c r="A1046" t="s">
        <v>1056</v>
      </c>
      <c r="B1046" s="2">
        <v>45141</v>
      </c>
      <c r="C1046">
        <v>5000</v>
      </c>
      <c r="D1046" t="s">
        <v>2013</v>
      </c>
      <c r="E1046">
        <v>357.85</v>
      </c>
      <c r="F1046">
        <v>0</v>
      </c>
      <c r="G1046" t="s">
        <v>2018</v>
      </c>
      <c r="H1046" t="s">
        <v>2025</v>
      </c>
      <c r="I1046" t="s">
        <v>3072</v>
      </c>
      <c r="J1046" t="s">
        <v>4028</v>
      </c>
      <c r="K1046" t="s">
        <v>4037</v>
      </c>
      <c r="L1046">
        <v>-357.85</v>
      </c>
    </row>
    <row r="1047" spans="1:12">
      <c r="A1047" t="s">
        <v>1057</v>
      </c>
      <c r="B1047" s="2">
        <v>45052</v>
      </c>
      <c r="C1047">
        <v>4010</v>
      </c>
      <c r="D1047" t="s">
        <v>2016</v>
      </c>
      <c r="E1047">
        <v>0</v>
      </c>
      <c r="F1047">
        <v>1435.58</v>
      </c>
      <c r="G1047" t="s">
        <v>2020</v>
      </c>
      <c r="H1047" t="s">
        <v>2026</v>
      </c>
      <c r="I1047" t="s">
        <v>3073</v>
      </c>
      <c r="J1047" t="s">
        <v>4028</v>
      </c>
      <c r="K1047" t="s">
        <v>4062</v>
      </c>
      <c r="L1047">
        <v>1435.58</v>
      </c>
    </row>
    <row r="1048" spans="1:12">
      <c r="A1048" t="s">
        <v>1058</v>
      </c>
      <c r="B1048" s="2">
        <v>45108</v>
      </c>
      <c r="C1048">
        <v>5000</v>
      </c>
      <c r="D1048" t="s">
        <v>2013</v>
      </c>
      <c r="E1048">
        <v>163.47999999999999</v>
      </c>
      <c r="F1048">
        <v>0</v>
      </c>
      <c r="G1048" t="s">
        <v>2022</v>
      </c>
      <c r="H1048" t="s">
        <v>2026</v>
      </c>
      <c r="I1048" t="s">
        <v>3074</v>
      </c>
      <c r="J1048" t="s">
        <v>4030</v>
      </c>
      <c r="K1048" t="s">
        <v>4050</v>
      </c>
      <c r="L1048">
        <v>-163.47999999999999</v>
      </c>
    </row>
    <row r="1049" spans="1:12">
      <c r="A1049" t="s">
        <v>1059</v>
      </c>
      <c r="B1049" s="2">
        <v>45478</v>
      </c>
      <c r="C1049">
        <v>5010</v>
      </c>
      <c r="D1049" t="s">
        <v>2015</v>
      </c>
      <c r="E1049">
        <v>1586.3</v>
      </c>
      <c r="F1049">
        <v>0</v>
      </c>
      <c r="G1049" t="s">
        <v>2022</v>
      </c>
      <c r="H1049" t="s">
        <v>2025</v>
      </c>
      <c r="I1049" t="s">
        <v>3075</v>
      </c>
      <c r="J1049" t="s">
        <v>4032</v>
      </c>
      <c r="K1049" t="s">
        <v>4054</v>
      </c>
      <c r="L1049">
        <v>-1586.3</v>
      </c>
    </row>
    <row r="1050" spans="1:12">
      <c r="A1050" t="s">
        <v>1060</v>
      </c>
      <c r="B1050" s="2">
        <v>45059</v>
      </c>
      <c r="C1050">
        <v>4010</v>
      </c>
      <c r="D1050" t="s">
        <v>2016</v>
      </c>
      <c r="E1050">
        <v>0</v>
      </c>
      <c r="F1050">
        <v>1071.1300000000001</v>
      </c>
      <c r="G1050" t="s">
        <v>2018</v>
      </c>
      <c r="H1050" t="s">
        <v>2026</v>
      </c>
      <c r="I1050" t="s">
        <v>3076</v>
      </c>
      <c r="J1050" t="s">
        <v>4031</v>
      </c>
      <c r="K1050" t="s">
        <v>4062</v>
      </c>
      <c r="L1050">
        <v>1071.1300000000001</v>
      </c>
    </row>
    <row r="1051" spans="1:12">
      <c r="A1051" t="s">
        <v>1061</v>
      </c>
      <c r="B1051" s="2">
        <v>45508</v>
      </c>
      <c r="C1051">
        <v>5010</v>
      </c>
      <c r="D1051" t="s">
        <v>2015</v>
      </c>
      <c r="E1051">
        <v>1888.6</v>
      </c>
      <c r="F1051">
        <v>0</v>
      </c>
      <c r="G1051" t="s">
        <v>2021</v>
      </c>
      <c r="H1051" t="s">
        <v>2026</v>
      </c>
      <c r="I1051" t="s">
        <v>3077</v>
      </c>
      <c r="J1051" t="s">
        <v>4029</v>
      </c>
      <c r="K1051" t="s">
        <v>4058</v>
      </c>
      <c r="L1051">
        <v>-1888.6</v>
      </c>
    </row>
    <row r="1052" spans="1:12">
      <c r="A1052" t="s">
        <v>1062</v>
      </c>
      <c r="B1052" s="2">
        <v>45244</v>
      </c>
      <c r="C1052">
        <v>6000</v>
      </c>
      <c r="D1052" t="s">
        <v>2014</v>
      </c>
      <c r="E1052">
        <v>1396.76</v>
      </c>
      <c r="F1052">
        <v>0</v>
      </c>
      <c r="G1052" t="s">
        <v>2018</v>
      </c>
      <c r="H1052" t="s">
        <v>2026</v>
      </c>
      <c r="I1052" t="s">
        <v>3078</v>
      </c>
      <c r="J1052" t="s">
        <v>4031</v>
      </c>
      <c r="K1052" t="s">
        <v>4042</v>
      </c>
      <c r="L1052">
        <v>-1396.76</v>
      </c>
    </row>
    <row r="1053" spans="1:12">
      <c r="A1053" t="s">
        <v>1063</v>
      </c>
      <c r="B1053" s="2">
        <v>44968</v>
      </c>
      <c r="C1053">
        <v>4000</v>
      </c>
      <c r="D1053" t="s">
        <v>2012</v>
      </c>
      <c r="E1053">
        <v>0</v>
      </c>
      <c r="F1053">
        <v>458.3</v>
      </c>
      <c r="G1053" t="s">
        <v>2021</v>
      </c>
      <c r="H1053" t="s">
        <v>2027</v>
      </c>
      <c r="I1053" t="s">
        <v>3079</v>
      </c>
      <c r="J1053" t="s">
        <v>4029</v>
      </c>
      <c r="K1053" t="s">
        <v>4057</v>
      </c>
      <c r="L1053">
        <v>458.3</v>
      </c>
    </row>
    <row r="1054" spans="1:12">
      <c r="A1054" t="s">
        <v>1064</v>
      </c>
      <c r="B1054" s="2">
        <v>45813</v>
      </c>
      <c r="C1054">
        <v>6000</v>
      </c>
      <c r="D1054" t="s">
        <v>2014</v>
      </c>
      <c r="E1054">
        <v>1873.98</v>
      </c>
      <c r="F1054">
        <v>0</v>
      </c>
      <c r="G1054" t="s">
        <v>2019</v>
      </c>
      <c r="H1054" t="s">
        <v>2023</v>
      </c>
      <c r="I1054" t="s">
        <v>3080</v>
      </c>
      <c r="J1054" t="s">
        <v>4032</v>
      </c>
      <c r="K1054" t="s">
        <v>4052</v>
      </c>
      <c r="L1054">
        <v>-1873.98</v>
      </c>
    </row>
    <row r="1055" spans="1:12">
      <c r="A1055" t="s">
        <v>1065</v>
      </c>
      <c r="B1055" s="2">
        <v>45459</v>
      </c>
      <c r="C1055">
        <v>4010</v>
      </c>
      <c r="D1055" t="s">
        <v>2016</v>
      </c>
      <c r="E1055">
        <v>0</v>
      </c>
      <c r="F1055">
        <v>550.03</v>
      </c>
      <c r="G1055" t="s">
        <v>2019</v>
      </c>
      <c r="H1055" t="s">
        <v>2027</v>
      </c>
      <c r="I1055" t="s">
        <v>3081</v>
      </c>
      <c r="J1055" t="s">
        <v>4030</v>
      </c>
      <c r="K1055" t="s">
        <v>4034</v>
      </c>
      <c r="L1055">
        <v>550.03</v>
      </c>
    </row>
    <row r="1056" spans="1:12">
      <c r="A1056" t="s">
        <v>1066</v>
      </c>
      <c r="B1056" s="2">
        <v>45144</v>
      </c>
      <c r="C1056">
        <v>5010</v>
      </c>
      <c r="D1056" t="s">
        <v>2015</v>
      </c>
      <c r="E1056">
        <v>1300.8599999999999</v>
      </c>
      <c r="F1056">
        <v>0</v>
      </c>
      <c r="G1056" t="s">
        <v>2022</v>
      </c>
      <c r="H1056" t="s">
        <v>2024</v>
      </c>
      <c r="I1056" t="s">
        <v>3082</v>
      </c>
      <c r="J1056" t="s">
        <v>4029</v>
      </c>
      <c r="K1056" t="s">
        <v>4037</v>
      </c>
      <c r="L1056">
        <v>-1300.8599999999999</v>
      </c>
    </row>
    <row r="1057" spans="1:12">
      <c r="A1057" t="s">
        <v>1067</v>
      </c>
      <c r="B1057" s="2">
        <v>45254</v>
      </c>
      <c r="C1057">
        <v>6000</v>
      </c>
      <c r="D1057" t="s">
        <v>2014</v>
      </c>
      <c r="E1057">
        <v>509.12</v>
      </c>
      <c r="F1057">
        <v>0</v>
      </c>
      <c r="G1057" t="s">
        <v>2022</v>
      </c>
      <c r="H1057" t="s">
        <v>2024</v>
      </c>
      <c r="I1057" t="s">
        <v>3083</v>
      </c>
      <c r="J1057" t="s">
        <v>4032</v>
      </c>
      <c r="K1057" t="s">
        <v>4042</v>
      </c>
      <c r="L1057">
        <v>-509.12</v>
      </c>
    </row>
    <row r="1058" spans="1:12">
      <c r="A1058" t="s">
        <v>1068</v>
      </c>
      <c r="B1058" s="2">
        <v>45782</v>
      </c>
      <c r="C1058">
        <v>6000</v>
      </c>
      <c r="D1058" t="s">
        <v>2014</v>
      </c>
      <c r="E1058">
        <v>1328.19</v>
      </c>
      <c r="F1058">
        <v>0</v>
      </c>
      <c r="G1058" t="s">
        <v>2021</v>
      </c>
      <c r="H1058" t="s">
        <v>2023</v>
      </c>
      <c r="I1058" t="s">
        <v>3084</v>
      </c>
      <c r="J1058" t="s">
        <v>4032</v>
      </c>
      <c r="K1058" t="s">
        <v>4038</v>
      </c>
      <c r="L1058">
        <v>-1328.19</v>
      </c>
    </row>
    <row r="1059" spans="1:12">
      <c r="A1059" t="s">
        <v>1069</v>
      </c>
      <c r="B1059" s="2">
        <v>45559</v>
      </c>
      <c r="C1059">
        <v>4000</v>
      </c>
      <c r="D1059" t="s">
        <v>2012</v>
      </c>
      <c r="E1059">
        <v>0</v>
      </c>
      <c r="F1059">
        <v>2455.5100000000002</v>
      </c>
      <c r="G1059" t="s">
        <v>2017</v>
      </c>
      <c r="H1059" t="s">
        <v>2023</v>
      </c>
      <c r="I1059" t="s">
        <v>3085</v>
      </c>
      <c r="J1059" t="s">
        <v>4030</v>
      </c>
      <c r="K1059" t="s">
        <v>4048</v>
      </c>
      <c r="L1059">
        <v>2455.5100000000002</v>
      </c>
    </row>
    <row r="1060" spans="1:12">
      <c r="A1060" t="s">
        <v>1070</v>
      </c>
      <c r="B1060" s="2">
        <v>45791</v>
      </c>
      <c r="C1060">
        <v>4000</v>
      </c>
      <c r="D1060" t="s">
        <v>2012</v>
      </c>
      <c r="E1060">
        <v>0</v>
      </c>
      <c r="F1060">
        <v>723.85</v>
      </c>
      <c r="G1060" t="s">
        <v>2022</v>
      </c>
      <c r="H1060" t="s">
        <v>2023</v>
      </c>
      <c r="I1060" t="s">
        <v>3086</v>
      </c>
      <c r="J1060" t="s">
        <v>4031</v>
      </c>
      <c r="K1060" t="s">
        <v>4038</v>
      </c>
      <c r="L1060">
        <v>723.85</v>
      </c>
    </row>
    <row r="1061" spans="1:12">
      <c r="A1061" t="s">
        <v>1071</v>
      </c>
      <c r="B1061" s="2">
        <v>45287</v>
      </c>
      <c r="C1061">
        <v>4010</v>
      </c>
      <c r="D1061" t="s">
        <v>2016</v>
      </c>
      <c r="E1061">
        <v>0</v>
      </c>
      <c r="F1061">
        <v>544.42999999999995</v>
      </c>
      <c r="G1061" t="s">
        <v>2018</v>
      </c>
      <c r="H1061" t="s">
        <v>2023</v>
      </c>
      <c r="I1061" t="s">
        <v>3087</v>
      </c>
      <c r="J1061" t="s">
        <v>4032</v>
      </c>
      <c r="K1061" t="s">
        <v>4039</v>
      </c>
      <c r="L1061">
        <v>544.42999999999995</v>
      </c>
    </row>
    <row r="1062" spans="1:12">
      <c r="A1062" t="s">
        <v>1072</v>
      </c>
      <c r="B1062" s="2">
        <v>45175</v>
      </c>
      <c r="C1062">
        <v>5000</v>
      </c>
      <c r="D1062" t="s">
        <v>2013</v>
      </c>
      <c r="E1062">
        <v>1812.2</v>
      </c>
      <c r="F1062">
        <v>0</v>
      </c>
      <c r="G1062" t="s">
        <v>2018</v>
      </c>
      <c r="H1062" t="s">
        <v>2027</v>
      </c>
      <c r="I1062" t="s">
        <v>3088</v>
      </c>
      <c r="J1062" t="s">
        <v>4028</v>
      </c>
      <c r="K1062" t="s">
        <v>4036</v>
      </c>
      <c r="L1062">
        <v>-1812.2</v>
      </c>
    </row>
    <row r="1063" spans="1:12">
      <c r="A1063" t="s">
        <v>1073</v>
      </c>
      <c r="B1063" s="2">
        <v>45242</v>
      </c>
      <c r="C1063">
        <v>5010</v>
      </c>
      <c r="D1063" t="s">
        <v>2015</v>
      </c>
      <c r="E1063">
        <v>1323.46</v>
      </c>
      <c r="F1063">
        <v>0</v>
      </c>
      <c r="G1063" t="s">
        <v>2019</v>
      </c>
      <c r="H1063" t="s">
        <v>2027</v>
      </c>
      <c r="I1063" t="s">
        <v>3089</v>
      </c>
      <c r="J1063" t="s">
        <v>4028</v>
      </c>
      <c r="K1063" t="s">
        <v>4042</v>
      </c>
      <c r="L1063">
        <v>-1323.46</v>
      </c>
    </row>
    <row r="1064" spans="1:12">
      <c r="A1064" t="s">
        <v>1074</v>
      </c>
      <c r="B1064" s="2">
        <v>45315</v>
      </c>
      <c r="C1064">
        <v>5000</v>
      </c>
      <c r="D1064" t="s">
        <v>2013</v>
      </c>
      <c r="E1064">
        <v>254.62</v>
      </c>
      <c r="F1064">
        <v>0</v>
      </c>
      <c r="G1064" t="s">
        <v>2017</v>
      </c>
      <c r="H1064" t="s">
        <v>2024</v>
      </c>
      <c r="I1064" t="s">
        <v>3090</v>
      </c>
      <c r="J1064" t="s">
        <v>4031</v>
      </c>
      <c r="K1064" t="s">
        <v>4053</v>
      </c>
      <c r="L1064">
        <v>-254.62</v>
      </c>
    </row>
    <row r="1065" spans="1:12">
      <c r="A1065" t="s">
        <v>1075</v>
      </c>
      <c r="B1065" s="2">
        <v>45567</v>
      </c>
      <c r="C1065">
        <v>5010</v>
      </c>
      <c r="D1065" t="s">
        <v>2015</v>
      </c>
      <c r="E1065">
        <v>1198.8900000000001</v>
      </c>
      <c r="F1065">
        <v>0</v>
      </c>
      <c r="G1065" t="s">
        <v>2022</v>
      </c>
      <c r="H1065" t="s">
        <v>2024</v>
      </c>
      <c r="I1065" t="s">
        <v>3091</v>
      </c>
      <c r="J1065" t="s">
        <v>4028</v>
      </c>
      <c r="K1065" t="s">
        <v>4059</v>
      </c>
      <c r="L1065">
        <v>-1198.8900000000001</v>
      </c>
    </row>
    <row r="1066" spans="1:12">
      <c r="A1066" t="s">
        <v>1076</v>
      </c>
      <c r="B1066" s="2">
        <v>45462</v>
      </c>
      <c r="C1066">
        <v>5010</v>
      </c>
      <c r="D1066" t="s">
        <v>2015</v>
      </c>
      <c r="E1066">
        <v>556.48</v>
      </c>
      <c r="F1066">
        <v>0</v>
      </c>
      <c r="G1066" t="s">
        <v>2020</v>
      </c>
      <c r="H1066" t="s">
        <v>2027</v>
      </c>
      <c r="I1066" t="s">
        <v>3092</v>
      </c>
      <c r="J1066" t="s">
        <v>4028</v>
      </c>
      <c r="K1066" t="s">
        <v>4034</v>
      </c>
      <c r="L1066">
        <v>-556.48</v>
      </c>
    </row>
    <row r="1067" spans="1:12">
      <c r="A1067" t="s">
        <v>1077</v>
      </c>
      <c r="B1067" s="2">
        <v>45103</v>
      </c>
      <c r="C1067">
        <v>4010</v>
      </c>
      <c r="D1067" t="s">
        <v>2016</v>
      </c>
      <c r="E1067">
        <v>0</v>
      </c>
      <c r="F1067">
        <v>3204.3</v>
      </c>
      <c r="G1067" t="s">
        <v>2022</v>
      </c>
      <c r="H1067" t="s">
        <v>2027</v>
      </c>
      <c r="I1067" t="s">
        <v>3093</v>
      </c>
      <c r="J1067" t="s">
        <v>4032</v>
      </c>
      <c r="K1067" t="s">
        <v>4055</v>
      </c>
      <c r="L1067">
        <v>3204.3</v>
      </c>
    </row>
    <row r="1068" spans="1:12">
      <c r="A1068" t="s">
        <v>1078</v>
      </c>
      <c r="B1068" s="2">
        <v>45827</v>
      </c>
      <c r="C1068">
        <v>6000</v>
      </c>
      <c r="D1068" t="s">
        <v>2014</v>
      </c>
      <c r="E1068">
        <v>322.5</v>
      </c>
      <c r="F1068">
        <v>0</v>
      </c>
      <c r="G1068" t="s">
        <v>2018</v>
      </c>
      <c r="H1068" t="s">
        <v>2027</v>
      </c>
      <c r="I1068" t="s">
        <v>3094</v>
      </c>
      <c r="J1068" t="s">
        <v>4029</v>
      </c>
      <c r="K1068" t="s">
        <v>4052</v>
      </c>
      <c r="L1068">
        <v>-322.5</v>
      </c>
    </row>
    <row r="1069" spans="1:12">
      <c r="A1069" t="s">
        <v>1079</v>
      </c>
      <c r="B1069" s="2">
        <v>45033</v>
      </c>
      <c r="C1069">
        <v>6000</v>
      </c>
      <c r="D1069" t="s">
        <v>2014</v>
      </c>
      <c r="E1069">
        <v>916.19</v>
      </c>
      <c r="F1069">
        <v>0</v>
      </c>
      <c r="G1069" t="s">
        <v>2022</v>
      </c>
      <c r="H1069" t="s">
        <v>2026</v>
      </c>
      <c r="I1069" t="s">
        <v>3095</v>
      </c>
      <c r="J1069" t="s">
        <v>4028</v>
      </c>
      <c r="K1069" t="s">
        <v>4041</v>
      </c>
      <c r="L1069">
        <v>-916.19</v>
      </c>
    </row>
    <row r="1070" spans="1:12">
      <c r="A1070" t="s">
        <v>1080</v>
      </c>
      <c r="B1070" s="2">
        <v>45756</v>
      </c>
      <c r="C1070">
        <v>5010</v>
      </c>
      <c r="D1070" t="s">
        <v>2015</v>
      </c>
      <c r="E1070">
        <v>202.58</v>
      </c>
      <c r="F1070">
        <v>0</v>
      </c>
      <c r="G1070" t="s">
        <v>2022</v>
      </c>
      <c r="H1070" t="s">
        <v>2026</v>
      </c>
      <c r="I1070" t="s">
        <v>3096</v>
      </c>
      <c r="J1070" t="s">
        <v>4030</v>
      </c>
      <c r="K1070" t="s">
        <v>4045</v>
      </c>
      <c r="L1070">
        <v>-202.58</v>
      </c>
    </row>
    <row r="1071" spans="1:12">
      <c r="A1071" t="s">
        <v>1081</v>
      </c>
      <c r="B1071" s="2">
        <v>45633</v>
      </c>
      <c r="C1071">
        <v>4000</v>
      </c>
      <c r="D1071" t="s">
        <v>2012</v>
      </c>
      <c r="E1071">
        <v>0</v>
      </c>
      <c r="F1071">
        <v>4558.3900000000003</v>
      </c>
      <c r="G1071" t="s">
        <v>2021</v>
      </c>
      <c r="H1071" t="s">
        <v>2025</v>
      </c>
      <c r="I1071" t="s">
        <v>3097</v>
      </c>
      <c r="J1071" t="s">
        <v>4029</v>
      </c>
      <c r="K1071" t="s">
        <v>4056</v>
      </c>
      <c r="L1071">
        <v>4558.3900000000003</v>
      </c>
    </row>
    <row r="1072" spans="1:12">
      <c r="A1072" t="s">
        <v>1082</v>
      </c>
      <c r="B1072" s="2">
        <v>45018</v>
      </c>
      <c r="C1072">
        <v>6000</v>
      </c>
      <c r="D1072" t="s">
        <v>2014</v>
      </c>
      <c r="E1072">
        <v>962.74</v>
      </c>
      <c r="F1072">
        <v>0</v>
      </c>
      <c r="G1072" t="s">
        <v>2018</v>
      </c>
      <c r="H1072" t="s">
        <v>2027</v>
      </c>
      <c r="I1072" t="s">
        <v>3098</v>
      </c>
      <c r="J1072" t="s">
        <v>4031</v>
      </c>
      <c r="K1072" t="s">
        <v>4041</v>
      </c>
      <c r="L1072">
        <v>-962.74</v>
      </c>
    </row>
    <row r="1073" spans="1:12">
      <c r="A1073" t="s">
        <v>1083</v>
      </c>
      <c r="B1073" s="2">
        <v>45389</v>
      </c>
      <c r="C1073">
        <v>6000</v>
      </c>
      <c r="D1073" t="s">
        <v>2014</v>
      </c>
      <c r="E1073">
        <v>996.08</v>
      </c>
      <c r="F1073">
        <v>0</v>
      </c>
      <c r="G1073" t="s">
        <v>2018</v>
      </c>
      <c r="H1073" t="s">
        <v>2027</v>
      </c>
      <c r="I1073" t="s">
        <v>3099</v>
      </c>
      <c r="J1073" t="s">
        <v>4029</v>
      </c>
      <c r="K1073" t="s">
        <v>4040</v>
      </c>
      <c r="L1073">
        <v>-996.08</v>
      </c>
    </row>
    <row r="1074" spans="1:12">
      <c r="A1074" t="s">
        <v>1084</v>
      </c>
      <c r="B1074" s="2">
        <v>45680</v>
      </c>
      <c r="C1074">
        <v>6000</v>
      </c>
      <c r="D1074" t="s">
        <v>2014</v>
      </c>
      <c r="E1074">
        <v>1399.67</v>
      </c>
      <c r="F1074">
        <v>0</v>
      </c>
      <c r="G1074" t="s">
        <v>2021</v>
      </c>
      <c r="H1074" t="s">
        <v>2027</v>
      </c>
      <c r="I1074" t="s">
        <v>3100</v>
      </c>
      <c r="J1074" t="s">
        <v>4032</v>
      </c>
      <c r="K1074" t="s">
        <v>4035</v>
      </c>
      <c r="L1074">
        <v>-1399.67</v>
      </c>
    </row>
    <row r="1075" spans="1:12">
      <c r="A1075" t="s">
        <v>1085</v>
      </c>
      <c r="B1075" s="2">
        <v>45213</v>
      </c>
      <c r="C1075">
        <v>4010</v>
      </c>
      <c r="D1075" t="s">
        <v>2016</v>
      </c>
      <c r="E1075">
        <v>0</v>
      </c>
      <c r="F1075">
        <v>1644.76</v>
      </c>
      <c r="G1075" t="s">
        <v>2018</v>
      </c>
      <c r="H1075" t="s">
        <v>2023</v>
      </c>
      <c r="I1075" t="s">
        <v>3101</v>
      </c>
      <c r="J1075" t="s">
        <v>4032</v>
      </c>
      <c r="K1075" t="s">
        <v>4060</v>
      </c>
      <c r="L1075">
        <v>1644.76</v>
      </c>
    </row>
    <row r="1076" spans="1:12">
      <c r="A1076" t="s">
        <v>1086</v>
      </c>
      <c r="B1076" s="2">
        <v>45360</v>
      </c>
      <c r="C1076">
        <v>5000</v>
      </c>
      <c r="D1076" t="s">
        <v>2013</v>
      </c>
      <c r="E1076">
        <v>1049.23</v>
      </c>
      <c r="F1076">
        <v>0</v>
      </c>
      <c r="G1076" t="s">
        <v>2017</v>
      </c>
      <c r="H1076" t="s">
        <v>2023</v>
      </c>
      <c r="I1076" t="s">
        <v>3102</v>
      </c>
      <c r="J1076" t="s">
        <v>4030</v>
      </c>
      <c r="K1076" t="s">
        <v>4049</v>
      </c>
      <c r="L1076">
        <v>-1049.23</v>
      </c>
    </row>
    <row r="1077" spans="1:12">
      <c r="A1077" t="s">
        <v>1087</v>
      </c>
      <c r="B1077" s="2">
        <v>45072</v>
      </c>
      <c r="C1077">
        <v>5000</v>
      </c>
      <c r="D1077" t="s">
        <v>2013</v>
      </c>
      <c r="E1077">
        <v>1655.29</v>
      </c>
      <c r="F1077">
        <v>0</v>
      </c>
      <c r="G1077" t="s">
        <v>2018</v>
      </c>
      <c r="H1077" t="s">
        <v>2023</v>
      </c>
      <c r="I1077" t="s">
        <v>3103</v>
      </c>
      <c r="J1077" t="s">
        <v>4031</v>
      </c>
      <c r="K1077" t="s">
        <v>4062</v>
      </c>
      <c r="L1077">
        <v>-1655.29</v>
      </c>
    </row>
    <row r="1078" spans="1:12">
      <c r="A1078" t="s">
        <v>1088</v>
      </c>
      <c r="B1078" s="2">
        <v>45656</v>
      </c>
      <c r="C1078">
        <v>5010</v>
      </c>
      <c r="D1078" t="s">
        <v>2015</v>
      </c>
      <c r="E1078">
        <v>1402.31</v>
      </c>
      <c r="F1078">
        <v>0</v>
      </c>
      <c r="G1078" t="s">
        <v>2022</v>
      </c>
      <c r="H1078" t="s">
        <v>2027</v>
      </c>
      <c r="I1078" t="s">
        <v>3104</v>
      </c>
      <c r="J1078" t="s">
        <v>4029</v>
      </c>
      <c r="K1078" t="s">
        <v>4056</v>
      </c>
      <c r="L1078">
        <v>-1402.31</v>
      </c>
    </row>
    <row r="1079" spans="1:12">
      <c r="A1079" t="s">
        <v>1089</v>
      </c>
      <c r="B1079" s="2">
        <v>45134</v>
      </c>
      <c r="C1079">
        <v>5010</v>
      </c>
      <c r="D1079" t="s">
        <v>2015</v>
      </c>
      <c r="E1079">
        <v>833.9</v>
      </c>
      <c r="F1079">
        <v>0</v>
      </c>
      <c r="G1079" t="s">
        <v>2017</v>
      </c>
      <c r="H1079" t="s">
        <v>2025</v>
      </c>
      <c r="I1079" t="s">
        <v>3105</v>
      </c>
      <c r="J1079" t="s">
        <v>4029</v>
      </c>
      <c r="K1079" t="s">
        <v>4050</v>
      </c>
      <c r="L1079">
        <v>-833.9</v>
      </c>
    </row>
    <row r="1080" spans="1:12">
      <c r="A1080" t="s">
        <v>1090</v>
      </c>
      <c r="B1080" s="2">
        <v>45032</v>
      </c>
      <c r="C1080">
        <v>4000</v>
      </c>
      <c r="D1080" t="s">
        <v>2012</v>
      </c>
      <c r="E1080">
        <v>0</v>
      </c>
      <c r="F1080">
        <v>3759.18</v>
      </c>
      <c r="G1080" t="s">
        <v>2020</v>
      </c>
      <c r="H1080" t="s">
        <v>2023</v>
      </c>
      <c r="I1080" t="s">
        <v>3106</v>
      </c>
      <c r="J1080" t="s">
        <v>4032</v>
      </c>
      <c r="K1080" t="s">
        <v>4041</v>
      </c>
      <c r="L1080">
        <v>3759.18</v>
      </c>
    </row>
    <row r="1081" spans="1:12">
      <c r="A1081" t="s">
        <v>1091</v>
      </c>
      <c r="B1081" s="2">
        <v>45470</v>
      </c>
      <c r="C1081">
        <v>6000</v>
      </c>
      <c r="D1081" t="s">
        <v>2014</v>
      </c>
      <c r="E1081">
        <v>67.150000000000006</v>
      </c>
      <c r="F1081">
        <v>0</v>
      </c>
      <c r="G1081" t="s">
        <v>2020</v>
      </c>
      <c r="H1081" t="s">
        <v>2024</v>
      </c>
      <c r="I1081" t="s">
        <v>3107</v>
      </c>
      <c r="J1081" t="s">
        <v>4031</v>
      </c>
      <c r="K1081" t="s">
        <v>4034</v>
      </c>
      <c r="L1081">
        <v>-67.150000000000006</v>
      </c>
    </row>
    <row r="1082" spans="1:12">
      <c r="A1082" t="s">
        <v>1092</v>
      </c>
      <c r="B1082" s="2">
        <v>44968</v>
      </c>
      <c r="C1082">
        <v>5000</v>
      </c>
      <c r="D1082" t="s">
        <v>2013</v>
      </c>
      <c r="E1082">
        <v>1138.3599999999999</v>
      </c>
      <c r="F1082">
        <v>0</v>
      </c>
      <c r="G1082" t="s">
        <v>2022</v>
      </c>
      <c r="H1082" t="s">
        <v>2025</v>
      </c>
      <c r="I1082" t="s">
        <v>3108</v>
      </c>
      <c r="J1082" t="s">
        <v>4032</v>
      </c>
      <c r="K1082" t="s">
        <v>4057</v>
      </c>
      <c r="L1082">
        <v>-1138.3599999999999</v>
      </c>
    </row>
    <row r="1083" spans="1:12">
      <c r="A1083" t="s">
        <v>1093</v>
      </c>
      <c r="B1083" s="2">
        <v>45066</v>
      </c>
      <c r="C1083">
        <v>6000</v>
      </c>
      <c r="D1083" t="s">
        <v>2014</v>
      </c>
      <c r="E1083">
        <v>1356.38</v>
      </c>
      <c r="F1083">
        <v>0</v>
      </c>
      <c r="G1083" t="s">
        <v>2021</v>
      </c>
      <c r="H1083" t="s">
        <v>2026</v>
      </c>
      <c r="I1083" t="s">
        <v>3109</v>
      </c>
      <c r="J1083" t="s">
        <v>4032</v>
      </c>
      <c r="K1083" t="s">
        <v>4062</v>
      </c>
      <c r="L1083">
        <v>-1356.38</v>
      </c>
    </row>
    <row r="1084" spans="1:12">
      <c r="A1084" t="s">
        <v>1094</v>
      </c>
      <c r="B1084" s="2">
        <v>45721</v>
      </c>
      <c r="C1084">
        <v>5010</v>
      </c>
      <c r="D1084" t="s">
        <v>2015</v>
      </c>
      <c r="E1084">
        <v>1770.21</v>
      </c>
      <c r="F1084">
        <v>0</v>
      </c>
      <c r="G1084" t="s">
        <v>2017</v>
      </c>
      <c r="H1084" t="s">
        <v>2026</v>
      </c>
      <c r="I1084" t="s">
        <v>3110</v>
      </c>
      <c r="J1084" t="s">
        <v>4028</v>
      </c>
      <c r="K1084" t="s">
        <v>4046</v>
      </c>
      <c r="L1084">
        <v>-1770.21</v>
      </c>
    </row>
    <row r="1085" spans="1:12">
      <c r="A1085" t="s">
        <v>1095</v>
      </c>
      <c r="B1085" s="2">
        <v>45716</v>
      </c>
      <c r="C1085">
        <v>5000</v>
      </c>
      <c r="D1085" t="s">
        <v>2013</v>
      </c>
      <c r="E1085">
        <v>1240.48</v>
      </c>
      <c r="F1085">
        <v>0</v>
      </c>
      <c r="G1085" t="s">
        <v>2020</v>
      </c>
      <c r="H1085" t="s">
        <v>2024</v>
      </c>
      <c r="I1085" t="s">
        <v>3111</v>
      </c>
      <c r="J1085" t="s">
        <v>4029</v>
      </c>
      <c r="K1085" t="s">
        <v>4061</v>
      </c>
      <c r="L1085">
        <v>-1240.48</v>
      </c>
    </row>
    <row r="1086" spans="1:12">
      <c r="A1086" t="s">
        <v>1096</v>
      </c>
      <c r="B1086" s="2">
        <v>45752</v>
      </c>
      <c r="C1086">
        <v>5010</v>
      </c>
      <c r="D1086" t="s">
        <v>2015</v>
      </c>
      <c r="E1086">
        <v>1870.74</v>
      </c>
      <c r="F1086">
        <v>0</v>
      </c>
      <c r="G1086" t="s">
        <v>2018</v>
      </c>
      <c r="H1086" t="s">
        <v>2026</v>
      </c>
      <c r="I1086" t="s">
        <v>3112</v>
      </c>
      <c r="J1086" t="s">
        <v>4030</v>
      </c>
      <c r="K1086" t="s">
        <v>4045</v>
      </c>
      <c r="L1086">
        <v>-1870.74</v>
      </c>
    </row>
    <row r="1087" spans="1:12">
      <c r="A1087" t="s">
        <v>1097</v>
      </c>
      <c r="B1087" s="2">
        <v>45628</v>
      </c>
      <c r="C1087">
        <v>5010</v>
      </c>
      <c r="D1087" t="s">
        <v>2015</v>
      </c>
      <c r="E1087">
        <v>1295.49</v>
      </c>
      <c r="F1087">
        <v>0</v>
      </c>
      <c r="G1087" t="s">
        <v>2017</v>
      </c>
      <c r="H1087" t="s">
        <v>2026</v>
      </c>
      <c r="I1087" t="s">
        <v>3113</v>
      </c>
      <c r="J1087" t="s">
        <v>4028</v>
      </c>
      <c r="K1087" t="s">
        <v>4056</v>
      </c>
      <c r="L1087">
        <v>-1295.49</v>
      </c>
    </row>
    <row r="1088" spans="1:12">
      <c r="A1088" t="s">
        <v>1098</v>
      </c>
      <c r="B1088" s="2">
        <v>45827</v>
      </c>
      <c r="C1088">
        <v>5010</v>
      </c>
      <c r="D1088" t="s">
        <v>2015</v>
      </c>
      <c r="E1088">
        <v>403.44</v>
      </c>
      <c r="F1088">
        <v>0</v>
      </c>
      <c r="G1088" t="s">
        <v>2020</v>
      </c>
      <c r="H1088" t="s">
        <v>2027</v>
      </c>
      <c r="I1088" t="s">
        <v>3114</v>
      </c>
      <c r="J1088" t="s">
        <v>4029</v>
      </c>
      <c r="K1088" t="s">
        <v>4052</v>
      </c>
      <c r="L1088">
        <v>-403.44</v>
      </c>
    </row>
    <row r="1089" spans="1:12">
      <c r="A1089" t="s">
        <v>1099</v>
      </c>
      <c r="B1089" s="2">
        <v>45215</v>
      </c>
      <c r="C1089">
        <v>4010</v>
      </c>
      <c r="D1089" t="s">
        <v>2016</v>
      </c>
      <c r="E1089">
        <v>0</v>
      </c>
      <c r="F1089">
        <v>298.58</v>
      </c>
      <c r="G1089" t="s">
        <v>2019</v>
      </c>
      <c r="H1089" t="s">
        <v>2024</v>
      </c>
      <c r="I1089" t="s">
        <v>3115</v>
      </c>
      <c r="J1089" t="s">
        <v>4030</v>
      </c>
      <c r="K1089" t="s">
        <v>4060</v>
      </c>
      <c r="L1089">
        <v>298.58</v>
      </c>
    </row>
    <row r="1090" spans="1:12">
      <c r="A1090" t="s">
        <v>1100</v>
      </c>
      <c r="B1090" s="2">
        <v>45314</v>
      </c>
      <c r="C1090">
        <v>4010</v>
      </c>
      <c r="D1090" t="s">
        <v>2016</v>
      </c>
      <c r="E1090">
        <v>0</v>
      </c>
      <c r="F1090">
        <v>2967.77</v>
      </c>
      <c r="G1090" t="s">
        <v>2022</v>
      </c>
      <c r="H1090" t="s">
        <v>2023</v>
      </c>
      <c r="I1090" t="s">
        <v>3116</v>
      </c>
      <c r="J1090" t="s">
        <v>4028</v>
      </c>
      <c r="K1090" t="s">
        <v>4053</v>
      </c>
      <c r="L1090">
        <v>2967.77</v>
      </c>
    </row>
    <row r="1091" spans="1:12">
      <c r="A1091" t="s">
        <v>1101</v>
      </c>
      <c r="B1091" s="2">
        <v>44958</v>
      </c>
      <c r="C1091">
        <v>4010</v>
      </c>
      <c r="D1091" t="s">
        <v>2016</v>
      </c>
      <c r="E1091">
        <v>0</v>
      </c>
      <c r="F1091">
        <v>322.85000000000002</v>
      </c>
      <c r="G1091" t="s">
        <v>2022</v>
      </c>
      <c r="H1091" t="s">
        <v>2025</v>
      </c>
      <c r="I1091" t="s">
        <v>3117</v>
      </c>
      <c r="J1091" t="s">
        <v>4031</v>
      </c>
      <c r="K1091" t="s">
        <v>4057</v>
      </c>
      <c r="L1091">
        <v>322.85000000000002</v>
      </c>
    </row>
    <row r="1092" spans="1:12">
      <c r="A1092" t="s">
        <v>1102</v>
      </c>
      <c r="B1092" s="2">
        <v>45025</v>
      </c>
      <c r="C1092">
        <v>5010</v>
      </c>
      <c r="D1092" t="s">
        <v>2015</v>
      </c>
      <c r="E1092">
        <v>1178.57</v>
      </c>
      <c r="F1092">
        <v>0</v>
      </c>
      <c r="G1092" t="s">
        <v>2019</v>
      </c>
      <c r="H1092" t="s">
        <v>2027</v>
      </c>
      <c r="I1092" t="s">
        <v>3118</v>
      </c>
      <c r="J1092" t="s">
        <v>4032</v>
      </c>
      <c r="K1092" t="s">
        <v>4041</v>
      </c>
      <c r="L1092">
        <v>-1178.57</v>
      </c>
    </row>
    <row r="1093" spans="1:12">
      <c r="A1093" t="s">
        <v>1103</v>
      </c>
      <c r="B1093" s="2">
        <v>45454</v>
      </c>
      <c r="C1093">
        <v>5010</v>
      </c>
      <c r="D1093" t="s">
        <v>2015</v>
      </c>
      <c r="E1093">
        <v>572.52</v>
      </c>
      <c r="F1093">
        <v>0</v>
      </c>
      <c r="G1093" t="s">
        <v>2022</v>
      </c>
      <c r="H1093" t="s">
        <v>2026</v>
      </c>
      <c r="I1093" t="s">
        <v>3119</v>
      </c>
      <c r="J1093" t="s">
        <v>4031</v>
      </c>
      <c r="K1093" t="s">
        <v>4034</v>
      </c>
      <c r="L1093">
        <v>-572.52</v>
      </c>
    </row>
    <row r="1094" spans="1:12">
      <c r="A1094" t="s">
        <v>1104</v>
      </c>
      <c r="B1094" s="2">
        <v>45228</v>
      </c>
      <c r="C1094">
        <v>4000</v>
      </c>
      <c r="D1094" t="s">
        <v>2012</v>
      </c>
      <c r="E1094">
        <v>0</v>
      </c>
      <c r="F1094">
        <v>1038.25</v>
      </c>
      <c r="G1094" t="s">
        <v>2020</v>
      </c>
      <c r="H1094" t="s">
        <v>2025</v>
      </c>
      <c r="I1094" t="s">
        <v>3120</v>
      </c>
      <c r="J1094" t="s">
        <v>4028</v>
      </c>
      <c r="K1094" t="s">
        <v>4060</v>
      </c>
      <c r="L1094">
        <v>1038.25</v>
      </c>
    </row>
    <row r="1095" spans="1:12">
      <c r="A1095" t="s">
        <v>1105</v>
      </c>
      <c r="B1095" s="2">
        <v>44982</v>
      </c>
      <c r="C1095">
        <v>5010</v>
      </c>
      <c r="D1095" t="s">
        <v>2015</v>
      </c>
      <c r="E1095">
        <v>54.75</v>
      </c>
      <c r="F1095">
        <v>0</v>
      </c>
      <c r="G1095" t="s">
        <v>2018</v>
      </c>
      <c r="H1095" t="s">
        <v>2024</v>
      </c>
      <c r="I1095" t="s">
        <v>3121</v>
      </c>
      <c r="J1095" t="s">
        <v>4028</v>
      </c>
      <c r="K1095" t="s">
        <v>4057</v>
      </c>
      <c r="L1095">
        <v>-54.75</v>
      </c>
    </row>
    <row r="1096" spans="1:12">
      <c r="A1096" t="s">
        <v>1106</v>
      </c>
      <c r="B1096" s="2">
        <v>45401</v>
      </c>
      <c r="C1096">
        <v>5010</v>
      </c>
      <c r="D1096" t="s">
        <v>2015</v>
      </c>
      <c r="E1096">
        <v>229.78</v>
      </c>
      <c r="F1096">
        <v>0</v>
      </c>
      <c r="G1096" t="s">
        <v>2020</v>
      </c>
      <c r="H1096" t="s">
        <v>2024</v>
      </c>
      <c r="I1096" t="s">
        <v>3122</v>
      </c>
      <c r="J1096" t="s">
        <v>4031</v>
      </c>
      <c r="K1096" t="s">
        <v>4040</v>
      </c>
      <c r="L1096">
        <v>-229.78</v>
      </c>
    </row>
    <row r="1097" spans="1:12">
      <c r="A1097" t="s">
        <v>1107</v>
      </c>
      <c r="B1097" s="2">
        <v>45497</v>
      </c>
      <c r="C1097">
        <v>5010</v>
      </c>
      <c r="D1097" t="s">
        <v>2015</v>
      </c>
      <c r="E1097">
        <v>1195.8599999999999</v>
      </c>
      <c r="F1097">
        <v>0</v>
      </c>
      <c r="G1097" t="s">
        <v>2022</v>
      </c>
      <c r="H1097" t="s">
        <v>2024</v>
      </c>
      <c r="I1097" t="s">
        <v>3123</v>
      </c>
      <c r="J1097" t="s">
        <v>4032</v>
      </c>
      <c r="K1097" t="s">
        <v>4054</v>
      </c>
      <c r="L1097">
        <v>-1195.8599999999999</v>
      </c>
    </row>
    <row r="1098" spans="1:12">
      <c r="A1098" t="s">
        <v>1108</v>
      </c>
      <c r="B1098" s="2">
        <v>45765</v>
      </c>
      <c r="C1098">
        <v>4000</v>
      </c>
      <c r="D1098" t="s">
        <v>2012</v>
      </c>
      <c r="E1098">
        <v>0</v>
      </c>
      <c r="F1098">
        <v>183.89</v>
      </c>
      <c r="G1098" t="s">
        <v>2020</v>
      </c>
      <c r="H1098" t="s">
        <v>2026</v>
      </c>
      <c r="I1098" t="s">
        <v>3124</v>
      </c>
      <c r="J1098" t="s">
        <v>4030</v>
      </c>
      <c r="K1098" t="s">
        <v>4045</v>
      </c>
      <c r="L1098">
        <v>183.89</v>
      </c>
    </row>
    <row r="1099" spans="1:12">
      <c r="A1099" t="s">
        <v>1109</v>
      </c>
      <c r="B1099" s="2">
        <v>45708</v>
      </c>
      <c r="C1099">
        <v>5010</v>
      </c>
      <c r="D1099" t="s">
        <v>2015</v>
      </c>
      <c r="E1099">
        <v>786.38</v>
      </c>
      <c r="F1099">
        <v>0</v>
      </c>
      <c r="G1099" t="s">
        <v>2021</v>
      </c>
      <c r="H1099" t="s">
        <v>2026</v>
      </c>
      <c r="I1099" t="s">
        <v>3125</v>
      </c>
      <c r="J1099" t="s">
        <v>4032</v>
      </c>
      <c r="K1099" t="s">
        <v>4061</v>
      </c>
      <c r="L1099">
        <v>-786.38</v>
      </c>
    </row>
    <row r="1100" spans="1:12">
      <c r="A1100" t="s">
        <v>1110</v>
      </c>
      <c r="B1100" s="2">
        <v>45809</v>
      </c>
      <c r="C1100">
        <v>5010</v>
      </c>
      <c r="D1100" t="s">
        <v>2015</v>
      </c>
      <c r="E1100">
        <v>352.55</v>
      </c>
      <c r="F1100">
        <v>0</v>
      </c>
      <c r="G1100" t="s">
        <v>2019</v>
      </c>
      <c r="H1100" t="s">
        <v>2026</v>
      </c>
      <c r="I1100" t="s">
        <v>3126</v>
      </c>
      <c r="J1100" t="s">
        <v>4029</v>
      </c>
      <c r="K1100" t="s">
        <v>4052</v>
      </c>
      <c r="L1100">
        <v>-352.55</v>
      </c>
    </row>
    <row r="1101" spans="1:12">
      <c r="A1101" t="s">
        <v>1111</v>
      </c>
      <c r="B1101" s="2">
        <v>45094</v>
      </c>
      <c r="C1101">
        <v>6000</v>
      </c>
      <c r="D1101" t="s">
        <v>2014</v>
      </c>
      <c r="E1101">
        <v>1814.7</v>
      </c>
      <c r="F1101">
        <v>0</v>
      </c>
      <c r="G1101" t="s">
        <v>2019</v>
      </c>
      <c r="H1101" t="s">
        <v>2027</v>
      </c>
      <c r="I1101" t="s">
        <v>3127</v>
      </c>
      <c r="J1101" t="s">
        <v>4031</v>
      </c>
      <c r="K1101" t="s">
        <v>4055</v>
      </c>
      <c r="L1101">
        <v>-1814.7</v>
      </c>
    </row>
    <row r="1102" spans="1:12">
      <c r="A1102" t="s">
        <v>1112</v>
      </c>
      <c r="B1102" s="2">
        <v>45182</v>
      </c>
      <c r="C1102">
        <v>4000</v>
      </c>
      <c r="D1102" t="s">
        <v>2012</v>
      </c>
      <c r="E1102">
        <v>0</v>
      </c>
      <c r="F1102">
        <v>4099.41</v>
      </c>
      <c r="G1102" t="s">
        <v>2020</v>
      </c>
      <c r="H1102" t="s">
        <v>2023</v>
      </c>
      <c r="I1102" t="s">
        <v>3128</v>
      </c>
      <c r="J1102" t="s">
        <v>4031</v>
      </c>
      <c r="K1102" t="s">
        <v>4036</v>
      </c>
      <c r="L1102">
        <v>4099.41</v>
      </c>
    </row>
    <row r="1103" spans="1:12">
      <c r="A1103" t="s">
        <v>1113</v>
      </c>
      <c r="B1103" s="2">
        <v>45793</v>
      </c>
      <c r="C1103">
        <v>4000</v>
      </c>
      <c r="D1103" t="s">
        <v>2012</v>
      </c>
      <c r="E1103">
        <v>0</v>
      </c>
      <c r="F1103">
        <v>1953.74</v>
      </c>
      <c r="G1103" t="s">
        <v>2022</v>
      </c>
      <c r="H1103" t="s">
        <v>2024</v>
      </c>
      <c r="I1103" t="s">
        <v>3129</v>
      </c>
      <c r="J1103" t="s">
        <v>4028</v>
      </c>
      <c r="K1103" t="s">
        <v>4038</v>
      </c>
      <c r="L1103">
        <v>1953.74</v>
      </c>
    </row>
    <row r="1104" spans="1:12">
      <c r="A1104" t="s">
        <v>1114</v>
      </c>
      <c r="B1104" s="2">
        <v>45319</v>
      </c>
      <c r="C1104">
        <v>5000</v>
      </c>
      <c r="D1104" t="s">
        <v>2013</v>
      </c>
      <c r="E1104">
        <v>242.28</v>
      </c>
      <c r="F1104">
        <v>0</v>
      </c>
      <c r="G1104" t="s">
        <v>2021</v>
      </c>
      <c r="H1104" t="s">
        <v>2025</v>
      </c>
      <c r="I1104" t="s">
        <v>3130</v>
      </c>
      <c r="J1104" t="s">
        <v>4031</v>
      </c>
      <c r="K1104" t="s">
        <v>4053</v>
      </c>
      <c r="L1104">
        <v>-242.28</v>
      </c>
    </row>
    <row r="1105" spans="1:12">
      <c r="A1105" t="s">
        <v>1115</v>
      </c>
      <c r="B1105" s="2">
        <v>45434</v>
      </c>
      <c r="C1105">
        <v>4010</v>
      </c>
      <c r="D1105" t="s">
        <v>2016</v>
      </c>
      <c r="E1105">
        <v>0</v>
      </c>
      <c r="F1105">
        <v>3335.43</v>
      </c>
      <c r="G1105" t="s">
        <v>2022</v>
      </c>
      <c r="H1105" t="s">
        <v>2026</v>
      </c>
      <c r="I1105" t="s">
        <v>3131</v>
      </c>
      <c r="J1105" t="s">
        <v>4031</v>
      </c>
      <c r="K1105" t="s">
        <v>4033</v>
      </c>
      <c r="L1105">
        <v>3335.43</v>
      </c>
    </row>
    <row r="1106" spans="1:12">
      <c r="A1106" t="s">
        <v>1116</v>
      </c>
      <c r="B1106" s="2">
        <v>45167</v>
      </c>
      <c r="C1106">
        <v>5010</v>
      </c>
      <c r="D1106" t="s">
        <v>2015</v>
      </c>
      <c r="E1106">
        <v>831.33</v>
      </c>
      <c r="F1106">
        <v>0</v>
      </c>
      <c r="G1106" t="s">
        <v>2022</v>
      </c>
      <c r="H1106" t="s">
        <v>2026</v>
      </c>
      <c r="I1106" t="s">
        <v>3132</v>
      </c>
      <c r="J1106" t="s">
        <v>4032</v>
      </c>
      <c r="K1106" t="s">
        <v>4037</v>
      </c>
      <c r="L1106">
        <v>-831.33</v>
      </c>
    </row>
    <row r="1107" spans="1:12">
      <c r="A1107" t="s">
        <v>1117</v>
      </c>
      <c r="B1107" s="2">
        <v>45344</v>
      </c>
      <c r="C1107">
        <v>4000</v>
      </c>
      <c r="D1107" t="s">
        <v>2012</v>
      </c>
      <c r="E1107">
        <v>0</v>
      </c>
      <c r="F1107">
        <v>406.59</v>
      </c>
      <c r="G1107" t="s">
        <v>2017</v>
      </c>
      <c r="H1107" t="s">
        <v>2027</v>
      </c>
      <c r="I1107" t="s">
        <v>3133</v>
      </c>
      <c r="J1107" t="s">
        <v>4029</v>
      </c>
      <c r="K1107" t="s">
        <v>4044</v>
      </c>
      <c r="L1107">
        <v>406.59</v>
      </c>
    </row>
    <row r="1108" spans="1:12">
      <c r="A1108" t="s">
        <v>1118</v>
      </c>
      <c r="B1108" s="2">
        <v>45325</v>
      </c>
      <c r="C1108">
        <v>6000</v>
      </c>
      <c r="D1108" t="s">
        <v>2014</v>
      </c>
      <c r="E1108">
        <v>1813.03</v>
      </c>
      <c r="F1108">
        <v>0</v>
      </c>
      <c r="G1108" t="s">
        <v>2021</v>
      </c>
      <c r="H1108" t="s">
        <v>2027</v>
      </c>
      <c r="I1108" t="s">
        <v>3134</v>
      </c>
      <c r="J1108" t="s">
        <v>4029</v>
      </c>
      <c r="K1108" t="s">
        <v>4044</v>
      </c>
      <c r="L1108">
        <v>-1813.03</v>
      </c>
    </row>
    <row r="1109" spans="1:12">
      <c r="A1109" t="s">
        <v>1119</v>
      </c>
      <c r="B1109" s="2">
        <v>45338</v>
      </c>
      <c r="C1109">
        <v>4000</v>
      </c>
      <c r="D1109" t="s">
        <v>2012</v>
      </c>
      <c r="E1109">
        <v>0</v>
      </c>
      <c r="F1109">
        <v>2019.11</v>
      </c>
      <c r="G1109" t="s">
        <v>2018</v>
      </c>
      <c r="H1109" t="s">
        <v>2024</v>
      </c>
      <c r="I1109" t="s">
        <v>3135</v>
      </c>
      <c r="J1109" t="s">
        <v>4030</v>
      </c>
      <c r="K1109" t="s">
        <v>4044</v>
      </c>
      <c r="L1109">
        <v>2019.11</v>
      </c>
    </row>
    <row r="1110" spans="1:12">
      <c r="A1110" t="s">
        <v>1120</v>
      </c>
      <c r="B1110" s="2">
        <v>45359</v>
      </c>
      <c r="C1110">
        <v>6000</v>
      </c>
      <c r="D1110" t="s">
        <v>2014</v>
      </c>
      <c r="E1110">
        <v>1278.3800000000001</v>
      </c>
      <c r="F1110">
        <v>0</v>
      </c>
      <c r="G1110" t="s">
        <v>2018</v>
      </c>
      <c r="H1110" t="s">
        <v>2026</v>
      </c>
      <c r="I1110" t="s">
        <v>3136</v>
      </c>
      <c r="J1110" t="s">
        <v>4029</v>
      </c>
      <c r="K1110" t="s">
        <v>4049</v>
      </c>
      <c r="L1110">
        <v>-1278.3800000000001</v>
      </c>
    </row>
    <row r="1111" spans="1:12">
      <c r="A1111" t="s">
        <v>1121</v>
      </c>
      <c r="B1111" s="2">
        <v>45023</v>
      </c>
      <c r="C1111">
        <v>4000</v>
      </c>
      <c r="D1111" t="s">
        <v>2012</v>
      </c>
      <c r="E1111">
        <v>0</v>
      </c>
      <c r="F1111">
        <v>2058.58</v>
      </c>
      <c r="G1111" t="s">
        <v>2021</v>
      </c>
      <c r="H1111" t="s">
        <v>2024</v>
      </c>
      <c r="I1111" t="s">
        <v>3137</v>
      </c>
      <c r="J1111" t="s">
        <v>4032</v>
      </c>
      <c r="K1111" t="s">
        <v>4041</v>
      </c>
      <c r="L1111">
        <v>2058.58</v>
      </c>
    </row>
    <row r="1112" spans="1:12">
      <c r="A1112" t="s">
        <v>1122</v>
      </c>
      <c r="B1112" s="2">
        <v>45532</v>
      </c>
      <c r="C1112">
        <v>6000</v>
      </c>
      <c r="D1112" t="s">
        <v>2014</v>
      </c>
      <c r="E1112">
        <v>1453.63</v>
      </c>
      <c r="F1112">
        <v>0</v>
      </c>
      <c r="G1112" t="s">
        <v>2017</v>
      </c>
      <c r="H1112" t="s">
        <v>2025</v>
      </c>
      <c r="I1112" t="s">
        <v>3138</v>
      </c>
      <c r="J1112" t="s">
        <v>4030</v>
      </c>
      <c r="K1112" t="s">
        <v>4058</v>
      </c>
      <c r="L1112">
        <v>-1453.63</v>
      </c>
    </row>
    <row r="1113" spans="1:12">
      <c r="A1113" t="s">
        <v>1123</v>
      </c>
      <c r="B1113" s="2">
        <v>45173</v>
      </c>
      <c r="C1113">
        <v>4000</v>
      </c>
      <c r="D1113" t="s">
        <v>2012</v>
      </c>
      <c r="E1113">
        <v>0</v>
      </c>
      <c r="F1113">
        <v>2233.0500000000002</v>
      </c>
      <c r="G1113" t="s">
        <v>2021</v>
      </c>
      <c r="H1113" t="s">
        <v>2024</v>
      </c>
      <c r="I1113" t="s">
        <v>3139</v>
      </c>
      <c r="J1113" t="s">
        <v>4030</v>
      </c>
      <c r="K1113" t="s">
        <v>4036</v>
      </c>
      <c r="L1113">
        <v>2233.0500000000002</v>
      </c>
    </row>
    <row r="1114" spans="1:12">
      <c r="A1114" t="s">
        <v>1124</v>
      </c>
      <c r="B1114" s="2">
        <v>45191</v>
      </c>
      <c r="C1114">
        <v>5010</v>
      </c>
      <c r="D1114" t="s">
        <v>2015</v>
      </c>
      <c r="E1114">
        <v>836.69</v>
      </c>
      <c r="F1114">
        <v>0</v>
      </c>
      <c r="G1114" t="s">
        <v>2017</v>
      </c>
      <c r="H1114" t="s">
        <v>2024</v>
      </c>
      <c r="I1114" t="s">
        <v>3140</v>
      </c>
      <c r="J1114" t="s">
        <v>4030</v>
      </c>
      <c r="K1114" t="s">
        <v>4036</v>
      </c>
      <c r="L1114">
        <v>-836.69</v>
      </c>
    </row>
    <row r="1115" spans="1:12">
      <c r="A1115" t="s">
        <v>1125</v>
      </c>
      <c r="B1115" s="2">
        <v>44928</v>
      </c>
      <c r="C1115">
        <v>4000</v>
      </c>
      <c r="D1115" t="s">
        <v>2012</v>
      </c>
      <c r="E1115">
        <v>0</v>
      </c>
      <c r="F1115">
        <v>2173.0100000000002</v>
      </c>
      <c r="G1115" t="s">
        <v>2020</v>
      </c>
      <c r="H1115" t="s">
        <v>2026</v>
      </c>
      <c r="I1115" t="s">
        <v>3141</v>
      </c>
      <c r="J1115" t="s">
        <v>4028</v>
      </c>
      <c r="K1115" t="s">
        <v>4047</v>
      </c>
      <c r="L1115">
        <v>2173.0100000000002</v>
      </c>
    </row>
    <row r="1116" spans="1:12">
      <c r="A1116" t="s">
        <v>1126</v>
      </c>
      <c r="B1116" s="2">
        <v>45334</v>
      </c>
      <c r="C1116">
        <v>4000</v>
      </c>
      <c r="D1116" t="s">
        <v>2012</v>
      </c>
      <c r="E1116">
        <v>0</v>
      </c>
      <c r="F1116">
        <v>3592.24</v>
      </c>
      <c r="G1116" t="s">
        <v>2021</v>
      </c>
      <c r="H1116" t="s">
        <v>2025</v>
      </c>
      <c r="I1116" t="s">
        <v>3142</v>
      </c>
      <c r="J1116" t="s">
        <v>4030</v>
      </c>
      <c r="K1116" t="s">
        <v>4044</v>
      </c>
      <c r="L1116">
        <v>3592.24</v>
      </c>
    </row>
    <row r="1117" spans="1:12">
      <c r="A1117" t="s">
        <v>1127</v>
      </c>
      <c r="B1117" s="2">
        <v>45551</v>
      </c>
      <c r="C1117">
        <v>5010</v>
      </c>
      <c r="D1117" t="s">
        <v>2015</v>
      </c>
      <c r="E1117">
        <v>412.97</v>
      </c>
      <c r="F1117">
        <v>0</v>
      </c>
      <c r="G1117" t="s">
        <v>2022</v>
      </c>
      <c r="H1117" t="s">
        <v>2025</v>
      </c>
      <c r="I1117" t="s">
        <v>3143</v>
      </c>
      <c r="J1117" t="s">
        <v>4030</v>
      </c>
      <c r="K1117" t="s">
        <v>4048</v>
      </c>
      <c r="L1117">
        <v>-412.97</v>
      </c>
    </row>
    <row r="1118" spans="1:12">
      <c r="A1118" t="s">
        <v>1128</v>
      </c>
      <c r="B1118" s="2">
        <v>45370</v>
      </c>
      <c r="C1118">
        <v>6000</v>
      </c>
      <c r="D1118" t="s">
        <v>2014</v>
      </c>
      <c r="E1118">
        <v>732.61</v>
      </c>
      <c r="F1118">
        <v>0</v>
      </c>
      <c r="G1118" t="s">
        <v>2021</v>
      </c>
      <c r="H1118" t="s">
        <v>2024</v>
      </c>
      <c r="I1118" t="s">
        <v>3144</v>
      </c>
      <c r="J1118" t="s">
        <v>4030</v>
      </c>
      <c r="K1118" t="s">
        <v>4049</v>
      </c>
      <c r="L1118">
        <v>-732.61</v>
      </c>
    </row>
    <row r="1119" spans="1:12">
      <c r="A1119" t="s">
        <v>1129</v>
      </c>
      <c r="B1119" s="2">
        <v>45219</v>
      </c>
      <c r="C1119">
        <v>4010</v>
      </c>
      <c r="D1119" t="s">
        <v>2016</v>
      </c>
      <c r="E1119">
        <v>0</v>
      </c>
      <c r="F1119">
        <v>2538.6999999999998</v>
      </c>
      <c r="G1119" t="s">
        <v>2017</v>
      </c>
      <c r="H1119" t="s">
        <v>2027</v>
      </c>
      <c r="I1119" t="s">
        <v>3145</v>
      </c>
      <c r="J1119" t="s">
        <v>4028</v>
      </c>
      <c r="K1119" t="s">
        <v>4060</v>
      </c>
      <c r="L1119">
        <v>2538.6999999999998</v>
      </c>
    </row>
    <row r="1120" spans="1:12">
      <c r="A1120" t="s">
        <v>1130</v>
      </c>
      <c r="B1120" s="2">
        <v>45539</v>
      </c>
      <c r="C1120">
        <v>5010</v>
      </c>
      <c r="D1120" t="s">
        <v>2015</v>
      </c>
      <c r="E1120">
        <v>436.55</v>
      </c>
      <c r="F1120">
        <v>0</v>
      </c>
      <c r="G1120" t="s">
        <v>2017</v>
      </c>
      <c r="H1120" t="s">
        <v>2024</v>
      </c>
      <c r="I1120" t="s">
        <v>3146</v>
      </c>
      <c r="J1120" t="s">
        <v>4028</v>
      </c>
      <c r="K1120" t="s">
        <v>4048</v>
      </c>
      <c r="L1120">
        <v>-436.55</v>
      </c>
    </row>
    <row r="1121" spans="1:12">
      <c r="A1121" t="s">
        <v>1131</v>
      </c>
      <c r="B1121" s="2">
        <v>45135</v>
      </c>
      <c r="C1121">
        <v>5010</v>
      </c>
      <c r="D1121" t="s">
        <v>2015</v>
      </c>
      <c r="E1121">
        <v>1687.08</v>
      </c>
      <c r="F1121">
        <v>0</v>
      </c>
      <c r="G1121" t="s">
        <v>2022</v>
      </c>
      <c r="H1121" t="s">
        <v>2026</v>
      </c>
      <c r="I1121" t="s">
        <v>3147</v>
      </c>
      <c r="J1121" t="s">
        <v>4032</v>
      </c>
      <c r="K1121" t="s">
        <v>4050</v>
      </c>
      <c r="L1121">
        <v>-1687.08</v>
      </c>
    </row>
    <row r="1122" spans="1:12">
      <c r="A1122" t="s">
        <v>1132</v>
      </c>
      <c r="B1122" s="2">
        <v>45342</v>
      </c>
      <c r="C1122">
        <v>5000</v>
      </c>
      <c r="D1122" t="s">
        <v>2013</v>
      </c>
      <c r="E1122">
        <v>1337.28</v>
      </c>
      <c r="F1122">
        <v>0</v>
      </c>
      <c r="G1122" t="s">
        <v>2018</v>
      </c>
      <c r="H1122" t="s">
        <v>2025</v>
      </c>
      <c r="I1122" t="s">
        <v>3148</v>
      </c>
      <c r="J1122" t="s">
        <v>4028</v>
      </c>
      <c r="K1122" t="s">
        <v>4044</v>
      </c>
      <c r="L1122">
        <v>-1337.28</v>
      </c>
    </row>
    <row r="1123" spans="1:12">
      <c r="A1123" t="s">
        <v>1133</v>
      </c>
      <c r="B1123" s="2">
        <v>45712</v>
      </c>
      <c r="C1123">
        <v>4010</v>
      </c>
      <c r="D1123" t="s">
        <v>2016</v>
      </c>
      <c r="E1123">
        <v>0</v>
      </c>
      <c r="F1123">
        <v>2049.4499999999998</v>
      </c>
      <c r="G1123" t="s">
        <v>2021</v>
      </c>
      <c r="H1123" t="s">
        <v>2024</v>
      </c>
      <c r="I1123" t="s">
        <v>3149</v>
      </c>
      <c r="J1123" t="s">
        <v>4032</v>
      </c>
      <c r="K1123" t="s">
        <v>4061</v>
      </c>
      <c r="L1123">
        <v>2049.4499999999998</v>
      </c>
    </row>
    <row r="1124" spans="1:12">
      <c r="A1124" t="s">
        <v>1134</v>
      </c>
      <c r="B1124" s="2">
        <v>45122</v>
      </c>
      <c r="C1124">
        <v>4010</v>
      </c>
      <c r="D1124" t="s">
        <v>2016</v>
      </c>
      <c r="E1124">
        <v>0</v>
      </c>
      <c r="F1124">
        <v>760.5</v>
      </c>
      <c r="G1124" t="s">
        <v>2020</v>
      </c>
      <c r="H1124" t="s">
        <v>2025</v>
      </c>
      <c r="I1124" t="s">
        <v>3150</v>
      </c>
      <c r="J1124" t="s">
        <v>4032</v>
      </c>
      <c r="K1124" t="s">
        <v>4050</v>
      </c>
      <c r="L1124">
        <v>760.5</v>
      </c>
    </row>
    <row r="1125" spans="1:12">
      <c r="A1125" t="s">
        <v>1135</v>
      </c>
      <c r="B1125" s="2">
        <v>45582</v>
      </c>
      <c r="C1125">
        <v>6000</v>
      </c>
      <c r="D1125" t="s">
        <v>2014</v>
      </c>
      <c r="E1125">
        <v>239.34</v>
      </c>
      <c r="F1125">
        <v>0</v>
      </c>
      <c r="G1125" t="s">
        <v>2018</v>
      </c>
      <c r="H1125" t="s">
        <v>2027</v>
      </c>
      <c r="I1125" t="s">
        <v>3151</v>
      </c>
      <c r="J1125" t="s">
        <v>4028</v>
      </c>
      <c r="K1125" t="s">
        <v>4059</v>
      </c>
      <c r="L1125">
        <v>-239.34</v>
      </c>
    </row>
    <row r="1126" spans="1:12">
      <c r="A1126" t="s">
        <v>1136</v>
      </c>
      <c r="B1126" s="2">
        <v>45722</v>
      </c>
      <c r="C1126">
        <v>6000</v>
      </c>
      <c r="D1126" t="s">
        <v>2014</v>
      </c>
      <c r="E1126">
        <v>882.43</v>
      </c>
      <c r="F1126">
        <v>0</v>
      </c>
      <c r="G1126" t="s">
        <v>2017</v>
      </c>
      <c r="H1126" t="s">
        <v>2023</v>
      </c>
      <c r="I1126" t="s">
        <v>3152</v>
      </c>
      <c r="J1126" t="s">
        <v>4029</v>
      </c>
      <c r="K1126" t="s">
        <v>4046</v>
      </c>
      <c r="L1126">
        <v>-882.43</v>
      </c>
    </row>
    <row r="1127" spans="1:12">
      <c r="A1127" t="s">
        <v>1137</v>
      </c>
      <c r="B1127" s="2">
        <v>45451</v>
      </c>
      <c r="C1127">
        <v>4010</v>
      </c>
      <c r="D1127" t="s">
        <v>2016</v>
      </c>
      <c r="E1127">
        <v>0</v>
      </c>
      <c r="F1127">
        <v>4016.46</v>
      </c>
      <c r="G1127" t="s">
        <v>2021</v>
      </c>
      <c r="H1127" t="s">
        <v>2024</v>
      </c>
      <c r="I1127" t="s">
        <v>3153</v>
      </c>
      <c r="J1127" t="s">
        <v>4029</v>
      </c>
      <c r="K1127" t="s">
        <v>4034</v>
      </c>
      <c r="L1127">
        <v>4016.46</v>
      </c>
    </row>
    <row r="1128" spans="1:12">
      <c r="A1128" t="s">
        <v>1138</v>
      </c>
      <c r="B1128" s="2">
        <v>45027</v>
      </c>
      <c r="C1128">
        <v>6000</v>
      </c>
      <c r="D1128" t="s">
        <v>2014</v>
      </c>
      <c r="E1128">
        <v>1217.1199999999999</v>
      </c>
      <c r="F1128">
        <v>0</v>
      </c>
      <c r="G1128" t="s">
        <v>2021</v>
      </c>
      <c r="H1128" t="s">
        <v>2023</v>
      </c>
      <c r="I1128" t="s">
        <v>3154</v>
      </c>
      <c r="J1128" t="s">
        <v>4030</v>
      </c>
      <c r="K1128" t="s">
        <v>4041</v>
      </c>
      <c r="L1128">
        <v>-1217.1199999999999</v>
      </c>
    </row>
    <row r="1129" spans="1:12">
      <c r="A1129" t="s">
        <v>1139</v>
      </c>
      <c r="B1129" s="2">
        <v>45570</v>
      </c>
      <c r="C1129">
        <v>4000</v>
      </c>
      <c r="D1129" t="s">
        <v>2012</v>
      </c>
      <c r="E1129">
        <v>0</v>
      </c>
      <c r="F1129">
        <v>396.28</v>
      </c>
      <c r="G1129" t="s">
        <v>2017</v>
      </c>
      <c r="H1129" t="s">
        <v>2026</v>
      </c>
      <c r="I1129" t="s">
        <v>3155</v>
      </c>
      <c r="J1129" t="s">
        <v>4030</v>
      </c>
      <c r="K1129" t="s">
        <v>4059</v>
      </c>
      <c r="L1129">
        <v>396.28</v>
      </c>
    </row>
    <row r="1130" spans="1:12">
      <c r="A1130" t="s">
        <v>1140</v>
      </c>
      <c r="B1130" s="2">
        <v>45060</v>
      </c>
      <c r="C1130">
        <v>5010</v>
      </c>
      <c r="D1130" t="s">
        <v>2015</v>
      </c>
      <c r="E1130">
        <v>682.65</v>
      </c>
      <c r="F1130">
        <v>0</v>
      </c>
      <c r="G1130" t="s">
        <v>2017</v>
      </c>
      <c r="H1130" t="s">
        <v>2025</v>
      </c>
      <c r="I1130" t="s">
        <v>3156</v>
      </c>
      <c r="J1130" t="s">
        <v>4028</v>
      </c>
      <c r="K1130" t="s">
        <v>4062</v>
      </c>
      <c r="L1130">
        <v>-682.65</v>
      </c>
    </row>
    <row r="1131" spans="1:12">
      <c r="A1131" t="s">
        <v>1141</v>
      </c>
      <c r="B1131" s="2">
        <v>45039</v>
      </c>
      <c r="C1131">
        <v>5000</v>
      </c>
      <c r="D1131" t="s">
        <v>2013</v>
      </c>
      <c r="E1131">
        <v>959.31</v>
      </c>
      <c r="F1131">
        <v>0</v>
      </c>
      <c r="G1131" t="s">
        <v>2017</v>
      </c>
      <c r="H1131" t="s">
        <v>2024</v>
      </c>
      <c r="I1131" t="s">
        <v>3157</v>
      </c>
      <c r="J1131" t="s">
        <v>4028</v>
      </c>
      <c r="K1131" t="s">
        <v>4041</v>
      </c>
      <c r="L1131">
        <v>-959.31</v>
      </c>
    </row>
    <row r="1132" spans="1:12">
      <c r="A1132" t="s">
        <v>1142</v>
      </c>
      <c r="B1132" s="2">
        <v>45371</v>
      </c>
      <c r="C1132">
        <v>6000</v>
      </c>
      <c r="D1132" t="s">
        <v>2014</v>
      </c>
      <c r="E1132">
        <v>431.95</v>
      </c>
      <c r="F1132">
        <v>0</v>
      </c>
      <c r="G1132" t="s">
        <v>2020</v>
      </c>
      <c r="H1132" t="s">
        <v>2025</v>
      </c>
      <c r="I1132" t="s">
        <v>3158</v>
      </c>
      <c r="J1132" t="s">
        <v>4031</v>
      </c>
      <c r="K1132" t="s">
        <v>4049</v>
      </c>
      <c r="L1132">
        <v>-431.95</v>
      </c>
    </row>
    <row r="1133" spans="1:12">
      <c r="A1133" t="s">
        <v>1143</v>
      </c>
      <c r="B1133" s="2">
        <v>45817</v>
      </c>
      <c r="C1133">
        <v>5000</v>
      </c>
      <c r="D1133" t="s">
        <v>2013</v>
      </c>
      <c r="E1133">
        <v>274.33</v>
      </c>
      <c r="F1133">
        <v>0</v>
      </c>
      <c r="G1133" t="s">
        <v>2021</v>
      </c>
      <c r="H1133" t="s">
        <v>2025</v>
      </c>
      <c r="I1133" t="s">
        <v>3159</v>
      </c>
      <c r="J1133" t="s">
        <v>4032</v>
      </c>
      <c r="K1133" t="s">
        <v>4052</v>
      </c>
      <c r="L1133">
        <v>-274.33</v>
      </c>
    </row>
    <row r="1134" spans="1:12">
      <c r="A1134" t="s">
        <v>1144</v>
      </c>
      <c r="B1134" s="2">
        <v>45544</v>
      </c>
      <c r="C1134">
        <v>4000</v>
      </c>
      <c r="D1134" t="s">
        <v>2012</v>
      </c>
      <c r="E1134">
        <v>0</v>
      </c>
      <c r="F1134">
        <v>4439.8900000000003</v>
      </c>
      <c r="G1134" t="s">
        <v>2017</v>
      </c>
      <c r="H1134" t="s">
        <v>2025</v>
      </c>
      <c r="I1134" t="s">
        <v>3160</v>
      </c>
      <c r="J1134" t="s">
        <v>4029</v>
      </c>
      <c r="K1134" t="s">
        <v>4048</v>
      </c>
      <c r="L1134">
        <v>4439.8900000000003</v>
      </c>
    </row>
    <row r="1135" spans="1:12">
      <c r="A1135" t="s">
        <v>1145</v>
      </c>
      <c r="B1135" s="2">
        <v>45490</v>
      </c>
      <c r="C1135">
        <v>4010</v>
      </c>
      <c r="D1135" t="s">
        <v>2016</v>
      </c>
      <c r="E1135">
        <v>0</v>
      </c>
      <c r="F1135">
        <v>1093.95</v>
      </c>
      <c r="G1135" t="s">
        <v>2021</v>
      </c>
      <c r="H1135" t="s">
        <v>2027</v>
      </c>
      <c r="I1135" t="s">
        <v>3161</v>
      </c>
      <c r="J1135" t="s">
        <v>4031</v>
      </c>
      <c r="K1135" t="s">
        <v>4054</v>
      </c>
      <c r="L1135">
        <v>1093.95</v>
      </c>
    </row>
    <row r="1136" spans="1:12">
      <c r="A1136" t="s">
        <v>1146</v>
      </c>
      <c r="B1136" s="2">
        <v>45614</v>
      </c>
      <c r="C1136">
        <v>5000</v>
      </c>
      <c r="D1136" t="s">
        <v>2013</v>
      </c>
      <c r="E1136">
        <v>900.67</v>
      </c>
      <c r="F1136">
        <v>0</v>
      </c>
      <c r="G1136" t="s">
        <v>2020</v>
      </c>
      <c r="H1136" t="s">
        <v>2026</v>
      </c>
      <c r="I1136" t="s">
        <v>3162</v>
      </c>
      <c r="J1136" t="s">
        <v>4030</v>
      </c>
      <c r="K1136" t="s">
        <v>4043</v>
      </c>
      <c r="L1136">
        <v>-900.67</v>
      </c>
    </row>
    <row r="1137" spans="1:12">
      <c r="A1137" t="s">
        <v>1147</v>
      </c>
      <c r="B1137" s="2">
        <v>45242</v>
      </c>
      <c r="C1137">
        <v>4000</v>
      </c>
      <c r="D1137" t="s">
        <v>2012</v>
      </c>
      <c r="E1137">
        <v>0</v>
      </c>
      <c r="F1137">
        <v>2284.31</v>
      </c>
      <c r="G1137" t="s">
        <v>2019</v>
      </c>
      <c r="H1137" t="s">
        <v>2023</v>
      </c>
      <c r="I1137" t="s">
        <v>3163</v>
      </c>
      <c r="J1137" t="s">
        <v>4030</v>
      </c>
      <c r="K1137" t="s">
        <v>4042</v>
      </c>
      <c r="L1137">
        <v>2284.31</v>
      </c>
    </row>
    <row r="1138" spans="1:12">
      <c r="A1138" t="s">
        <v>1148</v>
      </c>
      <c r="B1138" s="2">
        <v>45280</v>
      </c>
      <c r="C1138">
        <v>5000</v>
      </c>
      <c r="D1138" t="s">
        <v>2013</v>
      </c>
      <c r="E1138">
        <v>1994.11</v>
      </c>
      <c r="F1138">
        <v>0</v>
      </c>
      <c r="G1138" t="s">
        <v>2022</v>
      </c>
      <c r="H1138" t="s">
        <v>2025</v>
      </c>
      <c r="I1138" t="s">
        <v>3164</v>
      </c>
      <c r="J1138" t="s">
        <v>4030</v>
      </c>
      <c r="K1138" t="s">
        <v>4039</v>
      </c>
      <c r="L1138">
        <v>-1994.11</v>
      </c>
    </row>
    <row r="1139" spans="1:12">
      <c r="A1139" t="s">
        <v>1149</v>
      </c>
      <c r="B1139" s="2">
        <v>45083</v>
      </c>
      <c r="C1139">
        <v>5000</v>
      </c>
      <c r="D1139" t="s">
        <v>2013</v>
      </c>
      <c r="E1139">
        <v>286.3</v>
      </c>
      <c r="F1139">
        <v>0</v>
      </c>
      <c r="G1139" t="s">
        <v>2020</v>
      </c>
      <c r="H1139" t="s">
        <v>2026</v>
      </c>
      <c r="I1139" t="s">
        <v>3165</v>
      </c>
      <c r="J1139" t="s">
        <v>4032</v>
      </c>
      <c r="K1139" t="s">
        <v>4055</v>
      </c>
      <c r="L1139">
        <v>-286.3</v>
      </c>
    </row>
    <row r="1140" spans="1:12">
      <c r="A1140" t="s">
        <v>1150</v>
      </c>
      <c r="B1140" s="2">
        <v>44953</v>
      </c>
      <c r="C1140">
        <v>6000</v>
      </c>
      <c r="D1140" t="s">
        <v>2014</v>
      </c>
      <c r="E1140">
        <v>1069.23</v>
      </c>
      <c r="F1140">
        <v>0</v>
      </c>
      <c r="G1140" t="s">
        <v>2022</v>
      </c>
      <c r="H1140" t="s">
        <v>2025</v>
      </c>
      <c r="I1140" t="s">
        <v>3166</v>
      </c>
      <c r="J1140" t="s">
        <v>4032</v>
      </c>
      <c r="K1140" t="s">
        <v>4047</v>
      </c>
      <c r="L1140">
        <v>-1069.23</v>
      </c>
    </row>
    <row r="1141" spans="1:12">
      <c r="A1141" t="s">
        <v>1151</v>
      </c>
      <c r="B1141" s="2">
        <v>45547</v>
      </c>
      <c r="C1141">
        <v>6000</v>
      </c>
      <c r="D1141" t="s">
        <v>2014</v>
      </c>
      <c r="E1141">
        <v>901.69</v>
      </c>
      <c r="F1141">
        <v>0</v>
      </c>
      <c r="G1141" t="s">
        <v>2018</v>
      </c>
      <c r="H1141" t="s">
        <v>2023</v>
      </c>
      <c r="I1141" t="s">
        <v>3167</v>
      </c>
      <c r="J1141" t="s">
        <v>4030</v>
      </c>
      <c r="K1141" t="s">
        <v>4048</v>
      </c>
      <c r="L1141">
        <v>-901.69</v>
      </c>
    </row>
    <row r="1142" spans="1:12">
      <c r="A1142" t="s">
        <v>1152</v>
      </c>
      <c r="B1142" s="2">
        <v>45251</v>
      </c>
      <c r="C1142">
        <v>6000</v>
      </c>
      <c r="D1142" t="s">
        <v>2014</v>
      </c>
      <c r="E1142">
        <v>1692.4</v>
      </c>
      <c r="F1142">
        <v>0</v>
      </c>
      <c r="G1142" t="s">
        <v>2019</v>
      </c>
      <c r="H1142" t="s">
        <v>2026</v>
      </c>
      <c r="I1142" t="s">
        <v>3168</v>
      </c>
      <c r="J1142" t="s">
        <v>4032</v>
      </c>
      <c r="K1142" t="s">
        <v>4042</v>
      </c>
      <c r="L1142">
        <v>-1692.4</v>
      </c>
    </row>
    <row r="1143" spans="1:12">
      <c r="A1143" t="s">
        <v>1153</v>
      </c>
      <c r="B1143" s="2">
        <v>45504</v>
      </c>
      <c r="C1143">
        <v>4010</v>
      </c>
      <c r="D1143" t="s">
        <v>2016</v>
      </c>
      <c r="E1143">
        <v>0</v>
      </c>
      <c r="F1143">
        <v>4894.3999999999996</v>
      </c>
      <c r="G1143" t="s">
        <v>2017</v>
      </c>
      <c r="H1143" t="s">
        <v>2023</v>
      </c>
      <c r="I1143" t="s">
        <v>3169</v>
      </c>
      <c r="J1143" t="s">
        <v>4031</v>
      </c>
      <c r="K1143" t="s">
        <v>4054</v>
      </c>
      <c r="L1143">
        <v>4894.3999999999996</v>
      </c>
    </row>
    <row r="1144" spans="1:12">
      <c r="A1144" t="s">
        <v>1154</v>
      </c>
      <c r="B1144" s="2">
        <v>45290</v>
      </c>
      <c r="C1144">
        <v>5000</v>
      </c>
      <c r="D1144" t="s">
        <v>2013</v>
      </c>
      <c r="E1144">
        <v>535.66999999999996</v>
      </c>
      <c r="F1144">
        <v>0</v>
      </c>
      <c r="G1144" t="s">
        <v>2017</v>
      </c>
      <c r="H1144" t="s">
        <v>2023</v>
      </c>
      <c r="I1144" t="s">
        <v>3170</v>
      </c>
      <c r="J1144" t="s">
        <v>4032</v>
      </c>
      <c r="K1144" t="s">
        <v>4039</v>
      </c>
      <c r="L1144">
        <v>-535.66999999999996</v>
      </c>
    </row>
    <row r="1145" spans="1:12">
      <c r="A1145" t="s">
        <v>1155</v>
      </c>
      <c r="B1145" s="2">
        <v>45512</v>
      </c>
      <c r="C1145">
        <v>6000</v>
      </c>
      <c r="D1145" t="s">
        <v>2014</v>
      </c>
      <c r="E1145">
        <v>1153.45</v>
      </c>
      <c r="F1145">
        <v>0</v>
      </c>
      <c r="G1145" t="s">
        <v>2022</v>
      </c>
      <c r="H1145" t="s">
        <v>2025</v>
      </c>
      <c r="I1145" t="s">
        <v>3171</v>
      </c>
      <c r="J1145" t="s">
        <v>4028</v>
      </c>
      <c r="K1145" t="s">
        <v>4058</v>
      </c>
      <c r="L1145">
        <v>-1153.45</v>
      </c>
    </row>
    <row r="1146" spans="1:12">
      <c r="A1146" t="s">
        <v>1156</v>
      </c>
      <c r="B1146" s="2">
        <v>45139</v>
      </c>
      <c r="C1146">
        <v>4010</v>
      </c>
      <c r="D1146" t="s">
        <v>2016</v>
      </c>
      <c r="E1146">
        <v>0</v>
      </c>
      <c r="F1146">
        <v>2523.88</v>
      </c>
      <c r="G1146" t="s">
        <v>2018</v>
      </c>
      <c r="H1146" t="s">
        <v>2024</v>
      </c>
      <c r="I1146" t="s">
        <v>3172</v>
      </c>
      <c r="J1146" t="s">
        <v>4030</v>
      </c>
      <c r="K1146" t="s">
        <v>4037</v>
      </c>
      <c r="L1146">
        <v>2523.88</v>
      </c>
    </row>
    <row r="1147" spans="1:12">
      <c r="A1147" t="s">
        <v>1157</v>
      </c>
      <c r="B1147" s="2">
        <v>45216</v>
      </c>
      <c r="C1147">
        <v>6000</v>
      </c>
      <c r="D1147" t="s">
        <v>2014</v>
      </c>
      <c r="E1147">
        <v>621.37</v>
      </c>
      <c r="F1147">
        <v>0</v>
      </c>
      <c r="G1147" t="s">
        <v>2020</v>
      </c>
      <c r="H1147" t="s">
        <v>2024</v>
      </c>
      <c r="I1147" t="s">
        <v>3173</v>
      </c>
      <c r="J1147" t="s">
        <v>4029</v>
      </c>
      <c r="K1147" t="s">
        <v>4060</v>
      </c>
      <c r="L1147">
        <v>-621.37</v>
      </c>
    </row>
    <row r="1148" spans="1:12">
      <c r="A1148" t="s">
        <v>1158</v>
      </c>
      <c r="B1148" s="2">
        <v>45681</v>
      </c>
      <c r="C1148">
        <v>5010</v>
      </c>
      <c r="D1148" t="s">
        <v>2015</v>
      </c>
      <c r="E1148">
        <v>991.7</v>
      </c>
      <c r="F1148">
        <v>0</v>
      </c>
      <c r="G1148" t="s">
        <v>2018</v>
      </c>
      <c r="H1148" t="s">
        <v>2023</v>
      </c>
      <c r="I1148" t="s">
        <v>3174</v>
      </c>
      <c r="J1148" t="s">
        <v>4029</v>
      </c>
      <c r="K1148" t="s">
        <v>4035</v>
      </c>
      <c r="L1148">
        <v>-991.7</v>
      </c>
    </row>
    <row r="1149" spans="1:12">
      <c r="A1149" t="s">
        <v>1159</v>
      </c>
      <c r="B1149" s="2">
        <v>45800</v>
      </c>
      <c r="C1149">
        <v>6000</v>
      </c>
      <c r="D1149" t="s">
        <v>2014</v>
      </c>
      <c r="E1149">
        <v>1727.08</v>
      </c>
      <c r="F1149">
        <v>0</v>
      </c>
      <c r="G1149" t="s">
        <v>2019</v>
      </c>
      <c r="H1149" t="s">
        <v>2024</v>
      </c>
      <c r="I1149" t="s">
        <v>3175</v>
      </c>
      <c r="J1149" t="s">
        <v>4030</v>
      </c>
      <c r="K1149" t="s">
        <v>4038</v>
      </c>
      <c r="L1149">
        <v>-1727.08</v>
      </c>
    </row>
    <row r="1150" spans="1:12">
      <c r="A1150" t="s">
        <v>1160</v>
      </c>
      <c r="B1150" s="2">
        <v>45236</v>
      </c>
      <c r="C1150">
        <v>6000</v>
      </c>
      <c r="D1150" t="s">
        <v>2014</v>
      </c>
      <c r="E1150">
        <v>1518.91</v>
      </c>
      <c r="F1150">
        <v>0</v>
      </c>
      <c r="G1150" t="s">
        <v>2017</v>
      </c>
      <c r="H1150" t="s">
        <v>2027</v>
      </c>
      <c r="I1150" t="s">
        <v>3176</v>
      </c>
      <c r="J1150" t="s">
        <v>4030</v>
      </c>
      <c r="K1150" t="s">
        <v>4042</v>
      </c>
      <c r="L1150">
        <v>-1518.91</v>
      </c>
    </row>
    <row r="1151" spans="1:12">
      <c r="A1151" t="s">
        <v>1161</v>
      </c>
      <c r="B1151" s="2">
        <v>45338</v>
      </c>
      <c r="C1151">
        <v>4000</v>
      </c>
      <c r="D1151" t="s">
        <v>2012</v>
      </c>
      <c r="E1151">
        <v>0</v>
      </c>
      <c r="F1151">
        <v>1266.3499999999999</v>
      </c>
      <c r="G1151" t="s">
        <v>2022</v>
      </c>
      <c r="H1151" t="s">
        <v>2024</v>
      </c>
      <c r="I1151" t="s">
        <v>3177</v>
      </c>
      <c r="J1151" t="s">
        <v>4032</v>
      </c>
      <c r="K1151" t="s">
        <v>4044</v>
      </c>
      <c r="L1151">
        <v>1266.3499999999999</v>
      </c>
    </row>
    <row r="1152" spans="1:12">
      <c r="A1152" t="s">
        <v>1162</v>
      </c>
      <c r="B1152" s="2">
        <v>45654</v>
      </c>
      <c r="C1152">
        <v>4000</v>
      </c>
      <c r="D1152" t="s">
        <v>2012</v>
      </c>
      <c r="E1152">
        <v>0</v>
      </c>
      <c r="F1152">
        <v>3886.29</v>
      </c>
      <c r="G1152" t="s">
        <v>2019</v>
      </c>
      <c r="H1152" t="s">
        <v>2024</v>
      </c>
      <c r="I1152" t="s">
        <v>3178</v>
      </c>
      <c r="J1152" t="s">
        <v>4028</v>
      </c>
      <c r="K1152" t="s">
        <v>4056</v>
      </c>
      <c r="L1152">
        <v>3886.29</v>
      </c>
    </row>
    <row r="1153" spans="1:12">
      <c r="A1153" t="s">
        <v>1163</v>
      </c>
      <c r="B1153" s="2">
        <v>44962</v>
      </c>
      <c r="C1153">
        <v>6000</v>
      </c>
      <c r="D1153" t="s">
        <v>2014</v>
      </c>
      <c r="E1153">
        <v>584.9</v>
      </c>
      <c r="F1153">
        <v>0</v>
      </c>
      <c r="G1153" t="s">
        <v>2019</v>
      </c>
      <c r="H1153" t="s">
        <v>2025</v>
      </c>
      <c r="I1153" t="s">
        <v>3179</v>
      </c>
      <c r="J1153" t="s">
        <v>4029</v>
      </c>
      <c r="K1153" t="s">
        <v>4057</v>
      </c>
      <c r="L1153">
        <v>-584.9</v>
      </c>
    </row>
    <row r="1154" spans="1:12">
      <c r="A1154" t="s">
        <v>1164</v>
      </c>
      <c r="B1154" s="2">
        <v>45332</v>
      </c>
      <c r="C1154">
        <v>5000</v>
      </c>
      <c r="D1154" t="s">
        <v>2013</v>
      </c>
      <c r="E1154">
        <v>1212.48</v>
      </c>
      <c r="F1154">
        <v>0</v>
      </c>
      <c r="G1154" t="s">
        <v>2021</v>
      </c>
      <c r="H1154" t="s">
        <v>2024</v>
      </c>
      <c r="I1154" t="s">
        <v>3180</v>
      </c>
      <c r="J1154" t="s">
        <v>4029</v>
      </c>
      <c r="K1154" t="s">
        <v>4044</v>
      </c>
      <c r="L1154">
        <v>-1212.48</v>
      </c>
    </row>
    <row r="1155" spans="1:12">
      <c r="A1155" t="s">
        <v>1165</v>
      </c>
      <c r="B1155" s="2">
        <v>45405</v>
      </c>
      <c r="C1155">
        <v>6000</v>
      </c>
      <c r="D1155" t="s">
        <v>2014</v>
      </c>
      <c r="E1155">
        <v>1084.73</v>
      </c>
      <c r="F1155">
        <v>0</v>
      </c>
      <c r="G1155" t="s">
        <v>2017</v>
      </c>
      <c r="H1155" t="s">
        <v>2027</v>
      </c>
      <c r="I1155" t="s">
        <v>3181</v>
      </c>
      <c r="J1155" t="s">
        <v>4032</v>
      </c>
      <c r="K1155" t="s">
        <v>4040</v>
      </c>
      <c r="L1155">
        <v>-1084.73</v>
      </c>
    </row>
    <row r="1156" spans="1:12">
      <c r="A1156" t="s">
        <v>1166</v>
      </c>
      <c r="B1156" s="2">
        <v>45274</v>
      </c>
      <c r="C1156">
        <v>6000</v>
      </c>
      <c r="D1156" t="s">
        <v>2014</v>
      </c>
      <c r="E1156">
        <v>1218.47</v>
      </c>
      <c r="F1156">
        <v>0</v>
      </c>
      <c r="G1156" t="s">
        <v>2018</v>
      </c>
      <c r="H1156" t="s">
        <v>2026</v>
      </c>
      <c r="I1156" t="s">
        <v>3182</v>
      </c>
      <c r="J1156" t="s">
        <v>4028</v>
      </c>
      <c r="K1156" t="s">
        <v>4039</v>
      </c>
      <c r="L1156">
        <v>-1218.47</v>
      </c>
    </row>
    <row r="1157" spans="1:12">
      <c r="A1157" t="s">
        <v>1167</v>
      </c>
      <c r="B1157" s="2">
        <v>45370</v>
      </c>
      <c r="C1157">
        <v>6000</v>
      </c>
      <c r="D1157" t="s">
        <v>2014</v>
      </c>
      <c r="E1157">
        <v>134.03</v>
      </c>
      <c r="F1157">
        <v>0</v>
      </c>
      <c r="G1157" t="s">
        <v>2021</v>
      </c>
      <c r="H1157" t="s">
        <v>2023</v>
      </c>
      <c r="I1157" t="s">
        <v>3183</v>
      </c>
      <c r="J1157" t="s">
        <v>4032</v>
      </c>
      <c r="K1157" t="s">
        <v>4049</v>
      </c>
      <c r="L1157">
        <v>-134.03</v>
      </c>
    </row>
    <row r="1158" spans="1:12">
      <c r="A1158" t="s">
        <v>1168</v>
      </c>
      <c r="B1158" s="2">
        <v>45057</v>
      </c>
      <c r="C1158">
        <v>5010</v>
      </c>
      <c r="D1158" t="s">
        <v>2015</v>
      </c>
      <c r="E1158">
        <v>1961.58</v>
      </c>
      <c r="F1158">
        <v>0</v>
      </c>
      <c r="G1158" t="s">
        <v>2021</v>
      </c>
      <c r="H1158" t="s">
        <v>2024</v>
      </c>
      <c r="I1158" t="s">
        <v>3184</v>
      </c>
      <c r="J1158" t="s">
        <v>4031</v>
      </c>
      <c r="K1158" t="s">
        <v>4062</v>
      </c>
      <c r="L1158">
        <v>-1961.58</v>
      </c>
    </row>
    <row r="1159" spans="1:12">
      <c r="A1159" t="s">
        <v>1169</v>
      </c>
      <c r="B1159" s="2">
        <v>44953</v>
      </c>
      <c r="C1159">
        <v>6000</v>
      </c>
      <c r="D1159" t="s">
        <v>2014</v>
      </c>
      <c r="E1159">
        <v>320.36</v>
      </c>
      <c r="F1159">
        <v>0</v>
      </c>
      <c r="G1159" t="s">
        <v>2022</v>
      </c>
      <c r="H1159" t="s">
        <v>2026</v>
      </c>
      <c r="I1159" t="s">
        <v>3185</v>
      </c>
      <c r="J1159" t="s">
        <v>4031</v>
      </c>
      <c r="K1159" t="s">
        <v>4047</v>
      </c>
      <c r="L1159">
        <v>-320.36</v>
      </c>
    </row>
    <row r="1160" spans="1:12">
      <c r="A1160" t="s">
        <v>1170</v>
      </c>
      <c r="B1160" s="2">
        <v>45541</v>
      </c>
      <c r="C1160">
        <v>5010</v>
      </c>
      <c r="D1160" t="s">
        <v>2015</v>
      </c>
      <c r="E1160">
        <v>727.24</v>
      </c>
      <c r="F1160">
        <v>0</v>
      </c>
      <c r="G1160" t="s">
        <v>2020</v>
      </c>
      <c r="H1160" t="s">
        <v>2027</v>
      </c>
      <c r="I1160" t="s">
        <v>3186</v>
      </c>
      <c r="J1160" t="s">
        <v>4029</v>
      </c>
      <c r="K1160" t="s">
        <v>4048</v>
      </c>
      <c r="L1160">
        <v>-727.24</v>
      </c>
    </row>
    <row r="1161" spans="1:12">
      <c r="A1161" t="s">
        <v>1171</v>
      </c>
      <c r="B1161" s="2">
        <v>45030</v>
      </c>
      <c r="C1161">
        <v>5000</v>
      </c>
      <c r="D1161" t="s">
        <v>2013</v>
      </c>
      <c r="E1161">
        <v>334.7</v>
      </c>
      <c r="F1161">
        <v>0</v>
      </c>
      <c r="G1161" t="s">
        <v>2022</v>
      </c>
      <c r="H1161" t="s">
        <v>2025</v>
      </c>
      <c r="I1161" t="s">
        <v>3187</v>
      </c>
      <c r="J1161" t="s">
        <v>4029</v>
      </c>
      <c r="K1161" t="s">
        <v>4041</v>
      </c>
      <c r="L1161">
        <v>-334.7</v>
      </c>
    </row>
    <row r="1162" spans="1:12">
      <c r="A1162" t="s">
        <v>1172</v>
      </c>
      <c r="B1162" s="2">
        <v>45021</v>
      </c>
      <c r="C1162">
        <v>6000</v>
      </c>
      <c r="D1162" t="s">
        <v>2014</v>
      </c>
      <c r="E1162">
        <v>620.16999999999996</v>
      </c>
      <c r="F1162">
        <v>0</v>
      </c>
      <c r="G1162" t="s">
        <v>2017</v>
      </c>
      <c r="H1162" t="s">
        <v>2026</v>
      </c>
      <c r="I1162" t="s">
        <v>3188</v>
      </c>
      <c r="J1162" t="s">
        <v>4030</v>
      </c>
      <c r="K1162" t="s">
        <v>4041</v>
      </c>
      <c r="L1162">
        <v>-620.16999999999996</v>
      </c>
    </row>
    <row r="1163" spans="1:12">
      <c r="A1163" t="s">
        <v>1173</v>
      </c>
      <c r="B1163" s="2">
        <v>45475</v>
      </c>
      <c r="C1163">
        <v>4010</v>
      </c>
      <c r="D1163" t="s">
        <v>2016</v>
      </c>
      <c r="E1163">
        <v>0</v>
      </c>
      <c r="F1163">
        <v>2933.41</v>
      </c>
      <c r="G1163" t="s">
        <v>2017</v>
      </c>
      <c r="H1163" t="s">
        <v>2023</v>
      </c>
      <c r="I1163" t="s">
        <v>3189</v>
      </c>
      <c r="J1163" t="s">
        <v>4028</v>
      </c>
      <c r="K1163" t="s">
        <v>4054</v>
      </c>
      <c r="L1163">
        <v>2933.41</v>
      </c>
    </row>
    <row r="1164" spans="1:12">
      <c r="A1164" t="s">
        <v>1174</v>
      </c>
      <c r="B1164" s="2">
        <v>45093</v>
      </c>
      <c r="C1164">
        <v>4010</v>
      </c>
      <c r="D1164" t="s">
        <v>2016</v>
      </c>
      <c r="E1164">
        <v>0</v>
      </c>
      <c r="F1164">
        <v>2103.91</v>
      </c>
      <c r="G1164" t="s">
        <v>2017</v>
      </c>
      <c r="H1164" t="s">
        <v>2025</v>
      </c>
      <c r="I1164" t="s">
        <v>3190</v>
      </c>
      <c r="J1164" t="s">
        <v>4032</v>
      </c>
      <c r="K1164" t="s">
        <v>4055</v>
      </c>
      <c r="L1164">
        <v>2103.91</v>
      </c>
    </row>
    <row r="1165" spans="1:12">
      <c r="A1165" t="s">
        <v>1175</v>
      </c>
      <c r="B1165" s="2">
        <v>45121</v>
      </c>
      <c r="C1165">
        <v>6000</v>
      </c>
      <c r="D1165" t="s">
        <v>2014</v>
      </c>
      <c r="E1165">
        <v>626.96</v>
      </c>
      <c r="F1165">
        <v>0</v>
      </c>
      <c r="G1165" t="s">
        <v>2022</v>
      </c>
      <c r="H1165" t="s">
        <v>2027</v>
      </c>
      <c r="I1165" t="s">
        <v>3191</v>
      </c>
      <c r="J1165" t="s">
        <v>4028</v>
      </c>
      <c r="K1165" t="s">
        <v>4050</v>
      </c>
      <c r="L1165">
        <v>-626.96</v>
      </c>
    </row>
    <row r="1166" spans="1:12">
      <c r="A1166" t="s">
        <v>1176</v>
      </c>
      <c r="B1166" s="2">
        <v>45480</v>
      </c>
      <c r="C1166">
        <v>4000</v>
      </c>
      <c r="D1166" t="s">
        <v>2012</v>
      </c>
      <c r="E1166">
        <v>0</v>
      </c>
      <c r="F1166">
        <v>3001.97</v>
      </c>
      <c r="G1166" t="s">
        <v>2019</v>
      </c>
      <c r="H1166" t="s">
        <v>2026</v>
      </c>
      <c r="I1166" t="s">
        <v>3192</v>
      </c>
      <c r="J1166" t="s">
        <v>4031</v>
      </c>
      <c r="K1166" t="s">
        <v>4054</v>
      </c>
      <c r="L1166">
        <v>3001.97</v>
      </c>
    </row>
    <row r="1167" spans="1:12">
      <c r="A1167" t="s">
        <v>1177</v>
      </c>
      <c r="B1167" s="2">
        <v>45668</v>
      </c>
      <c r="C1167">
        <v>5000</v>
      </c>
      <c r="D1167" t="s">
        <v>2013</v>
      </c>
      <c r="E1167">
        <v>1130.18</v>
      </c>
      <c r="F1167">
        <v>0</v>
      </c>
      <c r="G1167" t="s">
        <v>2022</v>
      </c>
      <c r="H1167" t="s">
        <v>2026</v>
      </c>
      <c r="I1167" t="s">
        <v>3193</v>
      </c>
      <c r="J1167" t="s">
        <v>4028</v>
      </c>
      <c r="K1167" t="s">
        <v>4035</v>
      </c>
      <c r="L1167">
        <v>-1130.18</v>
      </c>
    </row>
    <row r="1168" spans="1:12">
      <c r="A1168" t="s">
        <v>1178</v>
      </c>
      <c r="B1168" s="2">
        <v>45261</v>
      </c>
      <c r="C1168">
        <v>5010</v>
      </c>
      <c r="D1168" t="s">
        <v>2015</v>
      </c>
      <c r="E1168">
        <v>1772.72</v>
      </c>
      <c r="F1168">
        <v>0</v>
      </c>
      <c r="G1168" t="s">
        <v>2020</v>
      </c>
      <c r="H1168" t="s">
        <v>2023</v>
      </c>
      <c r="I1168" t="s">
        <v>3194</v>
      </c>
      <c r="J1168" t="s">
        <v>4032</v>
      </c>
      <c r="K1168" t="s">
        <v>4039</v>
      </c>
      <c r="L1168">
        <v>-1772.72</v>
      </c>
    </row>
    <row r="1169" spans="1:12">
      <c r="A1169" t="s">
        <v>1179</v>
      </c>
      <c r="B1169" s="2">
        <v>45332</v>
      </c>
      <c r="C1169">
        <v>5010</v>
      </c>
      <c r="D1169" t="s">
        <v>2015</v>
      </c>
      <c r="E1169">
        <v>152.83000000000001</v>
      </c>
      <c r="F1169">
        <v>0</v>
      </c>
      <c r="G1169" t="s">
        <v>2017</v>
      </c>
      <c r="H1169" t="s">
        <v>2026</v>
      </c>
      <c r="I1169" t="s">
        <v>3195</v>
      </c>
      <c r="J1169" t="s">
        <v>4032</v>
      </c>
      <c r="K1169" t="s">
        <v>4044</v>
      </c>
      <c r="L1169">
        <v>-152.83000000000001</v>
      </c>
    </row>
    <row r="1170" spans="1:12">
      <c r="A1170" t="s">
        <v>1180</v>
      </c>
      <c r="B1170" s="2">
        <v>44928</v>
      </c>
      <c r="C1170">
        <v>5000</v>
      </c>
      <c r="D1170" t="s">
        <v>2013</v>
      </c>
      <c r="E1170">
        <v>954.94</v>
      </c>
      <c r="F1170">
        <v>0</v>
      </c>
      <c r="G1170" t="s">
        <v>2018</v>
      </c>
      <c r="H1170" t="s">
        <v>2026</v>
      </c>
      <c r="I1170" t="s">
        <v>3196</v>
      </c>
      <c r="J1170" t="s">
        <v>4029</v>
      </c>
      <c r="K1170" t="s">
        <v>4047</v>
      </c>
      <c r="L1170">
        <v>-954.94</v>
      </c>
    </row>
    <row r="1171" spans="1:12">
      <c r="A1171" t="s">
        <v>1181</v>
      </c>
      <c r="B1171" s="2">
        <v>45826</v>
      </c>
      <c r="C1171">
        <v>4010</v>
      </c>
      <c r="D1171" t="s">
        <v>2016</v>
      </c>
      <c r="E1171">
        <v>0</v>
      </c>
      <c r="F1171">
        <v>4418.1899999999996</v>
      </c>
      <c r="G1171" t="s">
        <v>2019</v>
      </c>
      <c r="H1171" t="s">
        <v>2025</v>
      </c>
      <c r="I1171" t="s">
        <v>3197</v>
      </c>
      <c r="J1171" t="s">
        <v>4032</v>
      </c>
      <c r="K1171" t="s">
        <v>4052</v>
      </c>
      <c r="L1171">
        <v>4418.1899999999996</v>
      </c>
    </row>
    <row r="1172" spans="1:12">
      <c r="A1172" t="s">
        <v>1182</v>
      </c>
      <c r="B1172" s="2">
        <v>45363</v>
      </c>
      <c r="C1172">
        <v>5010</v>
      </c>
      <c r="D1172" t="s">
        <v>2015</v>
      </c>
      <c r="E1172">
        <v>1814.27</v>
      </c>
      <c r="F1172">
        <v>0</v>
      </c>
      <c r="G1172" t="s">
        <v>2017</v>
      </c>
      <c r="H1172" t="s">
        <v>2027</v>
      </c>
      <c r="I1172" t="s">
        <v>3198</v>
      </c>
      <c r="J1172" t="s">
        <v>4031</v>
      </c>
      <c r="K1172" t="s">
        <v>4049</v>
      </c>
      <c r="L1172">
        <v>-1814.27</v>
      </c>
    </row>
    <row r="1173" spans="1:12">
      <c r="A1173" t="s">
        <v>1183</v>
      </c>
      <c r="B1173" s="2">
        <v>45408</v>
      </c>
      <c r="C1173">
        <v>4000</v>
      </c>
      <c r="D1173" t="s">
        <v>2012</v>
      </c>
      <c r="E1173">
        <v>0</v>
      </c>
      <c r="F1173">
        <v>815.4</v>
      </c>
      <c r="G1173" t="s">
        <v>2022</v>
      </c>
      <c r="H1173" t="s">
        <v>2027</v>
      </c>
      <c r="I1173" t="s">
        <v>3199</v>
      </c>
      <c r="J1173" t="s">
        <v>4029</v>
      </c>
      <c r="K1173" t="s">
        <v>4040</v>
      </c>
      <c r="L1173">
        <v>815.4</v>
      </c>
    </row>
    <row r="1174" spans="1:12">
      <c r="A1174" t="s">
        <v>1184</v>
      </c>
      <c r="B1174" s="2">
        <v>45513</v>
      </c>
      <c r="C1174">
        <v>5000</v>
      </c>
      <c r="D1174" t="s">
        <v>2013</v>
      </c>
      <c r="E1174">
        <v>290.05</v>
      </c>
      <c r="F1174">
        <v>0</v>
      </c>
      <c r="G1174" t="s">
        <v>2020</v>
      </c>
      <c r="H1174" t="s">
        <v>2025</v>
      </c>
      <c r="I1174" t="s">
        <v>3200</v>
      </c>
      <c r="J1174" t="s">
        <v>4032</v>
      </c>
      <c r="K1174" t="s">
        <v>4058</v>
      </c>
      <c r="L1174">
        <v>-290.05</v>
      </c>
    </row>
    <row r="1175" spans="1:12">
      <c r="A1175" t="s">
        <v>1185</v>
      </c>
      <c r="B1175" s="2">
        <v>45781</v>
      </c>
      <c r="C1175">
        <v>6000</v>
      </c>
      <c r="D1175" t="s">
        <v>2014</v>
      </c>
      <c r="E1175">
        <v>1726.68</v>
      </c>
      <c r="F1175">
        <v>0</v>
      </c>
      <c r="G1175" t="s">
        <v>2021</v>
      </c>
      <c r="H1175" t="s">
        <v>2024</v>
      </c>
      <c r="I1175" t="s">
        <v>3201</v>
      </c>
      <c r="J1175" t="s">
        <v>4030</v>
      </c>
      <c r="K1175" t="s">
        <v>4038</v>
      </c>
      <c r="L1175">
        <v>-1726.68</v>
      </c>
    </row>
    <row r="1176" spans="1:12">
      <c r="A1176" t="s">
        <v>1186</v>
      </c>
      <c r="B1176" s="2">
        <v>45772</v>
      </c>
      <c r="C1176">
        <v>4010</v>
      </c>
      <c r="D1176" t="s">
        <v>2016</v>
      </c>
      <c r="E1176">
        <v>0</v>
      </c>
      <c r="F1176">
        <v>2724.33</v>
      </c>
      <c r="G1176" t="s">
        <v>2021</v>
      </c>
      <c r="H1176" t="s">
        <v>2023</v>
      </c>
      <c r="I1176" t="s">
        <v>3202</v>
      </c>
      <c r="J1176" t="s">
        <v>4028</v>
      </c>
      <c r="K1176" t="s">
        <v>4045</v>
      </c>
      <c r="L1176">
        <v>2724.33</v>
      </c>
    </row>
    <row r="1177" spans="1:12">
      <c r="A1177" t="s">
        <v>1187</v>
      </c>
      <c r="B1177" s="2">
        <v>45018</v>
      </c>
      <c r="C1177">
        <v>4010</v>
      </c>
      <c r="D1177" t="s">
        <v>2016</v>
      </c>
      <c r="E1177">
        <v>0</v>
      </c>
      <c r="F1177">
        <v>517.76</v>
      </c>
      <c r="G1177" t="s">
        <v>2020</v>
      </c>
      <c r="H1177" t="s">
        <v>2027</v>
      </c>
      <c r="I1177" t="s">
        <v>3203</v>
      </c>
      <c r="J1177" t="s">
        <v>4032</v>
      </c>
      <c r="K1177" t="s">
        <v>4041</v>
      </c>
      <c r="L1177">
        <v>517.76</v>
      </c>
    </row>
    <row r="1178" spans="1:12">
      <c r="A1178" t="s">
        <v>1188</v>
      </c>
      <c r="B1178" s="2">
        <v>45155</v>
      </c>
      <c r="C1178">
        <v>5010</v>
      </c>
      <c r="D1178" t="s">
        <v>2015</v>
      </c>
      <c r="E1178">
        <v>1718.84</v>
      </c>
      <c r="F1178">
        <v>0</v>
      </c>
      <c r="G1178" t="s">
        <v>2019</v>
      </c>
      <c r="H1178" t="s">
        <v>2026</v>
      </c>
      <c r="I1178" t="s">
        <v>3204</v>
      </c>
      <c r="J1178" t="s">
        <v>4030</v>
      </c>
      <c r="K1178" t="s">
        <v>4037</v>
      </c>
      <c r="L1178">
        <v>-1718.84</v>
      </c>
    </row>
    <row r="1179" spans="1:12">
      <c r="A1179" t="s">
        <v>1189</v>
      </c>
      <c r="B1179" s="2">
        <v>45447</v>
      </c>
      <c r="C1179">
        <v>4000</v>
      </c>
      <c r="D1179" t="s">
        <v>2012</v>
      </c>
      <c r="E1179">
        <v>0</v>
      </c>
      <c r="F1179">
        <v>3902.53</v>
      </c>
      <c r="G1179" t="s">
        <v>2019</v>
      </c>
      <c r="H1179" t="s">
        <v>2023</v>
      </c>
      <c r="I1179" t="s">
        <v>3205</v>
      </c>
      <c r="J1179" t="s">
        <v>4031</v>
      </c>
      <c r="K1179" t="s">
        <v>4034</v>
      </c>
      <c r="L1179">
        <v>3902.53</v>
      </c>
    </row>
    <row r="1180" spans="1:12">
      <c r="A1180" t="s">
        <v>1190</v>
      </c>
      <c r="B1180" s="2">
        <v>45244</v>
      </c>
      <c r="C1180">
        <v>5000</v>
      </c>
      <c r="D1180" t="s">
        <v>2013</v>
      </c>
      <c r="E1180">
        <v>820.59</v>
      </c>
      <c r="F1180">
        <v>0</v>
      </c>
      <c r="G1180" t="s">
        <v>2022</v>
      </c>
      <c r="H1180" t="s">
        <v>2027</v>
      </c>
      <c r="I1180" t="s">
        <v>3206</v>
      </c>
      <c r="J1180" t="s">
        <v>4029</v>
      </c>
      <c r="K1180" t="s">
        <v>4042</v>
      </c>
      <c r="L1180">
        <v>-820.59</v>
      </c>
    </row>
    <row r="1181" spans="1:12">
      <c r="A1181" t="s">
        <v>1191</v>
      </c>
      <c r="B1181" s="2">
        <v>45541</v>
      </c>
      <c r="C1181">
        <v>6000</v>
      </c>
      <c r="D1181" t="s">
        <v>2014</v>
      </c>
      <c r="E1181">
        <v>933.21</v>
      </c>
      <c r="F1181">
        <v>0</v>
      </c>
      <c r="G1181" t="s">
        <v>2019</v>
      </c>
      <c r="H1181" t="s">
        <v>2027</v>
      </c>
      <c r="I1181" t="s">
        <v>3207</v>
      </c>
      <c r="J1181" t="s">
        <v>4030</v>
      </c>
      <c r="K1181" t="s">
        <v>4048</v>
      </c>
      <c r="L1181">
        <v>-933.21</v>
      </c>
    </row>
    <row r="1182" spans="1:12">
      <c r="A1182" t="s">
        <v>1192</v>
      </c>
      <c r="B1182" s="2">
        <v>45381</v>
      </c>
      <c r="C1182">
        <v>4010</v>
      </c>
      <c r="D1182" t="s">
        <v>2016</v>
      </c>
      <c r="E1182">
        <v>0</v>
      </c>
      <c r="F1182">
        <v>581.76</v>
      </c>
      <c r="G1182" t="s">
        <v>2019</v>
      </c>
      <c r="H1182" t="s">
        <v>2025</v>
      </c>
      <c r="I1182" t="s">
        <v>3208</v>
      </c>
      <c r="J1182" t="s">
        <v>4032</v>
      </c>
      <c r="K1182" t="s">
        <v>4049</v>
      </c>
      <c r="L1182">
        <v>581.76</v>
      </c>
    </row>
    <row r="1183" spans="1:12">
      <c r="A1183" t="s">
        <v>1193</v>
      </c>
      <c r="B1183" s="2">
        <v>45030</v>
      </c>
      <c r="C1183">
        <v>4000</v>
      </c>
      <c r="D1183" t="s">
        <v>2012</v>
      </c>
      <c r="E1183">
        <v>0</v>
      </c>
      <c r="F1183">
        <v>2858.3</v>
      </c>
      <c r="G1183" t="s">
        <v>2018</v>
      </c>
      <c r="H1183" t="s">
        <v>2027</v>
      </c>
      <c r="I1183" t="s">
        <v>3209</v>
      </c>
      <c r="J1183" t="s">
        <v>4028</v>
      </c>
      <c r="K1183" t="s">
        <v>4041</v>
      </c>
      <c r="L1183">
        <v>2858.3</v>
      </c>
    </row>
    <row r="1184" spans="1:12">
      <c r="A1184" t="s">
        <v>1194</v>
      </c>
      <c r="B1184" s="2">
        <v>45299</v>
      </c>
      <c r="C1184">
        <v>4010</v>
      </c>
      <c r="D1184" t="s">
        <v>2016</v>
      </c>
      <c r="E1184">
        <v>0</v>
      </c>
      <c r="F1184">
        <v>1469.73</v>
      </c>
      <c r="G1184" t="s">
        <v>2020</v>
      </c>
      <c r="H1184" t="s">
        <v>2023</v>
      </c>
      <c r="I1184" t="s">
        <v>3210</v>
      </c>
      <c r="J1184" t="s">
        <v>4030</v>
      </c>
      <c r="K1184" t="s">
        <v>4053</v>
      </c>
      <c r="L1184">
        <v>1469.73</v>
      </c>
    </row>
    <row r="1185" spans="1:12">
      <c r="A1185" t="s">
        <v>1195</v>
      </c>
      <c r="B1185" s="2">
        <v>45457</v>
      </c>
      <c r="C1185">
        <v>4000</v>
      </c>
      <c r="D1185" t="s">
        <v>2012</v>
      </c>
      <c r="E1185">
        <v>0</v>
      </c>
      <c r="F1185">
        <v>4440.72</v>
      </c>
      <c r="G1185" t="s">
        <v>2017</v>
      </c>
      <c r="H1185" t="s">
        <v>2026</v>
      </c>
      <c r="I1185" t="s">
        <v>3211</v>
      </c>
      <c r="J1185" t="s">
        <v>4028</v>
      </c>
      <c r="K1185" t="s">
        <v>4034</v>
      </c>
      <c r="L1185">
        <v>4440.72</v>
      </c>
    </row>
    <row r="1186" spans="1:12">
      <c r="A1186" t="s">
        <v>1196</v>
      </c>
      <c r="B1186" s="2">
        <v>45741</v>
      </c>
      <c r="C1186">
        <v>5010</v>
      </c>
      <c r="D1186" t="s">
        <v>2015</v>
      </c>
      <c r="E1186">
        <v>1972.41</v>
      </c>
      <c r="F1186">
        <v>0</v>
      </c>
      <c r="G1186" t="s">
        <v>2021</v>
      </c>
      <c r="H1186" t="s">
        <v>2025</v>
      </c>
      <c r="I1186" t="s">
        <v>3212</v>
      </c>
      <c r="J1186" t="s">
        <v>4029</v>
      </c>
      <c r="K1186" t="s">
        <v>4046</v>
      </c>
      <c r="L1186">
        <v>-1972.41</v>
      </c>
    </row>
    <row r="1187" spans="1:12">
      <c r="A1187" t="s">
        <v>1197</v>
      </c>
      <c r="B1187" s="2">
        <v>45328</v>
      </c>
      <c r="C1187">
        <v>4010</v>
      </c>
      <c r="D1187" t="s">
        <v>2016</v>
      </c>
      <c r="E1187">
        <v>0</v>
      </c>
      <c r="F1187">
        <v>841.52</v>
      </c>
      <c r="G1187" t="s">
        <v>2018</v>
      </c>
      <c r="H1187" t="s">
        <v>2027</v>
      </c>
      <c r="I1187" t="s">
        <v>3213</v>
      </c>
      <c r="J1187" t="s">
        <v>4029</v>
      </c>
      <c r="K1187" t="s">
        <v>4044</v>
      </c>
      <c r="L1187">
        <v>841.52</v>
      </c>
    </row>
    <row r="1188" spans="1:12">
      <c r="A1188" t="s">
        <v>1198</v>
      </c>
      <c r="B1188" s="2">
        <v>45083</v>
      </c>
      <c r="C1188">
        <v>6000</v>
      </c>
      <c r="D1188" t="s">
        <v>2014</v>
      </c>
      <c r="E1188">
        <v>316.14999999999998</v>
      </c>
      <c r="F1188">
        <v>0</v>
      </c>
      <c r="G1188" t="s">
        <v>2020</v>
      </c>
      <c r="H1188" t="s">
        <v>2027</v>
      </c>
      <c r="I1188" t="s">
        <v>3214</v>
      </c>
      <c r="J1188" t="s">
        <v>4032</v>
      </c>
      <c r="K1188" t="s">
        <v>4055</v>
      </c>
      <c r="L1188">
        <v>-316.14999999999998</v>
      </c>
    </row>
    <row r="1189" spans="1:12">
      <c r="A1189" t="s">
        <v>1199</v>
      </c>
      <c r="B1189" s="2">
        <v>45292</v>
      </c>
      <c r="C1189">
        <v>5010</v>
      </c>
      <c r="D1189" t="s">
        <v>2015</v>
      </c>
      <c r="E1189">
        <v>475.92</v>
      </c>
      <c r="F1189">
        <v>0</v>
      </c>
      <c r="G1189" t="s">
        <v>2022</v>
      </c>
      <c r="H1189" t="s">
        <v>2027</v>
      </c>
      <c r="I1189" t="s">
        <v>3215</v>
      </c>
      <c r="J1189" t="s">
        <v>4030</v>
      </c>
      <c r="K1189" t="s">
        <v>4053</v>
      </c>
      <c r="L1189">
        <v>-475.92</v>
      </c>
    </row>
    <row r="1190" spans="1:12">
      <c r="A1190" t="s">
        <v>1200</v>
      </c>
      <c r="B1190" s="2">
        <v>45294</v>
      </c>
      <c r="C1190">
        <v>6000</v>
      </c>
      <c r="D1190" t="s">
        <v>2014</v>
      </c>
      <c r="E1190">
        <v>1283.6099999999999</v>
      </c>
      <c r="F1190">
        <v>0</v>
      </c>
      <c r="G1190" t="s">
        <v>2018</v>
      </c>
      <c r="H1190" t="s">
        <v>2025</v>
      </c>
      <c r="I1190" t="s">
        <v>3216</v>
      </c>
      <c r="J1190" t="s">
        <v>4028</v>
      </c>
      <c r="K1190" t="s">
        <v>4053</v>
      </c>
      <c r="L1190">
        <v>-1283.6099999999999</v>
      </c>
    </row>
    <row r="1191" spans="1:12">
      <c r="A1191" t="s">
        <v>1201</v>
      </c>
      <c r="B1191" s="2">
        <v>45296</v>
      </c>
      <c r="C1191">
        <v>4000</v>
      </c>
      <c r="D1191" t="s">
        <v>2012</v>
      </c>
      <c r="E1191">
        <v>0</v>
      </c>
      <c r="F1191">
        <v>242.31</v>
      </c>
      <c r="G1191" t="s">
        <v>2018</v>
      </c>
      <c r="H1191" t="s">
        <v>2027</v>
      </c>
      <c r="I1191" t="s">
        <v>3217</v>
      </c>
      <c r="J1191" t="s">
        <v>4032</v>
      </c>
      <c r="K1191" t="s">
        <v>4053</v>
      </c>
      <c r="L1191">
        <v>242.31</v>
      </c>
    </row>
    <row r="1192" spans="1:12">
      <c r="A1192" t="s">
        <v>1202</v>
      </c>
      <c r="B1192" s="2">
        <v>45371</v>
      </c>
      <c r="C1192">
        <v>5000</v>
      </c>
      <c r="D1192" t="s">
        <v>2013</v>
      </c>
      <c r="E1192">
        <v>309.44</v>
      </c>
      <c r="F1192">
        <v>0</v>
      </c>
      <c r="G1192" t="s">
        <v>2018</v>
      </c>
      <c r="H1192" t="s">
        <v>2026</v>
      </c>
      <c r="I1192" t="s">
        <v>3218</v>
      </c>
      <c r="J1192" t="s">
        <v>4029</v>
      </c>
      <c r="K1192" t="s">
        <v>4049</v>
      </c>
      <c r="L1192">
        <v>-309.44</v>
      </c>
    </row>
    <row r="1193" spans="1:12">
      <c r="A1193" t="s">
        <v>1203</v>
      </c>
      <c r="B1193" s="2">
        <v>45683</v>
      </c>
      <c r="C1193">
        <v>6000</v>
      </c>
      <c r="D1193" t="s">
        <v>2014</v>
      </c>
      <c r="E1193">
        <v>1158.3800000000001</v>
      </c>
      <c r="F1193">
        <v>0</v>
      </c>
      <c r="G1193" t="s">
        <v>2017</v>
      </c>
      <c r="H1193" t="s">
        <v>2023</v>
      </c>
      <c r="I1193" t="s">
        <v>3219</v>
      </c>
      <c r="J1193" t="s">
        <v>4028</v>
      </c>
      <c r="K1193" t="s">
        <v>4035</v>
      </c>
      <c r="L1193">
        <v>-1158.3800000000001</v>
      </c>
    </row>
    <row r="1194" spans="1:12">
      <c r="A1194" t="s">
        <v>1204</v>
      </c>
      <c r="B1194" s="2">
        <v>44990</v>
      </c>
      <c r="C1194">
        <v>4010</v>
      </c>
      <c r="D1194" t="s">
        <v>2016</v>
      </c>
      <c r="E1194">
        <v>0</v>
      </c>
      <c r="F1194">
        <v>1546.54</v>
      </c>
      <c r="G1194" t="s">
        <v>2017</v>
      </c>
      <c r="H1194" t="s">
        <v>2026</v>
      </c>
      <c r="I1194" t="s">
        <v>3220</v>
      </c>
      <c r="J1194" t="s">
        <v>4031</v>
      </c>
      <c r="K1194" t="s">
        <v>4051</v>
      </c>
      <c r="L1194">
        <v>1546.54</v>
      </c>
    </row>
    <row r="1195" spans="1:12">
      <c r="A1195" t="s">
        <v>1205</v>
      </c>
      <c r="B1195" s="2">
        <v>45011</v>
      </c>
      <c r="C1195">
        <v>4010</v>
      </c>
      <c r="D1195" t="s">
        <v>2016</v>
      </c>
      <c r="E1195">
        <v>0</v>
      </c>
      <c r="F1195">
        <v>4731.97</v>
      </c>
      <c r="G1195" t="s">
        <v>2017</v>
      </c>
      <c r="H1195" t="s">
        <v>2024</v>
      </c>
      <c r="I1195" t="s">
        <v>3221</v>
      </c>
      <c r="J1195" t="s">
        <v>4031</v>
      </c>
      <c r="K1195" t="s">
        <v>4051</v>
      </c>
      <c r="L1195">
        <v>4731.97</v>
      </c>
    </row>
    <row r="1196" spans="1:12">
      <c r="A1196" t="s">
        <v>1206</v>
      </c>
      <c r="B1196" s="2">
        <v>45352</v>
      </c>
      <c r="C1196">
        <v>6000</v>
      </c>
      <c r="D1196" t="s">
        <v>2014</v>
      </c>
      <c r="E1196">
        <v>825.81</v>
      </c>
      <c r="F1196">
        <v>0</v>
      </c>
      <c r="G1196" t="s">
        <v>2019</v>
      </c>
      <c r="H1196" t="s">
        <v>2027</v>
      </c>
      <c r="I1196" t="s">
        <v>3222</v>
      </c>
      <c r="J1196" t="s">
        <v>4031</v>
      </c>
      <c r="K1196" t="s">
        <v>4049</v>
      </c>
      <c r="L1196">
        <v>-825.81</v>
      </c>
    </row>
    <row r="1197" spans="1:12">
      <c r="A1197" t="s">
        <v>1207</v>
      </c>
      <c r="B1197" s="2">
        <v>45452</v>
      </c>
      <c r="C1197">
        <v>5010</v>
      </c>
      <c r="D1197" t="s">
        <v>2015</v>
      </c>
      <c r="E1197">
        <v>811.62</v>
      </c>
      <c r="F1197">
        <v>0</v>
      </c>
      <c r="G1197" t="s">
        <v>2018</v>
      </c>
      <c r="H1197" t="s">
        <v>2024</v>
      </c>
      <c r="I1197" t="s">
        <v>3223</v>
      </c>
      <c r="J1197" t="s">
        <v>4032</v>
      </c>
      <c r="K1197" t="s">
        <v>4034</v>
      </c>
      <c r="L1197">
        <v>-811.62</v>
      </c>
    </row>
    <row r="1198" spans="1:12">
      <c r="A1198" t="s">
        <v>1208</v>
      </c>
      <c r="B1198" s="2">
        <v>45435</v>
      </c>
      <c r="C1198">
        <v>6000</v>
      </c>
      <c r="D1198" t="s">
        <v>2014</v>
      </c>
      <c r="E1198">
        <v>1792.82</v>
      </c>
      <c r="F1198">
        <v>0</v>
      </c>
      <c r="G1198" t="s">
        <v>2018</v>
      </c>
      <c r="H1198" t="s">
        <v>2023</v>
      </c>
      <c r="I1198" t="s">
        <v>3224</v>
      </c>
      <c r="J1198" t="s">
        <v>4031</v>
      </c>
      <c r="K1198" t="s">
        <v>4033</v>
      </c>
      <c r="L1198">
        <v>-1792.82</v>
      </c>
    </row>
    <row r="1199" spans="1:12">
      <c r="A1199" t="s">
        <v>1209</v>
      </c>
      <c r="B1199" s="2">
        <v>45565</v>
      </c>
      <c r="C1199">
        <v>4010</v>
      </c>
      <c r="D1199" t="s">
        <v>2016</v>
      </c>
      <c r="E1199">
        <v>0</v>
      </c>
      <c r="F1199">
        <v>2374.8200000000002</v>
      </c>
      <c r="G1199" t="s">
        <v>2018</v>
      </c>
      <c r="H1199" t="s">
        <v>2024</v>
      </c>
      <c r="I1199" t="s">
        <v>3225</v>
      </c>
      <c r="J1199" t="s">
        <v>4031</v>
      </c>
      <c r="K1199" t="s">
        <v>4048</v>
      </c>
      <c r="L1199">
        <v>2374.8200000000002</v>
      </c>
    </row>
    <row r="1200" spans="1:12">
      <c r="A1200" t="s">
        <v>1210</v>
      </c>
      <c r="B1200" s="2">
        <v>45440</v>
      </c>
      <c r="C1200">
        <v>4000</v>
      </c>
      <c r="D1200" t="s">
        <v>2012</v>
      </c>
      <c r="E1200">
        <v>0</v>
      </c>
      <c r="F1200">
        <v>383.06</v>
      </c>
      <c r="G1200" t="s">
        <v>2020</v>
      </c>
      <c r="H1200" t="s">
        <v>2027</v>
      </c>
      <c r="I1200" t="s">
        <v>3226</v>
      </c>
      <c r="J1200" t="s">
        <v>4028</v>
      </c>
      <c r="K1200" t="s">
        <v>4033</v>
      </c>
      <c r="L1200">
        <v>383.06</v>
      </c>
    </row>
    <row r="1201" spans="1:12">
      <c r="A1201" t="s">
        <v>1211</v>
      </c>
      <c r="B1201" s="2">
        <v>45496</v>
      </c>
      <c r="C1201">
        <v>4010</v>
      </c>
      <c r="D1201" t="s">
        <v>2016</v>
      </c>
      <c r="E1201">
        <v>0</v>
      </c>
      <c r="F1201">
        <v>3219.96</v>
      </c>
      <c r="G1201" t="s">
        <v>2021</v>
      </c>
      <c r="H1201" t="s">
        <v>2027</v>
      </c>
      <c r="I1201" t="s">
        <v>3227</v>
      </c>
      <c r="J1201" t="s">
        <v>4029</v>
      </c>
      <c r="K1201" t="s">
        <v>4054</v>
      </c>
      <c r="L1201">
        <v>3219.96</v>
      </c>
    </row>
    <row r="1202" spans="1:12">
      <c r="A1202" t="s">
        <v>1212</v>
      </c>
      <c r="B1202" s="2">
        <v>45004</v>
      </c>
      <c r="C1202">
        <v>4000</v>
      </c>
      <c r="D1202" t="s">
        <v>2012</v>
      </c>
      <c r="E1202">
        <v>0</v>
      </c>
      <c r="F1202">
        <v>1105.3800000000001</v>
      </c>
      <c r="G1202" t="s">
        <v>2017</v>
      </c>
      <c r="H1202" t="s">
        <v>2024</v>
      </c>
      <c r="I1202" t="s">
        <v>3228</v>
      </c>
      <c r="J1202" t="s">
        <v>4030</v>
      </c>
      <c r="K1202" t="s">
        <v>4051</v>
      </c>
      <c r="L1202">
        <v>1105.3800000000001</v>
      </c>
    </row>
    <row r="1203" spans="1:12">
      <c r="A1203" t="s">
        <v>1213</v>
      </c>
      <c r="B1203" s="2">
        <v>45502</v>
      </c>
      <c r="C1203">
        <v>5010</v>
      </c>
      <c r="D1203" t="s">
        <v>2015</v>
      </c>
      <c r="E1203">
        <v>600.28</v>
      </c>
      <c r="F1203">
        <v>0</v>
      </c>
      <c r="G1203" t="s">
        <v>2019</v>
      </c>
      <c r="H1203" t="s">
        <v>2027</v>
      </c>
      <c r="I1203" t="s">
        <v>3229</v>
      </c>
      <c r="J1203" t="s">
        <v>4032</v>
      </c>
      <c r="K1203" t="s">
        <v>4054</v>
      </c>
      <c r="L1203">
        <v>-600.28</v>
      </c>
    </row>
    <row r="1204" spans="1:12">
      <c r="A1204" t="s">
        <v>1214</v>
      </c>
      <c r="B1204" s="2">
        <v>45556</v>
      </c>
      <c r="C1204">
        <v>4010</v>
      </c>
      <c r="D1204" t="s">
        <v>2016</v>
      </c>
      <c r="E1204">
        <v>0</v>
      </c>
      <c r="F1204">
        <v>1634.89</v>
      </c>
      <c r="G1204" t="s">
        <v>2021</v>
      </c>
      <c r="H1204" t="s">
        <v>2027</v>
      </c>
      <c r="I1204" t="s">
        <v>3230</v>
      </c>
      <c r="J1204" t="s">
        <v>4030</v>
      </c>
      <c r="K1204" t="s">
        <v>4048</v>
      </c>
      <c r="L1204">
        <v>1634.89</v>
      </c>
    </row>
    <row r="1205" spans="1:12">
      <c r="A1205" t="s">
        <v>1215</v>
      </c>
      <c r="B1205" s="2">
        <v>45529</v>
      </c>
      <c r="C1205">
        <v>4010</v>
      </c>
      <c r="D1205" t="s">
        <v>2016</v>
      </c>
      <c r="E1205">
        <v>0</v>
      </c>
      <c r="F1205">
        <v>2484.3000000000002</v>
      </c>
      <c r="G1205" t="s">
        <v>2018</v>
      </c>
      <c r="H1205" t="s">
        <v>2023</v>
      </c>
      <c r="I1205" t="s">
        <v>3231</v>
      </c>
      <c r="J1205" t="s">
        <v>4032</v>
      </c>
      <c r="K1205" t="s">
        <v>4058</v>
      </c>
      <c r="L1205">
        <v>2484.3000000000002</v>
      </c>
    </row>
    <row r="1206" spans="1:12">
      <c r="A1206" t="s">
        <v>1216</v>
      </c>
      <c r="B1206" s="2">
        <v>45733</v>
      </c>
      <c r="C1206">
        <v>4000</v>
      </c>
      <c r="D1206" t="s">
        <v>2012</v>
      </c>
      <c r="E1206">
        <v>0</v>
      </c>
      <c r="F1206">
        <v>2824.53</v>
      </c>
      <c r="G1206" t="s">
        <v>2021</v>
      </c>
      <c r="H1206" t="s">
        <v>2023</v>
      </c>
      <c r="I1206" t="s">
        <v>3232</v>
      </c>
      <c r="J1206" t="s">
        <v>4028</v>
      </c>
      <c r="K1206" t="s">
        <v>4046</v>
      </c>
      <c r="L1206">
        <v>2824.53</v>
      </c>
    </row>
    <row r="1207" spans="1:12">
      <c r="A1207" t="s">
        <v>1217</v>
      </c>
      <c r="B1207" s="2">
        <v>45627</v>
      </c>
      <c r="C1207">
        <v>6000</v>
      </c>
      <c r="D1207" t="s">
        <v>2014</v>
      </c>
      <c r="E1207">
        <v>269.73</v>
      </c>
      <c r="F1207">
        <v>0</v>
      </c>
      <c r="G1207" t="s">
        <v>2018</v>
      </c>
      <c r="H1207" t="s">
        <v>2024</v>
      </c>
      <c r="I1207" t="s">
        <v>3233</v>
      </c>
      <c r="J1207" t="s">
        <v>4030</v>
      </c>
      <c r="K1207" t="s">
        <v>4056</v>
      </c>
      <c r="L1207">
        <v>-269.73</v>
      </c>
    </row>
    <row r="1208" spans="1:12">
      <c r="A1208" t="s">
        <v>1218</v>
      </c>
      <c r="B1208" s="2">
        <v>45410</v>
      </c>
      <c r="C1208">
        <v>5010</v>
      </c>
      <c r="D1208" t="s">
        <v>2015</v>
      </c>
      <c r="E1208">
        <v>500.85</v>
      </c>
      <c r="F1208">
        <v>0</v>
      </c>
      <c r="G1208" t="s">
        <v>2020</v>
      </c>
      <c r="H1208" t="s">
        <v>2025</v>
      </c>
      <c r="I1208" t="s">
        <v>3234</v>
      </c>
      <c r="J1208" t="s">
        <v>4031</v>
      </c>
      <c r="K1208" t="s">
        <v>4040</v>
      </c>
      <c r="L1208">
        <v>-500.85</v>
      </c>
    </row>
    <row r="1209" spans="1:12">
      <c r="A1209" t="s">
        <v>1219</v>
      </c>
      <c r="B1209" s="2">
        <v>45220</v>
      </c>
      <c r="C1209">
        <v>4010</v>
      </c>
      <c r="D1209" t="s">
        <v>2016</v>
      </c>
      <c r="E1209">
        <v>0</v>
      </c>
      <c r="F1209">
        <v>2600.9699999999998</v>
      </c>
      <c r="G1209" t="s">
        <v>2019</v>
      </c>
      <c r="H1209" t="s">
        <v>2024</v>
      </c>
      <c r="I1209" t="s">
        <v>3235</v>
      </c>
      <c r="J1209" t="s">
        <v>4028</v>
      </c>
      <c r="K1209" t="s">
        <v>4060</v>
      </c>
      <c r="L1209">
        <v>2600.9699999999998</v>
      </c>
    </row>
    <row r="1210" spans="1:12">
      <c r="A1210" t="s">
        <v>1220</v>
      </c>
      <c r="B1210" s="2">
        <v>45068</v>
      </c>
      <c r="C1210">
        <v>5000</v>
      </c>
      <c r="D1210" t="s">
        <v>2013</v>
      </c>
      <c r="E1210">
        <v>1457.86</v>
      </c>
      <c r="F1210">
        <v>0</v>
      </c>
      <c r="G1210" t="s">
        <v>2017</v>
      </c>
      <c r="H1210" t="s">
        <v>2023</v>
      </c>
      <c r="I1210" t="s">
        <v>3236</v>
      </c>
      <c r="J1210" t="s">
        <v>4028</v>
      </c>
      <c r="K1210" t="s">
        <v>4062</v>
      </c>
      <c r="L1210">
        <v>-1457.86</v>
      </c>
    </row>
    <row r="1211" spans="1:12">
      <c r="A1211" t="s">
        <v>1221</v>
      </c>
      <c r="B1211" s="2">
        <v>45476</v>
      </c>
      <c r="C1211">
        <v>4000</v>
      </c>
      <c r="D1211" t="s">
        <v>2012</v>
      </c>
      <c r="E1211">
        <v>0</v>
      </c>
      <c r="F1211">
        <v>1378.84</v>
      </c>
      <c r="G1211" t="s">
        <v>2021</v>
      </c>
      <c r="H1211" t="s">
        <v>2025</v>
      </c>
      <c r="I1211" t="s">
        <v>3237</v>
      </c>
      <c r="J1211" t="s">
        <v>4030</v>
      </c>
      <c r="K1211" t="s">
        <v>4054</v>
      </c>
      <c r="L1211">
        <v>1378.84</v>
      </c>
    </row>
    <row r="1212" spans="1:12">
      <c r="A1212" t="s">
        <v>1222</v>
      </c>
      <c r="B1212" s="2">
        <v>45561</v>
      </c>
      <c r="C1212">
        <v>5010</v>
      </c>
      <c r="D1212" t="s">
        <v>2015</v>
      </c>
      <c r="E1212">
        <v>1891.86</v>
      </c>
      <c r="F1212">
        <v>0</v>
      </c>
      <c r="G1212" t="s">
        <v>2021</v>
      </c>
      <c r="H1212" t="s">
        <v>2025</v>
      </c>
      <c r="I1212" t="s">
        <v>3238</v>
      </c>
      <c r="J1212" t="s">
        <v>4030</v>
      </c>
      <c r="K1212" t="s">
        <v>4048</v>
      </c>
      <c r="L1212">
        <v>-1891.86</v>
      </c>
    </row>
    <row r="1213" spans="1:12">
      <c r="A1213" t="s">
        <v>1223</v>
      </c>
      <c r="B1213" s="2">
        <v>45143</v>
      </c>
      <c r="C1213">
        <v>4000</v>
      </c>
      <c r="D1213" t="s">
        <v>2012</v>
      </c>
      <c r="E1213">
        <v>0</v>
      </c>
      <c r="F1213">
        <v>1330.12</v>
      </c>
      <c r="G1213" t="s">
        <v>2020</v>
      </c>
      <c r="H1213" t="s">
        <v>2025</v>
      </c>
      <c r="I1213" t="s">
        <v>3239</v>
      </c>
      <c r="J1213" t="s">
        <v>4030</v>
      </c>
      <c r="K1213" t="s">
        <v>4037</v>
      </c>
      <c r="L1213">
        <v>1330.12</v>
      </c>
    </row>
    <row r="1214" spans="1:12">
      <c r="A1214" t="s">
        <v>1224</v>
      </c>
      <c r="B1214" s="2">
        <v>45524</v>
      </c>
      <c r="C1214">
        <v>4010</v>
      </c>
      <c r="D1214" t="s">
        <v>2016</v>
      </c>
      <c r="E1214">
        <v>0</v>
      </c>
      <c r="F1214">
        <v>695.86</v>
      </c>
      <c r="G1214" t="s">
        <v>2019</v>
      </c>
      <c r="H1214" t="s">
        <v>2027</v>
      </c>
      <c r="I1214" t="s">
        <v>3240</v>
      </c>
      <c r="J1214" t="s">
        <v>4030</v>
      </c>
      <c r="K1214" t="s">
        <v>4058</v>
      </c>
      <c r="L1214">
        <v>695.86</v>
      </c>
    </row>
    <row r="1215" spans="1:12">
      <c r="A1215" t="s">
        <v>1225</v>
      </c>
      <c r="B1215" s="2">
        <v>45692</v>
      </c>
      <c r="C1215">
        <v>5010</v>
      </c>
      <c r="D1215" t="s">
        <v>2015</v>
      </c>
      <c r="E1215">
        <v>1628.31</v>
      </c>
      <c r="F1215">
        <v>0</v>
      </c>
      <c r="G1215" t="s">
        <v>2022</v>
      </c>
      <c r="H1215" t="s">
        <v>2026</v>
      </c>
      <c r="I1215" t="s">
        <v>3241</v>
      </c>
      <c r="J1215" t="s">
        <v>4028</v>
      </c>
      <c r="K1215" t="s">
        <v>4061</v>
      </c>
      <c r="L1215">
        <v>-1628.31</v>
      </c>
    </row>
    <row r="1216" spans="1:12">
      <c r="A1216" t="s">
        <v>1226</v>
      </c>
      <c r="B1216" s="2">
        <v>45064</v>
      </c>
      <c r="C1216">
        <v>4000</v>
      </c>
      <c r="D1216" t="s">
        <v>2012</v>
      </c>
      <c r="E1216">
        <v>0</v>
      </c>
      <c r="F1216">
        <v>4939.1400000000003</v>
      </c>
      <c r="G1216" t="s">
        <v>2020</v>
      </c>
      <c r="H1216" t="s">
        <v>2023</v>
      </c>
      <c r="I1216" t="s">
        <v>3242</v>
      </c>
      <c r="J1216" t="s">
        <v>4028</v>
      </c>
      <c r="K1216" t="s">
        <v>4062</v>
      </c>
      <c r="L1216">
        <v>4939.1400000000003</v>
      </c>
    </row>
    <row r="1217" spans="1:12">
      <c r="A1217" t="s">
        <v>1227</v>
      </c>
      <c r="B1217" s="2">
        <v>45066</v>
      </c>
      <c r="C1217">
        <v>5010</v>
      </c>
      <c r="D1217" t="s">
        <v>2015</v>
      </c>
      <c r="E1217">
        <v>1884.45</v>
      </c>
      <c r="F1217">
        <v>0</v>
      </c>
      <c r="G1217" t="s">
        <v>2017</v>
      </c>
      <c r="H1217" t="s">
        <v>2025</v>
      </c>
      <c r="I1217" t="s">
        <v>3243</v>
      </c>
      <c r="J1217" t="s">
        <v>4030</v>
      </c>
      <c r="K1217" t="s">
        <v>4062</v>
      </c>
      <c r="L1217">
        <v>-1884.45</v>
      </c>
    </row>
    <row r="1218" spans="1:12">
      <c r="A1218" t="s">
        <v>1228</v>
      </c>
      <c r="B1218" s="2">
        <v>45515</v>
      </c>
      <c r="C1218">
        <v>4010</v>
      </c>
      <c r="D1218" t="s">
        <v>2016</v>
      </c>
      <c r="E1218">
        <v>0</v>
      </c>
      <c r="F1218">
        <v>2294.84</v>
      </c>
      <c r="G1218" t="s">
        <v>2019</v>
      </c>
      <c r="H1218" t="s">
        <v>2027</v>
      </c>
      <c r="I1218" t="s">
        <v>3244</v>
      </c>
      <c r="J1218" t="s">
        <v>4031</v>
      </c>
      <c r="K1218" t="s">
        <v>4058</v>
      </c>
      <c r="L1218">
        <v>2294.84</v>
      </c>
    </row>
    <row r="1219" spans="1:12">
      <c r="A1219" t="s">
        <v>1229</v>
      </c>
      <c r="B1219" s="2">
        <v>45707</v>
      </c>
      <c r="C1219">
        <v>6000</v>
      </c>
      <c r="D1219" t="s">
        <v>2014</v>
      </c>
      <c r="E1219">
        <v>701.24</v>
      </c>
      <c r="F1219">
        <v>0</v>
      </c>
      <c r="G1219" t="s">
        <v>2017</v>
      </c>
      <c r="H1219" t="s">
        <v>2025</v>
      </c>
      <c r="I1219" t="s">
        <v>3245</v>
      </c>
      <c r="J1219" t="s">
        <v>4031</v>
      </c>
      <c r="K1219" t="s">
        <v>4061</v>
      </c>
      <c r="L1219">
        <v>-701.24</v>
      </c>
    </row>
    <row r="1220" spans="1:12">
      <c r="A1220" t="s">
        <v>1230</v>
      </c>
      <c r="B1220" s="2">
        <v>45297</v>
      </c>
      <c r="C1220">
        <v>4000</v>
      </c>
      <c r="D1220" t="s">
        <v>2012</v>
      </c>
      <c r="E1220">
        <v>0</v>
      </c>
      <c r="F1220">
        <v>1406.7</v>
      </c>
      <c r="G1220" t="s">
        <v>2017</v>
      </c>
      <c r="H1220" t="s">
        <v>2026</v>
      </c>
      <c r="I1220" t="s">
        <v>3246</v>
      </c>
      <c r="J1220" t="s">
        <v>4029</v>
      </c>
      <c r="K1220" t="s">
        <v>4053</v>
      </c>
      <c r="L1220">
        <v>1406.7</v>
      </c>
    </row>
    <row r="1221" spans="1:12">
      <c r="A1221" t="s">
        <v>1231</v>
      </c>
      <c r="B1221" s="2">
        <v>45452</v>
      </c>
      <c r="C1221">
        <v>6000</v>
      </c>
      <c r="D1221" t="s">
        <v>2014</v>
      </c>
      <c r="E1221">
        <v>187.59</v>
      </c>
      <c r="F1221">
        <v>0</v>
      </c>
      <c r="G1221" t="s">
        <v>2019</v>
      </c>
      <c r="H1221" t="s">
        <v>2027</v>
      </c>
      <c r="I1221" t="s">
        <v>3247</v>
      </c>
      <c r="J1221" t="s">
        <v>4029</v>
      </c>
      <c r="K1221" t="s">
        <v>4034</v>
      </c>
      <c r="L1221">
        <v>-187.59</v>
      </c>
    </row>
    <row r="1222" spans="1:12">
      <c r="A1222" t="s">
        <v>1232</v>
      </c>
      <c r="B1222" s="2">
        <v>45091</v>
      </c>
      <c r="C1222">
        <v>4000</v>
      </c>
      <c r="D1222" t="s">
        <v>2012</v>
      </c>
      <c r="E1222">
        <v>0</v>
      </c>
      <c r="F1222">
        <v>1358.12</v>
      </c>
      <c r="G1222" t="s">
        <v>2021</v>
      </c>
      <c r="H1222" t="s">
        <v>2024</v>
      </c>
      <c r="I1222" t="s">
        <v>3248</v>
      </c>
      <c r="J1222" t="s">
        <v>4031</v>
      </c>
      <c r="K1222" t="s">
        <v>4055</v>
      </c>
      <c r="L1222">
        <v>1358.12</v>
      </c>
    </row>
    <row r="1223" spans="1:12">
      <c r="A1223" t="s">
        <v>1233</v>
      </c>
      <c r="B1223" s="2">
        <v>45792</v>
      </c>
      <c r="C1223">
        <v>5000</v>
      </c>
      <c r="D1223" t="s">
        <v>2013</v>
      </c>
      <c r="E1223">
        <v>695.83</v>
      </c>
      <c r="F1223">
        <v>0</v>
      </c>
      <c r="G1223" t="s">
        <v>2022</v>
      </c>
      <c r="H1223" t="s">
        <v>2025</v>
      </c>
      <c r="I1223" t="s">
        <v>3249</v>
      </c>
      <c r="J1223" t="s">
        <v>4032</v>
      </c>
      <c r="K1223" t="s">
        <v>4038</v>
      </c>
      <c r="L1223">
        <v>-695.83</v>
      </c>
    </row>
    <row r="1224" spans="1:12">
      <c r="A1224" t="s">
        <v>1234</v>
      </c>
      <c r="B1224" s="2">
        <v>45527</v>
      </c>
      <c r="C1224">
        <v>5010</v>
      </c>
      <c r="D1224" t="s">
        <v>2015</v>
      </c>
      <c r="E1224">
        <v>200.78</v>
      </c>
      <c r="F1224">
        <v>0</v>
      </c>
      <c r="G1224" t="s">
        <v>2022</v>
      </c>
      <c r="H1224" t="s">
        <v>2025</v>
      </c>
      <c r="I1224" t="s">
        <v>3250</v>
      </c>
      <c r="J1224" t="s">
        <v>4032</v>
      </c>
      <c r="K1224" t="s">
        <v>4058</v>
      </c>
      <c r="L1224">
        <v>-200.78</v>
      </c>
    </row>
    <row r="1225" spans="1:12">
      <c r="A1225" t="s">
        <v>1235</v>
      </c>
      <c r="B1225" s="2">
        <v>45194</v>
      </c>
      <c r="C1225">
        <v>4000</v>
      </c>
      <c r="D1225" t="s">
        <v>2012</v>
      </c>
      <c r="E1225">
        <v>0</v>
      </c>
      <c r="F1225">
        <v>2848.57</v>
      </c>
      <c r="G1225" t="s">
        <v>2020</v>
      </c>
      <c r="H1225" t="s">
        <v>2024</v>
      </c>
      <c r="I1225" t="s">
        <v>3251</v>
      </c>
      <c r="J1225" t="s">
        <v>4030</v>
      </c>
      <c r="K1225" t="s">
        <v>4036</v>
      </c>
      <c r="L1225">
        <v>2848.57</v>
      </c>
    </row>
    <row r="1226" spans="1:12">
      <c r="A1226" t="s">
        <v>1236</v>
      </c>
      <c r="B1226" s="2">
        <v>45069</v>
      </c>
      <c r="C1226">
        <v>5000</v>
      </c>
      <c r="D1226" t="s">
        <v>2013</v>
      </c>
      <c r="E1226">
        <v>185.51</v>
      </c>
      <c r="F1226">
        <v>0</v>
      </c>
      <c r="G1226" t="s">
        <v>2017</v>
      </c>
      <c r="H1226" t="s">
        <v>2025</v>
      </c>
      <c r="I1226" t="s">
        <v>3252</v>
      </c>
      <c r="J1226" t="s">
        <v>4028</v>
      </c>
      <c r="K1226" t="s">
        <v>4062</v>
      </c>
      <c r="L1226">
        <v>-185.51</v>
      </c>
    </row>
    <row r="1227" spans="1:12">
      <c r="A1227" t="s">
        <v>1237</v>
      </c>
      <c r="B1227" s="2">
        <v>45298</v>
      </c>
      <c r="C1227">
        <v>6000</v>
      </c>
      <c r="D1227" t="s">
        <v>2014</v>
      </c>
      <c r="E1227">
        <v>935.9</v>
      </c>
      <c r="F1227">
        <v>0</v>
      </c>
      <c r="G1227" t="s">
        <v>2019</v>
      </c>
      <c r="H1227" t="s">
        <v>2023</v>
      </c>
      <c r="I1227" t="s">
        <v>3253</v>
      </c>
      <c r="J1227" t="s">
        <v>4032</v>
      </c>
      <c r="K1227" t="s">
        <v>4053</v>
      </c>
      <c r="L1227">
        <v>-935.9</v>
      </c>
    </row>
    <row r="1228" spans="1:12">
      <c r="A1228" t="s">
        <v>1238</v>
      </c>
      <c r="B1228" s="2">
        <v>45498</v>
      </c>
      <c r="C1228">
        <v>5000</v>
      </c>
      <c r="D1228" t="s">
        <v>2013</v>
      </c>
      <c r="E1228">
        <v>1358.9</v>
      </c>
      <c r="F1228">
        <v>0</v>
      </c>
      <c r="G1228" t="s">
        <v>2020</v>
      </c>
      <c r="H1228" t="s">
        <v>2024</v>
      </c>
      <c r="I1228" t="s">
        <v>3254</v>
      </c>
      <c r="J1228" t="s">
        <v>4031</v>
      </c>
      <c r="K1228" t="s">
        <v>4054</v>
      </c>
      <c r="L1228">
        <v>-1358.9</v>
      </c>
    </row>
    <row r="1229" spans="1:12">
      <c r="A1229" t="s">
        <v>1239</v>
      </c>
      <c r="B1229" s="2">
        <v>45690</v>
      </c>
      <c r="C1229">
        <v>5000</v>
      </c>
      <c r="D1229" t="s">
        <v>2013</v>
      </c>
      <c r="E1229">
        <v>1242.6500000000001</v>
      </c>
      <c r="F1229">
        <v>0</v>
      </c>
      <c r="G1229" t="s">
        <v>2021</v>
      </c>
      <c r="H1229" t="s">
        <v>2026</v>
      </c>
      <c r="I1229" t="s">
        <v>3255</v>
      </c>
      <c r="J1229" t="s">
        <v>4031</v>
      </c>
      <c r="K1229" t="s">
        <v>4061</v>
      </c>
      <c r="L1229">
        <v>-1242.6500000000001</v>
      </c>
    </row>
    <row r="1230" spans="1:12">
      <c r="A1230" t="s">
        <v>1240</v>
      </c>
      <c r="B1230" s="2">
        <v>45489</v>
      </c>
      <c r="C1230">
        <v>4010</v>
      </c>
      <c r="D1230" t="s">
        <v>2016</v>
      </c>
      <c r="E1230">
        <v>0</v>
      </c>
      <c r="F1230">
        <v>1524.63</v>
      </c>
      <c r="G1230" t="s">
        <v>2022</v>
      </c>
      <c r="H1230" t="s">
        <v>2026</v>
      </c>
      <c r="I1230" t="s">
        <v>3256</v>
      </c>
      <c r="J1230" t="s">
        <v>4032</v>
      </c>
      <c r="K1230" t="s">
        <v>4054</v>
      </c>
      <c r="L1230">
        <v>1524.63</v>
      </c>
    </row>
    <row r="1231" spans="1:12">
      <c r="A1231" t="s">
        <v>1241</v>
      </c>
      <c r="B1231" s="2">
        <v>45735</v>
      </c>
      <c r="C1231">
        <v>4010</v>
      </c>
      <c r="D1231" t="s">
        <v>2016</v>
      </c>
      <c r="E1231">
        <v>0</v>
      </c>
      <c r="F1231">
        <v>1391.91</v>
      </c>
      <c r="G1231" t="s">
        <v>2019</v>
      </c>
      <c r="H1231" t="s">
        <v>2026</v>
      </c>
      <c r="I1231" t="s">
        <v>3257</v>
      </c>
      <c r="J1231" t="s">
        <v>4031</v>
      </c>
      <c r="K1231" t="s">
        <v>4046</v>
      </c>
      <c r="L1231">
        <v>1391.91</v>
      </c>
    </row>
    <row r="1232" spans="1:12">
      <c r="A1232" t="s">
        <v>1242</v>
      </c>
      <c r="B1232" s="2">
        <v>45566</v>
      </c>
      <c r="C1232">
        <v>4000</v>
      </c>
      <c r="D1232" t="s">
        <v>2012</v>
      </c>
      <c r="E1232">
        <v>0</v>
      </c>
      <c r="F1232">
        <v>3506.68</v>
      </c>
      <c r="G1232" t="s">
        <v>2022</v>
      </c>
      <c r="H1232" t="s">
        <v>2026</v>
      </c>
      <c r="I1232" t="s">
        <v>3258</v>
      </c>
      <c r="J1232" t="s">
        <v>4032</v>
      </c>
      <c r="K1232" t="s">
        <v>4059</v>
      </c>
      <c r="L1232">
        <v>3506.68</v>
      </c>
    </row>
    <row r="1233" spans="1:12">
      <c r="A1233" t="s">
        <v>1243</v>
      </c>
      <c r="B1233" s="2">
        <v>45517</v>
      </c>
      <c r="C1233">
        <v>5000</v>
      </c>
      <c r="D1233" t="s">
        <v>2013</v>
      </c>
      <c r="E1233">
        <v>1331.89</v>
      </c>
      <c r="F1233">
        <v>0</v>
      </c>
      <c r="G1233" t="s">
        <v>2021</v>
      </c>
      <c r="H1233" t="s">
        <v>2025</v>
      </c>
      <c r="I1233" t="s">
        <v>3259</v>
      </c>
      <c r="J1233" t="s">
        <v>4028</v>
      </c>
      <c r="K1233" t="s">
        <v>4058</v>
      </c>
      <c r="L1233">
        <v>-1331.89</v>
      </c>
    </row>
    <row r="1234" spans="1:12">
      <c r="A1234" t="s">
        <v>1244</v>
      </c>
      <c r="B1234" s="2">
        <v>45084</v>
      </c>
      <c r="C1234">
        <v>5000</v>
      </c>
      <c r="D1234" t="s">
        <v>2013</v>
      </c>
      <c r="E1234">
        <v>674.31</v>
      </c>
      <c r="F1234">
        <v>0</v>
      </c>
      <c r="G1234" t="s">
        <v>2018</v>
      </c>
      <c r="H1234" t="s">
        <v>2023</v>
      </c>
      <c r="I1234" t="s">
        <v>3260</v>
      </c>
      <c r="J1234" t="s">
        <v>4028</v>
      </c>
      <c r="K1234" t="s">
        <v>4055</v>
      </c>
      <c r="L1234">
        <v>-674.31</v>
      </c>
    </row>
    <row r="1235" spans="1:12">
      <c r="A1235" t="s">
        <v>1245</v>
      </c>
      <c r="B1235" s="2">
        <v>45394</v>
      </c>
      <c r="C1235">
        <v>4000</v>
      </c>
      <c r="D1235" t="s">
        <v>2012</v>
      </c>
      <c r="E1235">
        <v>0</v>
      </c>
      <c r="F1235">
        <v>2570.4299999999998</v>
      </c>
      <c r="G1235" t="s">
        <v>2019</v>
      </c>
      <c r="H1235" t="s">
        <v>2027</v>
      </c>
      <c r="I1235" t="s">
        <v>3261</v>
      </c>
      <c r="J1235" t="s">
        <v>4029</v>
      </c>
      <c r="K1235" t="s">
        <v>4040</v>
      </c>
      <c r="L1235">
        <v>2570.4299999999998</v>
      </c>
    </row>
    <row r="1236" spans="1:12">
      <c r="A1236" t="s">
        <v>1246</v>
      </c>
      <c r="B1236" s="2">
        <v>45733</v>
      </c>
      <c r="C1236">
        <v>4010</v>
      </c>
      <c r="D1236" t="s">
        <v>2016</v>
      </c>
      <c r="E1236">
        <v>0</v>
      </c>
      <c r="F1236">
        <v>1312.61</v>
      </c>
      <c r="G1236" t="s">
        <v>2022</v>
      </c>
      <c r="H1236" t="s">
        <v>2026</v>
      </c>
      <c r="I1236" t="s">
        <v>3262</v>
      </c>
      <c r="J1236" t="s">
        <v>4032</v>
      </c>
      <c r="K1236" t="s">
        <v>4046</v>
      </c>
      <c r="L1236">
        <v>1312.61</v>
      </c>
    </row>
    <row r="1237" spans="1:12">
      <c r="A1237" t="s">
        <v>1247</v>
      </c>
      <c r="B1237" s="2">
        <v>45317</v>
      </c>
      <c r="C1237">
        <v>5000</v>
      </c>
      <c r="D1237" t="s">
        <v>2013</v>
      </c>
      <c r="E1237">
        <v>1101.82</v>
      </c>
      <c r="F1237">
        <v>0</v>
      </c>
      <c r="G1237" t="s">
        <v>2018</v>
      </c>
      <c r="H1237" t="s">
        <v>2024</v>
      </c>
      <c r="I1237" t="s">
        <v>3263</v>
      </c>
      <c r="J1237" t="s">
        <v>4028</v>
      </c>
      <c r="K1237" t="s">
        <v>4053</v>
      </c>
      <c r="L1237">
        <v>-1101.82</v>
      </c>
    </row>
    <row r="1238" spans="1:12">
      <c r="A1238" t="s">
        <v>1248</v>
      </c>
      <c r="B1238" s="2">
        <v>45458</v>
      </c>
      <c r="C1238">
        <v>4000</v>
      </c>
      <c r="D1238" t="s">
        <v>2012</v>
      </c>
      <c r="E1238">
        <v>0</v>
      </c>
      <c r="F1238">
        <v>143.81</v>
      </c>
      <c r="G1238" t="s">
        <v>2022</v>
      </c>
      <c r="H1238" t="s">
        <v>2025</v>
      </c>
      <c r="I1238" t="s">
        <v>3264</v>
      </c>
      <c r="J1238" t="s">
        <v>4032</v>
      </c>
      <c r="K1238" t="s">
        <v>4034</v>
      </c>
      <c r="L1238">
        <v>143.81</v>
      </c>
    </row>
    <row r="1239" spans="1:12">
      <c r="A1239" t="s">
        <v>1249</v>
      </c>
      <c r="B1239" s="2">
        <v>45610</v>
      </c>
      <c r="C1239">
        <v>4000</v>
      </c>
      <c r="D1239" t="s">
        <v>2012</v>
      </c>
      <c r="E1239">
        <v>0</v>
      </c>
      <c r="F1239">
        <v>838.04</v>
      </c>
      <c r="G1239" t="s">
        <v>2018</v>
      </c>
      <c r="H1239" t="s">
        <v>2023</v>
      </c>
      <c r="I1239" t="s">
        <v>3265</v>
      </c>
      <c r="J1239" t="s">
        <v>4030</v>
      </c>
      <c r="K1239" t="s">
        <v>4043</v>
      </c>
      <c r="L1239">
        <v>838.04</v>
      </c>
    </row>
    <row r="1240" spans="1:12">
      <c r="A1240" t="s">
        <v>1250</v>
      </c>
      <c r="B1240" s="2">
        <v>45356</v>
      </c>
      <c r="C1240">
        <v>6000</v>
      </c>
      <c r="D1240" t="s">
        <v>2014</v>
      </c>
      <c r="E1240">
        <v>1626.01</v>
      </c>
      <c r="F1240">
        <v>0</v>
      </c>
      <c r="G1240" t="s">
        <v>2019</v>
      </c>
      <c r="H1240" t="s">
        <v>2027</v>
      </c>
      <c r="I1240" t="s">
        <v>3266</v>
      </c>
      <c r="J1240" t="s">
        <v>4032</v>
      </c>
      <c r="K1240" t="s">
        <v>4049</v>
      </c>
      <c r="L1240">
        <v>-1626.01</v>
      </c>
    </row>
    <row r="1241" spans="1:12">
      <c r="A1241" t="s">
        <v>1251</v>
      </c>
      <c r="B1241" s="2">
        <v>45197</v>
      </c>
      <c r="C1241">
        <v>5000</v>
      </c>
      <c r="D1241" t="s">
        <v>2013</v>
      </c>
      <c r="E1241">
        <v>1394.34</v>
      </c>
      <c r="F1241">
        <v>0</v>
      </c>
      <c r="G1241" t="s">
        <v>2019</v>
      </c>
      <c r="H1241" t="s">
        <v>2026</v>
      </c>
      <c r="I1241" t="s">
        <v>3267</v>
      </c>
      <c r="J1241" t="s">
        <v>4029</v>
      </c>
      <c r="K1241" t="s">
        <v>4036</v>
      </c>
      <c r="L1241">
        <v>-1394.34</v>
      </c>
    </row>
    <row r="1242" spans="1:12">
      <c r="A1242" t="s">
        <v>1252</v>
      </c>
      <c r="B1242" s="2">
        <v>45789</v>
      </c>
      <c r="C1242">
        <v>4010</v>
      </c>
      <c r="D1242" t="s">
        <v>2016</v>
      </c>
      <c r="E1242">
        <v>0</v>
      </c>
      <c r="F1242">
        <v>1022.63</v>
      </c>
      <c r="G1242" t="s">
        <v>2017</v>
      </c>
      <c r="H1242" t="s">
        <v>2027</v>
      </c>
      <c r="I1242" t="s">
        <v>3268</v>
      </c>
      <c r="J1242" t="s">
        <v>4032</v>
      </c>
      <c r="K1242" t="s">
        <v>4038</v>
      </c>
      <c r="L1242">
        <v>1022.63</v>
      </c>
    </row>
    <row r="1243" spans="1:12">
      <c r="A1243" t="s">
        <v>1253</v>
      </c>
      <c r="B1243" s="2">
        <v>45031</v>
      </c>
      <c r="C1243">
        <v>5010</v>
      </c>
      <c r="D1243" t="s">
        <v>2015</v>
      </c>
      <c r="E1243">
        <v>1757.53</v>
      </c>
      <c r="F1243">
        <v>0</v>
      </c>
      <c r="G1243" t="s">
        <v>2022</v>
      </c>
      <c r="H1243" t="s">
        <v>2027</v>
      </c>
      <c r="I1243" t="s">
        <v>3269</v>
      </c>
      <c r="J1243" t="s">
        <v>4028</v>
      </c>
      <c r="K1243" t="s">
        <v>4041</v>
      </c>
      <c r="L1243">
        <v>-1757.53</v>
      </c>
    </row>
    <row r="1244" spans="1:12">
      <c r="A1244" t="s">
        <v>1254</v>
      </c>
      <c r="B1244" s="2">
        <v>45797</v>
      </c>
      <c r="C1244">
        <v>4000</v>
      </c>
      <c r="D1244" t="s">
        <v>2012</v>
      </c>
      <c r="E1244">
        <v>0</v>
      </c>
      <c r="F1244">
        <v>1866.82</v>
      </c>
      <c r="G1244" t="s">
        <v>2019</v>
      </c>
      <c r="H1244" t="s">
        <v>2023</v>
      </c>
      <c r="I1244" t="s">
        <v>3270</v>
      </c>
      <c r="J1244" t="s">
        <v>4030</v>
      </c>
      <c r="K1244" t="s">
        <v>4038</v>
      </c>
      <c r="L1244">
        <v>1866.82</v>
      </c>
    </row>
    <row r="1245" spans="1:12">
      <c r="A1245" t="s">
        <v>1255</v>
      </c>
      <c r="B1245" s="2">
        <v>45767</v>
      </c>
      <c r="C1245">
        <v>6000</v>
      </c>
      <c r="D1245" t="s">
        <v>2014</v>
      </c>
      <c r="E1245">
        <v>1791.42</v>
      </c>
      <c r="F1245">
        <v>0</v>
      </c>
      <c r="G1245" t="s">
        <v>2020</v>
      </c>
      <c r="H1245" t="s">
        <v>2027</v>
      </c>
      <c r="I1245" t="s">
        <v>3271</v>
      </c>
      <c r="J1245" t="s">
        <v>4029</v>
      </c>
      <c r="K1245" t="s">
        <v>4045</v>
      </c>
      <c r="L1245">
        <v>-1791.42</v>
      </c>
    </row>
    <row r="1246" spans="1:12">
      <c r="A1246" t="s">
        <v>1256</v>
      </c>
      <c r="B1246" s="2">
        <v>45476</v>
      </c>
      <c r="C1246">
        <v>6000</v>
      </c>
      <c r="D1246" t="s">
        <v>2014</v>
      </c>
      <c r="E1246">
        <v>1809.92</v>
      </c>
      <c r="F1246">
        <v>0</v>
      </c>
      <c r="G1246" t="s">
        <v>2018</v>
      </c>
      <c r="H1246" t="s">
        <v>2027</v>
      </c>
      <c r="I1246" t="s">
        <v>3272</v>
      </c>
      <c r="J1246" t="s">
        <v>4029</v>
      </c>
      <c r="K1246" t="s">
        <v>4054</v>
      </c>
      <c r="L1246">
        <v>-1809.92</v>
      </c>
    </row>
    <row r="1247" spans="1:12">
      <c r="A1247" t="s">
        <v>1257</v>
      </c>
      <c r="B1247" s="2">
        <v>45802</v>
      </c>
      <c r="C1247">
        <v>4010</v>
      </c>
      <c r="D1247" t="s">
        <v>2016</v>
      </c>
      <c r="E1247">
        <v>0</v>
      </c>
      <c r="F1247">
        <v>212.06</v>
      </c>
      <c r="G1247" t="s">
        <v>2017</v>
      </c>
      <c r="H1247" t="s">
        <v>2023</v>
      </c>
      <c r="I1247" t="s">
        <v>3273</v>
      </c>
      <c r="J1247" t="s">
        <v>4030</v>
      </c>
      <c r="K1247" t="s">
        <v>4038</v>
      </c>
      <c r="L1247">
        <v>212.06</v>
      </c>
    </row>
    <row r="1248" spans="1:12">
      <c r="A1248" t="s">
        <v>1258</v>
      </c>
      <c r="B1248" s="2">
        <v>45281</v>
      </c>
      <c r="C1248">
        <v>6000</v>
      </c>
      <c r="D1248" t="s">
        <v>2014</v>
      </c>
      <c r="E1248">
        <v>227.05</v>
      </c>
      <c r="F1248">
        <v>0</v>
      </c>
      <c r="G1248" t="s">
        <v>2018</v>
      </c>
      <c r="H1248" t="s">
        <v>2026</v>
      </c>
      <c r="I1248" t="s">
        <v>3274</v>
      </c>
      <c r="J1248" t="s">
        <v>4030</v>
      </c>
      <c r="K1248" t="s">
        <v>4039</v>
      </c>
      <c r="L1248">
        <v>-227.05</v>
      </c>
    </row>
    <row r="1249" spans="1:12">
      <c r="A1249" t="s">
        <v>1259</v>
      </c>
      <c r="B1249" s="2">
        <v>45424</v>
      </c>
      <c r="C1249">
        <v>4000</v>
      </c>
      <c r="D1249" t="s">
        <v>2012</v>
      </c>
      <c r="E1249">
        <v>0</v>
      </c>
      <c r="F1249">
        <v>3603.35</v>
      </c>
      <c r="G1249" t="s">
        <v>2017</v>
      </c>
      <c r="H1249" t="s">
        <v>2025</v>
      </c>
      <c r="I1249" t="s">
        <v>3275</v>
      </c>
      <c r="J1249" t="s">
        <v>4028</v>
      </c>
      <c r="K1249" t="s">
        <v>4033</v>
      </c>
      <c r="L1249">
        <v>3603.35</v>
      </c>
    </row>
    <row r="1250" spans="1:12">
      <c r="A1250" t="s">
        <v>1260</v>
      </c>
      <c r="B1250" s="2">
        <v>45411</v>
      </c>
      <c r="C1250">
        <v>5000</v>
      </c>
      <c r="D1250" t="s">
        <v>2013</v>
      </c>
      <c r="E1250">
        <v>185.67</v>
      </c>
      <c r="F1250">
        <v>0</v>
      </c>
      <c r="G1250" t="s">
        <v>2021</v>
      </c>
      <c r="H1250" t="s">
        <v>2024</v>
      </c>
      <c r="I1250" t="s">
        <v>3276</v>
      </c>
      <c r="J1250" t="s">
        <v>4029</v>
      </c>
      <c r="K1250" t="s">
        <v>4040</v>
      </c>
      <c r="L1250">
        <v>-185.67</v>
      </c>
    </row>
    <row r="1251" spans="1:12">
      <c r="A1251" t="s">
        <v>1261</v>
      </c>
      <c r="B1251" s="2">
        <v>45449</v>
      </c>
      <c r="C1251">
        <v>4010</v>
      </c>
      <c r="D1251" t="s">
        <v>2016</v>
      </c>
      <c r="E1251">
        <v>0</v>
      </c>
      <c r="F1251">
        <v>4699.12</v>
      </c>
      <c r="G1251" t="s">
        <v>2020</v>
      </c>
      <c r="H1251" t="s">
        <v>2026</v>
      </c>
      <c r="I1251" t="s">
        <v>3277</v>
      </c>
      <c r="J1251" t="s">
        <v>4029</v>
      </c>
      <c r="K1251" t="s">
        <v>4034</v>
      </c>
      <c r="L1251">
        <v>4699.12</v>
      </c>
    </row>
    <row r="1252" spans="1:12">
      <c r="A1252" t="s">
        <v>1262</v>
      </c>
      <c r="B1252" s="2">
        <v>45412</v>
      </c>
      <c r="C1252">
        <v>5010</v>
      </c>
      <c r="D1252" t="s">
        <v>2015</v>
      </c>
      <c r="E1252">
        <v>1352.97</v>
      </c>
      <c r="F1252">
        <v>0</v>
      </c>
      <c r="G1252" t="s">
        <v>2020</v>
      </c>
      <c r="H1252" t="s">
        <v>2023</v>
      </c>
      <c r="I1252" t="s">
        <v>3278</v>
      </c>
      <c r="J1252" t="s">
        <v>4032</v>
      </c>
      <c r="K1252" t="s">
        <v>4040</v>
      </c>
      <c r="L1252">
        <v>-1352.97</v>
      </c>
    </row>
    <row r="1253" spans="1:12">
      <c r="A1253" t="s">
        <v>1263</v>
      </c>
      <c r="B1253" s="2">
        <v>45598</v>
      </c>
      <c r="C1253">
        <v>5000</v>
      </c>
      <c r="D1253" t="s">
        <v>2013</v>
      </c>
      <c r="E1253">
        <v>936.7</v>
      </c>
      <c r="F1253">
        <v>0</v>
      </c>
      <c r="G1253" t="s">
        <v>2021</v>
      </c>
      <c r="H1253" t="s">
        <v>2027</v>
      </c>
      <c r="I1253" t="s">
        <v>3279</v>
      </c>
      <c r="J1253" t="s">
        <v>4032</v>
      </c>
      <c r="K1253" t="s">
        <v>4043</v>
      </c>
      <c r="L1253">
        <v>-936.7</v>
      </c>
    </row>
    <row r="1254" spans="1:12">
      <c r="A1254" t="s">
        <v>1264</v>
      </c>
      <c r="B1254" s="2">
        <v>45483</v>
      </c>
      <c r="C1254">
        <v>4000</v>
      </c>
      <c r="D1254" t="s">
        <v>2012</v>
      </c>
      <c r="E1254">
        <v>0</v>
      </c>
      <c r="F1254">
        <v>3050.31</v>
      </c>
      <c r="G1254" t="s">
        <v>2021</v>
      </c>
      <c r="H1254" t="s">
        <v>2025</v>
      </c>
      <c r="I1254" t="s">
        <v>3280</v>
      </c>
      <c r="J1254" t="s">
        <v>4030</v>
      </c>
      <c r="K1254" t="s">
        <v>4054</v>
      </c>
      <c r="L1254">
        <v>3050.31</v>
      </c>
    </row>
    <row r="1255" spans="1:12">
      <c r="A1255" t="s">
        <v>1265</v>
      </c>
      <c r="B1255" s="2">
        <v>45395</v>
      </c>
      <c r="C1255">
        <v>6000</v>
      </c>
      <c r="D1255" t="s">
        <v>2014</v>
      </c>
      <c r="E1255">
        <v>574.09</v>
      </c>
      <c r="F1255">
        <v>0</v>
      </c>
      <c r="G1255" t="s">
        <v>2020</v>
      </c>
      <c r="H1255" t="s">
        <v>2026</v>
      </c>
      <c r="I1255" t="s">
        <v>3281</v>
      </c>
      <c r="J1255" t="s">
        <v>4029</v>
      </c>
      <c r="K1255" t="s">
        <v>4040</v>
      </c>
      <c r="L1255">
        <v>-574.09</v>
      </c>
    </row>
    <row r="1256" spans="1:12">
      <c r="A1256" t="s">
        <v>1266</v>
      </c>
      <c r="B1256" s="2">
        <v>45096</v>
      </c>
      <c r="C1256">
        <v>4000</v>
      </c>
      <c r="D1256" t="s">
        <v>2012</v>
      </c>
      <c r="E1256">
        <v>0</v>
      </c>
      <c r="F1256">
        <v>3214.18</v>
      </c>
      <c r="G1256" t="s">
        <v>2021</v>
      </c>
      <c r="H1256" t="s">
        <v>2027</v>
      </c>
      <c r="I1256" t="s">
        <v>3282</v>
      </c>
      <c r="J1256" t="s">
        <v>4028</v>
      </c>
      <c r="K1256" t="s">
        <v>4055</v>
      </c>
      <c r="L1256">
        <v>3214.18</v>
      </c>
    </row>
    <row r="1257" spans="1:12">
      <c r="A1257" t="s">
        <v>1267</v>
      </c>
      <c r="B1257" s="2">
        <v>45054</v>
      </c>
      <c r="C1257">
        <v>5010</v>
      </c>
      <c r="D1257" t="s">
        <v>2015</v>
      </c>
      <c r="E1257">
        <v>1415.06</v>
      </c>
      <c r="F1257">
        <v>0</v>
      </c>
      <c r="G1257" t="s">
        <v>2022</v>
      </c>
      <c r="H1257" t="s">
        <v>2023</v>
      </c>
      <c r="I1257" t="s">
        <v>3283</v>
      </c>
      <c r="J1257" t="s">
        <v>4030</v>
      </c>
      <c r="K1257" t="s">
        <v>4062</v>
      </c>
      <c r="L1257">
        <v>-1415.06</v>
      </c>
    </row>
    <row r="1258" spans="1:12">
      <c r="A1258" t="s">
        <v>1268</v>
      </c>
      <c r="B1258" s="2">
        <v>45253</v>
      </c>
      <c r="C1258">
        <v>4000</v>
      </c>
      <c r="D1258" t="s">
        <v>2012</v>
      </c>
      <c r="E1258">
        <v>0</v>
      </c>
      <c r="F1258">
        <v>3142.85</v>
      </c>
      <c r="G1258" t="s">
        <v>2020</v>
      </c>
      <c r="H1258" t="s">
        <v>2027</v>
      </c>
      <c r="I1258" t="s">
        <v>3284</v>
      </c>
      <c r="J1258" t="s">
        <v>4029</v>
      </c>
      <c r="K1258" t="s">
        <v>4042</v>
      </c>
      <c r="L1258">
        <v>3142.85</v>
      </c>
    </row>
    <row r="1259" spans="1:12">
      <c r="A1259" t="s">
        <v>1269</v>
      </c>
      <c r="B1259" s="2">
        <v>45050</v>
      </c>
      <c r="C1259">
        <v>6000</v>
      </c>
      <c r="D1259" t="s">
        <v>2014</v>
      </c>
      <c r="E1259">
        <v>981.35</v>
      </c>
      <c r="F1259">
        <v>0</v>
      </c>
      <c r="G1259" t="s">
        <v>2020</v>
      </c>
      <c r="H1259" t="s">
        <v>2026</v>
      </c>
      <c r="I1259" t="s">
        <v>3285</v>
      </c>
      <c r="J1259" t="s">
        <v>4032</v>
      </c>
      <c r="K1259" t="s">
        <v>4062</v>
      </c>
      <c r="L1259">
        <v>-981.35</v>
      </c>
    </row>
    <row r="1260" spans="1:12">
      <c r="A1260" t="s">
        <v>1270</v>
      </c>
      <c r="B1260" s="2">
        <v>45781</v>
      </c>
      <c r="C1260">
        <v>4000</v>
      </c>
      <c r="D1260" t="s">
        <v>2012</v>
      </c>
      <c r="E1260">
        <v>0</v>
      </c>
      <c r="F1260">
        <v>2967.52</v>
      </c>
      <c r="G1260" t="s">
        <v>2017</v>
      </c>
      <c r="H1260" t="s">
        <v>2026</v>
      </c>
      <c r="I1260" t="s">
        <v>3286</v>
      </c>
      <c r="J1260" t="s">
        <v>4030</v>
      </c>
      <c r="K1260" t="s">
        <v>4038</v>
      </c>
      <c r="L1260">
        <v>2967.52</v>
      </c>
    </row>
    <row r="1261" spans="1:12">
      <c r="A1261" t="s">
        <v>1271</v>
      </c>
      <c r="B1261" s="2">
        <v>45745</v>
      </c>
      <c r="C1261">
        <v>4000</v>
      </c>
      <c r="D1261" t="s">
        <v>2012</v>
      </c>
      <c r="E1261">
        <v>0</v>
      </c>
      <c r="F1261">
        <v>3250.84</v>
      </c>
      <c r="G1261" t="s">
        <v>2022</v>
      </c>
      <c r="H1261" t="s">
        <v>2023</v>
      </c>
      <c r="I1261" t="s">
        <v>3287</v>
      </c>
      <c r="J1261" t="s">
        <v>4028</v>
      </c>
      <c r="K1261" t="s">
        <v>4046</v>
      </c>
      <c r="L1261">
        <v>3250.84</v>
      </c>
    </row>
    <row r="1262" spans="1:12">
      <c r="A1262" t="s">
        <v>1272</v>
      </c>
      <c r="B1262" s="2">
        <v>45338</v>
      </c>
      <c r="C1262">
        <v>4000</v>
      </c>
      <c r="D1262" t="s">
        <v>2012</v>
      </c>
      <c r="E1262">
        <v>0</v>
      </c>
      <c r="F1262">
        <v>2026.45</v>
      </c>
      <c r="G1262" t="s">
        <v>2017</v>
      </c>
      <c r="H1262" t="s">
        <v>2025</v>
      </c>
      <c r="I1262" t="s">
        <v>3288</v>
      </c>
      <c r="J1262" t="s">
        <v>4029</v>
      </c>
      <c r="K1262" t="s">
        <v>4044</v>
      </c>
      <c r="L1262">
        <v>2026.45</v>
      </c>
    </row>
    <row r="1263" spans="1:12">
      <c r="A1263" t="s">
        <v>1273</v>
      </c>
      <c r="B1263" s="2">
        <v>44928</v>
      </c>
      <c r="C1263">
        <v>5010</v>
      </c>
      <c r="D1263" t="s">
        <v>2015</v>
      </c>
      <c r="E1263">
        <v>1199.5999999999999</v>
      </c>
      <c r="F1263">
        <v>0</v>
      </c>
      <c r="G1263" t="s">
        <v>2019</v>
      </c>
      <c r="H1263" t="s">
        <v>2025</v>
      </c>
      <c r="I1263" t="s">
        <v>3289</v>
      </c>
      <c r="J1263" t="s">
        <v>4029</v>
      </c>
      <c r="K1263" t="s">
        <v>4047</v>
      </c>
      <c r="L1263">
        <v>-1199.5999999999999</v>
      </c>
    </row>
    <row r="1264" spans="1:12">
      <c r="A1264" t="s">
        <v>1274</v>
      </c>
      <c r="B1264" s="2">
        <v>44953</v>
      </c>
      <c r="C1264">
        <v>5000</v>
      </c>
      <c r="D1264" t="s">
        <v>2013</v>
      </c>
      <c r="E1264">
        <v>816.81</v>
      </c>
      <c r="F1264">
        <v>0</v>
      </c>
      <c r="G1264" t="s">
        <v>2018</v>
      </c>
      <c r="H1264" t="s">
        <v>2024</v>
      </c>
      <c r="I1264" t="s">
        <v>3290</v>
      </c>
      <c r="J1264" t="s">
        <v>4029</v>
      </c>
      <c r="K1264" t="s">
        <v>4047</v>
      </c>
      <c r="L1264">
        <v>-816.81</v>
      </c>
    </row>
    <row r="1265" spans="1:12">
      <c r="A1265" t="s">
        <v>1275</v>
      </c>
      <c r="B1265" s="2">
        <v>45643</v>
      </c>
      <c r="C1265">
        <v>4000</v>
      </c>
      <c r="D1265" t="s">
        <v>2012</v>
      </c>
      <c r="E1265">
        <v>0</v>
      </c>
      <c r="F1265">
        <v>4074.11</v>
      </c>
      <c r="G1265" t="s">
        <v>2018</v>
      </c>
      <c r="H1265" t="s">
        <v>2025</v>
      </c>
      <c r="I1265" t="s">
        <v>3291</v>
      </c>
      <c r="J1265" t="s">
        <v>4032</v>
      </c>
      <c r="K1265" t="s">
        <v>4056</v>
      </c>
      <c r="L1265">
        <v>4074.11</v>
      </c>
    </row>
    <row r="1266" spans="1:12">
      <c r="A1266" t="s">
        <v>1276</v>
      </c>
      <c r="B1266" s="2">
        <v>45785</v>
      </c>
      <c r="C1266">
        <v>4000</v>
      </c>
      <c r="D1266" t="s">
        <v>2012</v>
      </c>
      <c r="E1266">
        <v>0</v>
      </c>
      <c r="F1266">
        <v>720.36</v>
      </c>
      <c r="G1266" t="s">
        <v>2022</v>
      </c>
      <c r="H1266" t="s">
        <v>2025</v>
      </c>
      <c r="I1266" t="s">
        <v>3292</v>
      </c>
      <c r="J1266" t="s">
        <v>4032</v>
      </c>
      <c r="K1266" t="s">
        <v>4038</v>
      </c>
      <c r="L1266">
        <v>720.36</v>
      </c>
    </row>
    <row r="1267" spans="1:12">
      <c r="A1267" t="s">
        <v>1277</v>
      </c>
      <c r="B1267" s="2">
        <v>45708</v>
      </c>
      <c r="C1267">
        <v>5010</v>
      </c>
      <c r="D1267" t="s">
        <v>2015</v>
      </c>
      <c r="E1267">
        <v>1279.52</v>
      </c>
      <c r="F1267">
        <v>0</v>
      </c>
      <c r="G1267" t="s">
        <v>2019</v>
      </c>
      <c r="H1267" t="s">
        <v>2025</v>
      </c>
      <c r="I1267" t="s">
        <v>3293</v>
      </c>
      <c r="J1267" t="s">
        <v>4032</v>
      </c>
      <c r="K1267" t="s">
        <v>4061</v>
      </c>
      <c r="L1267">
        <v>-1279.52</v>
      </c>
    </row>
    <row r="1268" spans="1:12">
      <c r="A1268" t="s">
        <v>1278</v>
      </c>
      <c r="B1268" s="2">
        <v>45492</v>
      </c>
      <c r="C1268">
        <v>5000</v>
      </c>
      <c r="D1268" t="s">
        <v>2013</v>
      </c>
      <c r="E1268">
        <v>1249.06</v>
      </c>
      <c r="F1268">
        <v>0</v>
      </c>
      <c r="G1268" t="s">
        <v>2018</v>
      </c>
      <c r="H1268" t="s">
        <v>2026</v>
      </c>
      <c r="I1268" t="s">
        <v>3294</v>
      </c>
      <c r="J1268" t="s">
        <v>4032</v>
      </c>
      <c r="K1268" t="s">
        <v>4054</v>
      </c>
      <c r="L1268">
        <v>-1249.06</v>
      </c>
    </row>
    <row r="1269" spans="1:12">
      <c r="A1269" t="s">
        <v>1279</v>
      </c>
      <c r="B1269" s="2">
        <v>45725</v>
      </c>
      <c r="C1269">
        <v>4010</v>
      </c>
      <c r="D1269" t="s">
        <v>2016</v>
      </c>
      <c r="E1269">
        <v>0</v>
      </c>
      <c r="F1269">
        <v>4456.47</v>
      </c>
      <c r="G1269" t="s">
        <v>2017</v>
      </c>
      <c r="H1269" t="s">
        <v>2025</v>
      </c>
      <c r="I1269" t="s">
        <v>3295</v>
      </c>
      <c r="J1269" t="s">
        <v>4029</v>
      </c>
      <c r="K1269" t="s">
        <v>4046</v>
      </c>
      <c r="L1269">
        <v>4456.47</v>
      </c>
    </row>
    <row r="1270" spans="1:12">
      <c r="A1270" t="s">
        <v>1280</v>
      </c>
      <c r="B1270" s="2">
        <v>45813</v>
      </c>
      <c r="C1270">
        <v>4000</v>
      </c>
      <c r="D1270" t="s">
        <v>2012</v>
      </c>
      <c r="E1270">
        <v>0</v>
      </c>
      <c r="F1270">
        <v>3830.15</v>
      </c>
      <c r="G1270" t="s">
        <v>2017</v>
      </c>
      <c r="H1270" t="s">
        <v>2024</v>
      </c>
      <c r="I1270" t="s">
        <v>3296</v>
      </c>
      <c r="J1270" t="s">
        <v>4028</v>
      </c>
      <c r="K1270" t="s">
        <v>4052</v>
      </c>
      <c r="L1270">
        <v>3830.15</v>
      </c>
    </row>
    <row r="1271" spans="1:12">
      <c r="A1271" t="s">
        <v>1281</v>
      </c>
      <c r="B1271" s="2">
        <v>45147</v>
      </c>
      <c r="C1271">
        <v>4010</v>
      </c>
      <c r="D1271" t="s">
        <v>2016</v>
      </c>
      <c r="E1271">
        <v>0</v>
      </c>
      <c r="F1271">
        <v>4835.12</v>
      </c>
      <c r="G1271" t="s">
        <v>2022</v>
      </c>
      <c r="H1271" t="s">
        <v>2025</v>
      </c>
      <c r="I1271" t="s">
        <v>3297</v>
      </c>
      <c r="J1271" t="s">
        <v>4030</v>
      </c>
      <c r="K1271" t="s">
        <v>4037</v>
      </c>
      <c r="L1271">
        <v>4835.12</v>
      </c>
    </row>
    <row r="1272" spans="1:12">
      <c r="A1272" t="s">
        <v>1282</v>
      </c>
      <c r="B1272" s="2">
        <v>45517</v>
      </c>
      <c r="C1272">
        <v>5000</v>
      </c>
      <c r="D1272" t="s">
        <v>2013</v>
      </c>
      <c r="E1272">
        <v>1165.1300000000001</v>
      </c>
      <c r="F1272">
        <v>0</v>
      </c>
      <c r="G1272" t="s">
        <v>2019</v>
      </c>
      <c r="H1272" t="s">
        <v>2024</v>
      </c>
      <c r="I1272" t="s">
        <v>3298</v>
      </c>
      <c r="J1272" t="s">
        <v>4030</v>
      </c>
      <c r="K1272" t="s">
        <v>4058</v>
      </c>
      <c r="L1272">
        <v>-1165.1300000000001</v>
      </c>
    </row>
    <row r="1273" spans="1:12">
      <c r="A1273" t="s">
        <v>1283</v>
      </c>
      <c r="B1273" s="2">
        <v>45547</v>
      </c>
      <c r="C1273">
        <v>4000</v>
      </c>
      <c r="D1273" t="s">
        <v>2012</v>
      </c>
      <c r="E1273">
        <v>0</v>
      </c>
      <c r="F1273">
        <v>112.08</v>
      </c>
      <c r="G1273" t="s">
        <v>2018</v>
      </c>
      <c r="H1273" t="s">
        <v>2027</v>
      </c>
      <c r="I1273" t="s">
        <v>3299</v>
      </c>
      <c r="J1273" t="s">
        <v>4031</v>
      </c>
      <c r="K1273" t="s">
        <v>4048</v>
      </c>
      <c r="L1273">
        <v>112.08</v>
      </c>
    </row>
    <row r="1274" spans="1:12">
      <c r="A1274" t="s">
        <v>1284</v>
      </c>
      <c r="B1274" s="2">
        <v>45126</v>
      </c>
      <c r="C1274">
        <v>4010</v>
      </c>
      <c r="D1274" t="s">
        <v>2016</v>
      </c>
      <c r="E1274">
        <v>0</v>
      </c>
      <c r="F1274">
        <v>3589.18</v>
      </c>
      <c r="G1274" t="s">
        <v>2021</v>
      </c>
      <c r="H1274" t="s">
        <v>2024</v>
      </c>
      <c r="I1274" t="s">
        <v>3300</v>
      </c>
      <c r="J1274" t="s">
        <v>4030</v>
      </c>
      <c r="K1274" t="s">
        <v>4050</v>
      </c>
      <c r="L1274">
        <v>3589.18</v>
      </c>
    </row>
    <row r="1275" spans="1:12">
      <c r="A1275" t="s">
        <v>1285</v>
      </c>
      <c r="B1275" s="2">
        <v>45784</v>
      </c>
      <c r="C1275">
        <v>4000</v>
      </c>
      <c r="D1275" t="s">
        <v>2012</v>
      </c>
      <c r="E1275">
        <v>0</v>
      </c>
      <c r="F1275">
        <v>1841.13</v>
      </c>
      <c r="G1275" t="s">
        <v>2021</v>
      </c>
      <c r="H1275" t="s">
        <v>2025</v>
      </c>
      <c r="I1275" t="s">
        <v>3301</v>
      </c>
      <c r="J1275" t="s">
        <v>4032</v>
      </c>
      <c r="K1275" t="s">
        <v>4038</v>
      </c>
      <c r="L1275">
        <v>1841.13</v>
      </c>
    </row>
    <row r="1276" spans="1:12">
      <c r="A1276" t="s">
        <v>1286</v>
      </c>
      <c r="B1276" s="2">
        <v>45770</v>
      </c>
      <c r="C1276">
        <v>5000</v>
      </c>
      <c r="D1276" t="s">
        <v>2013</v>
      </c>
      <c r="E1276">
        <v>1321.13</v>
      </c>
      <c r="F1276">
        <v>0</v>
      </c>
      <c r="G1276" t="s">
        <v>2021</v>
      </c>
      <c r="H1276" t="s">
        <v>2024</v>
      </c>
      <c r="I1276" t="s">
        <v>3302</v>
      </c>
      <c r="J1276" t="s">
        <v>4028</v>
      </c>
      <c r="K1276" t="s">
        <v>4045</v>
      </c>
      <c r="L1276">
        <v>-1321.13</v>
      </c>
    </row>
    <row r="1277" spans="1:12">
      <c r="A1277" t="s">
        <v>1287</v>
      </c>
      <c r="B1277" s="2">
        <v>45704</v>
      </c>
      <c r="C1277">
        <v>5010</v>
      </c>
      <c r="D1277" t="s">
        <v>2015</v>
      </c>
      <c r="E1277">
        <v>501.83</v>
      </c>
      <c r="F1277">
        <v>0</v>
      </c>
      <c r="G1277" t="s">
        <v>2022</v>
      </c>
      <c r="H1277" t="s">
        <v>2027</v>
      </c>
      <c r="I1277" t="s">
        <v>3303</v>
      </c>
      <c r="J1277" t="s">
        <v>4032</v>
      </c>
      <c r="K1277" t="s">
        <v>4061</v>
      </c>
      <c r="L1277">
        <v>-501.83</v>
      </c>
    </row>
    <row r="1278" spans="1:12">
      <c r="A1278" t="s">
        <v>1288</v>
      </c>
      <c r="B1278" s="2">
        <v>45031</v>
      </c>
      <c r="C1278">
        <v>5010</v>
      </c>
      <c r="D1278" t="s">
        <v>2015</v>
      </c>
      <c r="E1278">
        <v>233.68</v>
      </c>
      <c r="F1278">
        <v>0</v>
      </c>
      <c r="G1278" t="s">
        <v>2022</v>
      </c>
      <c r="H1278" t="s">
        <v>2025</v>
      </c>
      <c r="I1278" t="s">
        <v>3304</v>
      </c>
      <c r="J1278" t="s">
        <v>4029</v>
      </c>
      <c r="K1278" t="s">
        <v>4041</v>
      </c>
      <c r="L1278">
        <v>-233.68</v>
      </c>
    </row>
    <row r="1279" spans="1:12">
      <c r="A1279" t="s">
        <v>1289</v>
      </c>
      <c r="B1279" s="2">
        <v>45423</v>
      </c>
      <c r="C1279">
        <v>4010</v>
      </c>
      <c r="D1279" t="s">
        <v>2016</v>
      </c>
      <c r="E1279">
        <v>0</v>
      </c>
      <c r="F1279">
        <v>4225.68</v>
      </c>
      <c r="G1279" t="s">
        <v>2021</v>
      </c>
      <c r="H1279" t="s">
        <v>2027</v>
      </c>
      <c r="I1279" t="s">
        <v>3305</v>
      </c>
      <c r="J1279" t="s">
        <v>4030</v>
      </c>
      <c r="K1279" t="s">
        <v>4033</v>
      </c>
      <c r="L1279">
        <v>4225.68</v>
      </c>
    </row>
    <row r="1280" spans="1:12">
      <c r="A1280" t="s">
        <v>1290</v>
      </c>
      <c r="B1280" s="2">
        <v>45643</v>
      </c>
      <c r="C1280">
        <v>5010</v>
      </c>
      <c r="D1280" t="s">
        <v>2015</v>
      </c>
      <c r="E1280">
        <v>315.85000000000002</v>
      </c>
      <c r="F1280">
        <v>0</v>
      </c>
      <c r="G1280" t="s">
        <v>2020</v>
      </c>
      <c r="H1280" t="s">
        <v>2026</v>
      </c>
      <c r="I1280" t="s">
        <v>3306</v>
      </c>
      <c r="J1280" t="s">
        <v>4031</v>
      </c>
      <c r="K1280" t="s">
        <v>4056</v>
      </c>
      <c r="L1280">
        <v>-315.85000000000002</v>
      </c>
    </row>
    <row r="1281" spans="1:12">
      <c r="A1281" t="s">
        <v>1291</v>
      </c>
      <c r="B1281" s="2">
        <v>45465</v>
      </c>
      <c r="C1281">
        <v>6000</v>
      </c>
      <c r="D1281" t="s">
        <v>2014</v>
      </c>
      <c r="E1281">
        <v>1999.52</v>
      </c>
      <c r="F1281">
        <v>0</v>
      </c>
      <c r="G1281" t="s">
        <v>2022</v>
      </c>
      <c r="H1281" t="s">
        <v>2026</v>
      </c>
      <c r="I1281" t="s">
        <v>3307</v>
      </c>
      <c r="J1281" t="s">
        <v>4029</v>
      </c>
      <c r="K1281" t="s">
        <v>4034</v>
      </c>
      <c r="L1281">
        <v>-1999.52</v>
      </c>
    </row>
    <row r="1282" spans="1:12">
      <c r="A1282" t="s">
        <v>1292</v>
      </c>
      <c r="B1282" s="2">
        <v>44967</v>
      </c>
      <c r="C1282">
        <v>6000</v>
      </c>
      <c r="D1282" t="s">
        <v>2014</v>
      </c>
      <c r="E1282">
        <v>770.08</v>
      </c>
      <c r="F1282">
        <v>0</v>
      </c>
      <c r="G1282" t="s">
        <v>2022</v>
      </c>
      <c r="H1282" t="s">
        <v>2027</v>
      </c>
      <c r="I1282" t="s">
        <v>3308</v>
      </c>
      <c r="J1282" t="s">
        <v>4032</v>
      </c>
      <c r="K1282" t="s">
        <v>4057</v>
      </c>
      <c r="L1282">
        <v>-770.08</v>
      </c>
    </row>
    <row r="1283" spans="1:12">
      <c r="A1283" t="s">
        <v>1293</v>
      </c>
      <c r="B1283" s="2">
        <v>45289</v>
      </c>
      <c r="C1283">
        <v>4010</v>
      </c>
      <c r="D1283" t="s">
        <v>2016</v>
      </c>
      <c r="E1283">
        <v>0</v>
      </c>
      <c r="F1283">
        <v>4953.53</v>
      </c>
      <c r="G1283" t="s">
        <v>2022</v>
      </c>
      <c r="H1283" t="s">
        <v>2023</v>
      </c>
      <c r="I1283" t="s">
        <v>3309</v>
      </c>
      <c r="J1283" t="s">
        <v>4028</v>
      </c>
      <c r="K1283" t="s">
        <v>4039</v>
      </c>
      <c r="L1283">
        <v>4953.53</v>
      </c>
    </row>
    <row r="1284" spans="1:12">
      <c r="A1284" t="s">
        <v>1294</v>
      </c>
      <c r="B1284" s="2">
        <v>45045</v>
      </c>
      <c r="C1284">
        <v>4010</v>
      </c>
      <c r="D1284" t="s">
        <v>2016</v>
      </c>
      <c r="E1284">
        <v>0</v>
      </c>
      <c r="F1284">
        <v>1360.16</v>
      </c>
      <c r="G1284" t="s">
        <v>2022</v>
      </c>
      <c r="H1284" t="s">
        <v>2023</v>
      </c>
      <c r="I1284" t="s">
        <v>3310</v>
      </c>
      <c r="J1284" t="s">
        <v>4032</v>
      </c>
      <c r="K1284" t="s">
        <v>4041</v>
      </c>
      <c r="L1284">
        <v>1360.16</v>
      </c>
    </row>
    <row r="1285" spans="1:12">
      <c r="A1285" t="s">
        <v>1295</v>
      </c>
      <c r="B1285" s="2">
        <v>45287</v>
      </c>
      <c r="C1285">
        <v>5000</v>
      </c>
      <c r="D1285" t="s">
        <v>2013</v>
      </c>
      <c r="E1285">
        <v>475.84</v>
      </c>
      <c r="F1285">
        <v>0</v>
      </c>
      <c r="G1285" t="s">
        <v>2018</v>
      </c>
      <c r="H1285" t="s">
        <v>2024</v>
      </c>
      <c r="I1285" t="s">
        <v>3311</v>
      </c>
      <c r="J1285" t="s">
        <v>4031</v>
      </c>
      <c r="K1285" t="s">
        <v>4039</v>
      </c>
      <c r="L1285">
        <v>-475.84</v>
      </c>
    </row>
    <row r="1286" spans="1:12">
      <c r="A1286" t="s">
        <v>1296</v>
      </c>
      <c r="B1286" s="2">
        <v>45405</v>
      </c>
      <c r="C1286">
        <v>5000</v>
      </c>
      <c r="D1286" t="s">
        <v>2013</v>
      </c>
      <c r="E1286">
        <v>1211.1500000000001</v>
      </c>
      <c r="F1286">
        <v>0</v>
      </c>
      <c r="G1286" t="s">
        <v>2022</v>
      </c>
      <c r="H1286" t="s">
        <v>2026</v>
      </c>
      <c r="I1286" t="s">
        <v>3312</v>
      </c>
      <c r="J1286" t="s">
        <v>4032</v>
      </c>
      <c r="K1286" t="s">
        <v>4040</v>
      </c>
      <c r="L1286">
        <v>-1211.1500000000001</v>
      </c>
    </row>
    <row r="1287" spans="1:12">
      <c r="A1287" t="s">
        <v>1297</v>
      </c>
      <c r="B1287" s="2">
        <v>45021</v>
      </c>
      <c r="C1287">
        <v>4010</v>
      </c>
      <c r="D1287" t="s">
        <v>2016</v>
      </c>
      <c r="E1287">
        <v>0</v>
      </c>
      <c r="F1287">
        <v>2327.23</v>
      </c>
      <c r="G1287" t="s">
        <v>2017</v>
      </c>
      <c r="H1287" t="s">
        <v>2025</v>
      </c>
      <c r="I1287" t="s">
        <v>3313</v>
      </c>
      <c r="J1287" t="s">
        <v>4029</v>
      </c>
      <c r="K1287" t="s">
        <v>4041</v>
      </c>
      <c r="L1287">
        <v>2327.23</v>
      </c>
    </row>
    <row r="1288" spans="1:12">
      <c r="A1288" t="s">
        <v>1298</v>
      </c>
      <c r="B1288" s="2">
        <v>45813</v>
      </c>
      <c r="C1288">
        <v>6000</v>
      </c>
      <c r="D1288" t="s">
        <v>2014</v>
      </c>
      <c r="E1288">
        <v>237.68</v>
      </c>
      <c r="F1288">
        <v>0</v>
      </c>
      <c r="G1288" t="s">
        <v>2022</v>
      </c>
      <c r="H1288" t="s">
        <v>2023</v>
      </c>
      <c r="I1288" t="s">
        <v>3314</v>
      </c>
      <c r="J1288" t="s">
        <v>4028</v>
      </c>
      <c r="K1288" t="s">
        <v>4052</v>
      </c>
      <c r="L1288">
        <v>-237.68</v>
      </c>
    </row>
    <row r="1289" spans="1:12">
      <c r="A1289" t="s">
        <v>1299</v>
      </c>
      <c r="B1289" s="2">
        <v>45357</v>
      </c>
      <c r="C1289">
        <v>6000</v>
      </c>
      <c r="D1289" t="s">
        <v>2014</v>
      </c>
      <c r="E1289">
        <v>1902.83</v>
      </c>
      <c r="F1289">
        <v>0</v>
      </c>
      <c r="G1289" t="s">
        <v>2022</v>
      </c>
      <c r="H1289" t="s">
        <v>2027</v>
      </c>
      <c r="I1289" t="s">
        <v>3315</v>
      </c>
      <c r="J1289" t="s">
        <v>4032</v>
      </c>
      <c r="K1289" t="s">
        <v>4049</v>
      </c>
      <c r="L1289">
        <v>-1902.83</v>
      </c>
    </row>
    <row r="1290" spans="1:12">
      <c r="A1290" t="s">
        <v>1300</v>
      </c>
      <c r="B1290" s="2">
        <v>45724</v>
      </c>
      <c r="C1290">
        <v>4000</v>
      </c>
      <c r="D1290" t="s">
        <v>2012</v>
      </c>
      <c r="E1290">
        <v>0</v>
      </c>
      <c r="F1290">
        <v>2447.1</v>
      </c>
      <c r="G1290" t="s">
        <v>2018</v>
      </c>
      <c r="H1290" t="s">
        <v>2025</v>
      </c>
      <c r="I1290" t="s">
        <v>3316</v>
      </c>
      <c r="J1290" t="s">
        <v>4030</v>
      </c>
      <c r="K1290" t="s">
        <v>4046</v>
      </c>
      <c r="L1290">
        <v>2447.1</v>
      </c>
    </row>
    <row r="1291" spans="1:12">
      <c r="A1291" t="s">
        <v>1301</v>
      </c>
      <c r="B1291" s="2">
        <v>45620</v>
      </c>
      <c r="C1291">
        <v>6000</v>
      </c>
      <c r="D1291" t="s">
        <v>2014</v>
      </c>
      <c r="E1291">
        <v>520.39</v>
      </c>
      <c r="F1291">
        <v>0</v>
      </c>
      <c r="G1291" t="s">
        <v>2022</v>
      </c>
      <c r="H1291" t="s">
        <v>2026</v>
      </c>
      <c r="I1291" t="s">
        <v>3317</v>
      </c>
      <c r="J1291" t="s">
        <v>4031</v>
      </c>
      <c r="K1291" t="s">
        <v>4043</v>
      </c>
      <c r="L1291">
        <v>-520.39</v>
      </c>
    </row>
    <row r="1292" spans="1:12">
      <c r="A1292" t="s">
        <v>1302</v>
      </c>
      <c r="B1292" s="2">
        <v>45359</v>
      </c>
      <c r="C1292">
        <v>5010</v>
      </c>
      <c r="D1292" t="s">
        <v>2015</v>
      </c>
      <c r="E1292">
        <v>1329.55</v>
      </c>
      <c r="F1292">
        <v>0</v>
      </c>
      <c r="G1292" t="s">
        <v>2021</v>
      </c>
      <c r="H1292" t="s">
        <v>2027</v>
      </c>
      <c r="I1292" t="s">
        <v>3318</v>
      </c>
      <c r="J1292" t="s">
        <v>4032</v>
      </c>
      <c r="K1292" t="s">
        <v>4049</v>
      </c>
      <c r="L1292">
        <v>-1329.55</v>
      </c>
    </row>
    <row r="1293" spans="1:12">
      <c r="A1293" t="s">
        <v>1303</v>
      </c>
      <c r="B1293" s="2">
        <v>45354</v>
      </c>
      <c r="C1293">
        <v>6000</v>
      </c>
      <c r="D1293" t="s">
        <v>2014</v>
      </c>
      <c r="E1293">
        <v>1991.48</v>
      </c>
      <c r="F1293">
        <v>0</v>
      </c>
      <c r="G1293" t="s">
        <v>2019</v>
      </c>
      <c r="H1293" t="s">
        <v>2025</v>
      </c>
      <c r="I1293" t="s">
        <v>3319</v>
      </c>
      <c r="J1293" t="s">
        <v>4028</v>
      </c>
      <c r="K1293" t="s">
        <v>4049</v>
      </c>
      <c r="L1293">
        <v>-1991.48</v>
      </c>
    </row>
    <row r="1294" spans="1:12">
      <c r="A1294" t="s">
        <v>1304</v>
      </c>
      <c r="B1294" s="2">
        <v>45643</v>
      </c>
      <c r="C1294">
        <v>5000</v>
      </c>
      <c r="D1294" t="s">
        <v>2013</v>
      </c>
      <c r="E1294">
        <v>637.88</v>
      </c>
      <c r="F1294">
        <v>0</v>
      </c>
      <c r="G1294" t="s">
        <v>2017</v>
      </c>
      <c r="H1294" t="s">
        <v>2024</v>
      </c>
      <c r="I1294" t="s">
        <v>3320</v>
      </c>
      <c r="J1294" t="s">
        <v>4031</v>
      </c>
      <c r="K1294" t="s">
        <v>4056</v>
      </c>
      <c r="L1294">
        <v>-637.88</v>
      </c>
    </row>
    <row r="1295" spans="1:12">
      <c r="A1295" t="s">
        <v>1305</v>
      </c>
      <c r="B1295" s="2">
        <v>45274</v>
      </c>
      <c r="C1295">
        <v>4000</v>
      </c>
      <c r="D1295" t="s">
        <v>2012</v>
      </c>
      <c r="E1295">
        <v>0</v>
      </c>
      <c r="F1295">
        <v>175.56</v>
      </c>
      <c r="G1295" t="s">
        <v>2017</v>
      </c>
      <c r="H1295" t="s">
        <v>2026</v>
      </c>
      <c r="I1295" t="s">
        <v>3321</v>
      </c>
      <c r="J1295" t="s">
        <v>4032</v>
      </c>
      <c r="K1295" t="s">
        <v>4039</v>
      </c>
      <c r="L1295">
        <v>175.56</v>
      </c>
    </row>
    <row r="1296" spans="1:12">
      <c r="A1296" t="s">
        <v>1306</v>
      </c>
      <c r="B1296" s="2">
        <v>45443</v>
      </c>
      <c r="C1296">
        <v>6000</v>
      </c>
      <c r="D1296" t="s">
        <v>2014</v>
      </c>
      <c r="E1296">
        <v>282.05</v>
      </c>
      <c r="F1296">
        <v>0</v>
      </c>
      <c r="G1296" t="s">
        <v>2017</v>
      </c>
      <c r="H1296" t="s">
        <v>2023</v>
      </c>
      <c r="I1296" t="s">
        <v>3322</v>
      </c>
      <c r="J1296" t="s">
        <v>4030</v>
      </c>
      <c r="K1296" t="s">
        <v>4033</v>
      </c>
      <c r="L1296">
        <v>-282.05</v>
      </c>
    </row>
    <row r="1297" spans="1:12">
      <c r="A1297" t="s">
        <v>1307</v>
      </c>
      <c r="B1297" s="2">
        <v>45782</v>
      </c>
      <c r="C1297">
        <v>6000</v>
      </c>
      <c r="D1297" t="s">
        <v>2014</v>
      </c>
      <c r="E1297">
        <v>1993.37</v>
      </c>
      <c r="F1297">
        <v>0</v>
      </c>
      <c r="G1297" t="s">
        <v>2020</v>
      </c>
      <c r="H1297" t="s">
        <v>2024</v>
      </c>
      <c r="I1297" t="s">
        <v>3323</v>
      </c>
      <c r="J1297" t="s">
        <v>4028</v>
      </c>
      <c r="K1297" t="s">
        <v>4038</v>
      </c>
      <c r="L1297">
        <v>-1993.37</v>
      </c>
    </row>
    <row r="1298" spans="1:12">
      <c r="A1298" t="s">
        <v>1308</v>
      </c>
      <c r="B1298" s="2">
        <v>45372</v>
      </c>
      <c r="C1298">
        <v>6000</v>
      </c>
      <c r="D1298" t="s">
        <v>2014</v>
      </c>
      <c r="E1298">
        <v>294.74</v>
      </c>
      <c r="F1298">
        <v>0</v>
      </c>
      <c r="G1298" t="s">
        <v>2017</v>
      </c>
      <c r="H1298" t="s">
        <v>2026</v>
      </c>
      <c r="I1298" t="s">
        <v>3324</v>
      </c>
      <c r="J1298" t="s">
        <v>4030</v>
      </c>
      <c r="K1298" t="s">
        <v>4049</v>
      </c>
      <c r="L1298">
        <v>-294.74</v>
      </c>
    </row>
    <row r="1299" spans="1:12">
      <c r="A1299" t="s">
        <v>1309</v>
      </c>
      <c r="B1299" s="2">
        <v>45418</v>
      </c>
      <c r="C1299">
        <v>4000</v>
      </c>
      <c r="D1299" t="s">
        <v>2012</v>
      </c>
      <c r="E1299">
        <v>0</v>
      </c>
      <c r="F1299">
        <v>763.55</v>
      </c>
      <c r="G1299" t="s">
        <v>2018</v>
      </c>
      <c r="H1299" t="s">
        <v>2023</v>
      </c>
      <c r="I1299" t="s">
        <v>3325</v>
      </c>
      <c r="J1299" t="s">
        <v>4029</v>
      </c>
      <c r="K1299" t="s">
        <v>4033</v>
      </c>
      <c r="L1299">
        <v>763.55</v>
      </c>
    </row>
    <row r="1300" spans="1:12">
      <c r="A1300" t="s">
        <v>1310</v>
      </c>
      <c r="B1300" s="2">
        <v>45103</v>
      </c>
      <c r="C1300">
        <v>4010</v>
      </c>
      <c r="D1300" t="s">
        <v>2016</v>
      </c>
      <c r="E1300">
        <v>0</v>
      </c>
      <c r="F1300">
        <v>2502.91</v>
      </c>
      <c r="G1300" t="s">
        <v>2021</v>
      </c>
      <c r="H1300" t="s">
        <v>2026</v>
      </c>
      <c r="I1300" t="s">
        <v>3326</v>
      </c>
      <c r="J1300" t="s">
        <v>4028</v>
      </c>
      <c r="K1300" t="s">
        <v>4055</v>
      </c>
      <c r="L1300">
        <v>2502.91</v>
      </c>
    </row>
    <row r="1301" spans="1:12">
      <c r="A1301" t="s">
        <v>1311</v>
      </c>
      <c r="B1301" s="2">
        <v>45550</v>
      </c>
      <c r="C1301">
        <v>5010</v>
      </c>
      <c r="D1301" t="s">
        <v>2015</v>
      </c>
      <c r="E1301">
        <v>468.89</v>
      </c>
      <c r="F1301">
        <v>0</v>
      </c>
      <c r="G1301" t="s">
        <v>2021</v>
      </c>
      <c r="H1301" t="s">
        <v>2024</v>
      </c>
      <c r="I1301" t="s">
        <v>3327</v>
      </c>
      <c r="J1301" t="s">
        <v>4030</v>
      </c>
      <c r="K1301" t="s">
        <v>4048</v>
      </c>
      <c r="L1301">
        <v>-468.89</v>
      </c>
    </row>
    <row r="1302" spans="1:12">
      <c r="A1302" t="s">
        <v>1312</v>
      </c>
      <c r="B1302" s="2">
        <v>45162</v>
      </c>
      <c r="C1302">
        <v>6000</v>
      </c>
      <c r="D1302" t="s">
        <v>2014</v>
      </c>
      <c r="E1302">
        <v>810.8</v>
      </c>
      <c r="F1302">
        <v>0</v>
      </c>
      <c r="G1302" t="s">
        <v>2020</v>
      </c>
      <c r="H1302" t="s">
        <v>2027</v>
      </c>
      <c r="I1302" t="s">
        <v>3328</v>
      </c>
      <c r="J1302" t="s">
        <v>4028</v>
      </c>
      <c r="K1302" t="s">
        <v>4037</v>
      </c>
      <c r="L1302">
        <v>-810.8</v>
      </c>
    </row>
    <row r="1303" spans="1:12">
      <c r="A1303" t="s">
        <v>1313</v>
      </c>
      <c r="B1303" s="2">
        <v>45451</v>
      </c>
      <c r="C1303">
        <v>5000</v>
      </c>
      <c r="D1303" t="s">
        <v>2013</v>
      </c>
      <c r="E1303">
        <v>1345.83</v>
      </c>
      <c r="F1303">
        <v>0</v>
      </c>
      <c r="G1303" t="s">
        <v>2019</v>
      </c>
      <c r="H1303" t="s">
        <v>2024</v>
      </c>
      <c r="I1303" t="s">
        <v>3329</v>
      </c>
      <c r="J1303" t="s">
        <v>4028</v>
      </c>
      <c r="K1303" t="s">
        <v>4034</v>
      </c>
      <c r="L1303">
        <v>-1345.83</v>
      </c>
    </row>
    <row r="1304" spans="1:12">
      <c r="A1304" t="s">
        <v>1314</v>
      </c>
      <c r="B1304" s="2">
        <v>45777</v>
      </c>
      <c r="C1304">
        <v>4000</v>
      </c>
      <c r="D1304" t="s">
        <v>2012</v>
      </c>
      <c r="E1304">
        <v>0</v>
      </c>
      <c r="F1304">
        <v>4443.21</v>
      </c>
      <c r="G1304" t="s">
        <v>2017</v>
      </c>
      <c r="H1304" t="s">
        <v>2023</v>
      </c>
      <c r="I1304" t="s">
        <v>3330</v>
      </c>
      <c r="J1304" t="s">
        <v>4030</v>
      </c>
      <c r="K1304" t="s">
        <v>4045</v>
      </c>
      <c r="L1304">
        <v>4443.21</v>
      </c>
    </row>
    <row r="1305" spans="1:12">
      <c r="A1305" t="s">
        <v>1315</v>
      </c>
      <c r="B1305" s="2">
        <v>45040</v>
      </c>
      <c r="C1305">
        <v>5010</v>
      </c>
      <c r="D1305" t="s">
        <v>2015</v>
      </c>
      <c r="E1305">
        <v>780.61</v>
      </c>
      <c r="F1305">
        <v>0</v>
      </c>
      <c r="G1305" t="s">
        <v>2017</v>
      </c>
      <c r="H1305" t="s">
        <v>2025</v>
      </c>
      <c r="I1305" t="s">
        <v>3331</v>
      </c>
      <c r="J1305" t="s">
        <v>4030</v>
      </c>
      <c r="K1305" t="s">
        <v>4041</v>
      </c>
      <c r="L1305">
        <v>-780.61</v>
      </c>
    </row>
    <row r="1306" spans="1:12">
      <c r="A1306" t="s">
        <v>1316</v>
      </c>
      <c r="B1306" s="2">
        <v>45310</v>
      </c>
      <c r="C1306">
        <v>4010</v>
      </c>
      <c r="D1306" t="s">
        <v>2016</v>
      </c>
      <c r="E1306">
        <v>0</v>
      </c>
      <c r="F1306">
        <v>2988.59</v>
      </c>
      <c r="G1306" t="s">
        <v>2019</v>
      </c>
      <c r="H1306" t="s">
        <v>2024</v>
      </c>
      <c r="I1306" t="s">
        <v>3332</v>
      </c>
      <c r="J1306" t="s">
        <v>4028</v>
      </c>
      <c r="K1306" t="s">
        <v>4053</v>
      </c>
      <c r="L1306">
        <v>2988.59</v>
      </c>
    </row>
    <row r="1307" spans="1:12">
      <c r="A1307" t="s">
        <v>1317</v>
      </c>
      <c r="B1307" s="2">
        <v>45585</v>
      </c>
      <c r="C1307">
        <v>5010</v>
      </c>
      <c r="D1307" t="s">
        <v>2015</v>
      </c>
      <c r="E1307">
        <v>1463.55</v>
      </c>
      <c r="F1307">
        <v>0</v>
      </c>
      <c r="G1307" t="s">
        <v>2020</v>
      </c>
      <c r="H1307" t="s">
        <v>2023</v>
      </c>
      <c r="I1307" t="s">
        <v>3333</v>
      </c>
      <c r="J1307" t="s">
        <v>4032</v>
      </c>
      <c r="K1307" t="s">
        <v>4059</v>
      </c>
      <c r="L1307">
        <v>-1463.55</v>
      </c>
    </row>
    <row r="1308" spans="1:12">
      <c r="A1308" t="s">
        <v>1318</v>
      </c>
      <c r="B1308" s="2">
        <v>45398</v>
      </c>
      <c r="C1308">
        <v>4010</v>
      </c>
      <c r="D1308" t="s">
        <v>2016</v>
      </c>
      <c r="E1308">
        <v>0</v>
      </c>
      <c r="F1308">
        <v>790.68</v>
      </c>
      <c r="G1308" t="s">
        <v>2018</v>
      </c>
      <c r="H1308" t="s">
        <v>2023</v>
      </c>
      <c r="I1308" t="s">
        <v>3334</v>
      </c>
      <c r="J1308" t="s">
        <v>4028</v>
      </c>
      <c r="K1308" t="s">
        <v>4040</v>
      </c>
      <c r="L1308">
        <v>790.68</v>
      </c>
    </row>
    <row r="1309" spans="1:12">
      <c r="A1309" t="s">
        <v>1319</v>
      </c>
      <c r="B1309" s="2">
        <v>45090</v>
      </c>
      <c r="C1309">
        <v>4000</v>
      </c>
      <c r="D1309" t="s">
        <v>2012</v>
      </c>
      <c r="E1309">
        <v>0</v>
      </c>
      <c r="F1309">
        <v>3083.05</v>
      </c>
      <c r="G1309" t="s">
        <v>2017</v>
      </c>
      <c r="H1309" t="s">
        <v>2024</v>
      </c>
      <c r="I1309" t="s">
        <v>3335</v>
      </c>
      <c r="J1309" t="s">
        <v>4029</v>
      </c>
      <c r="K1309" t="s">
        <v>4055</v>
      </c>
      <c r="L1309">
        <v>3083.05</v>
      </c>
    </row>
    <row r="1310" spans="1:12">
      <c r="A1310" t="s">
        <v>1320</v>
      </c>
      <c r="B1310" s="2">
        <v>45340</v>
      </c>
      <c r="C1310">
        <v>5010</v>
      </c>
      <c r="D1310" t="s">
        <v>2015</v>
      </c>
      <c r="E1310">
        <v>473.43</v>
      </c>
      <c r="F1310">
        <v>0</v>
      </c>
      <c r="G1310" t="s">
        <v>2017</v>
      </c>
      <c r="H1310" t="s">
        <v>2026</v>
      </c>
      <c r="I1310" t="s">
        <v>3336</v>
      </c>
      <c r="J1310" t="s">
        <v>4030</v>
      </c>
      <c r="K1310" t="s">
        <v>4044</v>
      </c>
      <c r="L1310">
        <v>-473.43</v>
      </c>
    </row>
    <row r="1311" spans="1:12">
      <c r="A1311" t="s">
        <v>1321</v>
      </c>
      <c r="B1311" s="2">
        <v>45531</v>
      </c>
      <c r="C1311">
        <v>4010</v>
      </c>
      <c r="D1311" t="s">
        <v>2016</v>
      </c>
      <c r="E1311">
        <v>0</v>
      </c>
      <c r="F1311">
        <v>4614.12</v>
      </c>
      <c r="G1311" t="s">
        <v>2020</v>
      </c>
      <c r="H1311" t="s">
        <v>2024</v>
      </c>
      <c r="I1311" t="s">
        <v>3337</v>
      </c>
      <c r="J1311" t="s">
        <v>4029</v>
      </c>
      <c r="K1311" t="s">
        <v>4058</v>
      </c>
      <c r="L1311">
        <v>4614.12</v>
      </c>
    </row>
    <row r="1312" spans="1:12">
      <c r="A1312" t="s">
        <v>1322</v>
      </c>
      <c r="B1312" s="2">
        <v>44935</v>
      </c>
      <c r="C1312">
        <v>5010</v>
      </c>
      <c r="D1312" t="s">
        <v>2015</v>
      </c>
      <c r="E1312">
        <v>1506.71</v>
      </c>
      <c r="F1312">
        <v>0</v>
      </c>
      <c r="G1312" t="s">
        <v>2019</v>
      </c>
      <c r="H1312" t="s">
        <v>2024</v>
      </c>
      <c r="I1312" t="s">
        <v>3338</v>
      </c>
      <c r="J1312" t="s">
        <v>4032</v>
      </c>
      <c r="K1312" t="s">
        <v>4047</v>
      </c>
      <c r="L1312">
        <v>-1506.71</v>
      </c>
    </row>
    <row r="1313" spans="1:12">
      <c r="A1313" t="s">
        <v>1323</v>
      </c>
      <c r="B1313" s="2">
        <v>44943</v>
      </c>
      <c r="C1313">
        <v>6000</v>
      </c>
      <c r="D1313" t="s">
        <v>2014</v>
      </c>
      <c r="E1313">
        <v>874.3</v>
      </c>
      <c r="F1313">
        <v>0</v>
      </c>
      <c r="G1313" t="s">
        <v>2017</v>
      </c>
      <c r="H1313" t="s">
        <v>2024</v>
      </c>
      <c r="I1313" t="s">
        <v>3339</v>
      </c>
      <c r="J1313" t="s">
        <v>4028</v>
      </c>
      <c r="K1313" t="s">
        <v>4047</v>
      </c>
      <c r="L1313">
        <v>-874.3</v>
      </c>
    </row>
    <row r="1314" spans="1:12">
      <c r="A1314" t="s">
        <v>1324</v>
      </c>
      <c r="B1314" s="2">
        <v>44938</v>
      </c>
      <c r="C1314">
        <v>5010</v>
      </c>
      <c r="D1314" t="s">
        <v>2015</v>
      </c>
      <c r="E1314">
        <v>770.81</v>
      </c>
      <c r="F1314">
        <v>0</v>
      </c>
      <c r="G1314" t="s">
        <v>2019</v>
      </c>
      <c r="H1314" t="s">
        <v>2027</v>
      </c>
      <c r="I1314" t="s">
        <v>3340</v>
      </c>
      <c r="J1314" t="s">
        <v>4031</v>
      </c>
      <c r="K1314" t="s">
        <v>4047</v>
      </c>
      <c r="L1314">
        <v>-770.81</v>
      </c>
    </row>
    <row r="1315" spans="1:12">
      <c r="A1315" t="s">
        <v>1325</v>
      </c>
      <c r="B1315" s="2">
        <v>45150</v>
      </c>
      <c r="C1315">
        <v>5000</v>
      </c>
      <c r="D1315" t="s">
        <v>2013</v>
      </c>
      <c r="E1315">
        <v>916.64</v>
      </c>
      <c r="F1315">
        <v>0</v>
      </c>
      <c r="G1315" t="s">
        <v>2019</v>
      </c>
      <c r="H1315" t="s">
        <v>2023</v>
      </c>
      <c r="I1315" t="s">
        <v>3341</v>
      </c>
      <c r="J1315" t="s">
        <v>4030</v>
      </c>
      <c r="K1315" t="s">
        <v>4037</v>
      </c>
      <c r="L1315">
        <v>-916.64</v>
      </c>
    </row>
    <row r="1316" spans="1:12">
      <c r="A1316" t="s">
        <v>1326</v>
      </c>
      <c r="B1316" s="2">
        <v>45834</v>
      </c>
      <c r="C1316">
        <v>5000</v>
      </c>
      <c r="D1316" t="s">
        <v>2013</v>
      </c>
      <c r="E1316">
        <v>1378.77</v>
      </c>
      <c r="F1316">
        <v>0</v>
      </c>
      <c r="G1316" t="s">
        <v>2021</v>
      </c>
      <c r="H1316" t="s">
        <v>2023</v>
      </c>
      <c r="I1316" t="s">
        <v>3342</v>
      </c>
      <c r="J1316" t="s">
        <v>4030</v>
      </c>
      <c r="K1316" t="s">
        <v>4052</v>
      </c>
      <c r="L1316">
        <v>-1378.77</v>
      </c>
    </row>
    <row r="1317" spans="1:12">
      <c r="A1317" t="s">
        <v>1327</v>
      </c>
      <c r="B1317" s="2">
        <v>45544</v>
      </c>
      <c r="C1317">
        <v>5010</v>
      </c>
      <c r="D1317" t="s">
        <v>2015</v>
      </c>
      <c r="E1317">
        <v>1403.4</v>
      </c>
      <c r="F1317">
        <v>0</v>
      </c>
      <c r="G1317" t="s">
        <v>2020</v>
      </c>
      <c r="H1317" t="s">
        <v>2024</v>
      </c>
      <c r="I1317" t="s">
        <v>3343</v>
      </c>
      <c r="J1317" t="s">
        <v>4030</v>
      </c>
      <c r="K1317" t="s">
        <v>4048</v>
      </c>
      <c r="L1317">
        <v>-1403.4</v>
      </c>
    </row>
    <row r="1318" spans="1:12">
      <c r="A1318" t="s">
        <v>1328</v>
      </c>
      <c r="B1318" s="2">
        <v>45130</v>
      </c>
      <c r="C1318">
        <v>5000</v>
      </c>
      <c r="D1318" t="s">
        <v>2013</v>
      </c>
      <c r="E1318">
        <v>710.78</v>
      </c>
      <c r="F1318">
        <v>0</v>
      </c>
      <c r="G1318" t="s">
        <v>2021</v>
      </c>
      <c r="H1318" t="s">
        <v>2023</v>
      </c>
      <c r="I1318" t="s">
        <v>3344</v>
      </c>
      <c r="J1318" t="s">
        <v>4032</v>
      </c>
      <c r="K1318" t="s">
        <v>4050</v>
      </c>
      <c r="L1318">
        <v>-710.78</v>
      </c>
    </row>
    <row r="1319" spans="1:12">
      <c r="A1319" t="s">
        <v>1329</v>
      </c>
      <c r="B1319" s="2">
        <v>45836</v>
      </c>
      <c r="C1319">
        <v>4010</v>
      </c>
      <c r="D1319" t="s">
        <v>2016</v>
      </c>
      <c r="E1319">
        <v>0</v>
      </c>
      <c r="F1319">
        <v>2077.61</v>
      </c>
      <c r="G1319" t="s">
        <v>2017</v>
      </c>
      <c r="H1319" t="s">
        <v>2024</v>
      </c>
      <c r="I1319" t="s">
        <v>3345</v>
      </c>
      <c r="J1319" t="s">
        <v>4031</v>
      </c>
      <c r="K1319" t="s">
        <v>4052</v>
      </c>
      <c r="L1319">
        <v>2077.61</v>
      </c>
    </row>
    <row r="1320" spans="1:12">
      <c r="A1320" t="s">
        <v>1330</v>
      </c>
      <c r="B1320" s="2">
        <v>45106</v>
      </c>
      <c r="C1320">
        <v>4000</v>
      </c>
      <c r="D1320" t="s">
        <v>2012</v>
      </c>
      <c r="E1320">
        <v>0</v>
      </c>
      <c r="F1320">
        <v>2075.2600000000002</v>
      </c>
      <c r="G1320" t="s">
        <v>2018</v>
      </c>
      <c r="H1320" t="s">
        <v>2023</v>
      </c>
      <c r="I1320" t="s">
        <v>3346</v>
      </c>
      <c r="J1320" t="s">
        <v>4031</v>
      </c>
      <c r="K1320" t="s">
        <v>4055</v>
      </c>
      <c r="L1320">
        <v>2075.2600000000002</v>
      </c>
    </row>
    <row r="1321" spans="1:12">
      <c r="A1321" t="s">
        <v>1331</v>
      </c>
      <c r="B1321" s="2">
        <v>45321</v>
      </c>
      <c r="C1321">
        <v>5000</v>
      </c>
      <c r="D1321" t="s">
        <v>2013</v>
      </c>
      <c r="E1321">
        <v>955.82</v>
      </c>
      <c r="F1321">
        <v>0</v>
      </c>
      <c r="G1321" t="s">
        <v>2019</v>
      </c>
      <c r="H1321" t="s">
        <v>2025</v>
      </c>
      <c r="I1321" t="s">
        <v>3347</v>
      </c>
      <c r="J1321" t="s">
        <v>4028</v>
      </c>
      <c r="K1321" t="s">
        <v>4053</v>
      </c>
      <c r="L1321">
        <v>-955.82</v>
      </c>
    </row>
    <row r="1322" spans="1:12">
      <c r="A1322" t="s">
        <v>1332</v>
      </c>
      <c r="B1322" s="2">
        <v>45712</v>
      </c>
      <c r="C1322">
        <v>5000</v>
      </c>
      <c r="D1322" t="s">
        <v>2013</v>
      </c>
      <c r="E1322">
        <v>1924.14</v>
      </c>
      <c r="F1322">
        <v>0</v>
      </c>
      <c r="G1322" t="s">
        <v>2020</v>
      </c>
      <c r="H1322" t="s">
        <v>2027</v>
      </c>
      <c r="I1322" t="s">
        <v>3348</v>
      </c>
      <c r="J1322" t="s">
        <v>4032</v>
      </c>
      <c r="K1322" t="s">
        <v>4061</v>
      </c>
      <c r="L1322">
        <v>-1924.14</v>
      </c>
    </row>
    <row r="1323" spans="1:12">
      <c r="A1323" t="s">
        <v>1333</v>
      </c>
      <c r="B1323" s="2">
        <v>45382</v>
      </c>
      <c r="C1323">
        <v>4010</v>
      </c>
      <c r="D1323" t="s">
        <v>2016</v>
      </c>
      <c r="E1323">
        <v>0</v>
      </c>
      <c r="F1323">
        <v>4238.9799999999996</v>
      </c>
      <c r="G1323" t="s">
        <v>2022</v>
      </c>
      <c r="H1323" t="s">
        <v>2023</v>
      </c>
      <c r="I1323" t="s">
        <v>3349</v>
      </c>
      <c r="J1323" t="s">
        <v>4029</v>
      </c>
      <c r="K1323" t="s">
        <v>4049</v>
      </c>
      <c r="L1323">
        <v>4238.9799999999996</v>
      </c>
    </row>
    <row r="1324" spans="1:12">
      <c r="A1324" t="s">
        <v>1334</v>
      </c>
      <c r="B1324" s="2">
        <v>45636</v>
      </c>
      <c r="C1324">
        <v>5010</v>
      </c>
      <c r="D1324" t="s">
        <v>2015</v>
      </c>
      <c r="E1324">
        <v>1471.95</v>
      </c>
      <c r="F1324">
        <v>0</v>
      </c>
      <c r="G1324" t="s">
        <v>2018</v>
      </c>
      <c r="H1324" t="s">
        <v>2025</v>
      </c>
      <c r="I1324" t="s">
        <v>3350</v>
      </c>
      <c r="J1324" t="s">
        <v>4028</v>
      </c>
      <c r="K1324" t="s">
        <v>4056</v>
      </c>
      <c r="L1324">
        <v>-1471.95</v>
      </c>
    </row>
    <row r="1325" spans="1:12">
      <c r="A1325" t="s">
        <v>1335</v>
      </c>
      <c r="B1325" s="2">
        <v>45826</v>
      </c>
      <c r="C1325">
        <v>4010</v>
      </c>
      <c r="D1325" t="s">
        <v>2016</v>
      </c>
      <c r="E1325">
        <v>0</v>
      </c>
      <c r="F1325">
        <v>1269.44</v>
      </c>
      <c r="G1325" t="s">
        <v>2017</v>
      </c>
      <c r="H1325" t="s">
        <v>2026</v>
      </c>
      <c r="I1325" t="s">
        <v>3351</v>
      </c>
      <c r="J1325" t="s">
        <v>4030</v>
      </c>
      <c r="K1325" t="s">
        <v>4052</v>
      </c>
      <c r="L1325">
        <v>1269.44</v>
      </c>
    </row>
    <row r="1326" spans="1:12">
      <c r="A1326" t="s">
        <v>1336</v>
      </c>
      <c r="B1326" s="2">
        <v>45171</v>
      </c>
      <c r="C1326">
        <v>5000</v>
      </c>
      <c r="D1326" t="s">
        <v>2013</v>
      </c>
      <c r="E1326">
        <v>97.3</v>
      </c>
      <c r="F1326">
        <v>0</v>
      </c>
      <c r="G1326" t="s">
        <v>2022</v>
      </c>
      <c r="H1326" t="s">
        <v>2023</v>
      </c>
      <c r="I1326" t="s">
        <v>3352</v>
      </c>
      <c r="J1326" t="s">
        <v>4030</v>
      </c>
      <c r="K1326" t="s">
        <v>4036</v>
      </c>
      <c r="L1326">
        <v>-97.3</v>
      </c>
    </row>
    <row r="1327" spans="1:12">
      <c r="A1327" t="s">
        <v>1337</v>
      </c>
      <c r="B1327" s="2">
        <v>44986</v>
      </c>
      <c r="C1327">
        <v>6000</v>
      </c>
      <c r="D1327" t="s">
        <v>2014</v>
      </c>
      <c r="E1327">
        <v>557.66</v>
      </c>
      <c r="F1327">
        <v>0</v>
      </c>
      <c r="G1327" t="s">
        <v>2022</v>
      </c>
      <c r="H1327" t="s">
        <v>2023</v>
      </c>
      <c r="I1327" t="s">
        <v>3353</v>
      </c>
      <c r="J1327" t="s">
        <v>4031</v>
      </c>
      <c r="K1327" t="s">
        <v>4051</v>
      </c>
      <c r="L1327">
        <v>-557.66</v>
      </c>
    </row>
    <row r="1328" spans="1:12">
      <c r="A1328" t="s">
        <v>1338</v>
      </c>
      <c r="B1328" s="2">
        <v>45374</v>
      </c>
      <c r="C1328">
        <v>5010</v>
      </c>
      <c r="D1328" t="s">
        <v>2015</v>
      </c>
      <c r="E1328">
        <v>1380.55</v>
      </c>
      <c r="F1328">
        <v>0</v>
      </c>
      <c r="G1328" t="s">
        <v>2018</v>
      </c>
      <c r="H1328" t="s">
        <v>2025</v>
      </c>
      <c r="I1328" t="s">
        <v>3354</v>
      </c>
      <c r="J1328" t="s">
        <v>4030</v>
      </c>
      <c r="K1328" t="s">
        <v>4049</v>
      </c>
      <c r="L1328">
        <v>-1380.55</v>
      </c>
    </row>
    <row r="1329" spans="1:12">
      <c r="A1329" t="s">
        <v>1339</v>
      </c>
      <c r="B1329" s="2">
        <v>45689</v>
      </c>
      <c r="C1329">
        <v>5000</v>
      </c>
      <c r="D1329" t="s">
        <v>2013</v>
      </c>
      <c r="E1329">
        <v>606.16</v>
      </c>
      <c r="F1329">
        <v>0</v>
      </c>
      <c r="G1329" t="s">
        <v>2018</v>
      </c>
      <c r="H1329" t="s">
        <v>2026</v>
      </c>
      <c r="I1329" t="s">
        <v>3355</v>
      </c>
      <c r="J1329" t="s">
        <v>4030</v>
      </c>
      <c r="K1329" t="s">
        <v>4061</v>
      </c>
      <c r="L1329">
        <v>-606.16</v>
      </c>
    </row>
    <row r="1330" spans="1:12">
      <c r="A1330" t="s">
        <v>1340</v>
      </c>
      <c r="B1330" s="2">
        <v>45423</v>
      </c>
      <c r="C1330">
        <v>6000</v>
      </c>
      <c r="D1330" t="s">
        <v>2014</v>
      </c>
      <c r="E1330">
        <v>1885.28</v>
      </c>
      <c r="F1330">
        <v>0</v>
      </c>
      <c r="G1330" t="s">
        <v>2020</v>
      </c>
      <c r="H1330" t="s">
        <v>2024</v>
      </c>
      <c r="I1330" t="s">
        <v>3356</v>
      </c>
      <c r="J1330" t="s">
        <v>4032</v>
      </c>
      <c r="K1330" t="s">
        <v>4033</v>
      </c>
      <c r="L1330">
        <v>-1885.28</v>
      </c>
    </row>
    <row r="1331" spans="1:12">
      <c r="A1331" t="s">
        <v>1341</v>
      </c>
      <c r="B1331" s="2">
        <v>45623</v>
      </c>
      <c r="C1331">
        <v>5010</v>
      </c>
      <c r="D1331" t="s">
        <v>2015</v>
      </c>
      <c r="E1331">
        <v>1731.77</v>
      </c>
      <c r="F1331">
        <v>0</v>
      </c>
      <c r="G1331" t="s">
        <v>2020</v>
      </c>
      <c r="H1331" t="s">
        <v>2025</v>
      </c>
      <c r="I1331" t="s">
        <v>3357</v>
      </c>
      <c r="J1331" t="s">
        <v>4032</v>
      </c>
      <c r="K1331" t="s">
        <v>4043</v>
      </c>
      <c r="L1331">
        <v>-1731.77</v>
      </c>
    </row>
    <row r="1332" spans="1:12">
      <c r="A1332" t="s">
        <v>1342</v>
      </c>
      <c r="B1332" s="2">
        <v>45069</v>
      </c>
      <c r="C1332">
        <v>5000</v>
      </c>
      <c r="D1332" t="s">
        <v>2013</v>
      </c>
      <c r="E1332">
        <v>394.02</v>
      </c>
      <c r="F1332">
        <v>0</v>
      </c>
      <c r="G1332" t="s">
        <v>2018</v>
      </c>
      <c r="H1332" t="s">
        <v>2023</v>
      </c>
      <c r="I1332" t="s">
        <v>3358</v>
      </c>
      <c r="J1332" t="s">
        <v>4028</v>
      </c>
      <c r="K1332" t="s">
        <v>4062</v>
      </c>
      <c r="L1332">
        <v>-394.02</v>
      </c>
    </row>
    <row r="1333" spans="1:12">
      <c r="A1333" t="s">
        <v>1343</v>
      </c>
      <c r="B1333" s="2">
        <v>45298</v>
      </c>
      <c r="C1333">
        <v>4000</v>
      </c>
      <c r="D1333" t="s">
        <v>2012</v>
      </c>
      <c r="E1333">
        <v>0</v>
      </c>
      <c r="F1333">
        <v>687.07</v>
      </c>
      <c r="G1333" t="s">
        <v>2018</v>
      </c>
      <c r="H1333" t="s">
        <v>2024</v>
      </c>
      <c r="I1333" t="s">
        <v>3359</v>
      </c>
      <c r="J1333" t="s">
        <v>4032</v>
      </c>
      <c r="K1333" t="s">
        <v>4053</v>
      </c>
      <c r="L1333">
        <v>687.07</v>
      </c>
    </row>
    <row r="1334" spans="1:12">
      <c r="A1334" t="s">
        <v>1344</v>
      </c>
      <c r="B1334" s="2">
        <v>45272</v>
      </c>
      <c r="C1334">
        <v>4010</v>
      </c>
      <c r="D1334" t="s">
        <v>2016</v>
      </c>
      <c r="E1334">
        <v>0</v>
      </c>
      <c r="F1334">
        <v>4603.0200000000004</v>
      </c>
      <c r="G1334" t="s">
        <v>2020</v>
      </c>
      <c r="H1334" t="s">
        <v>2024</v>
      </c>
      <c r="I1334" t="s">
        <v>3360</v>
      </c>
      <c r="J1334" t="s">
        <v>4028</v>
      </c>
      <c r="K1334" t="s">
        <v>4039</v>
      </c>
      <c r="L1334">
        <v>4603.0200000000004</v>
      </c>
    </row>
    <row r="1335" spans="1:12">
      <c r="A1335" t="s">
        <v>1345</v>
      </c>
      <c r="B1335" s="2">
        <v>45461</v>
      </c>
      <c r="C1335">
        <v>6000</v>
      </c>
      <c r="D1335" t="s">
        <v>2014</v>
      </c>
      <c r="E1335">
        <v>675.05</v>
      </c>
      <c r="F1335">
        <v>0</v>
      </c>
      <c r="G1335" t="s">
        <v>2020</v>
      </c>
      <c r="H1335" t="s">
        <v>2025</v>
      </c>
      <c r="I1335" t="s">
        <v>3361</v>
      </c>
      <c r="J1335" t="s">
        <v>4031</v>
      </c>
      <c r="K1335" t="s">
        <v>4034</v>
      </c>
      <c r="L1335">
        <v>-675.05</v>
      </c>
    </row>
    <row r="1336" spans="1:12">
      <c r="A1336" t="s">
        <v>1346</v>
      </c>
      <c r="B1336" s="2">
        <v>45201</v>
      </c>
      <c r="C1336">
        <v>5000</v>
      </c>
      <c r="D1336" t="s">
        <v>2013</v>
      </c>
      <c r="E1336">
        <v>1487.83</v>
      </c>
      <c r="F1336">
        <v>0</v>
      </c>
      <c r="G1336" t="s">
        <v>2019</v>
      </c>
      <c r="H1336" t="s">
        <v>2026</v>
      </c>
      <c r="I1336" t="s">
        <v>3362</v>
      </c>
      <c r="J1336" t="s">
        <v>4030</v>
      </c>
      <c r="K1336" t="s">
        <v>4060</v>
      </c>
      <c r="L1336">
        <v>-1487.83</v>
      </c>
    </row>
    <row r="1337" spans="1:12">
      <c r="A1337" t="s">
        <v>1347</v>
      </c>
      <c r="B1337" s="2">
        <v>45062</v>
      </c>
      <c r="C1337">
        <v>6000</v>
      </c>
      <c r="D1337" t="s">
        <v>2014</v>
      </c>
      <c r="E1337">
        <v>792.43</v>
      </c>
      <c r="F1337">
        <v>0</v>
      </c>
      <c r="G1337" t="s">
        <v>2021</v>
      </c>
      <c r="H1337" t="s">
        <v>2024</v>
      </c>
      <c r="I1337" t="s">
        <v>3363</v>
      </c>
      <c r="J1337" t="s">
        <v>4028</v>
      </c>
      <c r="K1337" t="s">
        <v>4062</v>
      </c>
      <c r="L1337">
        <v>-792.43</v>
      </c>
    </row>
    <row r="1338" spans="1:12">
      <c r="A1338" t="s">
        <v>1348</v>
      </c>
      <c r="B1338" s="2">
        <v>45835</v>
      </c>
      <c r="C1338">
        <v>4000</v>
      </c>
      <c r="D1338" t="s">
        <v>2012</v>
      </c>
      <c r="E1338">
        <v>0</v>
      </c>
      <c r="F1338">
        <v>1819.9</v>
      </c>
      <c r="G1338" t="s">
        <v>2018</v>
      </c>
      <c r="H1338" t="s">
        <v>2026</v>
      </c>
      <c r="I1338" t="s">
        <v>3364</v>
      </c>
      <c r="J1338" t="s">
        <v>4028</v>
      </c>
      <c r="K1338" t="s">
        <v>4052</v>
      </c>
      <c r="L1338">
        <v>1819.9</v>
      </c>
    </row>
    <row r="1339" spans="1:12">
      <c r="A1339" t="s">
        <v>1349</v>
      </c>
      <c r="B1339" s="2">
        <v>45696</v>
      </c>
      <c r="C1339">
        <v>5000</v>
      </c>
      <c r="D1339" t="s">
        <v>2013</v>
      </c>
      <c r="E1339">
        <v>1966.73</v>
      </c>
      <c r="F1339">
        <v>0</v>
      </c>
      <c r="G1339" t="s">
        <v>2019</v>
      </c>
      <c r="H1339" t="s">
        <v>2024</v>
      </c>
      <c r="I1339" t="s">
        <v>3365</v>
      </c>
      <c r="J1339" t="s">
        <v>4028</v>
      </c>
      <c r="K1339" t="s">
        <v>4061</v>
      </c>
      <c r="L1339">
        <v>-1966.73</v>
      </c>
    </row>
    <row r="1340" spans="1:12">
      <c r="A1340" t="s">
        <v>1350</v>
      </c>
      <c r="B1340" s="2">
        <v>44957</v>
      </c>
      <c r="C1340">
        <v>4010</v>
      </c>
      <c r="D1340" t="s">
        <v>2016</v>
      </c>
      <c r="E1340">
        <v>0</v>
      </c>
      <c r="F1340">
        <v>1355.21</v>
      </c>
      <c r="G1340" t="s">
        <v>2022</v>
      </c>
      <c r="H1340" t="s">
        <v>2027</v>
      </c>
      <c r="I1340" t="s">
        <v>3366</v>
      </c>
      <c r="J1340" t="s">
        <v>4032</v>
      </c>
      <c r="K1340" t="s">
        <v>4047</v>
      </c>
      <c r="L1340">
        <v>1355.21</v>
      </c>
    </row>
    <row r="1341" spans="1:12">
      <c r="A1341" t="s">
        <v>1351</v>
      </c>
      <c r="B1341" s="2">
        <v>45629</v>
      </c>
      <c r="C1341">
        <v>4010</v>
      </c>
      <c r="D1341" t="s">
        <v>2016</v>
      </c>
      <c r="E1341">
        <v>0</v>
      </c>
      <c r="F1341">
        <v>4992.45</v>
      </c>
      <c r="G1341" t="s">
        <v>2018</v>
      </c>
      <c r="H1341" t="s">
        <v>2023</v>
      </c>
      <c r="I1341" t="s">
        <v>3367</v>
      </c>
      <c r="J1341" t="s">
        <v>4032</v>
      </c>
      <c r="K1341" t="s">
        <v>4056</v>
      </c>
      <c r="L1341">
        <v>4992.45</v>
      </c>
    </row>
    <row r="1342" spans="1:12">
      <c r="A1342" t="s">
        <v>1352</v>
      </c>
      <c r="B1342" s="2">
        <v>45591</v>
      </c>
      <c r="C1342">
        <v>5000</v>
      </c>
      <c r="D1342" t="s">
        <v>2013</v>
      </c>
      <c r="E1342">
        <v>1949.81</v>
      </c>
      <c r="F1342">
        <v>0</v>
      </c>
      <c r="G1342" t="s">
        <v>2018</v>
      </c>
      <c r="H1342" t="s">
        <v>2026</v>
      </c>
      <c r="I1342" t="s">
        <v>3368</v>
      </c>
      <c r="J1342" t="s">
        <v>4029</v>
      </c>
      <c r="K1342" t="s">
        <v>4059</v>
      </c>
      <c r="L1342">
        <v>-1949.81</v>
      </c>
    </row>
    <row r="1343" spans="1:12">
      <c r="A1343" t="s">
        <v>1353</v>
      </c>
      <c r="B1343" s="2">
        <v>45620</v>
      </c>
      <c r="C1343">
        <v>5010</v>
      </c>
      <c r="D1343" t="s">
        <v>2015</v>
      </c>
      <c r="E1343">
        <v>733.3</v>
      </c>
      <c r="F1343">
        <v>0</v>
      </c>
      <c r="G1343" t="s">
        <v>2018</v>
      </c>
      <c r="H1343" t="s">
        <v>2024</v>
      </c>
      <c r="I1343" t="s">
        <v>3369</v>
      </c>
      <c r="J1343" t="s">
        <v>4029</v>
      </c>
      <c r="K1343" t="s">
        <v>4043</v>
      </c>
      <c r="L1343">
        <v>-733.3</v>
      </c>
    </row>
    <row r="1344" spans="1:12">
      <c r="A1344" t="s">
        <v>1354</v>
      </c>
      <c r="B1344" s="2">
        <v>45647</v>
      </c>
      <c r="C1344">
        <v>5000</v>
      </c>
      <c r="D1344" t="s">
        <v>2013</v>
      </c>
      <c r="E1344">
        <v>1405.39</v>
      </c>
      <c r="F1344">
        <v>0</v>
      </c>
      <c r="G1344" t="s">
        <v>2017</v>
      </c>
      <c r="H1344" t="s">
        <v>2023</v>
      </c>
      <c r="I1344" t="s">
        <v>3370</v>
      </c>
      <c r="J1344" t="s">
        <v>4031</v>
      </c>
      <c r="K1344" t="s">
        <v>4056</v>
      </c>
      <c r="L1344">
        <v>-1405.39</v>
      </c>
    </row>
    <row r="1345" spans="1:12">
      <c r="A1345" t="s">
        <v>1355</v>
      </c>
      <c r="B1345" s="2">
        <v>45197</v>
      </c>
      <c r="C1345">
        <v>4000</v>
      </c>
      <c r="D1345" t="s">
        <v>2012</v>
      </c>
      <c r="E1345">
        <v>0</v>
      </c>
      <c r="F1345">
        <v>599.19000000000005</v>
      </c>
      <c r="G1345" t="s">
        <v>2017</v>
      </c>
      <c r="H1345" t="s">
        <v>2027</v>
      </c>
      <c r="I1345" t="s">
        <v>3371</v>
      </c>
      <c r="J1345" t="s">
        <v>4029</v>
      </c>
      <c r="K1345" t="s">
        <v>4036</v>
      </c>
      <c r="L1345">
        <v>599.19000000000005</v>
      </c>
    </row>
    <row r="1346" spans="1:12">
      <c r="A1346" t="s">
        <v>1356</v>
      </c>
      <c r="B1346" s="2">
        <v>45495</v>
      </c>
      <c r="C1346">
        <v>4010</v>
      </c>
      <c r="D1346" t="s">
        <v>2016</v>
      </c>
      <c r="E1346">
        <v>0</v>
      </c>
      <c r="F1346">
        <v>872.03</v>
      </c>
      <c r="G1346" t="s">
        <v>2022</v>
      </c>
      <c r="H1346" t="s">
        <v>2025</v>
      </c>
      <c r="I1346" t="s">
        <v>3372</v>
      </c>
      <c r="J1346" t="s">
        <v>4028</v>
      </c>
      <c r="K1346" t="s">
        <v>4054</v>
      </c>
      <c r="L1346">
        <v>872.03</v>
      </c>
    </row>
    <row r="1347" spans="1:12">
      <c r="A1347" t="s">
        <v>1357</v>
      </c>
      <c r="B1347" s="2">
        <v>45061</v>
      </c>
      <c r="C1347">
        <v>4000</v>
      </c>
      <c r="D1347" t="s">
        <v>2012</v>
      </c>
      <c r="E1347">
        <v>0</v>
      </c>
      <c r="F1347">
        <v>3873.21</v>
      </c>
      <c r="G1347" t="s">
        <v>2019</v>
      </c>
      <c r="H1347" t="s">
        <v>2025</v>
      </c>
      <c r="I1347" t="s">
        <v>3373</v>
      </c>
      <c r="J1347" t="s">
        <v>4030</v>
      </c>
      <c r="K1347" t="s">
        <v>4062</v>
      </c>
      <c r="L1347">
        <v>3873.21</v>
      </c>
    </row>
    <row r="1348" spans="1:12">
      <c r="A1348" t="s">
        <v>1358</v>
      </c>
      <c r="B1348" s="2">
        <v>45833</v>
      </c>
      <c r="C1348">
        <v>5010</v>
      </c>
      <c r="D1348" t="s">
        <v>2015</v>
      </c>
      <c r="E1348">
        <v>122.84</v>
      </c>
      <c r="F1348">
        <v>0</v>
      </c>
      <c r="G1348" t="s">
        <v>2019</v>
      </c>
      <c r="H1348" t="s">
        <v>2027</v>
      </c>
      <c r="I1348" t="s">
        <v>3374</v>
      </c>
      <c r="J1348" t="s">
        <v>4031</v>
      </c>
      <c r="K1348" t="s">
        <v>4052</v>
      </c>
      <c r="L1348">
        <v>-122.84</v>
      </c>
    </row>
    <row r="1349" spans="1:12">
      <c r="A1349" t="s">
        <v>1359</v>
      </c>
      <c r="B1349" s="2">
        <v>45698</v>
      </c>
      <c r="C1349">
        <v>4010</v>
      </c>
      <c r="D1349" t="s">
        <v>2016</v>
      </c>
      <c r="E1349">
        <v>0</v>
      </c>
      <c r="F1349">
        <v>1039.28</v>
      </c>
      <c r="G1349" t="s">
        <v>2022</v>
      </c>
      <c r="H1349" t="s">
        <v>2027</v>
      </c>
      <c r="I1349" t="s">
        <v>3375</v>
      </c>
      <c r="J1349" t="s">
        <v>4029</v>
      </c>
      <c r="K1349" t="s">
        <v>4061</v>
      </c>
      <c r="L1349">
        <v>1039.28</v>
      </c>
    </row>
    <row r="1350" spans="1:12">
      <c r="A1350" t="s">
        <v>1360</v>
      </c>
      <c r="B1350" s="2">
        <v>45759</v>
      </c>
      <c r="C1350">
        <v>4010</v>
      </c>
      <c r="D1350" t="s">
        <v>2016</v>
      </c>
      <c r="E1350">
        <v>0</v>
      </c>
      <c r="F1350">
        <v>1214.51</v>
      </c>
      <c r="G1350" t="s">
        <v>2020</v>
      </c>
      <c r="H1350" t="s">
        <v>2027</v>
      </c>
      <c r="I1350" t="s">
        <v>3376</v>
      </c>
      <c r="J1350" t="s">
        <v>4028</v>
      </c>
      <c r="K1350" t="s">
        <v>4045</v>
      </c>
      <c r="L1350">
        <v>1214.51</v>
      </c>
    </row>
    <row r="1351" spans="1:12">
      <c r="A1351" t="s">
        <v>1361</v>
      </c>
      <c r="B1351" s="2">
        <v>45677</v>
      </c>
      <c r="C1351">
        <v>5010</v>
      </c>
      <c r="D1351" t="s">
        <v>2015</v>
      </c>
      <c r="E1351">
        <v>1318.81</v>
      </c>
      <c r="F1351">
        <v>0</v>
      </c>
      <c r="G1351" t="s">
        <v>2020</v>
      </c>
      <c r="H1351" t="s">
        <v>2025</v>
      </c>
      <c r="I1351" t="s">
        <v>3377</v>
      </c>
      <c r="J1351" t="s">
        <v>4030</v>
      </c>
      <c r="K1351" t="s">
        <v>4035</v>
      </c>
      <c r="L1351">
        <v>-1318.81</v>
      </c>
    </row>
    <row r="1352" spans="1:12">
      <c r="A1352" t="s">
        <v>1362</v>
      </c>
      <c r="B1352" s="2">
        <v>45131</v>
      </c>
      <c r="C1352">
        <v>4010</v>
      </c>
      <c r="D1352" t="s">
        <v>2016</v>
      </c>
      <c r="E1352">
        <v>0</v>
      </c>
      <c r="F1352">
        <v>3395.3</v>
      </c>
      <c r="G1352" t="s">
        <v>2018</v>
      </c>
      <c r="H1352" t="s">
        <v>2024</v>
      </c>
      <c r="I1352" t="s">
        <v>3378</v>
      </c>
      <c r="J1352" t="s">
        <v>4028</v>
      </c>
      <c r="K1352" t="s">
        <v>4050</v>
      </c>
      <c r="L1352">
        <v>3395.3</v>
      </c>
    </row>
    <row r="1353" spans="1:12">
      <c r="A1353" t="s">
        <v>1363</v>
      </c>
      <c r="B1353" s="2">
        <v>45562</v>
      </c>
      <c r="C1353">
        <v>6000</v>
      </c>
      <c r="D1353" t="s">
        <v>2014</v>
      </c>
      <c r="E1353">
        <v>1554.18</v>
      </c>
      <c r="F1353">
        <v>0</v>
      </c>
      <c r="G1353" t="s">
        <v>2022</v>
      </c>
      <c r="H1353" t="s">
        <v>2024</v>
      </c>
      <c r="I1353" t="s">
        <v>3379</v>
      </c>
      <c r="J1353" t="s">
        <v>4030</v>
      </c>
      <c r="K1353" t="s">
        <v>4048</v>
      </c>
      <c r="L1353">
        <v>-1554.18</v>
      </c>
    </row>
    <row r="1354" spans="1:12">
      <c r="A1354" t="s">
        <v>1364</v>
      </c>
      <c r="B1354" s="2">
        <v>45619</v>
      </c>
      <c r="C1354">
        <v>4000</v>
      </c>
      <c r="D1354" t="s">
        <v>2012</v>
      </c>
      <c r="E1354">
        <v>0</v>
      </c>
      <c r="F1354">
        <v>4613.7</v>
      </c>
      <c r="G1354" t="s">
        <v>2017</v>
      </c>
      <c r="H1354" t="s">
        <v>2024</v>
      </c>
      <c r="I1354" t="s">
        <v>3380</v>
      </c>
      <c r="J1354" t="s">
        <v>4031</v>
      </c>
      <c r="K1354" t="s">
        <v>4043</v>
      </c>
      <c r="L1354">
        <v>4613.7</v>
      </c>
    </row>
    <row r="1355" spans="1:12">
      <c r="A1355" t="s">
        <v>1365</v>
      </c>
      <c r="B1355" s="2">
        <v>45838</v>
      </c>
      <c r="C1355">
        <v>5010</v>
      </c>
      <c r="D1355" t="s">
        <v>2015</v>
      </c>
      <c r="E1355">
        <v>803.03</v>
      </c>
      <c r="F1355">
        <v>0</v>
      </c>
      <c r="G1355" t="s">
        <v>2021</v>
      </c>
      <c r="H1355" t="s">
        <v>2026</v>
      </c>
      <c r="I1355" t="s">
        <v>3381</v>
      </c>
      <c r="J1355" t="s">
        <v>4032</v>
      </c>
      <c r="K1355" t="s">
        <v>4052</v>
      </c>
      <c r="L1355">
        <v>-803.03</v>
      </c>
    </row>
    <row r="1356" spans="1:12">
      <c r="A1356" t="s">
        <v>1366</v>
      </c>
      <c r="B1356" s="2">
        <v>45795</v>
      </c>
      <c r="C1356">
        <v>5010</v>
      </c>
      <c r="D1356" t="s">
        <v>2015</v>
      </c>
      <c r="E1356">
        <v>1564.19</v>
      </c>
      <c r="F1356">
        <v>0</v>
      </c>
      <c r="G1356" t="s">
        <v>2017</v>
      </c>
      <c r="H1356" t="s">
        <v>2026</v>
      </c>
      <c r="I1356" t="s">
        <v>3382</v>
      </c>
      <c r="J1356" t="s">
        <v>4032</v>
      </c>
      <c r="K1356" t="s">
        <v>4038</v>
      </c>
      <c r="L1356">
        <v>-1564.19</v>
      </c>
    </row>
    <row r="1357" spans="1:12">
      <c r="A1357" t="s">
        <v>1367</v>
      </c>
      <c r="B1357" s="2">
        <v>45675</v>
      </c>
      <c r="C1357">
        <v>6000</v>
      </c>
      <c r="D1357" t="s">
        <v>2014</v>
      </c>
      <c r="E1357">
        <v>1942.89</v>
      </c>
      <c r="F1357">
        <v>0</v>
      </c>
      <c r="G1357" t="s">
        <v>2017</v>
      </c>
      <c r="H1357" t="s">
        <v>2027</v>
      </c>
      <c r="I1357" t="s">
        <v>3383</v>
      </c>
      <c r="J1357" t="s">
        <v>4031</v>
      </c>
      <c r="K1357" t="s">
        <v>4035</v>
      </c>
      <c r="L1357">
        <v>-1942.89</v>
      </c>
    </row>
    <row r="1358" spans="1:12">
      <c r="A1358" t="s">
        <v>1368</v>
      </c>
      <c r="B1358" s="2">
        <v>45578</v>
      </c>
      <c r="C1358">
        <v>4000</v>
      </c>
      <c r="D1358" t="s">
        <v>2012</v>
      </c>
      <c r="E1358">
        <v>0</v>
      </c>
      <c r="F1358">
        <v>4122.6000000000004</v>
      </c>
      <c r="G1358" t="s">
        <v>2019</v>
      </c>
      <c r="H1358" t="s">
        <v>2026</v>
      </c>
      <c r="I1358" t="s">
        <v>3384</v>
      </c>
      <c r="J1358" t="s">
        <v>4028</v>
      </c>
      <c r="K1358" t="s">
        <v>4059</v>
      </c>
      <c r="L1358">
        <v>4122.6000000000004</v>
      </c>
    </row>
    <row r="1359" spans="1:12">
      <c r="A1359" t="s">
        <v>1369</v>
      </c>
      <c r="B1359" s="2">
        <v>45667</v>
      </c>
      <c r="C1359">
        <v>4010</v>
      </c>
      <c r="D1359" t="s">
        <v>2016</v>
      </c>
      <c r="E1359">
        <v>0</v>
      </c>
      <c r="F1359">
        <v>3139.71</v>
      </c>
      <c r="G1359" t="s">
        <v>2019</v>
      </c>
      <c r="H1359" t="s">
        <v>2027</v>
      </c>
      <c r="I1359" t="s">
        <v>3385</v>
      </c>
      <c r="J1359" t="s">
        <v>4029</v>
      </c>
      <c r="K1359" t="s">
        <v>4035</v>
      </c>
      <c r="L1359">
        <v>3139.71</v>
      </c>
    </row>
    <row r="1360" spans="1:12">
      <c r="A1360" t="s">
        <v>1370</v>
      </c>
      <c r="B1360" s="2">
        <v>45058</v>
      </c>
      <c r="C1360">
        <v>5010</v>
      </c>
      <c r="D1360" t="s">
        <v>2015</v>
      </c>
      <c r="E1360">
        <v>168.07</v>
      </c>
      <c r="F1360">
        <v>0</v>
      </c>
      <c r="G1360" t="s">
        <v>2018</v>
      </c>
      <c r="H1360" t="s">
        <v>2023</v>
      </c>
      <c r="I1360" t="s">
        <v>3386</v>
      </c>
      <c r="J1360" t="s">
        <v>4032</v>
      </c>
      <c r="K1360" t="s">
        <v>4062</v>
      </c>
      <c r="L1360">
        <v>-168.07</v>
      </c>
    </row>
    <row r="1361" spans="1:12">
      <c r="A1361" t="s">
        <v>1371</v>
      </c>
      <c r="B1361" s="2">
        <v>44975</v>
      </c>
      <c r="C1361">
        <v>4000</v>
      </c>
      <c r="D1361" t="s">
        <v>2012</v>
      </c>
      <c r="E1361">
        <v>0</v>
      </c>
      <c r="F1361">
        <v>2067.23</v>
      </c>
      <c r="G1361" t="s">
        <v>2019</v>
      </c>
      <c r="H1361" t="s">
        <v>2026</v>
      </c>
      <c r="I1361" t="s">
        <v>3387</v>
      </c>
      <c r="J1361" t="s">
        <v>4028</v>
      </c>
      <c r="K1361" t="s">
        <v>4057</v>
      </c>
      <c r="L1361">
        <v>2067.23</v>
      </c>
    </row>
    <row r="1362" spans="1:12">
      <c r="A1362" t="s">
        <v>1372</v>
      </c>
      <c r="B1362" s="2">
        <v>45837</v>
      </c>
      <c r="C1362">
        <v>5010</v>
      </c>
      <c r="D1362" t="s">
        <v>2015</v>
      </c>
      <c r="E1362">
        <v>364.93</v>
      </c>
      <c r="F1362">
        <v>0</v>
      </c>
      <c r="G1362" t="s">
        <v>2022</v>
      </c>
      <c r="H1362" t="s">
        <v>2026</v>
      </c>
      <c r="I1362" t="s">
        <v>3388</v>
      </c>
      <c r="J1362" t="s">
        <v>4031</v>
      </c>
      <c r="K1362" t="s">
        <v>4052</v>
      </c>
      <c r="L1362">
        <v>-364.93</v>
      </c>
    </row>
    <row r="1363" spans="1:12">
      <c r="A1363" t="s">
        <v>1373</v>
      </c>
      <c r="B1363" s="2">
        <v>45694</v>
      </c>
      <c r="C1363">
        <v>5000</v>
      </c>
      <c r="D1363" t="s">
        <v>2013</v>
      </c>
      <c r="E1363">
        <v>488.16</v>
      </c>
      <c r="F1363">
        <v>0</v>
      </c>
      <c r="G1363" t="s">
        <v>2020</v>
      </c>
      <c r="H1363" t="s">
        <v>2023</v>
      </c>
      <c r="I1363" t="s">
        <v>3389</v>
      </c>
      <c r="J1363" t="s">
        <v>4028</v>
      </c>
      <c r="K1363" t="s">
        <v>4061</v>
      </c>
      <c r="L1363">
        <v>-488.16</v>
      </c>
    </row>
    <row r="1364" spans="1:12">
      <c r="A1364" t="s">
        <v>1374</v>
      </c>
      <c r="B1364" s="2">
        <v>44968</v>
      </c>
      <c r="C1364">
        <v>5000</v>
      </c>
      <c r="D1364" t="s">
        <v>2013</v>
      </c>
      <c r="E1364">
        <v>506.43</v>
      </c>
      <c r="F1364">
        <v>0</v>
      </c>
      <c r="G1364" t="s">
        <v>2022</v>
      </c>
      <c r="H1364" t="s">
        <v>2027</v>
      </c>
      <c r="I1364" t="s">
        <v>3390</v>
      </c>
      <c r="J1364" t="s">
        <v>4031</v>
      </c>
      <c r="K1364" t="s">
        <v>4057</v>
      </c>
      <c r="L1364">
        <v>-506.43</v>
      </c>
    </row>
    <row r="1365" spans="1:12">
      <c r="A1365" t="s">
        <v>1375</v>
      </c>
      <c r="B1365" s="2">
        <v>45498</v>
      </c>
      <c r="C1365">
        <v>5000</v>
      </c>
      <c r="D1365" t="s">
        <v>2013</v>
      </c>
      <c r="E1365">
        <v>517.6</v>
      </c>
      <c r="F1365">
        <v>0</v>
      </c>
      <c r="G1365" t="s">
        <v>2018</v>
      </c>
      <c r="H1365" t="s">
        <v>2025</v>
      </c>
      <c r="I1365" t="s">
        <v>3391</v>
      </c>
      <c r="J1365" t="s">
        <v>4029</v>
      </c>
      <c r="K1365" t="s">
        <v>4054</v>
      </c>
      <c r="L1365">
        <v>-517.6</v>
      </c>
    </row>
    <row r="1366" spans="1:12">
      <c r="A1366" t="s">
        <v>1376</v>
      </c>
      <c r="B1366" s="2">
        <v>45279</v>
      </c>
      <c r="C1366">
        <v>6000</v>
      </c>
      <c r="D1366" t="s">
        <v>2014</v>
      </c>
      <c r="E1366">
        <v>846.47</v>
      </c>
      <c r="F1366">
        <v>0</v>
      </c>
      <c r="G1366" t="s">
        <v>2019</v>
      </c>
      <c r="H1366" t="s">
        <v>2026</v>
      </c>
      <c r="I1366" t="s">
        <v>3392</v>
      </c>
      <c r="J1366" t="s">
        <v>4030</v>
      </c>
      <c r="K1366" t="s">
        <v>4039</v>
      </c>
      <c r="L1366">
        <v>-846.47</v>
      </c>
    </row>
    <row r="1367" spans="1:12">
      <c r="A1367" t="s">
        <v>1377</v>
      </c>
      <c r="B1367" s="2">
        <v>45007</v>
      </c>
      <c r="C1367">
        <v>4010</v>
      </c>
      <c r="D1367" t="s">
        <v>2016</v>
      </c>
      <c r="E1367">
        <v>0</v>
      </c>
      <c r="F1367">
        <v>998.83</v>
      </c>
      <c r="G1367" t="s">
        <v>2022</v>
      </c>
      <c r="H1367" t="s">
        <v>2027</v>
      </c>
      <c r="I1367" t="s">
        <v>3393</v>
      </c>
      <c r="J1367" t="s">
        <v>4031</v>
      </c>
      <c r="K1367" t="s">
        <v>4051</v>
      </c>
      <c r="L1367">
        <v>998.83</v>
      </c>
    </row>
    <row r="1368" spans="1:12">
      <c r="A1368" t="s">
        <v>1378</v>
      </c>
      <c r="B1368" s="2">
        <v>45268</v>
      </c>
      <c r="C1368">
        <v>5010</v>
      </c>
      <c r="D1368" t="s">
        <v>2015</v>
      </c>
      <c r="E1368">
        <v>714.9</v>
      </c>
      <c r="F1368">
        <v>0</v>
      </c>
      <c r="G1368" t="s">
        <v>2017</v>
      </c>
      <c r="H1368" t="s">
        <v>2023</v>
      </c>
      <c r="I1368" t="s">
        <v>3394</v>
      </c>
      <c r="J1368" t="s">
        <v>4028</v>
      </c>
      <c r="K1368" t="s">
        <v>4039</v>
      </c>
      <c r="L1368">
        <v>-714.9</v>
      </c>
    </row>
    <row r="1369" spans="1:12">
      <c r="A1369" t="s">
        <v>1379</v>
      </c>
      <c r="B1369" s="2">
        <v>45261</v>
      </c>
      <c r="C1369">
        <v>4010</v>
      </c>
      <c r="D1369" t="s">
        <v>2016</v>
      </c>
      <c r="E1369">
        <v>0</v>
      </c>
      <c r="F1369">
        <v>1049.58</v>
      </c>
      <c r="G1369" t="s">
        <v>2019</v>
      </c>
      <c r="H1369" t="s">
        <v>2023</v>
      </c>
      <c r="I1369" t="s">
        <v>3395</v>
      </c>
      <c r="J1369" t="s">
        <v>4030</v>
      </c>
      <c r="K1369" t="s">
        <v>4039</v>
      </c>
      <c r="L1369">
        <v>1049.58</v>
      </c>
    </row>
    <row r="1370" spans="1:12">
      <c r="A1370" t="s">
        <v>1380</v>
      </c>
      <c r="B1370" s="2">
        <v>44943</v>
      </c>
      <c r="C1370">
        <v>5010</v>
      </c>
      <c r="D1370" t="s">
        <v>2015</v>
      </c>
      <c r="E1370">
        <v>1962.1</v>
      </c>
      <c r="F1370">
        <v>0</v>
      </c>
      <c r="G1370" t="s">
        <v>2017</v>
      </c>
      <c r="H1370" t="s">
        <v>2027</v>
      </c>
      <c r="I1370" t="s">
        <v>3396</v>
      </c>
      <c r="J1370" t="s">
        <v>4031</v>
      </c>
      <c r="K1370" t="s">
        <v>4047</v>
      </c>
      <c r="L1370">
        <v>-1962.1</v>
      </c>
    </row>
    <row r="1371" spans="1:12">
      <c r="A1371" t="s">
        <v>1381</v>
      </c>
      <c r="B1371" s="2">
        <v>44946</v>
      </c>
      <c r="C1371">
        <v>5000</v>
      </c>
      <c r="D1371" t="s">
        <v>2013</v>
      </c>
      <c r="E1371">
        <v>773.23</v>
      </c>
      <c r="F1371">
        <v>0</v>
      </c>
      <c r="G1371" t="s">
        <v>2022</v>
      </c>
      <c r="H1371" t="s">
        <v>2024</v>
      </c>
      <c r="I1371" t="s">
        <v>3397</v>
      </c>
      <c r="J1371" t="s">
        <v>4032</v>
      </c>
      <c r="K1371" t="s">
        <v>4047</v>
      </c>
      <c r="L1371">
        <v>-773.23</v>
      </c>
    </row>
    <row r="1372" spans="1:12">
      <c r="A1372" t="s">
        <v>1382</v>
      </c>
      <c r="B1372" s="2">
        <v>45804</v>
      </c>
      <c r="C1372">
        <v>5010</v>
      </c>
      <c r="D1372" t="s">
        <v>2015</v>
      </c>
      <c r="E1372">
        <v>485.53</v>
      </c>
      <c r="F1372">
        <v>0</v>
      </c>
      <c r="G1372" t="s">
        <v>2020</v>
      </c>
      <c r="H1372" t="s">
        <v>2023</v>
      </c>
      <c r="I1372" t="s">
        <v>3398</v>
      </c>
      <c r="J1372" t="s">
        <v>4028</v>
      </c>
      <c r="K1372" t="s">
        <v>4038</v>
      </c>
      <c r="L1372">
        <v>-485.53</v>
      </c>
    </row>
    <row r="1373" spans="1:12">
      <c r="A1373" t="s">
        <v>1383</v>
      </c>
      <c r="B1373" s="2">
        <v>45360</v>
      </c>
      <c r="C1373">
        <v>4010</v>
      </c>
      <c r="D1373" t="s">
        <v>2016</v>
      </c>
      <c r="E1373">
        <v>0</v>
      </c>
      <c r="F1373">
        <v>586.21</v>
      </c>
      <c r="G1373" t="s">
        <v>2020</v>
      </c>
      <c r="H1373" t="s">
        <v>2025</v>
      </c>
      <c r="I1373" t="s">
        <v>3399</v>
      </c>
      <c r="J1373" t="s">
        <v>4029</v>
      </c>
      <c r="K1373" t="s">
        <v>4049</v>
      </c>
      <c r="L1373">
        <v>586.21</v>
      </c>
    </row>
    <row r="1374" spans="1:12">
      <c r="A1374" t="s">
        <v>1384</v>
      </c>
      <c r="B1374" s="2">
        <v>45744</v>
      </c>
      <c r="C1374">
        <v>4000</v>
      </c>
      <c r="D1374" t="s">
        <v>2012</v>
      </c>
      <c r="E1374">
        <v>0</v>
      </c>
      <c r="F1374">
        <v>1624.21</v>
      </c>
      <c r="G1374" t="s">
        <v>2020</v>
      </c>
      <c r="H1374" t="s">
        <v>2026</v>
      </c>
      <c r="I1374" t="s">
        <v>3400</v>
      </c>
      <c r="J1374" t="s">
        <v>4028</v>
      </c>
      <c r="K1374" t="s">
        <v>4046</v>
      </c>
      <c r="L1374">
        <v>1624.21</v>
      </c>
    </row>
    <row r="1375" spans="1:12">
      <c r="A1375" t="s">
        <v>1385</v>
      </c>
      <c r="B1375" s="2">
        <v>45089</v>
      </c>
      <c r="C1375">
        <v>5010</v>
      </c>
      <c r="D1375" t="s">
        <v>2015</v>
      </c>
      <c r="E1375">
        <v>680.82</v>
      </c>
      <c r="F1375">
        <v>0</v>
      </c>
      <c r="G1375" t="s">
        <v>2022</v>
      </c>
      <c r="H1375" t="s">
        <v>2027</v>
      </c>
      <c r="I1375" t="s">
        <v>3401</v>
      </c>
      <c r="J1375" t="s">
        <v>4031</v>
      </c>
      <c r="K1375" t="s">
        <v>4055</v>
      </c>
      <c r="L1375">
        <v>-680.82</v>
      </c>
    </row>
    <row r="1376" spans="1:12">
      <c r="A1376" t="s">
        <v>1386</v>
      </c>
      <c r="B1376" s="2">
        <v>45262</v>
      </c>
      <c r="C1376">
        <v>6000</v>
      </c>
      <c r="D1376" t="s">
        <v>2014</v>
      </c>
      <c r="E1376">
        <v>167.34</v>
      </c>
      <c r="F1376">
        <v>0</v>
      </c>
      <c r="G1376" t="s">
        <v>2020</v>
      </c>
      <c r="H1376" t="s">
        <v>2025</v>
      </c>
      <c r="I1376" t="s">
        <v>3402</v>
      </c>
      <c r="J1376" t="s">
        <v>4031</v>
      </c>
      <c r="K1376" t="s">
        <v>4039</v>
      </c>
      <c r="L1376">
        <v>-167.34</v>
      </c>
    </row>
    <row r="1377" spans="1:12">
      <c r="A1377" t="s">
        <v>1387</v>
      </c>
      <c r="B1377" s="2">
        <v>45489</v>
      </c>
      <c r="C1377">
        <v>4000</v>
      </c>
      <c r="D1377" t="s">
        <v>2012</v>
      </c>
      <c r="E1377">
        <v>0</v>
      </c>
      <c r="F1377">
        <v>1929.16</v>
      </c>
      <c r="G1377" t="s">
        <v>2020</v>
      </c>
      <c r="H1377" t="s">
        <v>2026</v>
      </c>
      <c r="I1377" t="s">
        <v>3403</v>
      </c>
      <c r="J1377" t="s">
        <v>4029</v>
      </c>
      <c r="K1377" t="s">
        <v>4054</v>
      </c>
      <c r="L1377">
        <v>1929.16</v>
      </c>
    </row>
    <row r="1378" spans="1:12">
      <c r="A1378" t="s">
        <v>1388</v>
      </c>
      <c r="B1378" s="2">
        <v>45240</v>
      </c>
      <c r="C1378">
        <v>5010</v>
      </c>
      <c r="D1378" t="s">
        <v>2015</v>
      </c>
      <c r="E1378">
        <v>400.54</v>
      </c>
      <c r="F1378">
        <v>0</v>
      </c>
      <c r="G1378" t="s">
        <v>2020</v>
      </c>
      <c r="H1378" t="s">
        <v>2025</v>
      </c>
      <c r="I1378" t="s">
        <v>3404</v>
      </c>
      <c r="J1378" t="s">
        <v>4029</v>
      </c>
      <c r="K1378" t="s">
        <v>4042</v>
      </c>
      <c r="L1378">
        <v>-400.54</v>
      </c>
    </row>
    <row r="1379" spans="1:12">
      <c r="A1379" t="s">
        <v>1389</v>
      </c>
      <c r="B1379" s="2">
        <v>45397</v>
      </c>
      <c r="C1379">
        <v>4010</v>
      </c>
      <c r="D1379" t="s">
        <v>2016</v>
      </c>
      <c r="E1379">
        <v>0</v>
      </c>
      <c r="F1379">
        <v>1657.49</v>
      </c>
      <c r="G1379" t="s">
        <v>2022</v>
      </c>
      <c r="H1379" t="s">
        <v>2025</v>
      </c>
      <c r="I1379" t="s">
        <v>3405</v>
      </c>
      <c r="J1379" t="s">
        <v>4028</v>
      </c>
      <c r="K1379" t="s">
        <v>4040</v>
      </c>
      <c r="L1379">
        <v>1657.49</v>
      </c>
    </row>
    <row r="1380" spans="1:12">
      <c r="A1380" t="s">
        <v>1390</v>
      </c>
      <c r="B1380" s="2">
        <v>45388</v>
      </c>
      <c r="C1380">
        <v>4000</v>
      </c>
      <c r="D1380" t="s">
        <v>2012</v>
      </c>
      <c r="E1380">
        <v>0</v>
      </c>
      <c r="F1380">
        <v>1718.15</v>
      </c>
      <c r="G1380" t="s">
        <v>2017</v>
      </c>
      <c r="H1380" t="s">
        <v>2026</v>
      </c>
      <c r="I1380" t="s">
        <v>3406</v>
      </c>
      <c r="J1380" t="s">
        <v>4028</v>
      </c>
      <c r="K1380" t="s">
        <v>4040</v>
      </c>
      <c r="L1380">
        <v>1718.15</v>
      </c>
    </row>
    <row r="1381" spans="1:12">
      <c r="A1381" t="s">
        <v>1391</v>
      </c>
      <c r="B1381" s="2">
        <v>45824</v>
      </c>
      <c r="C1381">
        <v>4010</v>
      </c>
      <c r="D1381" t="s">
        <v>2016</v>
      </c>
      <c r="E1381">
        <v>0</v>
      </c>
      <c r="F1381">
        <v>3216.06</v>
      </c>
      <c r="G1381" t="s">
        <v>2021</v>
      </c>
      <c r="H1381" t="s">
        <v>2027</v>
      </c>
      <c r="I1381" t="s">
        <v>3407</v>
      </c>
      <c r="J1381" t="s">
        <v>4032</v>
      </c>
      <c r="K1381" t="s">
        <v>4052</v>
      </c>
      <c r="L1381">
        <v>3216.06</v>
      </c>
    </row>
    <row r="1382" spans="1:12">
      <c r="A1382" t="s">
        <v>1392</v>
      </c>
      <c r="B1382" s="2">
        <v>45065</v>
      </c>
      <c r="C1382">
        <v>4010</v>
      </c>
      <c r="D1382" t="s">
        <v>2016</v>
      </c>
      <c r="E1382">
        <v>0</v>
      </c>
      <c r="F1382">
        <v>3406.43</v>
      </c>
      <c r="G1382" t="s">
        <v>2019</v>
      </c>
      <c r="H1382" t="s">
        <v>2027</v>
      </c>
      <c r="I1382" t="s">
        <v>3408</v>
      </c>
      <c r="J1382" t="s">
        <v>4030</v>
      </c>
      <c r="K1382" t="s">
        <v>4062</v>
      </c>
      <c r="L1382">
        <v>3406.43</v>
      </c>
    </row>
    <row r="1383" spans="1:12">
      <c r="A1383" t="s">
        <v>1393</v>
      </c>
      <c r="B1383" s="2">
        <v>45744</v>
      </c>
      <c r="C1383">
        <v>6000</v>
      </c>
      <c r="D1383" t="s">
        <v>2014</v>
      </c>
      <c r="E1383">
        <v>1047.53</v>
      </c>
      <c r="F1383">
        <v>0</v>
      </c>
      <c r="G1383" t="s">
        <v>2021</v>
      </c>
      <c r="H1383" t="s">
        <v>2026</v>
      </c>
      <c r="I1383" t="s">
        <v>3409</v>
      </c>
      <c r="J1383" t="s">
        <v>4031</v>
      </c>
      <c r="K1383" t="s">
        <v>4046</v>
      </c>
      <c r="L1383">
        <v>-1047.53</v>
      </c>
    </row>
    <row r="1384" spans="1:12">
      <c r="A1384" t="s">
        <v>1394</v>
      </c>
      <c r="B1384" s="2">
        <v>45599</v>
      </c>
      <c r="C1384">
        <v>5010</v>
      </c>
      <c r="D1384" t="s">
        <v>2015</v>
      </c>
      <c r="E1384">
        <v>129.62</v>
      </c>
      <c r="F1384">
        <v>0</v>
      </c>
      <c r="G1384" t="s">
        <v>2021</v>
      </c>
      <c r="H1384" t="s">
        <v>2023</v>
      </c>
      <c r="I1384" t="s">
        <v>3410</v>
      </c>
      <c r="J1384" t="s">
        <v>4029</v>
      </c>
      <c r="K1384" t="s">
        <v>4043</v>
      </c>
      <c r="L1384">
        <v>-129.62</v>
      </c>
    </row>
    <row r="1385" spans="1:12">
      <c r="A1385" t="s">
        <v>1395</v>
      </c>
      <c r="B1385" s="2">
        <v>45158</v>
      </c>
      <c r="C1385">
        <v>4010</v>
      </c>
      <c r="D1385" t="s">
        <v>2016</v>
      </c>
      <c r="E1385">
        <v>0</v>
      </c>
      <c r="F1385">
        <v>2334.75</v>
      </c>
      <c r="G1385" t="s">
        <v>2019</v>
      </c>
      <c r="H1385" t="s">
        <v>2026</v>
      </c>
      <c r="I1385" t="s">
        <v>3411</v>
      </c>
      <c r="J1385" t="s">
        <v>4030</v>
      </c>
      <c r="K1385" t="s">
        <v>4037</v>
      </c>
      <c r="L1385">
        <v>2334.75</v>
      </c>
    </row>
    <row r="1386" spans="1:12">
      <c r="A1386" t="s">
        <v>1396</v>
      </c>
      <c r="B1386" s="2">
        <v>45091</v>
      </c>
      <c r="C1386">
        <v>6000</v>
      </c>
      <c r="D1386" t="s">
        <v>2014</v>
      </c>
      <c r="E1386">
        <v>1023.61</v>
      </c>
      <c r="F1386">
        <v>0</v>
      </c>
      <c r="G1386" t="s">
        <v>2017</v>
      </c>
      <c r="H1386" t="s">
        <v>2024</v>
      </c>
      <c r="I1386" t="s">
        <v>3412</v>
      </c>
      <c r="J1386" t="s">
        <v>4028</v>
      </c>
      <c r="K1386" t="s">
        <v>4055</v>
      </c>
      <c r="L1386">
        <v>-1023.61</v>
      </c>
    </row>
    <row r="1387" spans="1:12">
      <c r="A1387" t="s">
        <v>1397</v>
      </c>
      <c r="B1387" s="2">
        <v>45311</v>
      </c>
      <c r="C1387">
        <v>5010</v>
      </c>
      <c r="D1387" t="s">
        <v>2015</v>
      </c>
      <c r="E1387">
        <v>182.89</v>
      </c>
      <c r="F1387">
        <v>0</v>
      </c>
      <c r="G1387" t="s">
        <v>2020</v>
      </c>
      <c r="H1387" t="s">
        <v>2024</v>
      </c>
      <c r="I1387" t="s">
        <v>3413</v>
      </c>
      <c r="J1387" t="s">
        <v>4028</v>
      </c>
      <c r="K1387" t="s">
        <v>4053</v>
      </c>
      <c r="L1387">
        <v>-182.89</v>
      </c>
    </row>
    <row r="1388" spans="1:12">
      <c r="A1388" t="s">
        <v>1398</v>
      </c>
      <c r="B1388" s="2">
        <v>45476</v>
      </c>
      <c r="C1388">
        <v>6000</v>
      </c>
      <c r="D1388" t="s">
        <v>2014</v>
      </c>
      <c r="E1388">
        <v>229.97</v>
      </c>
      <c r="F1388">
        <v>0</v>
      </c>
      <c r="G1388" t="s">
        <v>2017</v>
      </c>
      <c r="H1388" t="s">
        <v>2024</v>
      </c>
      <c r="I1388" t="s">
        <v>3414</v>
      </c>
      <c r="J1388" t="s">
        <v>4028</v>
      </c>
      <c r="K1388" t="s">
        <v>4054</v>
      </c>
      <c r="L1388">
        <v>-229.97</v>
      </c>
    </row>
    <row r="1389" spans="1:12">
      <c r="A1389" t="s">
        <v>1399</v>
      </c>
      <c r="B1389" s="2">
        <v>45548</v>
      </c>
      <c r="C1389">
        <v>6000</v>
      </c>
      <c r="D1389" t="s">
        <v>2014</v>
      </c>
      <c r="E1389">
        <v>1443.86</v>
      </c>
      <c r="F1389">
        <v>0</v>
      </c>
      <c r="G1389" t="s">
        <v>2020</v>
      </c>
      <c r="H1389" t="s">
        <v>2027</v>
      </c>
      <c r="I1389" t="s">
        <v>3415</v>
      </c>
      <c r="J1389" t="s">
        <v>4031</v>
      </c>
      <c r="K1389" t="s">
        <v>4048</v>
      </c>
      <c r="L1389">
        <v>-1443.86</v>
      </c>
    </row>
    <row r="1390" spans="1:12">
      <c r="A1390" t="s">
        <v>1400</v>
      </c>
      <c r="B1390" s="2">
        <v>45391</v>
      </c>
      <c r="C1390">
        <v>4010</v>
      </c>
      <c r="D1390" t="s">
        <v>2016</v>
      </c>
      <c r="E1390">
        <v>0</v>
      </c>
      <c r="F1390">
        <v>1270.57</v>
      </c>
      <c r="G1390" t="s">
        <v>2019</v>
      </c>
      <c r="H1390" t="s">
        <v>2024</v>
      </c>
      <c r="I1390" t="s">
        <v>3416</v>
      </c>
      <c r="J1390" t="s">
        <v>4030</v>
      </c>
      <c r="K1390" t="s">
        <v>4040</v>
      </c>
      <c r="L1390">
        <v>1270.57</v>
      </c>
    </row>
    <row r="1391" spans="1:12">
      <c r="A1391" t="s">
        <v>1401</v>
      </c>
      <c r="B1391" s="2">
        <v>45139</v>
      </c>
      <c r="C1391">
        <v>4010</v>
      </c>
      <c r="D1391" t="s">
        <v>2016</v>
      </c>
      <c r="E1391">
        <v>0</v>
      </c>
      <c r="F1391">
        <v>1310.5899999999999</v>
      </c>
      <c r="G1391" t="s">
        <v>2022</v>
      </c>
      <c r="H1391" t="s">
        <v>2027</v>
      </c>
      <c r="I1391" t="s">
        <v>3417</v>
      </c>
      <c r="J1391" t="s">
        <v>4032</v>
      </c>
      <c r="K1391" t="s">
        <v>4037</v>
      </c>
      <c r="L1391">
        <v>1310.5899999999999</v>
      </c>
    </row>
    <row r="1392" spans="1:12">
      <c r="A1392" t="s">
        <v>1402</v>
      </c>
      <c r="B1392" s="2">
        <v>45344</v>
      </c>
      <c r="C1392">
        <v>4010</v>
      </c>
      <c r="D1392" t="s">
        <v>2016</v>
      </c>
      <c r="E1392">
        <v>0</v>
      </c>
      <c r="F1392">
        <v>3868.62</v>
      </c>
      <c r="G1392" t="s">
        <v>2022</v>
      </c>
      <c r="H1392" t="s">
        <v>2027</v>
      </c>
      <c r="I1392" t="s">
        <v>3418</v>
      </c>
      <c r="J1392" t="s">
        <v>4030</v>
      </c>
      <c r="K1392" t="s">
        <v>4044</v>
      </c>
      <c r="L1392">
        <v>3868.62</v>
      </c>
    </row>
    <row r="1393" spans="1:12">
      <c r="A1393" t="s">
        <v>1403</v>
      </c>
      <c r="B1393" s="2">
        <v>45094</v>
      </c>
      <c r="C1393">
        <v>4000</v>
      </c>
      <c r="D1393" t="s">
        <v>2012</v>
      </c>
      <c r="E1393">
        <v>0</v>
      </c>
      <c r="F1393">
        <v>138.43</v>
      </c>
      <c r="G1393" t="s">
        <v>2018</v>
      </c>
      <c r="H1393" t="s">
        <v>2023</v>
      </c>
      <c r="I1393" t="s">
        <v>3419</v>
      </c>
      <c r="J1393" t="s">
        <v>4028</v>
      </c>
      <c r="K1393" t="s">
        <v>4055</v>
      </c>
      <c r="L1393">
        <v>138.43</v>
      </c>
    </row>
    <row r="1394" spans="1:12">
      <c r="A1394" t="s">
        <v>1404</v>
      </c>
      <c r="B1394" s="2">
        <v>45210</v>
      </c>
      <c r="C1394">
        <v>5000</v>
      </c>
      <c r="D1394" t="s">
        <v>2013</v>
      </c>
      <c r="E1394">
        <v>1749.68</v>
      </c>
      <c r="F1394">
        <v>0</v>
      </c>
      <c r="G1394" t="s">
        <v>2018</v>
      </c>
      <c r="H1394" t="s">
        <v>2026</v>
      </c>
      <c r="I1394" t="s">
        <v>3420</v>
      </c>
      <c r="J1394" t="s">
        <v>4029</v>
      </c>
      <c r="K1394" t="s">
        <v>4060</v>
      </c>
      <c r="L1394">
        <v>-1749.68</v>
      </c>
    </row>
    <row r="1395" spans="1:12">
      <c r="A1395" t="s">
        <v>1405</v>
      </c>
      <c r="B1395" s="2">
        <v>45807</v>
      </c>
      <c r="C1395">
        <v>4010</v>
      </c>
      <c r="D1395" t="s">
        <v>2016</v>
      </c>
      <c r="E1395">
        <v>0</v>
      </c>
      <c r="F1395">
        <v>4955.21</v>
      </c>
      <c r="G1395" t="s">
        <v>2019</v>
      </c>
      <c r="H1395" t="s">
        <v>2026</v>
      </c>
      <c r="I1395" t="s">
        <v>3421</v>
      </c>
      <c r="J1395" t="s">
        <v>4029</v>
      </c>
      <c r="K1395" t="s">
        <v>4038</v>
      </c>
      <c r="L1395">
        <v>4955.21</v>
      </c>
    </row>
    <row r="1396" spans="1:12">
      <c r="A1396" t="s">
        <v>1406</v>
      </c>
      <c r="B1396" s="2">
        <v>45223</v>
      </c>
      <c r="C1396">
        <v>5010</v>
      </c>
      <c r="D1396" t="s">
        <v>2015</v>
      </c>
      <c r="E1396">
        <v>1030.07</v>
      </c>
      <c r="F1396">
        <v>0</v>
      </c>
      <c r="G1396" t="s">
        <v>2018</v>
      </c>
      <c r="H1396" t="s">
        <v>2024</v>
      </c>
      <c r="I1396" t="s">
        <v>3422</v>
      </c>
      <c r="J1396" t="s">
        <v>4032</v>
      </c>
      <c r="K1396" t="s">
        <v>4060</v>
      </c>
      <c r="L1396">
        <v>-1030.07</v>
      </c>
    </row>
    <row r="1397" spans="1:12">
      <c r="A1397" t="s">
        <v>1407</v>
      </c>
      <c r="B1397" s="2">
        <v>44951</v>
      </c>
      <c r="C1397">
        <v>6000</v>
      </c>
      <c r="D1397" t="s">
        <v>2014</v>
      </c>
      <c r="E1397">
        <v>1552.9</v>
      </c>
      <c r="F1397">
        <v>0</v>
      </c>
      <c r="G1397" t="s">
        <v>2018</v>
      </c>
      <c r="H1397" t="s">
        <v>2024</v>
      </c>
      <c r="I1397" t="s">
        <v>3423</v>
      </c>
      <c r="J1397" t="s">
        <v>4028</v>
      </c>
      <c r="K1397" t="s">
        <v>4047</v>
      </c>
      <c r="L1397">
        <v>-1552.9</v>
      </c>
    </row>
    <row r="1398" spans="1:12">
      <c r="A1398" t="s">
        <v>1408</v>
      </c>
      <c r="B1398" s="2">
        <v>45009</v>
      </c>
      <c r="C1398">
        <v>5000</v>
      </c>
      <c r="D1398" t="s">
        <v>2013</v>
      </c>
      <c r="E1398">
        <v>1837.1</v>
      </c>
      <c r="F1398">
        <v>0</v>
      </c>
      <c r="G1398" t="s">
        <v>2018</v>
      </c>
      <c r="H1398" t="s">
        <v>2023</v>
      </c>
      <c r="I1398" t="s">
        <v>3424</v>
      </c>
      <c r="J1398" t="s">
        <v>4031</v>
      </c>
      <c r="K1398" t="s">
        <v>4051</v>
      </c>
      <c r="L1398">
        <v>-1837.1</v>
      </c>
    </row>
    <row r="1399" spans="1:12">
      <c r="A1399" t="s">
        <v>1409</v>
      </c>
      <c r="B1399" s="2">
        <v>45200</v>
      </c>
      <c r="C1399">
        <v>4000</v>
      </c>
      <c r="D1399" t="s">
        <v>2012</v>
      </c>
      <c r="E1399">
        <v>0</v>
      </c>
      <c r="F1399">
        <v>3838.99</v>
      </c>
      <c r="G1399" t="s">
        <v>2018</v>
      </c>
      <c r="H1399" t="s">
        <v>2024</v>
      </c>
      <c r="I1399" t="s">
        <v>3425</v>
      </c>
      <c r="J1399" t="s">
        <v>4030</v>
      </c>
      <c r="K1399" t="s">
        <v>4060</v>
      </c>
      <c r="L1399">
        <v>3838.99</v>
      </c>
    </row>
    <row r="1400" spans="1:12">
      <c r="A1400" t="s">
        <v>1410</v>
      </c>
      <c r="B1400" s="2">
        <v>45352</v>
      </c>
      <c r="C1400">
        <v>6000</v>
      </c>
      <c r="D1400" t="s">
        <v>2014</v>
      </c>
      <c r="E1400">
        <v>1204.07</v>
      </c>
      <c r="F1400">
        <v>0</v>
      </c>
      <c r="G1400" t="s">
        <v>2018</v>
      </c>
      <c r="H1400" t="s">
        <v>2026</v>
      </c>
      <c r="I1400" t="s">
        <v>3426</v>
      </c>
      <c r="J1400" t="s">
        <v>4029</v>
      </c>
      <c r="K1400" t="s">
        <v>4049</v>
      </c>
      <c r="L1400">
        <v>-1204.07</v>
      </c>
    </row>
    <row r="1401" spans="1:12">
      <c r="A1401" t="s">
        <v>1411</v>
      </c>
      <c r="B1401" s="2">
        <v>45128</v>
      </c>
      <c r="C1401">
        <v>5010</v>
      </c>
      <c r="D1401" t="s">
        <v>2015</v>
      </c>
      <c r="E1401">
        <v>1122.26</v>
      </c>
      <c r="F1401">
        <v>0</v>
      </c>
      <c r="G1401" t="s">
        <v>2019</v>
      </c>
      <c r="H1401" t="s">
        <v>2023</v>
      </c>
      <c r="I1401" t="s">
        <v>3427</v>
      </c>
      <c r="J1401" t="s">
        <v>4030</v>
      </c>
      <c r="K1401" t="s">
        <v>4050</v>
      </c>
      <c r="L1401">
        <v>-1122.26</v>
      </c>
    </row>
    <row r="1402" spans="1:12">
      <c r="A1402" t="s">
        <v>1412</v>
      </c>
      <c r="B1402" s="2">
        <v>45257</v>
      </c>
      <c r="C1402">
        <v>5010</v>
      </c>
      <c r="D1402" t="s">
        <v>2015</v>
      </c>
      <c r="E1402">
        <v>633.59</v>
      </c>
      <c r="F1402">
        <v>0</v>
      </c>
      <c r="G1402" t="s">
        <v>2020</v>
      </c>
      <c r="H1402" t="s">
        <v>2024</v>
      </c>
      <c r="I1402" t="s">
        <v>3428</v>
      </c>
      <c r="J1402" t="s">
        <v>4032</v>
      </c>
      <c r="K1402" t="s">
        <v>4042</v>
      </c>
      <c r="L1402">
        <v>-633.59</v>
      </c>
    </row>
    <row r="1403" spans="1:12">
      <c r="A1403" t="s">
        <v>1413</v>
      </c>
      <c r="B1403" s="2">
        <v>44935</v>
      </c>
      <c r="C1403">
        <v>4010</v>
      </c>
      <c r="D1403" t="s">
        <v>2016</v>
      </c>
      <c r="E1403">
        <v>0</v>
      </c>
      <c r="F1403">
        <v>4074.33</v>
      </c>
      <c r="G1403" t="s">
        <v>2019</v>
      </c>
      <c r="H1403" t="s">
        <v>2027</v>
      </c>
      <c r="I1403" t="s">
        <v>3429</v>
      </c>
      <c r="J1403" t="s">
        <v>4031</v>
      </c>
      <c r="K1403" t="s">
        <v>4047</v>
      </c>
      <c r="L1403">
        <v>4074.33</v>
      </c>
    </row>
    <row r="1404" spans="1:12">
      <c r="A1404" t="s">
        <v>1414</v>
      </c>
      <c r="B1404" s="2">
        <v>45540</v>
      </c>
      <c r="C1404">
        <v>6000</v>
      </c>
      <c r="D1404" t="s">
        <v>2014</v>
      </c>
      <c r="E1404">
        <v>340.22</v>
      </c>
      <c r="F1404">
        <v>0</v>
      </c>
      <c r="G1404" t="s">
        <v>2022</v>
      </c>
      <c r="H1404" t="s">
        <v>2025</v>
      </c>
      <c r="I1404" t="s">
        <v>3430</v>
      </c>
      <c r="J1404" t="s">
        <v>4028</v>
      </c>
      <c r="K1404" t="s">
        <v>4048</v>
      </c>
      <c r="L1404">
        <v>-340.22</v>
      </c>
    </row>
    <row r="1405" spans="1:12">
      <c r="A1405" t="s">
        <v>1415</v>
      </c>
      <c r="B1405" s="2">
        <v>45796</v>
      </c>
      <c r="C1405">
        <v>6000</v>
      </c>
      <c r="D1405" t="s">
        <v>2014</v>
      </c>
      <c r="E1405">
        <v>1891.61</v>
      </c>
      <c r="F1405">
        <v>0</v>
      </c>
      <c r="G1405" t="s">
        <v>2017</v>
      </c>
      <c r="H1405" t="s">
        <v>2023</v>
      </c>
      <c r="I1405" t="s">
        <v>3431</v>
      </c>
      <c r="J1405" t="s">
        <v>4029</v>
      </c>
      <c r="K1405" t="s">
        <v>4038</v>
      </c>
      <c r="L1405">
        <v>-1891.61</v>
      </c>
    </row>
    <row r="1406" spans="1:12">
      <c r="A1406" t="s">
        <v>1416</v>
      </c>
      <c r="B1406" s="2">
        <v>45694</v>
      </c>
      <c r="C1406">
        <v>5000</v>
      </c>
      <c r="D1406" t="s">
        <v>2013</v>
      </c>
      <c r="E1406">
        <v>1998.5</v>
      </c>
      <c r="F1406">
        <v>0</v>
      </c>
      <c r="G1406" t="s">
        <v>2020</v>
      </c>
      <c r="H1406" t="s">
        <v>2026</v>
      </c>
      <c r="I1406" t="s">
        <v>3432</v>
      </c>
      <c r="J1406" t="s">
        <v>4029</v>
      </c>
      <c r="K1406" t="s">
        <v>4061</v>
      </c>
      <c r="L1406">
        <v>-1998.5</v>
      </c>
    </row>
    <row r="1407" spans="1:12">
      <c r="A1407" t="s">
        <v>1417</v>
      </c>
      <c r="B1407" s="2">
        <v>45816</v>
      </c>
      <c r="C1407">
        <v>4000</v>
      </c>
      <c r="D1407" t="s">
        <v>2012</v>
      </c>
      <c r="E1407">
        <v>0</v>
      </c>
      <c r="F1407">
        <v>2567.37</v>
      </c>
      <c r="G1407" t="s">
        <v>2020</v>
      </c>
      <c r="H1407" t="s">
        <v>2025</v>
      </c>
      <c r="I1407" t="s">
        <v>3433</v>
      </c>
      <c r="J1407" t="s">
        <v>4029</v>
      </c>
      <c r="K1407" t="s">
        <v>4052</v>
      </c>
      <c r="L1407">
        <v>2567.37</v>
      </c>
    </row>
    <row r="1408" spans="1:12">
      <c r="A1408" t="s">
        <v>1418</v>
      </c>
      <c r="B1408" s="2">
        <v>45784</v>
      </c>
      <c r="C1408">
        <v>5000</v>
      </c>
      <c r="D1408" t="s">
        <v>2013</v>
      </c>
      <c r="E1408">
        <v>1097.98</v>
      </c>
      <c r="F1408">
        <v>0</v>
      </c>
      <c r="G1408" t="s">
        <v>2022</v>
      </c>
      <c r="H1408" t="s">
        <v>2027</v>
      </c>
      <c r="I1408" t="s">
        <v>3434</v>
      </c>
      <c r="J1408" t="s">
        <v>4029</v>
      </c>
      <c r="K1408" t="s">
        <v>4038</v>
      </c>
      <c r="L1408">
        <v>-1097.98</v>
      </c>
    </row>
    <row r="1409" spans="1:12">
      <c r="A1409" t="s">
        <v>1419</v>
      </c>
      <c r="B1409" s="2">
        <v>45736</v>
      </c>
      <c r="C1409">
        <v>6000</v>
      </c>
      <c r="D1409" t="s">
        <v>2014</v>
      </c>
      <c r="E1409">
        <v>443.66</v>
      </c>
      <c r="F1409">
        <v>0</v>
      </c>
      <c r="G1409" t="s">
        <v>2020</v>
      </c>
      <c r="H1409" t="s">
        <v>2025</v>
      </c>
      <c r="I1409" t="s">
        <v>3435</v>
      </c>
      <c r="J1409" t="s">
        <v>4028</v>
      </c>
      <c r="K1409" t="s">
        <v>4046</v>
      </c>
      <c r="L1409">
        <v>-443.66</v>
      </c>
    </row>
    <row r="1410" spans="1:12">
      <c r="A1410" t="s">
        <v>1420</v>
      </c>
      <c r="B1410" s="2">
        <v>45021</v>
      </c>
      <c r="C1410">
        <v>5000</v>
      </c>
      <c r="D1410" t="s">
        <v>2013</v>
      </c>
      <c r="E1410">
        <v>225.89</v>
      </c>
      <c r="F1410">
        <v>0</v>
      </c>
      <c r="G1410" t="s">
        <v>2018</v>
      </c>
      <c r="H1410" t="s">
        <v>2025</v>
      </c>
      <c r="I1410" t="s">
        <v>3436</v>
      </c>
      <c r="J1410" t="s">
        <v>4030</v>
      </c>
      <c r="K1410" t="s">
        <v>4041</v>
      </c>
      <c r="L1410">
        <v>-225.89</v>
      </c>
    </row>
    <row r="1411" spans="1:12">
      <c r="A1411" t="s">
        <v>1421</v>
      </c>
      <c r="B1411" s="2">
        <v>45199</v>
      </c>
      <c r="C1411">
        <v>5000</v>
      </c>
      <c r="D1411" t="s">
        <v>2013</v>
      </c>
      <c r="E1411">
        <v>90.95</v>
      </c>
      <c r="F1411">
        <v>0</v>
      </c>
      <c r="G1411" t="s">
        <v>2020</v>
      </c>
      <c r="H1411" t="s">
        <v>2026</v>
      </c>
      <c r="I1411" t="s">
        <v>3437</v>
      </c>
      <c r="J1411" t="s">
        <v>4031</v>
      </c>
      <c r="K1411" t="s">
        <v>4036</v>
      </c>
      <c r="L1411">
        <v>-90.95</v>
      </c>
    </row>
    <row r="1412" spans="1:12">
      <c r="A1412" t="s">
        <v>1422</v>
      </c>
      <c r="B1412" s="2">
        <v>45793</v>
      </c>
      <c r="C1412">
        <v>4010</v>
      </c>
      <c r="D1412" t="s">
        <v>2016</v>
      </c>
      <c r="E1412">
        <v>0</v>
      </c>
      <c r="F1412">
        <v>4806.1400000000003</v>
      </c>
      <c r="G1412" t="s">
        <v>2020</v>
      </c>
      <c r="H1412" t="s">
        <v>2027</v>
      </c>
      <c r="I1412" t="s">
        <v>3438</v>
      </c>
      <c r="J1412" t="s">
        <v>4029</v>
      </c>
      <c r="K1412" t="s">
        <v>4038</v>
      </c>
      <c r="L1412">
        <v>4806.1400000000003</v>
      </c>
    </row>
    <row r="1413" spans="1:12">
      <c r="A1413" t="s">
        <v>1423</v>
      </c>
      <c r="B1413" s="2">
        <v>45582</v>
      </c>
      <c r="C1413">
        <v>4010</v>
      </c>
      <c r="D1413" t="s">
        <v>2016</v>
      </c>
      <c r="E1413">
        <v>0</v>
      </c>
      <c r="F1413">
        <v>2397.21</v>
      </c>
      <c r="G1413" t="s">
        <v>2022</v>
      </c>
      <c r="H1413" t="s">
        <v>2026</v>
      </c>
      <c r="I1413" t="s">
        <v>3439</v>
      </c>
      <c r="J1413" t="s">
        <v>4028</v>
      </c>
      <c r="K1413" t="s">
        <v>4059</v>
      </c>
      <c r="L1413">
        <v>2397.21</v>
      </c>
    </row>
    <row r="1414" spans="1:12">
      <c r="A1414" t="s">
        <v>1424</v>
      </c>
      <c r="B1414" s="2">
        <v>45022</v>
      </c>
      <c r="C1414">
        <v>4010</v>
      </c>
      <c r="D1414" t="s">
        <v>2016</v>
      </c>
      <c r="E1414">
        <v>0</v>
      </c>
      <c r="F1414">
        <v>1164.68</v>
      </c>
      <c r="G1414" t="s">
        <v>2017</v>
      </c>
      <c r="H1414" t="s">
        <v>2026</v>
      </c>
      <c r="I1414" t="s">
        <v>3440</v>
      </c>
      <c r="J1414" t="s">
        <v>4031</v>
      </c>
      <c r="K1414" t="s">
        <v>4041</v>
      </c>
      <c r="L1414">
        <v>1164.68</v>
      </c>
    </row>
    <row r="1415" spans="1:12">
      <c r="A1415" t="s">
        <v>1425</v>
      </c>
      <c r="B1415" s="2">
        <v>45432</v>
      </c>
      <c r="C1415">
        <v>4000</v>
      </c>
      <c r="D1415" t="s">
        <v>2012</v>
      </c>
      <c r="E1415">
        <v>0</v>
      </c>
      <c r="F1415">
        <v>4994.2</v>
      </c>
      <c r="G1415" t="s">
        <v>2020</v>
      </c>
      <c r="H1415" t="s">
        <v>2026</v>
      </c>
      <c r="I1415" t="s">
        <v>3441</v>
      </c>
      <c r="J1415" t="s">
        <v>4032</v>
      </c>
      <c r="K1415" t="s">
        <v>4033</v>
      </c>
      <c r="L1415">
        <v>4994.2</v>
      </c>
    </row>
    <row r="1416" spans="1:12">
      <c r="A1416" t="s">
        <v>1426</v>
      </c>
      <c r="B1416" s="2">
        <v>45312</v>
      </c>
      <c r="C1416">
        <v>4010</v>
      </c>
      <c r="D1416" t="s">
        <v>2016</v>
      </c>
      <c r="E1416">
        <v>0</v>
      </c>
      <c r="F1416">
        <v>127.25</v>
      </c>
      <c r="G1416" t="s">
        <v>2021</v>
      </c>
      <c r="H1416" t="s">
        <v>2024</v>
      </c>
      <c r="I1416" t="s">
        <v>3442</v>
      </c>
      <c r="J1416" t="s">
        <v>4032</v>
      </c>
      <c r="K1416" t="s">
        <v>4053</v>
      </c>
      <c r="L1416">
        <v>127.25</v>
      </c>
    </row>
    <row r="1417" spans="1:12">
      <c r="A1417" t="s">
        <v>1427</v>
      </c>
      <c r="B1417" s="2">
        <v>45812</v>
      </c>
      <c r="C1417">
        <v>5010</v>
      </c>
      <c r="D1417" t="s">
        <v>2015</v>
      </c>
      <c r="E1417">
        <v>1383.8</v>
      </c>
      <c r="F1417">
        <v>0</v>
      </c>
      <c r="G1417" t="s">
        <v>2022</v>
      </c>
      <c r="H1417" t="s">
        <v>2026</v>
      </c>
      <c r="I1417" t="s">
        <v>3443</v>
      </c>
      <c r="J1417" t="s">
        <v>4032</v>
      </c>
      <c r="K1417" t="s">
        <v>4052</v>
      </c>
      <c r="L1417">
        <v>-1383.8</v>
      </c>
    </row>
    <row r="1418" spans="1:12">
      <c r="A1418" t="s">
        <v>1428</v>
      </c>
      <c r="B1418" s="2">
        <v>45535</v>
      </c>
      <c r="C1418">
        <v>4010</v>
      </c>
      <c r="D1418" t="s">
        <v>2016</v>
      </c>
      <c r="E1418">
        <v>0</v>
      </c>
      <c r="F1418">
        <v>4604.16</v>
      </c>
      <c r="G1418" t="s">
        <v>2021</v>
      </c>
      <c r="H1418" t="s">
        <v>2026</v>
      </c>
      <c r="I1418" t="s">
        <v>3444</v>
      </c>
      <c r="J1418" t="s">
        <v>4028</v>
      </c>
      <c r="K1418" t="s">
        <v>4058</v>
      </c>
      <c r="L1418">
        <v>4604.16</v>
      </c>
    </row>
    <row r="1419" spans="1:12">
      <c r="A1419" t="s">
        <v>1429</v>
      </c>
      <c r="B1419" s="2">
        <v>45522</v>
      </c>
      <c r="C1419">
        <v>4000</v>
      </c>
      <c r="D1419" t="s">
        <v>2012</v>
      </c>
      <c r="E1419">
        <v>0</v>
      </c>
      <c r="F1419">
        <v>4835.3</v>
      </c>
      <c r="G1419" t="s">
        <v>2019</v>
      </c>
      <c r="H1419" t="s">
        <v>2027</v>
      </c>
      <c r="I1419" t="s">
        <v>3445</v>
      </c>
      <c r="J1419" t="s">
        <v>4028</v>
      </c>
      <c r="K1419" t="s">
        <v>4058</v>
      </c>
      <c r="L1419">
        <v>4835.3</v>
      </c>
    </row>
    <row r="1420" spans="1:12">
      <c r="A1420" t="s">
        <v>1430</v>
      </c>
      <c r="B1420" s="2">
        <v>45750</v>
      </c>
      <c r="C1420">
        <v>4010</v>
      </c>
      <c r="D1420" t="s">
        <v>2016</v>
      </c>
      <c r="E1420">
        <v>0</v>
      </c>
      <c r="F1420">
        <v>1057.72</v>
      </c>
      <c r="G1420" t="s">
        <v>2021</v>
      </c>
      <c r="H1420" t="s">
        <v>2023</v>
      </c>
      <c r="I1420" t="s">
        <v>3446</v>
      </c>
      <c r="J1420" t="s">
        <v>4032</v>
      </c>
      <c r="K1420" t="s">
        <v>4045</v>
      </c>
      <c r="L1420">
        <v>1057.72</v>
      </c>
    </row>
    <row r="1421" spans="1:12">
      <c r="A1421" t="s">
        <v>1431</v>
      </c>
      <c r="B1421" s="2">
        <v>45175</v>
      </c>
      <c r="C1421">
        <v>5010</v>
      </c>
      <c r="D1421" t="s">
        <v>2015</v>
      </c>
      <c r="E1421">
        <v>1394.77</v>
      </c>
      <c r="F1421">
        <v>0</v>
      </c>
      <c r="G1421" t="s">
        <v>2017</v>
      </c>
      <c r="H1421" t="s">
        <v>2027</v>
      </c>
      <c r="I1421" t="s">
        <v>3447</v>
      </c>
      <c r="J1421" t="s">
        <v>4032</v>
      </c>
      <c r="K1421" t="s">
        <v>4036</v>
      </c>
      <c r="L1421">
        <v>-1394.77</v>
      </c>
    </row>
    <row r="1422" spans="1:12">
      <c r="A1422" t="s">
        <v>1432</v>
      </c>
      <c r="B1422" s="2">
        <v>45244</v>
      </c>
      <c r="C1422">
        <v>5000</v>
      </c>
      <c r="D1422" t="s">
        <v>2013</v>
      </c>
      <c r="E1422">
        <v>803.08</v>
      </c>
      <c r="F1422">
        <v>0</v>
      </c>
      <c r="G1422" t="s">
        <v>2021</v>
      </c>
      <c r="H1422" t="s">
        <v>2025</v>
      </c>
      <c r="I1422" t="s">
        <v>3448</v>
      </c>
      <c r="J1422" t="s">
        <v>4030</v>
      </c>
      <c r="K1422" t="s">
        <v>4042</v>
      </c>
      <c r="L1422">
        <v>-803.08</v>
      </c>
    </row>
    <row r="1423" spans="1:12">
      <c r="A1423" t="s">
        <v>1433</v>
      </c>
      <c r="B1423" s="2">
        <v>45169</v>
      </c>
      <c r="C1423">
        <v>6000</v>
      </c>
      <c r="D1423" t="s">
        <v>2014</v>
      </c>
      <c r="E1423">
        <v>500.5</v>
      </c>
      <c r="F1423">
        <v>0</v>
      </c>
      <c r="G1423" t="s">
        <v>2017</v>
      </c>
      <c r="H1423" t="s">
        <v>2023</v>
      </c>
      <c r="I1423" t="s">
        <v>3449</v>
      </c>
      <c r="J1423" t="s">
        <v>4032</v>
      </c>
      <c r="K1423" t="s">
        <v>4037</v>
      </c>
      <c r="L1423">
        <v>-500.5</v>
      </c>
    </row>
    <row r="1424" spans="1:12">
      <c r="A1424" t="s">
        <v>1434</v>
      </c>
      <c r="B1424" s="2">
        <v>44962</v>
      </c>
      <c r="C1424">
        <v>5010</v>
      </c>
      <c r="D1424" t="s">
        <v>2015</v>
      </c>
      <c r="E1424">
        <v>413.05</v>
      </c>
      <c r="F1424">
        <v>0</v>
      </c>
      <c r="G1424" t="s">
        <v>2022</v>
      </c>
      <c r="H1424" t="s">
        <v>2025</v>
      </c>
      <c r="I1424" t="s">
        <v>3450</v>
      </c>
      <c r="J1424" t="s">
        <v>4028</v>
      </c>
      <c r="K1424" t="s">
        <v>4057</v>
      </c>
      <c r="L1424">
        <v>-413.05</v>
      </c>
    </row>
    <row r="1425" spans="1:12">
      <c r="A1425" t="s">
        <v>1435</v>
      </c>
      <c r="B1425" s="2">
        <v>45217</v>
      </c>
      <c r="C1425">
        <v>5000</v>
      </c>
      <c r="D1425" t="s">
        <v>2013</v>
      </c>
      <c r="E1425">
        <v>1483.66</v>
      </c>
      <c r="F1425">
        <v>0</v>
      </c>
      <c r="G1425" t="s">
        <v>2020</v>
      </c>
      <c r="H1425" t="s">
        <v>2024</v>
      </c>
      <c r="I1425" t="s">
        <v>3451</v>
      </c>
      <c r="J1425" t="s">
        <v>4029</v>
      </c>
      <c r="K1425" t="s">
        <v>4060</v>
      </c>
      <c r="L1425">
        <v>-1483.66</v>
      </c>
    </row>
    <row r="1426" spans="1:12">
      <c r="A1426" t="s">
        <v>1436</v>
      </c>
      <c r="B1426" s="2">
        <v>45019</v>
      </c>
      <c r="C1426">
        <v>5010</v>
      </c>
      <c r="D1426" t="s">
        <v>2015</v>
      </c>
      <c r="E1426">
        <v>1752.32</v>
      </c>
      <c r="F1426">
        <v>0</v>
      </c>
      <c r="G1426" t="s">
        <v>2017</v>
      </c>
      <c r="H1426" t="s">
        <v>2025</v>
      </c>
      <c r="I1426" t="s">
        <v>3452</v>
      </c>
      <c r="J1426" t="s">
        <v>4032</v>
      </c>
      <c r="K1426" t="s">
        <v>4041</v>
      </c>
      <c r="L1426">
        <v>-1752.32</v>
      </c>
    </row>
    <row r="1427" spans="1:12">
      <c r="A1427" t="s">
        <v>1437</v>
      </c>
      <c r="B1427" s="2">
        <v>45255</v>
      </c>
      <c r="C1427">
        <v>4000</v>
      </c>
      <c r="D1427" t="s">
        <v>2012</v>
      </c>
      <c r="E1427">
        <v>0</v>
      </c>
      <c r="F1427">
        <v>1556.95</v>
      </c>
      <c r="G1427" t="s">
        <v>2020</v>
      </c>
      <c r="H1427" t="s">
        <v>2027</v>
      </c>
      <c r="I1427" t="s">
        <v>3453</v>
      </c>
      <c r="J1427" t="s">
        <v>4032</v>
      </c>
      <c r="K1427" t="s">
        <v>4042</v>
      </c>
      <c r="L1427">
        <v>1556.95</v>
      </c>
    </row>
    <row r="1428" spans="1:12">
      <c r="A1428" t="s">
        <v>1438</v>
      </c>
      <c r="B1428" s="2">
        <v>45621</v>
      </c>
      <c r="C1428">
        <v>5010</v>
      </c>
      <c r="D1428" t="s">
        <v>2015</v>
      </c>
      <c r="E1428">
        <v>1162.76</v>
      </c>
      <c r="F1428">
        <v>0</v>
      </c>
      <c r="G1428" t="s">
        <v>2022</v>
      </c>
      <c r="H1428" t="s">
        <v>2026</v>
      </c>
      <c r="I1428" t="s">
        <v>3454</v>
      </c>
      <c r="J1428" t="s">
        <v>4032</v>
      </c>
      <c r="K1428" t="s">
        <v>4043</v>
      </c>
      <c r="L1428">
        <v>-1162.76</v>
      </c>
    </row>
    <row r="1429" spans="1:12">
      <c r="A1429" t="s">
        <v>1439</v>
      </c>
      <c r="B1429" s="2">
        <v>45304</v>
      </c>
      <c r="C1429">
        <v>4000</v>
      </c>
      <c r="D1429" t="s">
        <v>2012</v>
      </c>
      <c r="E1429">
        <v>0</v>
      </c>
      <c r="F1429">
        <v>3293.95</v>
      </c>
      <c r="G1429" t="s">
        <v>2021</v>
      </c>
      <c r="H1429" t="s">
        <v>2026</v>
      </c>
      <c r="I1429" t="s">
        <v>3455</v>
      </c>
      <c r="J1429" t="s">
        <v>4032</v>
      </c>
      <c r="K1429" t="s">
        <v>4053</v>
      </c>
      <c r="L1429">
        <v>3293.95</v>
      </c>
    </row>
    <row r="1430" spans="1:12">
      <c r="A1430" t="s">
        <v>1440</v>
      </c>
      <c r="B1430" s="2">
        <v>45340</v>
      </c>
      <c r="C1430">
        <v>5010</v>
      </c>
      <c r="D1430" t="s">
        <v>2015</v>
      </c>
      <c r="E1430">
        <v>949.79</v>
      </c>
      <c r="F1430">
        <v>0</v>
      </c>
      <c r="G1430" t="s">
        <v>2017</v>
      </c>
      <c r="H1430" t="s">
        <v>2027</v>
      </c>
      <c r="I1430" t="s">
        <v>3456</v>
      </c>
      <c r="J1430" t="s">
        <v>4028</v>
      </c>
      <c r="K1430" t="s">
        <v>4044</v>
      </c>
      <c r="L1430">
        <v>-949.79</v>
      </c>
    </row>
    <row r="1431" spans="1:12">
      <c r="A1431" t="s">
        <v>1441</v>
      </c>
      <c r="B1431" s="2">
        <v>45364</v>
      </c>
      <c r="C1431">
        <v>4010</v>
      </c>
      <c r="D1431" t="s">
        <v>2016</v>
      </c>
      <c r="E1431">
        <v>0</v>
      </c>
      <c r="F1431">
        <v>536.59</v>
      </c>
      <c r="G1431" t="s">
        <v>2017</v>
      </c>
      <c r="H1431" t="s">
        <v>2027</v>
      </c>
      <c r="I1431" t="s">
        <v>3457</v>
      </c>
      <c r="J1431" t="s">
        <v>4031</v>
      </c>
      <c r="K1431" t="s">
        <v>4049</v>
      </c>
      <c r="L1431">
        <v>536.59</v>
      </c>
    </row>
    <row r="1432" spans="1:12">
      <c r="A1432" t="s">
        <v>1442</v>
      </c>
      <c r="B1432" s="2">
        <v>45088</v>
      </c>
      <c r="C1432">
        <v>4000</v>
      </c>
      <c r="D1432" t="s">
        <v>2012</v>
      </c>
      <c r="E1432">
        <v>0</v>
      </c>
      <c r="F1432">
        <v>352.44</v>
      </c>
      <c r="G1432" t="s">
        <v>2021</v>
      </c>
      <c r="H1432" t="s">
        <v>2025</v>
      </c>
      <c r="I1432" t="s">
        <v>3458</v>
      </c>
      <c r="J1432" t="s">
        <v>4032</v>
      </c>
      <c r="K1432" t="s">
        <v>4055</v>
      </c>
      <c r="L1432">
        <v>352.44</v>
      </c>
    </row>
    <row r="1433" spans="1:12">
      <c r="A1433" t="s">
        <v>1443</v>
      </c>
      <c r="B1433" s="2">
        <v>45484</v>
      </c>
      <c r="C1433">
        <v>5000</v>
      </c>
      <c r="D1433" t="s">
        <v>2013</v>
      </c>
      <c r="E1433">
        <v>479.39</v>
      </c>
      <c r="F1433">
        <v>0</v>
      </c>
      <c r="G1433" t="s">
        <v>2017</v>
      </c>
      <c r="H1433" t="s">
        <v>2023</v>
      </c>
      <c r="I1433" t="s">
        <v>3459</v>
      </c>
      <c r="J1433" t="s">
        <v>4029</v>
      </c>
      <c r="K1433" t="s">
        <v>4054</v>
      </c>
      <c r="L1433">
        <v>-479.39</v>
      </c>
    </row>
    <row r="1434" spans="1:12">
      <c r="A1434" t="s">
        <v>1444</v>
      </c>
      <c r="B1434" s="2">
        <v>45663</v>
      </c>
      <c r="C1434">
        <v>6000</v>
      </c>
      <c r="D1434" t="s">
        <v>2014</v>
      </c>
      <c r="E1434">
        <v>875.44</v>
      </c>
      <c r="F1434">
        <v>0</v>
      </c>
      <c r="G1434" t="s">
        <v>2018</v>
      </c>
      <c r="H1434" t="s">
        <v>2023</v>
      </c>
      <c r="I1434" t="s">
        <v>3460</v>
      </c>
      <c r="J1434" t="s">
        <v>4031</v>
      </c>
      <c r="K1434" t="s">
        <v>4035</v>
      </c>
      <c r="L1434">
        <v>-875.44</v>
      </c>
    </row>
    <row r="1435" spans="1:12">
      <c r="A1435" t="s">
        <v>1445</v>
      </c>
      <c r="B1435" s="2">
        <v>45676</v>
      </c>
      <c r="C1435">
        <v>5000</v>
      </c>
      <c r="D1435" t="s">
        <v>2013</v>
      </c>
      <c r="E1435">
        <v>726.79</v>
      </c>
      <c r="F1435">
        <v>0</v>
      </c>
      <c r="G1435" t="s">
        <v>2022</v>
      </c>
      <c r="H1435" t="s">
        <v>2024</v>
      </c>
      <c r="I1435" t="s">
        <v>3461</v>
      </c>
      <c r="J1435" t="s">
        <v>4028</v>
      </c>
      <c r="K1435" t="s">
        <v>4035</v>
      </c>
      <c r="L1435">
        <v>-726.79</v>
      </c>
    </row>
    <row r="1436" spans="1:12">
      <c r="A1436" t="s">
        <v>1446</v>
      </c>
      <c r="B1436" s="2">
        <v>45114</v>
      </c>
      <c r="C1436">
        <v>4010</v>
      </c>
      <c r="D1436" t="s">
        <v>2016</v>
      </c>
      <c r="E1436">
        <v>0</v>
      </c>
      <c r="F1436">
        <v>3492.12</v>
      </c>
      <c r="G1436" t="s">
        <v>2018</v>
      </c>
      <c r="H1436" t="s">
        <v>2023</v>
      </c>
      <c r="I1436" t="s">
        <v>3462</v>
      </c>
      <c r="J1436" t="s">
        <v>4031</v>
      </c>
      <c r="K1436" t="s">
        <v>4050</v>
      </c>
      <c r="L1436">
        <v>3492.12</v>
      </c>
    </row>
    <row r="1437" spans="1:12">
      <c r="A1437" t="s">
        <v>1447</v>
      </c>
      <c r="B1437" s="2">
        <v>45422</v>
      </c>
      <c r="C1437">
        <v>5010</v>
      </c>
      <c r="D1437" t="s">
        <v>2015</v>
      </c>
      <c r="E1437">
        <v>868.34</v>
      </c>
      <c r="F1437">
        <v>0</v>
      </c>
      <c r="G1437" t="s">
        <v>2018</v>
      </c>
      <c r="H1437" t="s">
        <v>2025</v>
      </c>
      <c r="I1437" t="s">
        <v>3463</v>
      </c>
      <c r="J1437" t="s">
        <v>4031</v>
      </c>
      <c r="K1437" t="s">
        <v>4033</v>
      </c>
      <c r="L1437">
        <v>-868.34</v>
      </c>
    </row>
    <row r="1438" spans="1:12">
      <c r="A1438" t="s">
        <v>1448</v>
      </c>
      <c r="B1438" s="2">
        <v>44998</v>
      </c>
      <c r="C1438">
        <v>4000</v>
      </c>
      <c r="D1438" t="s">
        <v>2012</v>
      </c>
      <c r="E1438">
        <v>0</v>
      </c>
      <c r="F1438">
        <v>1610.63</v>
      </c>
      <c r="G1438" t="s">
        <v>2021</v>
      </c>
      <c r="H1438" t="s">
        <v>2023</v>
      </c>
      <c r="I1438" t="s">
        <v>3464</v>
      </c>
      <c r="J1438" t="s">
        <v>4032</v>
      </c>
      <c r="K1438" t="s">
        <v>4051</v>
      </c>
      <c r="L1438">
        <v>1610.63</v>
      </c>
    </row>
    <row r="1439" spans="1:12">
      <c r="A1439" t="s">
        <v>1449</v>
      </c>
      <c r="B1439" s="2">
        <v>45089</v>
      </c>
      <c r="C1439">
        <v>6000</v>
      </c>
      <c r="D1439" t="s">
        <v>2014</v>
      </c>
      <c r="E1439">
        <v>1429.61</v>
      </c>
      <c r="F1439">
        <v>0</v>
      </c>
      <c r="G1439" t="s">
        <v>2018</v>
      </c>
      <c r="H1439" t="s">
        <v>2024</v>
      </c>
      <c r="I1439" t="s">
        <v>3465</v>
      </c>
      <c r="J1439" t="s">
        <v>4029</v>
      </c>
      <c r="K1439" t="s">
        <v>4055</v>
      </c>
      <c r="L1439">
        <v>-1429.61</v>
      </c>
    </row>
    <row r="1440" spans="1:12">
      <c r="A1440" t="s">
        <v>1450</v>
      </c>
      <c r="B1440" s="2">
        <v>45251</v>
      </c>
      <c r="C1440">
        <v>5000</v>
      </c>
      <c r="D1440" t="s">
        <v>2013</v>
      </c>
      <c r="E1440">
        <v>918.99</v>
      </c>
      <c r="F1440">
        <v>0</v>
      </c>
      <c r="G1440" t="s">
        <v>2021</v>
      </c>
      <c r="H1440" t="s">
        <v>2026</v>
      </c>
      <c r="I1440" t="s">
        <v>3466</v>
      </c>
      <c r="J1440" t="s">
        <v>4029</v>
      </c>
      <c r="K1440" t="s">
        <v>4042</v>
      </c>
      <c r="L1440">
        <v>-918.99</v>
      </c>
    </row>
    <row r="1441" spans="1:12">
      <c r="A1441" t="s">
        <v>1451</v>
      </c>
      <c r="B1441" s="2">
        <v>45829</v>
      </c>
      <c r="C1441">
        <v>5010</v>
      </c>
      <c r="D1441" t="s">
        <v>2015</v>
      </c>
      <c r="E1441">
        <v>189.23</v>
      </c>
      <c r="F1441">
        <v>0</v>
      </c>
      <c r="G1441" t="s">
        <v>2018</v>
      </c>
      <c r="H1441" t="s">
        <v>2027</v>
      </c>
      <c r="I1441" t="s">
        <v>3467</v>
      </c>
      <c r="J1441" t="s">
        <v>4029</v>
      </c>
      <c r="K1441" t="s">
        <v>4052</v>
      </c>
      <c r="L1441">
        <v>-189.23</v>
      </c>
    </row>
    <row r="1442" spans="1:12">
      <c r="A1442" t="s">
        <v>1452</v>
      </c>
      <c r="B1442" s="2">
        <v>45818</v>
      </c>
      <c r="C1442">
        <v>4010</v>
      </c>
      <c r="D1442" t="s">
        <v>2016</v>
      </c>
      <c r="E1442">
        <v>0</v>
      </c>
      <c r="F1442">
        <v>4553.74</v>
      </c>
      <c r="G1442" t="s">
        <v>2019</v>
      </c>
      <c r="H1442" t="s">
        <v>2023</v>
      </c>
      <c r="I1442" t="s">
        <v>3468</v>
      </c>
      <c r="J1442" t="s">
        <v>4031</v>
      </c>
      <c r="K1442" t="s">
        <v>4052</v>
      </c>
      <c r="L1442">
        <v>4553.74</v>
      </c>
    </row>
    <row r="1443" spans="1:12">
      <c r="A1443" t="s">
        <v>1453</v>
      </c>
      <c r="B1443" s="2">
        <v>45618</v>
      </c>
      <c r="C1443">
        <v>4010</v>
      </c>
      <c r="D1443" t="s">
        <v>2016</v>
      </c>
      <c r="E1443">
        <v>0</v>
      </c>
      <c r="F1443">
        <v>224.69</v>
      </c>
      <c r="G1443" t="s">
        <v>2022</v>
      </c>
      <c r="H1443" t="s">
        <v>2026</v>
      </c>
      <c r="I1443" t="s">
        <v>3469</v>
      </c>
      <c r="J1443" t="s">
        <v>4030</v>
      </c>
      <c r="K1443" t="s">
        <v>4043</v>
      </c>
      <c r="L1443">
        <v>224.69</v>
      </c>
    </row>
    <row r="1444" spans="1:12">
      <c r="A1444" t="s">
        <v>1454</v>
      </c>
      <c r="B1444" s="2">
        <v>45359</v>
      </c>
      <c r="C1444">
        <v>5000</v>
      </c>
      <c r="D1444" t="s">
        <v>2013</v>
      </c>
      <c r="E1444">
        <v>1447.98</v>
      </c>
      <c r="F1444">
        <v>0</v>
      </c>
      <c r="G1444" t="s">
        <v>2021</v>
      </c>
      <c r="H1444" t="s">
        <v>2026</v>
      </c>
      <c r="I1444" t="s">
        <v>3470</v>
      </c>
      <c r="J1444" t="s">
        <v>4028</v>
      </c>
      <c r="K1444" t="s">
        <v>4049</v>
      </c>
      <c r="L1444">
        <v>-1447.98</v>
      </c>
    </row>
    <row r="1445" spans="1:12">
      <c r="A1445" t="s">
        <v>1455</v>
      </c>
      <c r="B1445" s="2">
        <v>44964</v>
      </c>
      <c r="C1445">
        <v>6000</v>
      </c>
      <c r="D1445" t="s">
        <v>2014</v>
      </c>
      <c r="E1445">
        <v>1846.98</v>
      </c>
      <c r="F1445">
        <v>0</v>
      </c>
      <c r="G1445" t="s">
        <v>2018</v>
      </c>
      <c r="H1445" t="s">
        <v>2025</v>
      </c>
      <c r="I1445" t="s">
        <v>3471</v>
      </c>
      <c r="J1445" t="s">
        <v>4031</v>
      </c>
      <c r="K1445" t="s">
        <v>4057</v>
      </c>
      <c r="L1445">
        <v>-1846.98</v>
      </c>
    </row>
    <row r="1446" spans="1:12">
      <c r="A1446" t="s">
        <v>1456</v>
      </c>
      <c r="B1446" s="2">
        <v>45680</v>
      </c>
      <c r="C1446">
        <v>5010</v>
      </c>
      <c r="D1446" t="s">
        <v>2015</v>
      </c>
      <c r="E1446">
        <v>1709.33</v>
      </c>
      <c r="F1446">
        <v>0</v>
      </c>
      <c r="G1446" t="s">
        <v>2019</v>
      </c>
      <c r="H1446" t="s">
        <v>2024</v>
      </c>
      <c r="I1446" t="s">
        <v>3472</v>
      </c>
      <c r="J1446" t="s">
        <v>4032</v>
      </c>
      <c r="K1446" t="s">
        <v>4035</v>
      </c>
      <c r="L1446">
        <v>-1709.33</v>
      </c>
    </row>
    <row r="1447" spans="1:12">
      <c r="A1447" t="s">
        <v>1457</v>
      </c>
      <c r="B1447" s="2">
        <v>45171</v>
      </c>
      <c r="C1447">
        <v>4010</v>
      </c>
      <c r="D1447" t="s">
        <v>2016</v>
      </c>
      <c r="E1447">
        <v>0</v>
      </c>
      <c r="F1447">
        <v>4210.6499999999996</v>
      </c>
      <c r="G1447" t="s">
        <v>2018</v>
      </c>
      <c r="H1447" t="s">
        <v>2023</v>
      </c>
      <c r="I1447" t="s">
        <v>3473</v>
      </c>
      <c r="J1447" t="s">
        <v>4029</v>
      </c>
      <c r="K1447" t="s">
        <v>4036</v>
      </c>
      <c r="L1447">
        <v>4210.6499999999996</v>
      </c>
    </row>
    <row r="1448" spans="1:12">
      <c r="A1448" t="s">
        <v>1458</v>
      </c>
      <c r="B1448" s="2">
        <v>45519</v>
      </c>
      <c r="C1448">
        <v>5010</v>
      </c>
      <c r="D1448" t="s">
        <v>2015</v>
      </c>
      <c r="E1448">
        <v>1733.89</v>
      </c>
      <c r="F1448">
        <v>0</v>
      </c>
      <c r="G1448" t="s">
        <v>2020</v>
      </c>
      <c r="H1448" t="s">
        <v>2023</v>
      </c>
      <c r="I1448" t="s">
        <v>3474</v>
      </c>
      <c r="J1448" t="s">
        <v>4029</v>
      </c>
      <c r="K1448" t="s">
        <v>4058</v>
      </c>
      <c r="L1448">
        <v>-1733.89</v>
      </c>
    </row>
    <row r="1449" spans="1:12">
      <c r="A1449" t="s">
        <v>1459</v>
      </c>
      <c r="B1449" s="2">
        <v>45317</v>
      </c>
      <c r="C1449">
        <v>4000</v>
      </c>
      <c r="D1449" t="s">
        <v>2012</v>
      </c>
      <c r="E1449">
        <v>0</v>
      </c>
      <c r="F1449">
        <v>4741</v>
      </c>
      <c r="G1449" t="s">
        <v>2019</v>
      </c>
      <c r="H1449" t="s">
        <v>2024</v>
      </c>
      <c r="I1449" t="s">
        <v>3475</v>
      </c>
      <c r="J1449" t="s">
        <v>4031</v>
      </c>
      <c r="K1449" t="s">
        <v>4053</v>
      </c>
      <c r="L1449">
        <v>4741</v>
      </c>
    </row>
    <row r="1450" spans="1:12">
      <c r="A1450" t="s">
        <v>1460</v>
      </c>
      <c r="B1450" s="2">
        <v>45197</v>
      </c>
      <c r="C1450">
        <v>6000</v>
      </c>
      <c r="D1450" t="s">
        <v>2014</v>
      </c>
      <c r="E1450">
        <v>1800.94</v>
      </c>
      <c r="F1450">
        <v>0</v>
      </c>
      <c r="G1450" t="s">
        <v>2022</v>
      </c>
      <c r="H1450" t="s">
        <v>2023</v>
      </c>
      <c r="I1450" t="s">
        <v>3476</v>
      </c>
      <c r="J1450" t="s">
        <v>4029</v>
      </c>
      <c r="K1450" t="s">
        <v>4036</v>
      </c>
      <c r="L1450">
        <v>-1800.94</v>
      </c>
    </row>
    <row r="1451" spans="1:12">
      <c r="A1451" t="s">
        <v>1461</v>
      </c>
      <c r="B1451" s="2">
        <v>45431</v>
      </c>
      <c r="C1451">
        <v>6000</v>
      </c>
      <c r="D1451" t="s">
        <v>2014</v>
      </c>
      <c r="E1451">
        <v>1648.82</v>
      </c>
      <c r="F1451">
        <v>0</v>
      </c>
      <c r="G1451" t="s">
        <v>2019</v>
      </c>
      <c r="H1451" t="s">
        <v>2027</v>
      </c>
      <c r="I1451" t="s">
        <v>3477</v>
      </c>
      <c r="J1451" t="s">
        <v>4030</v>
      </c>
      <c r="K1451" t="s">
        <v>4033</v>
      </c>
      <c r="L1451">
        <v>-1648.82</v>
      </c>
    </row>
    <row r="1452" spans="1:12">
      <c r="A1452" t="s">
        <v>1462</v>
      </c>
      <c r="B1452" s="2">
        <v>45781</v>
      </c>
      <c r="C1452">
        <v>4010</v>
      </c>
      <c r="D1452" t="s">
        <v>2016</v>
      </c>
      <c r="E1452">
        <v>0</v>
      </c>
      <c r="F1452">
        <v>174.57</v>
      </c>
      <c r="G1452" t="s">
        <v>2022</v>
      </c>
      <c r="H1452" t="s">
        <v>2023</v>
      </c>
      <c r="I1452" t="s">
        <v>3478</v>
      </c>
      <c r="J1452" t="s">
        <v>4031</v>
      </c>
      <c r="K1452" t="s">
        <v>4038</v>
      </c>
      <c r="L1452">
        <v>174.57</v>
      </c>
    </row>
    <row r="1453" spans="1:12">
      <c r="A1453" t="s">
        <v>1463</v>
      </c>
      <c r="B1453" s="2">
        <v>45366</v>
      </c>
      <c r="C1453">
        <v>6000</v>
      </c>
      <c r="D1453" t="s">
        <v>2014</v>
      </c>
      <c r="E1453">
        <v>302.02999999999997</v>
      </c>
      <c r="F1453">
        <v>0</v>
      </c>
      <c r="G1453" t="s">
        <v>2018</v>
      </c>
      <c r="H1453" t="s">
        <v>2026</v>
      </c>
      <c r="I1453" t="s">
        <v>3479</v>
      </c>
      <c r="J1453" t="s">
        <v>4029</v>
      </c>
      <c r="K1453" t="s">
        <v>4049</v>
      </c>
      <c r="L1453">
        <v>-302.02999999999997</v>
      </c>
    </row>
    <row r="1454" spans="1:12">
      <c r="A1454" t="s">
        <v>1464</v>
      </c>
      <c r="B1454" s="2">
        <v>45450</v>
      </c>
      <c r="C1454">
        <v>6000</v>
      </c>
      <c r="D1454" t="s">
        <v>2014</v>
      </c>
      <c r="E1454">
        <v>226.75</v>
      </c>
      <c r="F1454">
        <v>0</v>
      </c>
      <c r="G1454" t="s">
        <v>2018</v>
      </c>
      <c r="H1454" t="s">
        <v>2024</v>
      </c>
      <c r="I1454" t="s">
        <v>3480</v>
      </c>
      <c r="J1454" t="s">
        <v>4032</v>
      </c>
      <c r="K1454" t="s">
        <v>4034</v>
      </c>
      <c r="L1454">
        <v>-226.75</v>
      </c>
    </row>
    <row r="1455" spans="1:12">
      <c r="A1455" t="s">
        <v>1465</v>
      </c>
      <c r="B1455" s="2">
        <v>45141</v>
      </c>
      <c r="C1455">
        <v>4010</v>
      </c>
      <c r="D1455" t="s">
        <v>2016</v>
      </c>
      <c r="E1455">
        <v>0</v>
      </c>
      <c r="F1455">
        <v>3167.06</v>
      </c>
      <c r="G1455" t="s">
        <v>2017</v>
      </c>
      <c r="H1455" t="s">
        <v>2025</v>
      </c>
      <c r="I1455" t="s">
        <v>3481</v>
      </c>
      <c r="J1455" t="s">
        <v>4030</v>
      </c>
      <c r="K1455" t="s">
        <v>4037</v>
      </c>
      <c r="L1455">
        <v>3167.06</v>
      </c>
    </row>
    <row r="1456" spans="1:12">
      <c r="A1456" t="s">
        <v>1466</v>
      </c>
      <c r="B1456" s="2">
        <v>44929</v>
      </c>
      <c r="C1456">
        <v>5000</v>
      </c>
      <c r="D1456" t="s">
        <v>2013</v>
      </c>
      <c r="E1456">
        <v>1135.3699999999999</v>
      </c>
      <c r="F1456">
        <v>0</v>
      </c>
      <c r="G1456" t="s">
        <v>2020</v>
      </c>
      <c r="H1456" t="s">
        <v>2027</v>
      </c>
      <c r="I1456" t="s">
        <v>3482</v>
      </c>
      <c r="J1456" t="s">
        <v>4030</v>
      </c>
      <c r="K1456" t="s">
        <v>4047</v>
      </c>
      <c r="L1456">
        <v>-1135.3699999999999</v>
      </c>
    </row>
    <row r="1457" spans="1:12">
      <c r="A1457" t="s">
        <v>1467</v>
      </c>
      <c r="B1457" s="2">
        <v>45649</v>
      </c>
      <c r="C1457">
        <v>6000</v>
      </c>
      <c r="D1457" t="s">
        <v>2014</v>
      </c>
      <c r="E1457">
        <v>418.07</v>
      </c>
      <c r="F1457">
        <v>0</v>
      </c>
      <c r="G1457" t="s">
        <v>2022</v>
      </c>
      <c r="H1457" t="s">
        <v>2027</v>
      </c>
      <c r="I1457" t="s">
        <v>3483</v>
      </c>
      <c r="J1457" t="s">
        <v>4032</v>
      </c>
      <c r="K1457" t="s">
        <v>4056</v>
      </c>
      <c r="L1457">
        <v>-418.07</v>
      </c>
    </row>
    <row r="1458" spans="1:12">
      <c r="A1458" t="s">
        <v>1468</v>
      </c>
      <c r="B1458" s="2">
        <v>45635</v>
      </c>
      <c r="C1458">
        <v>4000</v>
      </c>
      <c r="D1458" t="s">
        <v>2012</v>
      </c>
      <c r="E1458">
        <v>0</v>
      </c>
      <c r="F1458">
        <v>3400.48</v>
      </c>
      <c r="G1458" t="s">
        <v>2017</v>
      </c>
      <c r="H1458" t="s">
        <v>2027</v>
      </c>
      <c r="I1458" t="s">
        <v>3484</v>
      </c>
      <c r="J1458" t="s">
        <v>4030</v>
      </c>
      <c r="K1458" t="s">
        <v>4056</v>
      </c>
      <c r="L1458">
        <v>3400.48</v>
      </c>
    </row>
    <row r="1459" spans="1:12">
      <c r="A1459" t="s">
        <v>1469</v>
      </c>
      <c r="B1459" s="2">
        <v>45327</v>
      </c>
      <c r="C1459">
        <v>5000</v>
      </c>
      <c r="D1459" t="s">
        <v>2013</v>
      </c>
      <c r="E1459">
        <v>67.56</v>
      </c>
      <c r="F1459">
        <v>0</v>
      </c>
      <c r="G1459" t="s">
        <v>2022</v>
      </c>
      <c r="H1459" t="s">
        <v>2023</v>
      </c>
      <c r="I1459" t="s">
        <v>3485</v>
      </c>
      <c r="J1459" t="s">
        <v>4028</v>
      </c>
      <c r="K1459" t="s">
        <v>4044</v>
      </c>
      <c r="L1459">
        <v>-67.56</v>
      </c>
    </row>
    <row r="1460" spans="1:12">
      <c r="A1460" t="s">
        <v>1470</v>
      </c>
      <c r="B1460" s="2">
        <v>45430</v>
      </c>
      <c r="C1460">
        <v>4000</v>
      </c>
      <c r="D1460" t="s">
        <v>2012</v>
      </c>
      <c r="E1460">
        <v>0</v>
      </c>
      <c r="F1460">
        <v>2980.92</v>
      </c>
      <c r="G1460" t="s">
        <v>2020</v>
      </c>
      <c r="H1460" t="s">
        <v>2025</v>
      </c>
      <c r="I1460" t="s">
        <v>3486</v>
      </c>
      <c r="J1460" t="s">
        <v>4030</v>
      </c>
      <c r="K1460" t="s">
        <v>4033</v>
      </c>
      <c r="L1460">
        <v>2980.92</v>
      </c>
    </row>
    <row r="1461" spans="1:12">
      <c r="A1461" t="s">
        <v>1471</v>
      </c>
      <c r="B1461" s="2">
        <v>45452</v>
      </c>
      <c r="C1461">
        <v>5010</v>
      </c>
      <c r="D1461" t="s">
        <v>2015</v>
      </c>
      <c r="E1461">
        <v>1093.1300000000001</v>
      </c>
      <c r="F1461">
        <v>0</v>
      </c>
      <c r="G1461" t="s">
        <v>2019</v>
      </c>
      <c r="H1461" t="s">
        <v>2026</v>
      </c>
      <c r="I1461" t="s">
        <v>3487</v>
      </c>
      <c r="J1461" t="s">
        <v>4031</v>
      </c>
      <c r="K1461" t="s">
        <v>4034</v>
      </c>
      <c r="L1461">
        <v>-1093.1300000000001</v>
      </c>
    </row>
    <row r="1462" spans="1:12">
      <c r="A1462" t="s">
        <v>1472</v>
      </c>
      <c r="B1462" s="2">
        <v>45823</v>
      </c>
      <c r="C1462">
        <v>4010</v>
      </c>
      <c r="D1462" t="s">
        <v>2016</v>
      </c>
      <c r="E1462">
        <v>0</v>
      </c>
      <c r="F1462">
        <v>3048.03</v>
      </c>
      <c r="G1462" t="s">
        <v>2021</v>
      </c>
      <c r="H1462" t="s">
        <v>2027</v>
      </c>
      <c r="I1462" t="s">
        <v>3488</v>
      </c>
      <c r="J1462" t="s">
        <v>4032</v>
      </c>
      <c r="K1462" t="s">
        <v>4052</v>
      </c>
      <c r="L1462">
        <v>3048.03</v>
      </c>
    </row>
    <row r="1463" spans="1:12">
      <c r="A1463" t="s">
        <v>1473</v>
      </c>
      <c r="B1463" s="2">
        <v>45649</v>
      </c>
      <c r="C1463">
        <v>6000</v>
      </c>
      <c r="D1463" t="s">
        <v>2014</v>
      </c>
      <c r="E1463">
        <v>1020.63</v>
      </c>
      <c r="F1463">
        <v>0</v>
      </c>
      <c r="G1463" t="s">
        <v>2020</v>
      </c>
      <c r="H1463" t="s">
        <v>2025</v>
      </c>
      <c r="I1463" t="s">
        <v>3489</v>
      </c>
      <c r="J1463" t="s">
        <v>4030</v>
      </c>
      <c r="K1463" t="s">
        <v>4056</v>
      </c>
      <c r="L1463">
        <v>-1020.63</v>
      </c>
    </row>
    <row r="1464" spans="1:12">
      <c r="A1464" t="s">
        <v>1474</v>
      </c>
      <c r="B1464" s="2">
        <v>45047</v>
      </c>
      <c r="C1464">
        <v>5010</v>
      </c>
      <c r="D1464" t="s">
        <v>2015</v>
      </c>
      <c r="E1464">
        <v>1162.8900000000001</v>
      </c>
      <c r="F1464">
        <v>0</v>
      </c>
      <c r="G1464" t="s">
        <v>2017</v>
      </c>
      <c r="H1464" t="s">
        <v>2023</v>
      </c>
      <c r="I1464" t="s">
        <v>3490</v>
      </c>
      <c r="J1464" t="s">
        <v>4028</v>
      </c>
      <c r="K1464" t="s">
        <v>4062</v>
      </c>
      <c r="L1464">
        <v>-1162.8900000000001</v>
      </c>
    </row>
    <row r="1465" spans="1:12">
      <c r="A1465" t="s">
        <v>1475</v>
      </c>
      <c r="B1465" s="2">
        <v>45824</v>
      </c>
      <c r="C1465">
        <v>5000</v>
      </c>
      <c r="D1465" t="s">
        <v>2013</v>
      </c>
      <c r="E1465">
        <v>783.53</v>
      </c>
      <c r="F1465">
        <v>0</v>
      </c>
      <c r="G1465" t="s">
        <v>2022</v>
      </c>
      <c r="H1465" t="s">
        <v>2024</v>
      </c>
      <c r="I1465" t="s">
        <v>3491</v>
      </c>
      <c r="J1465" t="s">
        <v>4028</v>
      </c>
      <c r="K1465" t="s">
        <v>4052</v>
      </c>
      <c r="L1465">
        <v>-783.53</v>
      </c>
    </row>
    <row r="1466" spans="1:12">
      <c r="A1466" t="s">
        <v>1476</v>
      </c>
      <c r="B1466" s="2">
        <v>45337</v>
      </c>
      <c r="C1466">
        <v>4000</v>
      </c>
      <c r="D1466" t="s">
        <v>2012</v>
      </c>
      <c r="E1466">
        <v>0</v>
      </c>
      <c r="F1466">
        <v>3125.16</v>
      </c>
      <c r="G1466" t="s">
        <v>2017</v>
      </c>
      <c r="H1466" t="s">
        <v>2026</v>
      </c>
      <c r="I1466" t="s">
        <v>3492</v>
      </c>
      <c r="J1466" t="s">
        <v>4029</v>
      </c>
      <c r="K1466" t="s">
        <v>4044</v>
      </c>
      <c r="L1466">
        <v>3125.16</v>
      </c>
    </row>
    <row r="1467" spans="1:12">
      <c r="A1467" t="s">
        <v>1477</v>
      </c>
      <c r="B1467" s="2">
        <v>45508</v>
      </c>
      <c r="C1467">
        <v>5000</v>
      </c>
      <c r="D1467" t="s">
        <v>2013</v>
      </c>
      <c r="E1467">
        <v>1578.71</v>
      </c>
      <c r="F1467">
        <v>0</v>
      </c>
      <c r="G1467" t="s">
        <v>2021</v>
      </c>
      <c r="H1467" t="s">
        <v>2024</v>
      </c>
      <c r="I1467" t="s">
        <v>3493</v>
      </c>
      <c r="J1467" t="s">
        <v>4029</v>
      </c>
      <c r="K1467" t="s">
        <v>4058</v>
      </c>
      <c r="L1467">
        <v>-1578.71</v>
      </c>
    </row>
    <row r="1468" spans="1:12">
      <c r="A1468" t="s">
        <v>1478</v>
      </c>
      <c r="B1468" s="2">
        <v>45247</v>
      </c>
      <c r="C1468">
        <v>4000</v>
      </c>
      <c r="D1468" t="s">
        <v>2012</v>
      </c>
      <c r="E1468">
        <v>0</v>
      </c>
      <c r="F1468">
        <v>4453.8</v>
      </c>
      <c r="G1468" t="s">
        <v>2021</v>
      </c>
      <c r="H1468" t="s">
        <v>2025</v>
      </c>
      <c r="I1468" t="s">
        <v>3494</v>
      </c>
      <c r="J1468" t="s">
        <v>4031</v>
      </c>
      <c r="K1468" t="s">
        <v>4042</v>
      </c>
      <c r="L1468">
        <v>4453.8</v>
      </c>
    </row>
    <row r="1469" spans="1:12">
      <c r="A1469" t="s">
        <v>1479</v>
      </c>
      <c r="B1469" s="2">
        <v>45173</v>
      </c>
      <c r="C1469">
        <v>4000</v>
      </c>
      <c r="D1469" t="s">
        <v>2012</v>
      </c>
      <c r="E1469">
        <v>0</v>
      </c>
      <c r="F1469">
        <v>4929.5200000000004</v>
      </c>
      <c r="G1469" t="s">
        <v>2022</v>
      </c>
      <c r="H1469" t="s">
        <v>2025</v>
      </c>
      <c r="I1469" t="s">
        <v>3495</v>
      </c>
      <c r="J1469" t="s">
        <v>4028</v>
      </c>
      <c r="K1469" t="s">
        <v>4036</v>
      </c>
      <c r="L1469">
        <v>4929.5200000000004</v>
      </c>
    </row>
    <row r="1470" spans="1:12">
      <c r="A1470" t="s">
        <v>1480</v>
      </c>
      <c r="B1470" s="2">
        <v>44976</v>
      </c>
      <c r="C1470">
        <v>5000</v>
      </c>
      <c r="D1470" t="s">
        <v>2013</v>
      </c>
      <c r="E1470">
        <v>537.51</v>
      </c>
      <c r="F1470">
        <v>0</v>
      </c>
      <c r="G1470" t="s">
        <v>2021</v>
      </c>
      <c r="H1470" t="s">
        <v>2025</v>
      </c>
      <c r="I1470" t="s">
        <v>3496</v>
      </c>
      <c r="J1470" t="s">
        <v>4028</v>
      </c>
      <c r="K1470" t="s">
        <v>4057</v>
      </c>
      <c r="L1470">
        <v>-537.51</v>
      </c>
    </row>
    <row r="1471" spans="1:12">
      <c r="A1471" t="s">
        <v>1481</v>
      </c>
      <c r="B1471" s="2">
        <v>45641</v>
      </c>
      <c r="C1471">
        <v>5000</v>
      </c>
      <c r="D1471" t="s">
        <v>2013</v>
      </c>
      <c r="E1471">
        <v>554.87</v>
      </c>
      <c r="F1471">
        <v>0</v>
      </c>
      <c r="G1471" t="s">
        <v>2020</v>
      </c>
      <c r="H1471" t="s">
        <v>2024</v>
      </c>
      <c r="I1471" t="s">
        <v>3497</v>
      </c>
      <c r="J1471" t="s">
        <v>4028</v>
      </c>
      <c r="K1471" t="s">
        <v>4056</v>
      </c>
      <c r="L1471">
        <v>-554.87</v>
      </c>
    </row>
    <row r="1472" spans="1:12">
      <c r="A1472" t="s">
        <v>1482</v>
      </c>
      <c r="B1472" s="2">
        <v>45406</v>
      </c>
      <c r="C1472">
        <v>4010</v>
      </c>
      <c r="D1472" t="s">
        <v>2016</v>
      </c>
      <c r="E1472">
        <v>0</v>
      </c>
      <c r="F1472">
        <v>4941.29</v>
      </c>
      <c r="G1472" t="s">
        <v>2020</v>
      </c>
      <c r="H1472" t="s">
        <v>2026</v>
      </c>
      <c r="I1472" t="s">
        <v>3498</v>
      </c>
      <c r="J1472" t="s">
        <v>4030</v>
      </c>
      <c r="K1472" t="s">
        <v>4040</v>
      </c>
      <c r="L1472">
        <v>4941.29</v>
      </c>
    </row>
    <row r="1473" spans="1:12">
      <c r="A1473" t="s">
        <v>1483</v>
      </c>
      <c r="B1473" s="2">
        <v>45246</v>
      </c>
      <c r="C1473">
        <v>5000</v>
      </c>
      <c r="D1473" t="s">
        <v>2013</v>
      </c>
      <c r="E1473">
        <v>1427.31</v>
      </c>
      <c r="F1473">
        <v>0</v>
      </c>
      <c r="G1473" t="s">
        <v>2018</v>
      </c>
      <c r="H1473" t="s">
        <v>2026</v>
      </c>
      <c r="I1473" t="s">
        <v>3499</v>
      </c>
      <c r="J1473" t="s">
        <v>4029</v>
      </c>
      <c r="K1473" t="s">
        <v>4042</v>
      </c>
      <c r="L1473">
        <v>-1427.31</v>
      </c>
    </row>
    <row r="1474" spans="1:12">
      <c r="A1474" t="s">
        <v>1484</v>
      </c>
      <c r="B1474" s="2">
        <v>45234</v>
      </c>
      <c r="C1474">
        <v>4000</v>
      </c>
      <c r="D1474" t="s">
        <v>2012</v>
      </c>
      <c r="E1474">
        <v>0</v>
      </c>
      <c r="F1474">
        <v>1063.56</v>
      </c>
      <c r="G1474" t="s">
        <v>2021</v>
      </c>
      <c r="H1474" t="s">
        <v>2027</v>
      </c>
      <c r="I1474" t="s">
        <v>3500</v>
      </c>
      <c r="J1474" t="s">
        <v>4029</v>
      </c>
      <c r="K1474" t="s">
        <v>4042</v>
      </c>
      <c r="L1474">
        <v>1063.56</v>
      </c>
    </row>
    <row r="1475" spans="1:12">
      <c r="A1475" t="s">
        <v>1485</v>
      </c>
      <c r="B1475" s="2">
        <v>45061</v>
      </c>
      <c r="C1475">
        <v>6000</v>
      </c>
      <c r="D1475" t="s">
        <v>2014</v>
      </c>
      <c r="E1475">
        <v>665.12</v>
      </c>
      <c r="F1475">
        <v>0</v>
      </c>
      <c r="G1475" t="s">
        <v>2020</v>
      </c>
      <c r="H1475" t="s">
        <v>2026</v>
      </c>
      <c r="I1475" t="s">
        <v>3501</v>
      </c>
      <c r="J1475" t="s">
        <v>4032</v>
      </c>
      <c r="K1475" t="s">
        <v>4062</v>
      </c>
      <c r="L1475">
        <v>-665.12</v>
      </c>
    </row>
    <row r="1476" spans="1:12">
      <c r="A1476" t="s">
        <v>1486</v>
      </c>
      <c r="B1476" s="2">
        <v>45427</v>
      </c>
      <c r="C1476">
        <v>4000</v>
      </c>
      <c r="D1476" t="s">
        <v>2012</v>
      </c>
      <c r="E1476">
        <v>0</v>
      </c>
      <c r="F1476">
        <v>185.76</v>
      </c>
      <c r="G1476" t="s">
        <v>2020</v>
      </c>
      <c r="H1476" t="s">
        <v>2024</v>
      </c>
      <c r="I1476" t="s">
        <v>3502</v>
      </c>
      <c r="J1476" t="s">
        <v>4031</v>
      </c>
      <c r="K1476" t="s">
        <v>4033</v>
      </c>
      <c r="L1476">
        <v>185.76</v>
      </c>
    </row>
    <row r="1477" spans="1:12">
      <c r="A1477" t="s">
        <v>1487</v>
      </c>
      <c r="B1477" s="2">
        <v>45695</v>
      </c>
      <c r="C1477">
        <v>4010</v>
      </c>
      <c r="D1477" t="s">
        <v>2016</v>
      </c>
      <c r="E1477">
        <v>0</v>
      </c>
      <c r="F1477">
        <v>278.45999999999998</v>
      </c>
      <c r="G1477" t="s">
        <v>2020</v>
      </c>
      <c r="H1477" t="s">
        <v>2025</v>
      </c>
      <c r="I1477" t="s">
        <v>3503</v>
      </c>
      <c r="J1477" t="s">
        <v>4030</v>
      </c>
      <c r="K1477" t="s">
        <v>4061</v>
      </c>
      <c r="L1477">
        <v>278.45999999999998</v>
      </c>
    </row>
    <row r="1478" spans="1:12">
      <c r="A1478" t="s">
        <v>1488</v>
      </c>
      <c r="B1478" s="2">
        <v>45336</v>
      </c>
      <c r="C1478">
        <v>4000</v>
      </c>
      <c r="D1478" t="s">
        <v>2012</v>
      </c>
      <c r="E1478">
        <v>0</v>
      </c>
      <c r="F1478">
        <v>4294.84</v>
      </c>
      <c r="G1478" t="s">
        <v>2020</v>
      </c>
      <c r="H1478" t="s">
        <v>2023</v>
      </c>
      <c r="I1478" t="s">
        <v>3504</v>
      </c>
      <c r="J1478" t="s">
        <v>4032</v>
      </c>
      <c r="K1478" t="s">
        <v>4044</v>
      </c>
      <c r="L1478">
        <v>4294.84</v>
      </c>
    </row>
    <row r="1479" spans="1:12">
      <c r="A1479" t="s">
        <v>1489</v>
      </c>
      <c r="B1479" s="2">
        <v>45199</v>
      </c>
      <c r="C1479">
        <v>5010</v>
      </c>
      <c r="D1479" t="s">
        <v>2015</v>
      </c>
      <c r="E1479">
        <v>1675.83</v>
      </c>
      <c r="F1479">
        <v>0</v>
      </c>
      <c r="G1479" t="s">
        <v>2017</v>
      </c>
      <c r="H1479" t="s">
        <v>2025</v>
      </c>
      <c r="I1479" t="s">
        <v>3505</v>
      </c>
      <c r="J1479" t="s">
        <v>4031</v>
      </c>
      <c r="K1479" t="s">
        <v>4036</v>
      </c>
      <c r="L1479">
        <v>-1675.83</v>
      </c>
    </row>
    <row r="1480" spans="1:12">
      <c r="A1480" t="s">
        <v>1490</v>
      </c>
      <c r="B1480" s="2">
        <v>45578</v>
      </c>
      <c r="C1480">
        <v>5010</v>
      </c>
      <c r="D1480" t="s">
        <v>2015</v>
      </c>
      <c r="E1480">
        <v>658.13</v>
      </c>
      <c r="F1480">
        <v>0</v>
      </c>
      <c r="G1480" t="s">
        <v>2019</v>
      </c>
      <c r="H1480" t="s">
        <v>2023</v>
      </c>
      <c r="I1480" t="s">
        <v>3506</v>
      </c>
      <c r="J1480" t="s">
        <v>4028</v>
      </c>
      <c r="K1480" t="s">
        <v>4059</v>
      </c>
      <c r="L1480">
        <v>-658.13</v>
      </c>
    </row>
    <row r="1481" spans="1:12">
      <c r="A1481" t="s">
        <v>1491</v>
      </c>
      <c r="B1481" s="2">
        <v>45794</v>
      </c>
      <c r="C1481">
        <v>6000</v>
      </c>
      <c r="D1481" t="s">
        <v>2014</v>
      </c>
      <c r="E1481">
        <v>1615.35</v>
      </c>
      <c r="F1481">
        <v>0</v>
      </c>
      <c r="G1481" t="s">
        <v>2019</v>
      </c>
      <c r="H1481" t="s">
        <v>2023</v>
      </c>
      <c r="I1481" t="s">
        <v>3507</v>
      </c>
      <c r="J1481" t="s">
        <v>4032</v>
      </c>
      <c r="K1481" t="s">
        <v>4038</v>
      </c>
      <c r="L1481">
        <v>-1615.35</v>
      </c>
    </row>
    <row r="1482" spans="1:12">
      <c r="A1482" t="s">
        <v>1492</v>
      </c>
      <c r="B1482" s="2">
        <v>45195</v>
      </c>
      <c r="C1482">
        <v>4010</v>
      </c>
      <c r="D1482" t="s">
        <v>2016</v>
      </c>
      <c r="E1482">
        <v>0</v>
      </c>
      <c r="F1482">
        <v>4040.21</v>
      </c>
      <c r="G1482" t="s">
        <v>2020</v>
      </c>
      <c r="H1482" t="s">
        <v>2026</v>
      </c>
      <c r="I1482" t="s">
        <v>3508</v>
      </c>
      <c r="J1482" t="s">
        <v>4032</v>
      </c>
      <c r="K1482" t="s">
        <v>4036</v>
      </c>
      <c r="L1482">
        <v>4040.21</v>
      </c>
    </row>
    <row r="1483" spans="1:12">
      <c r="A1483" t="s">
        <v>1493</v>
      </c>
      <c r="B1483" s="2">
        <v>45804</v>
      </c>
      <c r="C1483">
        <v>4000</v>
      </c>
      <c r="D1483" t="s">
        <v>2012</v>
      </c>
      <c r="E1483">
        <v>0</v>
      </c>
      <c r="F1483">
        <v>1080.5</v>
      </c>
      <c r="G1483" t="s">
        <v>2017</v>
      </c>
      <c r="H1483" t="s">
        <v>2027</v>
      </c>
      <c r="I1483" t="s">
        <v>3509</v>
      </c>
      <c r="J1483" t="s">
        <v>4029</v>
      </c>
      <c r="K1483" t="s">
        <v>4038</v>
      </c>
      <c r="L1483">
        <v>1080.5</v>
      </c>
    </row>
    <row r="1484" spans="1:12">
      <c r="A1484" t="s">
        <v>1494</v>
      </c>
      <c r="B1484" s="2">
        <v>45754</v>
      </c>
      <c r="C1484">
        <v>6000</v>
      </c>
      <c r="D1484" t="s">
        <v>2014</v>
      </c>
      <c r="E1484">
        <v>1674.78</v>
      </c>
      <c r="F1484">
        <v>0</v>
      </c>
      <c r="G1484" t="s">
        <v>2021</v>
      </c>
      <c r="H1484" t="s">
        <v>2025</v>
      </c>
      <c r="I1484" t="s">
        <v>3510</v>
      </c>
      <c r="J1484" t="s">
        <v>4029</v>
      </c>
      <c r="K1484" t="s">
        <v>4045</v>
      </c>
      <c r="L1484">
        <v>-1674.78</v>
      </c>
    </row>
    <row r="1485" spans="1:12">
      <c r="A1485" t="s">
        <v>1495</v>
      </c>
      <c r="B1485" s="2">
        <v>45611</v>
      </c>
      <c r="C1485">
        <v>5010</v>
      </c>
      <c r="D1485" t="s">
        <v>2015</v>
      </c>
      <c r="E1485">
        <v>959.69</v>
      </c>
      <c r="F1485">
        <v>0</v>
      </c>
      <c r="G1485" t="s">
        <v>2022</v>
      </c>
      <c r="H1485" t="s">
        <v>2024</v>
      </c>
      <c r="I1485" t="s">
        <v>3511</v>
      </c>
      <c r="J1485" t="s">
        <v>4031</v>
      </c>
      <c r="K1485" t="s">
        <v>4043</v>
      </c>
      <c r="L1485">
        <v>-959.69</v>
      </c>
    </row>
    <row r="1486" spans="1:12">
      <c r="A1486" t="s">
        <v>1496</v>
      </c>
      <c r="B1486" s="2">
        <v>45461</v>
      </c>
      <c r="C1486">
        <v>5000</v>
      </c>
      <c r="D1486" t="s">
        <v>2013</v>
      </c>
      <c r="E1486">
        <v>1883.44</v>
      </c>
      <c r="F1486">
        <v>0</v>
      </c>
      <c r="G1486" t="s">
        <v>2021</v>
      </c>
      <c r="H1486" t="s">
        <v>2027</v>
      </c>
      <c r="I1486" t="s">
        <v>3512</v>
      </c>
      <c r="J1486" t="s">
        <v>4030</v>
      </c>
      <c r="K1486" t="s">
        <v>4034</v>
      </c>
      <c r="L1486">
        <v>-1883.44</v>
      </c>
    </row>
    <row r="1487" spans="1:12">
      <c r="A1487" t="s">
        <v>1497</v>
      </c>
      <c r="B1487" s="2">
        <v>45285</v>
      </c>
      <c r="C1487">
        <v>4000</v>
      </c>
      <c r="D1487" t="s">
        <v>2012</v>
      </c>
      <c r="E1487">
        <v>0</v>
      </c>
      <c r="F1487">
        <v>1071.33</v>
      </c>
      <c r="G1487" t="s">
        <v>2021</v>
      </c>
      <c r="H1487" t="s">
        <v>2027</v>
      </c>
      <c r="I1487" t="s">
        <v>3513</v>
      </c>
      <c r="J1487" t="s">
        <v>4031</v>
      </c>
      <c r="K1487" t="s">
        <v>4039</v>
      </c>
      <c r="L1487">
        <v>1071.33</v>
      </c>
    </row>
    <row r="1488" spans="1:12">
      <c r="A1488" t="s">
        <v>1498</v>
      </c>
      <c r="B1488" s="2">
        <v>45412</v>
      </c>
      <c r="C1488">
        <v>4010</v>
      </c>
      <c r="D1488" t="s">
        <v>2016</v>
      </c>
      <c r="E1488">
        <v>0</v>
      </c>
      <c r="F1488">
        <v>3543.57</v>
      </c>
      <c r="G1488" t="s">
        <v>2022</v>
      </c>
      <c r="H1488" t="s">
        <v>2027</v>
      </c>
      <c r="I1488" t="s">
        <v>3514</v>
      </c>
      <c r="J1488" t="s">
        <v>4031</v>
      </c>
      <c r="K1488" t="s">
        <v>4040</v>
      </c>
      <c r="L1488">
        <v>3543.57</v>
      </c>
    </row>
    <row r="1489" spans="1:12">
      <c r="A1489" t="s">
        <v>1499</v>
      </c>
      <c r="B1489" s="2">
        <v>45379</v>
      </c>
      <c r="C1489">
        <v>5000</v>
      </c>
      <c r="D1489" t="s">
        <v>2013</v>
      </c>
      <c r="E1489">
        <v>489.81</v>
      </c>
      <c r="F1489">
        <v>0</v>
      </c>
      <c r="G1489" t="s">
        <v>2018</v>
      </c>
      <c r="H1489" t="s">
        <v>2027</v>
      </c>
      <c r="I1489" t="s">
        <v>3515</v>
      </c>
      <c r="J1489" t="s">
        <v>4030</v>
      </c>
      <c r="K1489" t="s">
        <v>4049</v>
      </c>
      <c r="L1489">
        <v>-489.81</v>
      </c>
    </row>
    <row r="1490" spans="1:12">
      <c r="A1490" t="s">
        <v>1500</v>
      </c>
      <c r="B1490" s="2">
        <v>45624</v>
      </c>
      <c r="C1490">
        <v>5010</v>
      </c>
      <c r="D1490" t="s">
        <v>2015</v>
      </c>
      <c r="E1490">
        <v>505.72</v>
      </c>
      <c r="F1490">
        <v>0</v>
      </c>
      <c r="G1490" t="s">
        <v>2021</v>
      </c>
      <c r="H1490" t="s">
        <v>2026</v>
      </c>
      <c r="I1490" t="s">
        <v>3516</v>
      </c>
      <c r="J1490" t="s">
        <v>4032</v>
      </c>
      <c r="K1490" t="s">
        <v>4043</v>
      </c>
      <c r="L1490">
        <v>-505.72</v>
      </c>
    </row>
    <row r="1491" spans="1:12">
      <c r="A1491" t="s">
        <v>1501</v>
      </c>
      <c r="B1491" s="2">
        <v>45263</v>
      </c>
      <c r="C1491">
        <v>5010</v>
      </c>
      <c r="D1491" t="s">
        <v>2015</v>
      </c>
      <c r="E1491">
        <v>178.76</v>
      </c>
      <c r="F1491">
        <v>0</v>
      </c>
      <c r="G1491" t="s">
        <v>2022</v>
      </c>
      <c r="H1491" t="s">
        <v>2027</v>
      </c>
      <c r="I1491" t="s">
        <v>3517</v>
      </c>
      <c r="J1491" t="s">
        <v>4029</v>
      </c>
      <c r="K1491" t="s">
        <v>4039</v>
      </c>
      <c r="L1491">
        <v>-178.76</v>
      </c>
    </row>
    <row r="1492" spans="1:12">
      <c r="A1492" t="s">
        <v>1502</v>
      </c>
      <c r="B1492" s="2">
        <v>45681</v>
      </c>
      <c r="C1492">
        <v>6000</v>
      </c>
      <c r="D1492" t="s">
        <v>2014</v>
      </c>
      <c r="E1492">
        <v>495.06</v>
      </c>
      <c r="F1492">
        <v>0</v>
      </c>
      <c r="G1492" t="s">
        <v>2021</v>
      </c>
      <c r="H1492" t="s">
        <v>2023</v>
      </c>
      <c r="I1492" t="s">
        <v>3518</v>
      </c>
      <c r="J1492" t="s">
        <v>4028</v>
      </c>
      <c r="K1492" t="s">
        <v>4035</v>
      </c>
      <c r="L1492">
        <v>-495.06</v>
      </c>
    </row>
    <row r="1493" spans="1:12">
      <c r="A1493" t="s">
        <v>1503</v>
      </c>
      <c r="B1493" s="2">
        <v>45732</v>
      </c>
      <c r="C1493">
        <v>4010</v>
      </c>
      <c r="D1493" t="s">
        <v>2016</v>
      </c>
      <c r="E1493">
        <v>0</v>
      </c>
      <c r="F1493">
        <v>309.72000000000003</v>
      </c>
      <c r="G1493" t="s">
        <v>2017</v>
      </c>
      <c r="H1493" t="s">
        <v>2027</v>
      </c>
      <c r="I1493" t="s">
        <v>3519</v>
      </c>
      <c r="J1493" t="s">
        <v>4028</v>
      </c>
      <c r="K1493" t="s">
        <v>4046</v>
      </c>
      <c r="L1493">
        <v>309.72000000000003</v>
      </c>
    </row>
    <row r="1494" spans="1:12">
      <c r="A1494" t="s">
        <v>1504</v>
      </c>
      <c r="B1494" s="2">
        <v>44941</v>
      </c>
      <c r="C1494">
        <v>5010</v>
      </c>
      <c r="D1494" t="s">
        <v>2015</v>
      </c>
      <c r="E1494">
        <v>1106.6600000000001</v>
      </c>
      <c r="F1494">
        <v>0</v>
      </c>
      <c r="G1494" t="s">
        <v>2019</v>
      </c>
      <c r="H1494" t="s">
        <v>2023</v>
      </c>
      <c r="I1494" t="s">
        <v>3520</v>
      </c>
      <c r="J1494" t="s">
        <v>4030</v>
      </c>
      <c r="K1494" t="s">
        <v>4047</v>
      </c>
      <c r="L1494">
        <v>-1106.6600000000001</v>
      </c>
    </row>
    <row r="1495" spans="1:12">
      <c r="A1495" t="s">
        <v>1505</v>
      </c>
      <c r="B1495" s="2">
        <v>45771</v>
      </c>
      <c r="C1495">
        <v>4010</v>
      </c>
      <c r="D1495" t="s">
        <v>2016</v>
      </c>
      <c r="E1495">
        <v>0</v>
      </c>
      <c r="F1495">
        <v>4204.9399999999996</v>
      </c>
      <c r="G1495" t="s">
        <v>2022</v>
      </c>
      <c r="H1495" t="s">
        <v>2025</v>
      </c>
      <c r="I1495" t="s">
        <v>3521</v>
      </c>
      <c r="J1495" t="s">
        <v>4032</v>
      </c>
      <c r="K1495" t="s">
        <v>4045</v>
      </c>
      <c r="L1495">
        <v>4204.9399999999996</v>
      </c>
    </row>
    <row r="1496" spans="1:12">
      <c r="A1496" t="s">
        <v>1506</v>
      </c>
      <c r="B1496" s="2">
        <v>45039</v>
      </c>
      <c r="C1496">
        <v>6000</v>
      </c>
      <c r="D1496" t="s">
        <v>2014</v>
      </c>
      <c r="E1496">
        <v>850.43</v>
      </c>
      <c r="F1496">
        <v>0</v>
      </c>
      <c r="G1496" t="s">
        <v>2017</v>
      </c>
      <c r="H1496" t="s">
        <v>2025</v>
      </c>
      <c r="I1496" t="s">
        <v>3522</v>
      </c>
      <c r="J1496" t="s">
        <v>4032</v>
      </c>
      <c r="K1496" t="s">
        <v>4041</v>
      </c>
      <c r="L1496">
        <v>-850.43</v>
      </c>
    </row>
    <row r="1497" spans="1:12">
      <c r="A1497" t="s">
        <v>1507</v>
      </c>
      <c r="B1497" s="2">
        <v>45288</v>
      </c>
      <c r="C1497">
        <v>4000</v>
      </c>
      <c r="D1497" t="s">
        <v>2012</v>
      </c>
      <c r="E1497">
        <v>0</v>
      </c>
      <c r="F1497">
        <v>4145.32</v>
      </c>
      <c r="G1497" t="s">
        <v>2022</v>
      </c>
      <c r="H1497" t="s">
        <v>2027</v>
      </c>
      <c r="I1497" t="s">
        <v>3523</v>
      </c>
      <c r="J1497" t="s">
        <v>4028</v>
      </c>
      <c r="K1497" t="s">
        <v>4039</v>
      </c>
      <c r="L1497">
        <v>4145.32</v>
      </c>
    </row>
    <row r="1498" spans="1:12">
      <c r="A1498" t="s">
        <v>1508</v>
      </c>
      <c r="B1498" s="2">
        <v>45328</v>
      </c>
      <c r="C1498">
        <v>5010</v>
      </c>
      <c r="D1498" t="s">
        <v>2015</v>
      </c>
      <c r="E1498">
        <v>1312.14</v>
      </c>
      <c r="F1498">
        <v>0</v>
      </c>
      <c r="G1498" t="s">
        <v>2020</v>
      </c>
      <c r="H1498" t="s">
        <v>2025</v>
      </c>
      <c r="I1498" t="s">
        <v>3524</v>
      </c>
      <c r="J1498" t="s">
        <v>4032</v>
      </c>
      <c r="K1498" t="s">
        <v>4044</v>
      </c>
      <c r="L1498">
        <v>-1312.14</v>
      </c>
    </row>
    <row r="1499" spans="1:12">
      <c r="A1499" t="s">
        <v>1509</v>
      </c>
      <c r="B1499" s="2">
        <v>45152</v>
      </c>
      <c r="C1499">
        <v>5010</v>
      </c>
      <c r="D1499" t="s">
        <v>2015</v>
      </c>
      <c r="E1499">
        <v>1270.1400000000001</v>
      </c>
      <c r="F1499">
        <v>0</v>
      </c>
      <c r="G1499" t="s">
        <v>2018</v>
      </c>
      <c r="H1499" t="s">
        <v>2026</v>
      </c>
      <c r="I1499" t="s">
        <v>3525</v>
      </c>
      <c r="J1499" t="s">
        <v>4028</v>
      </c>
      <c r="K1499" t="s">
        <v>4037</v>
      </c>
      <c r="L1499">
        <v>-1270.1400000000001</v>
      </c>
    </row>
    <row r="1500" spans="1:12">
      <c r="A1500" t="s">
        <v>1510</v>
      </c>
      <c r="B1500" s="2">
        <v>44948</v>
      </c>
      <c r="C1500">
        <v>5000</v>
      </c>
      <c r="D1500" t="s">
        <v>2013</v>
      </c>
      <c r="E1500">
        <v>1891.12</v>
      </c>
      <c r="F1500">
        <v>0</v>
      </c>
      <c r="G1500" t="s">
        <v>2018</v>
      </c>
      <c r="H1500" t="s">
        <v>2026</v>
      </c>
      <c r="I1500" t="s">
        <v>3526</v>
      </c>
      <c r="J1500" t="s">
        <v>4028</v>
      </c>
      <c r="K1500" t="s">
        <v>4047</v>
      </c>
      <c r="L1500">
        <v>-1891.12</v>
      </c>
    </row>
    <row r="1501" spans="1:12">
      <c r="A1501" t="s">
        <v>1511</v>
      </c>
      <c r="B1501" s="2">
        <v>45005</v>
      </c>
      <c r="C1501">
        <v>4000</v>
      </c>
      <c r="D1501" t="s">
        <v>2012</v>
      </c>
      <c r="E1501">
        <v>0</v>
      </c>
      <c r="F1501">
        <v>4859.24</v>
      </c>
      <c r="G1501" t="s">
        <v>2021</v>
      </c>
      <c r="H1501" t="s">
        <v>2025</v>
      </c>
      <c r="I1501" t="s">
        <v>3527</v>
      </c>
      <c r="J1501" t="s">
        <v>4028</v>
      </c>
      <c r="K1501" t="s">
        <v>4051</v>
      </c>
      <c r="L1501">
        <v>4859.24</v>
      </c>
    </row>
    <row r="1502" spans="1:12">
      <c r="A1502" t="s">
        <v>1512</v>
      </c>
      <c r="B1502" s="2">
        <v>45221</v>
      </c>
      <c r="C1502">
        <v>4000</v>
      </c>
      <c r="D1502" t="s">
        <v>2012</v>
      </c>
      <c r="E1502">
        <v>0</v>
      </c>
      <c r="F1502">
        <v>2711.83</v>
      </c>
      <c r="G1502" t="s">
        <v>2021</v>
      </c>
      <c r="H1502" t="s">
        <v>2026</v>
      </c>
      <c r="I1502" t="s">
        <v>3528</v>
      </c>
      <c r="J1502" t="s">
        <v>4028</v>
      </c>
      <c r="K1502" t="s">
        <v>4060</v>
      </c>
      <c r="L1502">
        <v>2711.83</v>
      </c>
    </row>
    <row r="1503" spans="1:12">
      <c r="A1503" t="s">
        <v>1513</v>
      </c>
      <c r="B1503" s="2">
        <v>45751</v>
      </c>
      <c r="C1503">
        <v>6000</v>
      </c>
      <c r="D1503" t="s">
        <v>2014</v>
      </c>
      <c r="E1503">
        <v>648.23</v>
      </c>
      <c r="F1503">
        <v>0</v>
      </c>
      <c r="G1503" t="s">
        <v>2018</v>
      </c>
      <c r="H1503" t="s">
        <v>2024</v>
      </c>
      <c r="I1503" t="s">
        <v>3529</v>
      </c>
      <c r="J1503" t="s">
        <v>4032</v>
      </c>
      <c r="K1503" t="s">
        <v>4045</v>
      </c>
      <c r="L1503">
        <v>-648.23</v>
      </c>
    </row>
    <row r="1504" spans="1:12">
      <c r="A1504" t="s">
        <v>1514</v>
      </c>
      <c r="B1504" s="2">
        <v>45238</v>
      </c>
      <c r="C1504">
        <v>4010</v>
      </c>
      <c r="D1504" t="s">
        <v>2016</v>
      </c>
      <c r="E1504">
        <v>0</v>
      </c>
      <c r="F1504">
        <v>3468.1</v>
      </c>
      <c r="G1504" t="s">
        <v>2020</v>
      </c>
      <c r="H1504" t="s">
        <v>2024</v>
      </c>
      <c r="I1504" t="s">
        <v>3530</v>
      </c>
      <c r="J1504" t="s">
        <v>4029</v>
      </c>
      <c r="K1504" t="s">
        <v>4042</v>
      </c>
      <c r="L1504">
        <v>3468.1</v>
      </c>
    </row>
    <row r="1505" spans="1:12">
      <c r="A1505" t="s">
        <v>1515</v>
      </c>
      <c r="B1505" s="2">
        <v>45526</v>
      </c>
      <c r="C1505">
        <v>4010</v>
      </c>
      <c r="D1505" t="s">
        <v>2016</v>
      </c>
      <c r="E1505">
        <v>0</v>
      </c>
      <c r="F1505">
        <v>252.83</v>
      </c>
      <c r="G1505" t="s">
        <v>2020</v>
      </c>
      <c r="H1505" t="s">
        <v>2025</v>
      </c>
      <c r="I1505" t="s">
        <v>3531</v>
      </c>
      <c r="J1505" t="s">
        <v>4032</v>
      </c>
      <c r="K1505" t="s">
        <v>4058</v>
      </c>
      <c r="L1505">
        <v>252.83</v>
      </c>
    </row>
    <row r="1506" spans="1:12">
      <c r="A1506" t="s">
        <v>1516</v>
      </c>
      <c r="B1506" s="2">
        <v>45437</v>
      </c>
      <c r="C1506">
        <v>5010</v>
      </c>
      <c r="D1506" t="s">
        <v>2015</v>
      </c>
      <c r="E1506">
        <v>1268.1099999999999</v>
      </c>
      <c r="F1506">
        <v>0</v>
      </c>
      <c r="G1506" t="s">
        <v>2018</v>
      </c>
      <c r="H1506" t="s">
        <v>2027</v>
      </c>
      <c r="I1506" t="s">
        <v>3532</v>
      </c>
      <c r="J1506" t="s">
        <v>4032</v>
      </c>
      <c r="K1506" t="s">
        <v>4033</v>
      </c>
      <c r="L1506">
        <v>-1268.1099999999999</v>
      </c>
    </row>
    <row r="1507" spans="1:12">
      <c r="A1507" t="s">
        <v>1517</v>
      </c>
      <c r="B1507" s="2">
        <v>45574</v>
      </c>
      <c r="C1507">
        <v>5000</v>
      </c>
      <c r="D1507" t="s">
        <v>2013</v>
      </c>
      <c r="E1507">
        <v>574.22</v>
      </c>
      <c r="F1507">
        <v>0</v>
      </c>
      <c r="G1507" t="s">
        <v>2020</v>
      </c>
      <c r="H1507" t="s">
        <v>2024</v>
      </c>
      <c r="I1507" t="s">
        <v>3533</v>
      </c>
      <c r="J1507" t="s">
        <v>4030</v>
      </c>
      <c r="K1507" t="s">
        <v>4059</v>
      </c>
      <c r="L1507">
        <v>-574.22</v>
      </c>
    </row>
    <row r="1508" spans="1:12">
      <c r="A1508" t="s">
        <v>1518</v>
      </c>
      <c r="B1508" s="2">
        <v>45367</v>
      </c>
      <c r="C1508">
        <v>5010</v>
      </c>
      <c r="D1508" t="s">
        <v>2015</v>
      </c>
      <c r="E1508">
        <v>406.62</v>
      </c>
      <c r="F1508">
        <v>0</v>
      </c>
      <c r="G1508" t="s">
        <v>2018</v>
      </c>
      <c r="H1508" t="s">
        <v>2027</v>
      </c>
      <c r="I1508" t="s">
        <v>3534</v>
      </c>
      <c r="J1508" t="s">
        <v>4029</v>
      </c>
      <c r="K1508" t="s">
        <v>4049</v>
      </c>
      <c r="L1508">
        <v>-406.62</v>
      </c>
    </row>
    <row r="1509" spans="1:12">
      <c r="A1509" t="s">
        <v>1519</v>
      </c>
      <c r="B1509" s="2">
        <v>45366</v>
      </c>
      <c r="C1509">
        <v>4010</v>
      </c>
      <c r="D1509" t="s">
        <v>2016</v>
      </c>
      <c r="E1509">
        <v>0</v>
      </c>
      <c r="F1509">
        <v>4055.84</v>
      </c>
      <c r="G1509" t="s">
        <v>2022</v>
      </c>
      <c r="H1509" t="s">
        <v>2027</v>
      </c>
      <c r="I1509" t="s">
        <v>3535</v>
      </c>
      <c r="J1509" t="s">
        <v>4028</v>
      </c>
      <c r="K1509" t="s">
        <v>4049</v>
      </c>
      <c r="L1509">
        <v>4055.84</v>
      </c>
    </row>
    <row r="1510" spans="1:12">
      <c r="A1510" t="s">
        <v>1520</v>
      </c>
      <c r="B1510" s="2">
        <v>45394</v>
      </c>
      <c r="C1510">
        <v>4000</v>
      </c>
      <c r="D1510" t="s">
        <v>2012</v>
      </c>
      <c r="E1510">
        <v>0</v>
      </c>
      <c r="F1510">
        <v>3804.94</v>
      </c>
      <c r="G1510" t="s">
        <v>2017</v>
      </c>
      <c r="H1510" t="s">
        <v>2027</v>
      </c>
      <c r="I1510" t="s">
        <v>3536</v>
      </c>
      <c r="J1510" t="s">
        <v>4028</v>
      </c>
      <c r="K1510" t="s">
        <v>4040</v>
      </c>
      <c r="L1510">
        <v>3804.94</v>
      </c>
    </row>
    <row r="1511" spans="1:12">
      <c r="A1511" t="s">
        <v>1521</v>
      </c>
      <c r="B1511" s="2">
        <v>45277</v>
      </c>
      <c r="C1511">
        <v>4000</v>
      </c>
      <c r="D1511" t="s">
        <v>2012</v>
      </c>
      <c r="E1511">
        <v>0</v>
      </c>
      <c r="F1511">
        <v>2037.61</v>
      </c>
      <c r="G1511" t="s">
        <v>2022</v>
      </c>
      <c r="H1511" t="s">
        <v>2025</v>
      </c>
      <c r="I1511" t="s">
        <v>3537</v>
      </c>
      <c r="J1511" t="s">
        <v>4030</v>
      </c>
      <c r="K1511" t="s">
        <v>4039</v>
      </c>
      <c r="L1511">
        <v>2037.61</v>
      </c>
    </row>
    <row r="1512" spans="1:12">
      <c r="A1512" t="s">
        <v>1522</v>
      </c>
      <c r="B1512" s="2">
        <v>45537</v>
      </c>
      <c r="C1512">
        <v>5000</v>
      </c>
      <c r="D1512" t="s">
        <v>2013</v>
      </c>
      <c r="E1512">
        <v>1702.53</v>
      </c>
      <c r="F1512">
        <v>0</v>
      </c>
      <c r="G1512" t="s">
        <v>2019</v>
      </c>
      <c r="H1512" t="s">
        <v>2027</v>
      </c>
      <c r="I1512" t="s">
        <v>3538</v>
      </c>
      <c r="J1512" t="s">
        <v>4028</v>
      </c>
      <c r="K1512" t="s">
        <v>4048</v>
      </c>
      <c r="L1512">
        <v>-1702.53</v>
      </c>
    </row>
    <row r="1513" spans="1:12">
      <c r="A1513" t="s">
        <v>1523</v>
      </c>
      <c r="B1513" s="2">
        <v>45210</v>
      </c>
      <c r="C1513">
        <v>4000</v>
      </c>
      <c r="D1513" t="s">
        <v>2012</v>
      </c>
      <c r="E1513">
        <v>0</v>
      </c>
      <c r="F1513">
        <v>829.97</v>
      </c>
      <c r="G1513" t="s">
        <v>2021</v>
      </c>
      <c r="H1513" t="s">
        <v>2024</v>
      </c>
      <c r="I1513" t="s">
        <v>3539</v>
      </c>
      <c r="J1513" t="s">
        <v>4031</v>
      </c>
      <c r="K1513" t="s">
        <v>4060</v>
      </c>
      <c r="L1513">
        <v>829.97</v>
      </c>
    </row>
    <row r="1514" spans="1:12">
      <c r="A1514" t="s">
        <v>1524</v>
      </c>
      <c r="B1514" s="2">
        <v>45715</v>
      </c>
      <c r="C1514">
        <v>4000</v>
      </c>
      <c r="D1514" t="s">
        <v>2012</v>
      </c>
      <c r="E1514">
        <v>0</v>
      </c>
      <c r="F1514">
        <v>4946.1000000000004</v>
      </c>
      <c r="G1514" t="s">
        <v>2018</v>
      </c>
      <c r="H1514" t="s">
        <v>2023</v>
      </c>
      <c r="I1514" t="s">
        <v>3540</v>
      </c>
      <c r="J1514" t="s">
        <v>4030</v>
      </c>
      <c r="K1514" t="s">
        <v>4061</v>
      </c>
      <c r="L1514">
        <v>4946.1000000000004</v>
      </c>
    </row>
    <row r="1515" spans="1:12">
      <c r="A1515" t="s">
        <v>1525</v>
      </c>
      <c r="B1515" s="2">
        <v>44981</v>
      </c>
      <c r="C1515">
        <v>4000</v>
      </c>
      <c r="D1515" t="s">
        <v>2012</v>
      </c>
      <c r="E1515">
        <v>0</v>
      </c>
      <c r="F1515">
        <v>2736.74</v>
      </c>
      <c r="G1515" t="s">
        <v>2018</v>
      </c>
      <c r="H1515" t="s">
        <v>2025</v>
      </c>
      <c r="I1515" t="s">
        <v>3541</v>
      </c>
      <c r="J1515" t="s">
        <v>4030</v>
      </c>
      <c r="K1515" t="s">
        <v>4057</v>
      </c>
      <c r="L1515">
        <v>2736.74</v>
      </c>
    </row>
    <row r="1516" spans="1:12">
      <c r="A1516" t="s">
        <v>1526</v>
      </c>
      <c r="B1516" s="2">
        <v>45513</v>
      </c>
      <c r="C1516">
        <v>6000</v>
      </c>
      <c r="D1516" t="s">
        <v>2014</v>
      </c>
      <c r="E1516">
        <v>1372.85</v>
      </c>
      <c r="F1516">
        <v>0</v>
      </c>
      <c r="G1516" t="s">
        <v>2019</v>
      </c>
      <c r="H1516" t="s">
        <v>2023</v>
      </c>
      <c r="I1516" t="s">
        <v>3542</v>
      </c>
      <c r="J1516" t="s">
        <v>4028</v>
      </c>
      <c r="K1516" t="s">
        <v>4058</v>
      </c>
      <c r="L1516">
        <v>-1372.85</v>
      </c>
    </row>
    <row r="1517" spans="1:12">
      <c r="A1517" t="s">
        <v>1527</v>
      </c>
      <c r="B1517" s="2">
        <v>45496</v>
      </c>
      <c r="C1517">
        <v>5010</v>
      </c>
      <c r="D1517" t="s">
        <v>2015</v>
      </c>
      <c r="E1517">
        <v>1842.13</v>
      </c>
      <c r="F1517">
        <v>0</v>
      </c>
      <c r="G1517" t="s">
        <v>2019</v>
      </c>
      <c r="H1517" t="s">
        <v>2026</v>
      </c>
      <c r="I1517" t="s">
        <v>3543</v>
      </c>
      <c r="J1517" t="s">
        <v>4030</v>
      </c>
      <c r="K1517" t="s">
        <v>4054</v>
      </c>
      <c r="L1517">
        <v>-1842.13</v>
      </c>
    </row>
    <row r="1518" spans="1:12">
      <c r="A1518" t="s">
        <v>1528</v>
      </c>
      <c r="B1518" s="2">
        <v>45673</v>
      </c>
      <c r="C1518">
        <v>4000</v>
      </c>
      <c r="D1518" t="s">
        <v>2012</v>
      </c>
      <c r="E1518">
        <v>0</v>
      </c>
      <c r="F1518">
        <v>4447.99</v>
      </c>
      <c r="G1518" t="s">
        <v>2017</v>
      </c>
      <c r="H1518" t="s">
        <v>2024</v>
      </c>
      <c r="I1518" t="s">
        <v>3544</v>
      </c>
      <c r="J1518" t="s">
        <v>4030</v>
      </c>
      <c r="K1518" t="s">
        <v>4035</v>
      </c>
      <c r="L1518">
        <v>4447.99</v>
      </c>
    </row>
    <row r="1519" spans="1:12">
      <c r="A1519" t="s">
        <v>1529</v>
      </c>
      <c r="B1519" s="2">
        <v>45401</v>
      </c>
      <c r="C1519">
        <v>4010</v>
      </c>
      <c r="D1519" t="s">
        <v>2016</v>
      </c>
      <c r="E1519">
        <v>0</v>
      </c>
      <c r="F1519">
        <v>758.28</v>
      </c>
      <c r="G1519" t="s">
        <v>2022</v>
      </c>
      <c r="H1519" t="s">
        <v>2024</v>
      </c>
      <c r="I1519" t="s">
        <v>3545</v>
      </c>
      <c r="J1519" t="s">
        <v>4028</v>
      </c>
      <c r="K1519" t="s">
        <v>4040</v>
      </c>
      <c r="L1519">
        <v>758.28</v>
      </c>
    </row>
    <row r="1520" spans="1:12">
      <c r="A1520" t="s">
        <v>1530</v>
      </c>
      <c r="B1520" s="2">
        <v>45343</v>
      </c>
      <c r="C1520">
        <v>4000</v>
      </c>
      <c r="D1520" t="s">
        <v>2012</v>
      </c>
      <c r="E1520">
        <v>0</v>
      </c>
      <c r="F1520">
        <v>934.01</v>
      </c>
      <c r="G1520" t="s">
        <v>2018</v>
      </c>
      <c r="H1520" t="s">
        <v>2023</v>
      </c>
      <c r="I1520" t="s">
        <v>3546</v>
      </c>
      <c r="J1520" t="s">
        <v>4029</v>
      </c>
      <c r="K1520" t="s">
        <v>4044</v>
      </c>
      <c r="L1520">
        <v>934.01</v>
      </c>
    </row>
    <row r="1521" spans="1:12">
      <c r="A1521" t="s">
        <v>1531</v>
      </c>
      <c r="B1521" s="2">
        <v>45601</v>
      </c>
      <c r="C1521">
        <v>5010</v>
      </c>
      <c r="D1521" t="s">
        <v>2015</v>
      </c>
      <c r="E1521">
        <v>1161.7</v>
      </c>
      <c r="F1521">
        <v>0</v>
      </c>
      <c r="G1521" t="s">
        <v>2019</v>
      </c>
      <c r="H1521" t="s">
        <v>2027</v>
      </c>
      <c r="I1521" t="s">
        <v>3547</v>
      </c>
      <c r="J1521" t="s">
        <v>4032</v>
      </c>
      <c r="K1521" t="s">
        <v>4043</v>
      </c>
      <c r="L1521">
        <v>-1161.7</v>
      </c>
    </row>
    <row r="1522" spans="1:12">
      <c r="A1522" t="s">
        <v>1532</v>
      </c>
      <c r="B1522" s="2">
        <v>45047</v>
      </c>
      <c r="C1522">
        <v>5010</v>
      </c>
      <c r="D1522" t="s">
        <v>2015</v>
      </c>
      <c r="E1522">
        <v>1276.22</v>
      </c>
      <c r="F1522">
        <v>0</v>
      </c>
      <c r="G1522" t="s">
        <v>2017</v>
      </c>
      <c r="H1522" t="s">
        <v>2023</v>
      </c>
      <c r="I1522" t="s">
        <v>3548</v>
      </c>
      <c r="J1522" t="s">
        <v>4031</v>
      </c>
      <c r="K1522" t="s">
        <v>4062</v>
      </c>
      <c r="L1522">
        <v>-1276.22</v>
      </c>
    </row>
    <row r="1523" spans="1:12">
      <c r="A1523" t="s">
        <v>1533</v>
      </c>
      <c r="B1523" s="2">
        <v>45305</v>
      </c>
      <c r="C1523">
        <v>5000</v>
      </c>
      <c r="D1523" t="s">
        <v>2013</v>
      </c>
      <c r="E1523">
        <v>383.71</v>
      </c>
      <c r="F1523">
        <v>0</v>
      </c>
      <c r="G1523" t="s">
        <v>2020</v>
      </c>
      <c r="H1523" t="s">
        <v>2027</v>
      </c>
      <c r="I1523" t="s">
        <v>3549</v>
      </c>
      <c r="J1523" t="s">
        <v>4031</v>
      </c>
      <c r="K1523" t="s">
        <v>4053</v>
      </c>
      <c r="L1523">
        <v>-383.71</v>
      </c>
    </row>
    <row r="1524" spans="1:12">
      <c r="A1524" t="s">
        <v>1534</v>
      </c>
      <c r="B1524" s="2">
        <v>45738</v>
      </c>
      <c r="C1524">
        <v>4000</v>
      </c>
      <c r="D1524" t="s">
        <v>2012</v>
      </c>
      <c r="E1524">
        <v>0</v>
      </c>
      <c r="F1524">
        <v>3468.9</v>
      </c>
      <c r="G1524" t="s">
        <v>2018</v>
      </c>
      <c r="H1524" t="s">
        <v>2023</v>
      </c>
      <c r="I1524" t="s">
        <v>3550</v>
      </c>
      <c r="J1524" t="s">
        <v>4029</v>
      </c>
      <c r="K1524" t="s">
        <v>4046</v>
      </c>
      <c r="L1524">
        <v>3468.9</v>
      </c>
    </row>
    <row r="1525" spans="1:12">
      <c r="A1525" t="s">
        <v>1535</v>
      </c>
      <c r="B1525" s="2">
        <v>45177</v>
      </c>
      <c r="C1525">
        <v>5000</v>
      </c>
      <c r="D1525" t="s">
        <v>2013</v>
      </c>
      <c r="E1525">
        <v>1158.8</v>
      </c>
      <c r="F1525">
        <v>0</v>
      </c>
      <c r="G1525" t="s">
        <v>2022</v>
      </c>
      <c r="H1525" t="s">
        <v>2024</v>
      </c>
      <c r="I1525" t="s">
        <v>3551</v>
      </c>
      <c r="J1525" t="s">
        <v>4031</v>
      </c>
      <c r="K1525" t="s">
        <v>4036</v>
      </c>
      <c r="L1525">
        <v>-1158.8</v>
      </c>
    </row>
    <row r="1526" spans="1:12">
      <c r="A1526" t="s">
        <v>1536</v>
      </c>
      <c r="B1526" s="2">
        <v>44935</v>
      </c>
      <c r="C1526">
        <v>4000</v>
      </c>
      <c r="D1526" t="s">
        <v>2012</v>
      </c>
      <c r="E1526">
        <v>0</v>
      </c>
      <c r="F1526">
        <v>2396.8000000000002</v>
      </c>
      <c r="G1526" t="s">
        <v>2019</v>
      </c>
      <c r="H1526" t="s">
        <v>2026</v>
      </c>
      <c r="I1526" t="s">
        <v>3552</v>
      </c>
      <c r="J1526" t="s">
        <v>4032</v>
      </c>
      <c r="K1526" t="s">
        <v>4047</v>
      </c>
      <c r="L1526">
        <v>2396.8000000000002</v>
      </c>
    </row>
    <row r="1527" spans="1:12">
      <c r="A1527" t="s">
        <v>1537</v>
      </c>
      <c r="B1527" s="2">
        <v>45538</v>
      </c>
      <c r="C1527">
        <v>4010</v>
      </c>
      <c r="D1527" t="s">
        <v>2016</v>
      </c>
      <c r="E1527">
        <v>0</v>
      </c>
      <c r="F1527">
        <v>2827.95</v>
      </c>
      <c r="G1527" t="s">
        <v>2021</v>
      </c>
      <c r="H1527" t="s">
        <v>2026</v>
      </c>
      <c r="I1527" t="s">
        <v>3553</v>
      </c>
      <c r="J1527" t="s">
        <v>4031</v>
      </c>
      <c r="K1527" t="s">
        <v>4048</v>
      </c>
      <c r="L1527">
        <v>2827.95</v>
      </c>
    </row>
    <row r="1528" spans="1:12">
      <c r="A1528" t="s">
        <v>1538</v>
      </c>
      <c r="B1528" s="2">
        <v>45418</v>
      </c>
      <c r="C1528">
        <v>6000</v>
      </c>
      <c r="D1528" t="s">
        <v>2014</v>
      </c>
      <c r="E1528">
        <v>1359.89</v>
      </c>
      <c r="F1528">
        <v>0</v>
      </c>
      <c r="G1528" t="s">
        <v>2017</v>
      </c>
      <c r="H1528" t="s">
        <v>2027</v>
      </c>
      <c r="I1528" t="s">
        <v>3554</v>
      </c>
      <c r="J1528" t="s">
        <v>4028</v>
      </c>
      <c r="K1528" t="s">
        <v>4033</v>
      </c>
      <c r="L1528">
        <v>-1359.89</v>
      </c>
    </row>
    <row r="1529" spans="1:12">
      <c r="A1529" t="s">
        <v>1539</v>
      </c>
      <c r="B1529" s="2">
        <v>45747</v>
      </c>
      <c r="C1529">
        <v>4000</v>
      </c>
      <c r="D1529" t="s">
        <v>2012</v>
      </c>
      <c r="E1529">
        <v>0</v>
      </c>
      <c r="F1529">
        <v>663.19</v>
      </c>
      <c r="G1529" t="s">
        <v>2022</v>
      </c>
      <c r="H1529" t="s">
        <v>2027</v>
      </c>
      <c r="I1529" t="s">
        <v>3555</v>
      </c>
      <c r="J1529" t="s">
        <v>4031</v>
      </c>
      <c r="K1529" t="s">
        <v>4046</v>
      </c>
      <c r="L1529">
        <v>663.19</v>
      </c>
    </row>
    <row r="1530" spans="1:12">
      <c r="A1530" t="s">
        <v>1540</v>
      </c>
      <c r="B1530" s="2">
        <v>45553</v>
      </c>
      <c r="C1530">
        <v>5010</v>
      </c>
      <c r="D1530" t="s">
        <v>2015</v>
      </c>
      <c r="E1530">
        <v>1878.74</v>
      </c>
      <c r="F1530">
        <v>0</v>
      </c>
      <c r="G1530" t="s">
        <v>2018</v>
      </c>
      <c r="H1530" t="s">
        <v>2024</v>
      </c>
      <c r="I1530" t="s">
        <v>3556</v>
      </c>
      <c r="J1530" t="s">
        <v>4028</v>
      </c>
      <c r="K1530" t="s">
        <v>4048</v>
      </c>
      <c r="L1530">
        <v>-1878.74</v>
      </c>
    </row>
    <row r="1531" spans="1:12">
      <c r="A1531" t="s">
        <v>1541</v>
      </c>
      <c r="B1531" s="2">
        <v>45534</v>
      </c>
      <c r="C1531">
        <v>5000</v>
      </c>
      <c r="D1531" t="s">
        <v>2013</v>
      </c>
      <c r="E1531">
        <v>741.28</v>
      </c>
      <c r="F1531">
        <v>0</v>
      </c>
      <c r="G1531" t="s">
        <v>2018</v>
      </c>
      <c r="H1531" t="s">
        <v>2026</v>
      </c>
      <c r="I1531" t="s">
        <v>3557</v>
      </c>
      <c r="J1531" t="s">
        <v>4028</v>
      </c>
      <c r="K1531" t="s">
        <v>4058</v>
      </c>
      <c r="L1531">
        <v>-741.28</v>
      </c>
    </row>
    <row r="1532" spans="1:12">
      <c r="A1532" t="s">
        <v>1542</v>
      </c>
      <c r="B1532" s="2">
        <v>45798</v>
      </c>
      <c r="C1532">
        <v>4000</v>
      </c>
      <c r="D1532" t="s">
        <v>2012</v>
      </c>
      <c r="E1532">
        <v>0</v>
      </c>
      <c r="F1532">
        <v>1824.31</v>
      </c>
      <c r="G1532" t="s">
        <v>2018</v>
      </c>
      <c r="H1532" t="s">
        <v>2026</v>
      </c>
      <c r="I1532" t="s">
        <v>3558</v>
      </c>
      <c r="J1532" t="s">
        <v>4029</v>
      </c>
      <c r="K1532" t="s">
        <v>4038</v>
      </c>
      <c r="L1532">
        <v>1824.31</v>
      </c>
    </row>
    <row r="1533" spans="1:12">
      <c r="A1533" t="s">
        <v>1543</v>
      </c>
      <c r="B1533" s="2">
        <v>45257</v>
      </c>
      <c r="C1533">
        <v>4010</v>
      </c>
      <c r="D1533" t="s">
        <v>2016</v>
      </c>
      <c r="E1533">
        <v>0</v>
      </c>
      <c r="F1533">
        <v>4296.04</v>
      </c>
      <c r="G1533" t="s">
        <v>2018</v>
      </c>
      <c r="H1533" t="s">
        <v>2024</v>
      </c>
      <c r="I1533" t="s">
        <v>3559</v>
      </c>
      <c r="J1533" t="s">
        <v>4030</v>
      </c>
      <c r="K1533" t="s">
        <v>4042</v>
      </c>
      <c r="L1533">
        <v>4296.04</v>
      </c>
    </row>
    <row r="1534" spans="1:12">
      <c r="A1534" t="s">
        <v>1544</v>
      </c>
      <c r="B1534" s="2">
        <v>45388</v>
      </c>
      <c r="C1534">
        <v>5010</v>
      </c>
      <c r="D1534" t="s">
        <v>2015</v>
      </c>
      <c r="E1534">
        <v>1969.36</v>
      </c>
      <c r="F1534">
        <v>0</v>
      </c>
      <c r="G1534" t="s">
        <v>2019</v>
      </c>
      <c r="H1534" t="s">
        <v>2023</v>
      </c>
      <c r="I1534" t="s">
        <v>3560</v>
      </c>
      <c r="J1534" t="s">
        <v>4032</v>
      </c>
      <c r="K1534" t="s">
        <v>4040</v>
      </c>
      <c r="L1534">
        <v>-1969.36</v>
      </c>
    </row>
    <row r="1535" spans="1:12">
      <c r="A1535" t="s">
        <v>1545</v>
      </c>
      <c r="B1535" s="2">
        <v>45759</v>
      </c>
      <c r="C1535">
        <v>5010</v>
      </c>
      <c r="D1535" t="s">
        <v>2015</v>
      </c>
      <c r="E1535">
        <v>980.89</v>
      </c>
      <c r="F1535">
        <v>0</v>
      </c>
      <c r="G1535" t="s">
        <v>2022</v>
      </c>
      <c r="H1535" t="s">
        <v>2023</v>
      </c>
      <c r="I1535" t="s">
        <v>3561</v>
      </c>
      <c r="J1535" t="s">
        <v>4029</v>
      </c>
      <c r="K1535" t="s">
        <v>4045</v>
      </c>
      <c r="L1535">
        <v>-980.89</v>
      </c>
    </row>
    <row r="1536" spans="1:12">
      <c r="A1536" t="s">
        <v>1546</v>
      </c>
      <c r="B1536" s="2">
        <v>45548</v>
      </c>
      <c r="C1536">
        <v>6000</v>
      </c>
      <c r="D1536" t="s">
        <v>2014</v>
      </c>
      <c r="E1536">
        <v>618.26</v>
      </c>
      <c r="F1536">
        <v>0</v>
      </c>
      <c r="G1536" t="s">
        <v>2019</v>
      </c>
      <c r="H1536" t="s">
        <v>2027</v>
      </c>
      <c r="I1536" t="s">
        <v>3562</v>
      </c>
      <c r="J1536" t="s">
        <v>4031</v>
      </c>
      <c r="K1536" t="s">
        <v>4048</v>
      </c>
      <c r="L1536">
        <v>-618.26</v>
      </c>
    </row>
    <row r="1537" spans="1:12">
      <c r="A1537" t="s">
        <v>1547</v>
      </c>
      <c r="B1537" s="2">
        <v>45459</v>
      </c>
      <c r="C1537">
        <v>5010</v>
      </c>
      <c r="D1537" t="s">
        <v>2015</v>
      </c>
      <c r="E1537">
        <v>665.47</v>
      </c>
      <c r="F1537">
        <v>0</v>
      </c>
      <c r="G1537" t="s">
        <v>2019</v>
      </c>
      <c r="H1537" t="s">
        <v>2023</v>
      </c>
      <c r="I1537" t="s">
        <v>3563</v>
      </c>
      <c r="J1537" t="s">
        <v>4029</v>
      </c>
      <c r="K1537" t="s">
        <v>4034</v>
      </c>
      <c r="L1537">
        <v>-665.47</v>
      </c>
    </row>
    <row r="1538" spans="1:12">
      <c r="A1538" t="s">
        <v>1548</v>
      </c>
      <c r="B1538" s="2">
        <v>45465</v>
      </c>
      <c r="C1538">
        <v>5000</v>
      </c>
      <c r="D1538" t="s">
        <v>2013</v>
      </c>
      <c r="E1538">
        <v>982.03</v>
      </c>
      <c r="F1538">
        <v>0</v>
      </c>
      <c r="G1538" t="s">
        <v>2021</v>
      </c>
      <c r="H1538" t="s">
        <v>2027</v>
      </c>
      <c r="I1538" t="s">
        <v>3564</v>
      </c>
      <c r="J1538" t="s">
        <v>4028</v>
      </c>
      <c r="K1538" t="s">
        <v>4034</v>
      </c>
      <c r="L1538">
        <v>-982.03</v>
      </c>
    </row>
    <row r="1539" spans="1:12">
      <c r="A1539" t="s">
        <v>1549</v>
      </c>
      <c r="B1539" s="2">
        <v>45375</v>
      </c>
      <c r="C1539">
        <v>5000</v>
      </c>
      <c r="D1539" t="s">
        <v>2013</v>
      </c>
      <c r="E1539">
        <v>339.89</v>
      </c>
      <c r="F1539">
        <v>0</v>
      </c>
      <c r="G1539" t="s">
        <v>2021</v>
      </c>
      <c r="H1539" t="s">
        <v>2027</v>
      </c>
      <c r="I1539" t="s">
        <v>3565</v>
      </c>
      <c r="J1539" t="s">
        <v>4030</v>
      </c>
      <c r="K1539" t="s">
        <v>4049</v>
      </c>
      <c r="L1539">
        <v>-339.89</v>
      </c>
    </row>
    <row r="1540" spans="1:12">
      <c r="A1540" t="s">
        <v>1550</v>
      </c>
      <c r="B1540" s="2">
        <v>45537</v>
      </c>
      <c r="C1540">
        <v>5010</v>
      </c>
      <c r="D1540" t="s">
        <v>2015</v>
      </c>
      <c r="E1540">
        <v>535.34</v>
      </c>
      <c r="F1540">
        <v>0</v>
      </c>
      <c r="G1540" t="s">
        <v>2018</v>
      </c>
      <c r="H1540" t="s">
        <v>2026</v>
      </c>
      <c r="I1540" t="s">
        <v>3566</v>
      </c>
      <c r="J1540" t="s">
        <v>4030</v>
      </c>
      <c r="K1540" t="s">
        <v>4048</v>
      </c>
      <c r="L1540">
        <v>-535.34</v>
      </c>
    </row>
    <row r="1541" spans="1:12">
      <c r="A1541" t="s">
        <v>1551</v>
      </c>
      <c r="B1541" s="2">
        <v>45785</v>
      </c>
      <c r="C1541">
        <v>5010</v>
      </c>
      <c r="D1541" t="s">
        <v>2015</v>
      </c>
      <c r="E1541">
        <v>1582.13</v>
      </c>
      <c r="F1541">
        <v>0</v>
      </c>
      <c r="G1541" t="s">
        <v>2019</v>
      </c>
      <c r="H1541" t="s">
        <v>2026</v>
      </c>
      <c r="I1541" t="s">
        <v>3567</v>
      </c>
      <c r="J1541" t="s">
        <v>4032</v>
      </c>
      <c r="K1541" t="s">
        <v>4038</v>
      </c>
      <c r="L1541">
        <v>-1582.13</v>
      </c>
    </row>
    <row r="1542" spans="1:12">
      <c r="A1542" t="s">
        <v>1552</v>
      </c>
      <c r="B1542" s="2">
        <v>45626</v>
      </c>
      <c r="C1542">
        <v>5000</v>
      </c>
      <c r="D1542" t="s">
        <v>2013</v>
      </c>
      <c r="E1542">
        <v>350.21</v>
      </c>
      <c r="F1542">
        <v>0</v>
      </c>
      <c r="G1542" t="s">
        <v>2021</v>
      </c>
      <c r="H1542" t="s">
        <v>2025</v>
      </c>
      <c r="I1542" t="s">
        <v>3568</v>
      </c>
      <c r="J1542" t="s">
        <v>4028</v>
      </c>
      <c r="K1542" t="s">
        <v>4043</v>
      </c>
      <c r="L1542">
        <v>-350.21</v>
      </c>
    </row>
    <row r="1543" spans="1:12">
      <c r="A1543" t="s">
        <v>1553</v>
      </c>
      <c r="B1543" s="2">
        <v>45429</v>
      </c>
      <c r="C1543">
        <v>5000</v>
      </c>
      <c r="D1543" t="s">
        <v>2013</v>
      </c>
      <c r="E1543">
        <v>889.68</v>
      </c>
      <c r="F1543">
        <v>0</v>
      </c>
      <c r="G1543" t="s">
        <v>2020</v>
      </c>
      <c r="H1543" t="s">
        <v>2024</v>
      </c>
      <c r="I1543" t="s">
        <v>3569</v>
      </c>
      <c r="J1543" t="s">
        <v>4030</v>
      </c>
      <c r="K1543" t="s">
        <v>4033</v>
      </c>
      <c r="L1543">
        <v>-889.68</v>
      </c>
    </row>
    <row r="1544" spans="1:12">
      <c r="A1544" t="s">
        <v>1554</v>
      </c>
      <c r="B1544" s="2">
        <v>45336</v>
      </c>
      <c r="C1544">
        <v>5000</v>
      </c>
      <c r="D1544" t="s">
        <v>2013</v>
      </c>
      <c r="E1544">
        <v>1155.53</v>
      </c>
      <c r="F1544">
        <v>0</v>
      </c>
      <c r="G1544" t="s">
        <v>2018</v>
      </c>
      <c r="H1544" t="s">
        <v>2025</v>
      </c>
      <c r="I1544" t="s">
        <v>3570</v>
      </c>
      <c r="J1544" t="s">
        <v>4030</v>
      </c>
      <c r="K1544" t="s">
        <v>4044</v>
      </c>
      <c r="L1544">
        <v>-1155.53</v>
      </c>
    </row>
    <row r="1545" spans="1:12">
      <c r="A1545" t="s">
        <v>1555</v>
      </c>
      <c r="B1545" s="2">
        <v>45525</v>
      </c>
      <c r="C1545">
        <v>4010</v>
      </c>
      <c r="D1545" t="s">
        <v>2016</v>
      </c>
      <c r="E1545">
        <v>0</v>
      </c>
      <c r="F1545">
        <v>827.97</v>
      </c>
      <c r="G1545" t="s">
        <v>2017</v>
      </c>
      <c r="H1545" t="s">
        <v>2026</v>
      </c>
      <c r="I1545" t="s">
        <v>3571</v>
      </c>
      <c r="J1545" t="s">
        <v>4031</v>
      </c>
      <c r="K1545" t="s">
        <v>4058</v>
      </c>
      <c r="L1545">
        <v>827.97</v>
      </c>
    </row>
    <row r="1546" spans="1:12">
      <c r="A1546" t="s">
        <v>1556</v>
      </c>
      <c r="B1546" s="2">
        <v>45235</v>
      </c>
      <c r="C1546">
        <v>4010</v>
      </c>
      <c r="D1546" t="s">
        <v>2016</v>
      </c>
      <c r="E1546">
        <v>0</v>
      </c>
      <c r="F1546">
        <v>2525.69</v>
      </c>
      <c r="G1546" t="s">
        <v>2020</v>
      </c>
      <c r="H1546" t="s">
        <v>2027</v>
      </c>
      <c r="I1546" t="s">
        <v>3572</v>
      </c>
      <c r="J1546" t="s">
        <v>4029</v>
      </c>
      <c r="K1546" t="s">
        <v>4042</v>
      </c>
      <c r="L1546">
        <v>2525.69</v>
      </c>
    </row>
    <row r="1547" spans="1:12">
      <c r="A1547" t="s">
        <v>1557</v>
      </c>
      <c r="B1547" s="2">
        <v>45495</v>
      </c>
      <c r="C1547">
        <v>5000</v>
      </c>
      <c r="D1547" t="s">
        <v>2013</v>
      </c>
      <c r="E1547">
        <v>1395.73</v>
      </c>
      <c r="F1547">
        <v>0</v>
      </c>
      <c r="G1547" t="s">
        <v>2021</v>
      </c>
      <c r="H1547" t="s">
        <v>2023</v>
      </c>
      <c r="I1547" t="s">
        <v>3573</v>
      </c>
      <c r="J1547" t="s">
        <v>4028</v>
      </c>
      <c r="K1547" t="s">
        <v>4054</v>
      </c>
      <c r="L1547">
        <v>-1395.73</v>
      </c>
    </row>
    <row r="1548" spans="1:12">
      <c r="A1548" t="s">
        <v>1558</v>
      </c>
      <c r="B1548" s="2">
        <v>45776</v>
      </c>
      <c r="C1548">
        <v>4010</v>
      </c>
      <c r="D1548" t="s">
        <v>2016</v>
      </c>
      <c r="E1548">
        <v>0</v>
      </c>
      <c r="F1548">
        <v>1888.44</v>
      </c>
      <c r="G1548" t="s">
        <v>2021</v>
      </c>
      <c r="H1548" t="s">
        <v>2023</v>
      </c>
      <c r="I1548" t="s">
        <v>3574</v>
      </c>
      <c r="J1548" t="s">
        <v>4028</v>
      </c>
      <c r="K1548" t="s">
        <v>4045</v>
      </c>
      <c r="L1548">
        <v>1888.44</v>
      </c>
    </row>
    <row r="1549" spans="1:12">
      <c r="A1549" t="s">
        <v>1559</v>
      </c>
      <c r="B1549" s="2">
        <v>45609</v>
      </c>
      <c r="C1549">
        <v>4010</v>
      </c>
      <c r="D1549" t="s">
        <v>2016</v>
      </c>
      <c r="E1549">
        <v>0</v>
      </c>
      <c r="F1549">
        <v>718.52</v>
      </c>
      <c r="G1549" t="s">
        <v>2019</v>
      </c>
      <c r="H1549" t="s">
        <v>2025</v>
      </c>
      <c r="I1549" t="s">
        <v>3575</v>
      </c>
      <c r="J1549" t="s">
        <v>4032</v>
      </c>
      <c r="K1549" t="s">
        <v>4043</v>
      </c>
      <c r="L1549">
        <v>718.52</v>
      </c>
    </row>
    <row r="1550" spans="1:12">
      <c r="A1550" t="s">
        <v>1560</v>
      </c>
      <c r="B1550" s="2">
        <v>45566</v>
      </c>
      <c r="C1550">
        <v>6000</v>
      </c>
      <c r="D1550" t="s">
        <v>2014</v>
      </c>
      <c r="E1550">
        <v>378.77</v>
      </c>
      <c r="F1550">
        <v>0</v>
      </c>
      <c r="G1550" t="s">
        <v>2021</v>
      </c>
      <c r="H1550" t="s">
        <v>2023</v>
      </c>
      <c r="I1550" t="s">
        <v>3576</v>
      </c>
      <c r="J1550" t="s">
        <v>4028</v>
      </c>
      <c r="K1550" t="s">
        <v>4059</v>
      </c>
      <c r="L1550">
        <v>-378.77</v>
      </c>
    </row>
    <row r="1551" spans="1:12">
      <c r="A1551" t="s">
        <v>1561</v>
      </c>
      <c r="B1551" s="2">
        <v>45104</v>
      </c>
      <c r="C1551">
        <v>6000</v>
      </c>
      <c r="D1551" t="s">
        <v>2014</v>
      </c>
      <c r="E1551">
        <v>1317.88</v>
      </c>
      <c r="F1551">
        <v>0</v>
      </c>
      <c r="G1551" t="s">
        <v>2022</v>
      </c>
      <c r="H1551" t="s">
        <v>2024</v>
      </c>
      <c r="I1551" t="s">
        <v>3577</v>
      </c>
      <c r="J1551" t="s">
        <v>4032</v>
      </c>
      <c r="K1551" t="s">
        <v>4055</v>
      </c>
      <c r="L1551">
        <v>-1317.88</v>
      </c>
    </row>
    <row r="1552" spans="1:12">
      <c r="A1552" t="s">
        <v>1562</v>
      </c>
      <c r="B1552" s="2">
        <v>44950</v>
      </c>
      <c r="C1552">
        <v>5000</v>
      </c>
      <c r="D1552" t="s">
        <v>2013</v>
      </c>
      <c r="E1552">
        <v>636.6</v>
      </c>
      <c r="F1552">
        <v>0</v>
      </c>
      <c r="G1552" t="s">
        <v>2021</v>
      </c>
      <c r="H1552" t="s">
        <v>2025</v>
      </c>
      <c r="I1552" t="s">
        <v>3578</v>
      </c>
      <c r="J1552" t="s">
        <v>4029</v>
      </c>
      <c r="K1552" t="s">
        <v>4047</v>
      </c>
      <c r="L1552">
        <v>-636.6</v>
      </c>
    </row>
    <row r="1553" spans="1:12">
      <c r="A1553" t="s">
        <v>1563</v>
      </c>
      <c r="B1553" s="2">
        <v>45453</v>
      </c>
      <c r="C1553">
        <v>4000</v>
      </c>
      <c r="D1553" t="s">
        <v>2012</v>
      </c>
      <c r="E1553">
        <v>0</v>
      </c>
      <c r="F1553">
        <v>4170.5</v>
      </c>
      <c r="G1553" t="s">
        <v>2019</v>
      </c>
      <c r="H1553" t="s">
        <v>2027</v>
      </c>
      <c r="I1553" t="s">
        <v>3579</v>
      </c>
      <c r="J1553" t="s">
        <v>4029</v>
      </c>
      <c r="K1553" t="s">
        <v>4034</v>
      </c>
      <c r="L1553">
        <v>4170.5</v>
      </c>
    </row>
    <row r="1554" spans="1:12">
      <c r="A1554" t="s">
        <v>1564</v>
      </c>
      <c r="B1554" s="2">
        <v>45251</v>
      </c>
      <c r="C1554">
        <v>4000</v>
      </c>
      <c r="D1554" t="s">
        <v>2012</v>
      </c>
      <c r="E1554">
        <v>0</v>
      </c>
      <c r="F1554">
        <v>1923.84</v>
      </c>
      <c r="G1554" t="s">
        <v>2022</v>
      </c>
      <c r="H1554" t="s">
        <v>2027</v>
      </c>
      <c r="I1554" t="s">
        <v>3580</v>
      </c>
      <c r="J1554" t="s">
        <v>4032</v>
      </c>
      <c r="K1554" t="s">
        <v>4042</v>
      </c>
      <c r="L1554">
        <v>1923.84</v>
      </c>
    </row>
    <row r="1555" spans="1:12">
      <c r="A1555" t="s">
        <v>1565</v>
      </c>
      <c r="B1555" s="2">
        <v>45526</v>
      </c>
      <c r="C1555">
        <v>6000</v>
      </c>
      <c r="D1555" t="s">
        <v>2014</v>
      </c>
      <c r="E1555">
        <v>736.29</v>
      </c>
      <c r="F1555">
        <v>0</v>
      </c>
      <c r="G1555" t="s">
        <v>2017</v>
      </c>
      <c r="H1555" t="s">
        <v>2025</v>
      </c>
      <c r="I1555" t="s">
        <v>3581</v>
      </c>
      <c r="J1555" t="s">
        <v>4032</v>
      </c>
      <c r="K1555" t="s">
        <v>4058</v>
      </c>
      <c r="L1555">
        <v>-736.29</v>
      </c>
    </row>
    <row r="1556" spans="1:12">
      <c r="A1556" t="s">
        <v>1566</v>
      </c>
      <c r="B1556" s="2">
        <v>45682</v>
      </c>
      <c r="C1556">
        <v>4010</v>
      </c>
      <c r="D1556" t="s">
        <v>2016</v>
      </c>
      <c r="E1556">
        <v>0</v>
      </c>
      <c r="F1556">
        <v>4712.88</v>
      </c>
      <c r="G1556" t="s">
        <v>2022</v>
      </c>
      <c r="H1556" t="s">
        <v>2026</v>
      </c>
      <c r="I1556" t="s">
        <v>3582</v>
      </c>
      <c r="J1556" t="s">
        <v>4030</v>
      </c>
      <c r="K1556" t="s">
        <v>4035</v>
      </c>
      <c r="L1556">
        <v>4712.88</v>
      </c>
    </row>
    <row r="1557" spans="1:12">
      <c r="A1557" t="s">
        <v>1567</v>
      </c>
      <c r="B1557" s="2">
        <v>45438</v>
      </c>
      <c r="C1557">
        <v>4010</v>
      </c>
      <c r="D1557" t="s">
        <v>2016</v>
      </c>
      <c r="E1557">
        <v>0</v>
      </c>
      <c r="F1557">
        <v>2946.82</v>
      </c>
      <c r="G1557" t="s">
        <v>2021</v>
      </c>
      <c r="H1557" t="s">
        <v>2025</v>
      </c>
      <c r="I1557" t="s">
        <v>3583</v>
      </c>
      <c r="J1557" t="s">
        <v>4030</v>
      </c>
      <c r="K1557" t="s">
        <v>4033</v>
      </c>
      <c r="L1557">
        <v>2946.82</v>
      </c>
    </row>
    <row r="1558" spans="1:12">
      <c r="A1558" t="s">
        <v>1568</v>
      </c>
      <c r="B1558" s="2">
        <v>45765</v>
      </c>
      <c r="C1558">
        <v>6000</v>
      </c>
      <c r="D1558" t="s">
        <v>2014</v>
      </c>
      <c r="E1558">
        <v>1985.74</v>
      </c>
      <c r="F1558">
        <v>0</v>
      </c>
      <c r="G1558" t="s">
        <v>2017</v>
      </c>
      <c r="H1558" t="s">
        <v>2024</v>
      </c>
      <c r="I1558" t="s">
        <v>3584</v>
      </c>
      <c r="J1558" t="s">
        <v>4030</v>
      </c>
      <c r="K1558" t="s">
        <v>4045</v>
      </c>
      <c r="L1558">
        <v>-1985.74</v>
      </c>
    </row>
    <row r="1559" spans="1:12">
      <c r="A1559" t="s">
        <v>1569</v>
      </c>
      <c r="B1559" s="2">
        <v>45341</v>
      </c>
      <c r="C1559">
        <v>5000</v>
      </c>
      <c r="D1559" t="s">
        <v>2013</v>
      </c>
      <c r="E1559">
        <v>1835.61</v>
      </c>
      <c r="F1559">
        <v>0</v>
      </c>
      <c r="G1559" t="s">
        <v>2017</v>
      </c>
      <c r="H1559" t="s">
        <v>2026</v>
      </c>
      <c r="I1559" t="s">
        <v>3585</v>
      </c>
      <c r="J1559" t="s">
        <v>4031</v>
      </c>
      <c r="K1559" t="s">
        <v>4044</v>
      </c>
      <c r="L1559">
        <v>-1835.61</v>
      </c>
    </row>
    <row r="1560" spans="1:12">
      <c r="A1560" t="s">
        <v>1570</v>
      </c>
      <c r="B1560" s="2">
        <v>45100</v>
      </c>
      <c r="C1560">
        <v>5000</v>
      </c>
      <c r="D1560" t="s">
        <v>2013</v>
      </c>
      <c r="E1560">
        <v>509.51</v>
      </c>
      <c r="F1560">
        <v>0</v>
      </c>
      <c r="G1560" t="s">
        <v>2021</v>
      </c>
      <c r="H1560" t="s">
        <v>2027</v>
      </c>
      <c r="I1560" t="s">
        <v>3586</v>
      </c>
      <c r="J1560" t="s">
        <v>4032</v>
      </c>
      <c r="K1560" t="s">
        <v>4055</v>
      </c>
      <c r="L1560">
        <v>-509.51</v>
      </c>
    </row>
    <row r="1561" spans="1:12">
      <c r="A1561" t="s">
        <v>1571</v>
      </c>
      <c r="B1561" s="2">
        <v>45284</v>
      </c>
      <c r="C1561">
        <v>4010</v>
      </c>
      <c r="D1561" t="s">
        <v>2016</v>
      </c>
      <c r="E1561">
        <v>0</v>
      </c>
      <c r="F1561">
        <v>573.51</v>
      </c>
      <c r="G1561" t="s">
        <v>2021</v>
      </c>
      <c r="H1561" t="s">
        <v>2023</v>
      </c>
      <c r="I1561" t="s">
        <v>3587</v>
      </c>
      <c r="J1561" t="s">
        <v>4031</v>
      </c>
      <c r="K1561" t="s">
        <v>4039</v>
      </c>
      <c r="L1561">
        <v>573.51</v>
      </c>
    </row>
    <row r="1562" spans="1:12">
      <c r="A1562" t="s">
        <v>1572</v>
      </c>
      <c r="B1562" s="2">
        <v>45462</v>
      </c>
      <c r="C1562">
        <v>4000</v>
      </c>
      <c r="D1562" t="s">
        <v>2012</v>
      </c>
      <c r="E1562">
        <v>0</v>
      </c>
      <c r="F1562">
        <v>3740.72</v>
      </c>
      <c r="G1562" t="s">
        <v>2020</v>
      </c>
      <c r="H1562" t="s">
        <v>2024</v>
      </c>
      <c r="I1562" t="s">
        <v>3588</v>
      </c>
      <c r="J1562" t="s">
        <v>4031</v>
      </c>
      <c r="K1562" t="s">
        <v>4034</v>
      </c>
      <c r="L1562">
        <v>3740.72</v>
      </c>
    </row>
    <row r="1563" spans="1:12">
      <c r="A1563" t="s">
        <v>1573</v>
      </c>
      <c r="B1563" s="2">
        <v>45049</v>
      </c>
      <c r="C1563">
        <v>5000</v>
      </c>
      <c r="D1563" t="s">
        <v>2013</v>
      </c>
      <c r="E1563">
        <v>1930.33</v>
      </c>
      <c r="F1563">
        <v>0</v>
      </c>
      <c r="G1563" t="s">
        <v>2019</v>
      </c>
      <c r="H1563" t="s">
        <v>2027</v>
      </c>
      <c r="I1563" t="s">
        <v>3589</v>
      </c>
      <c r="J1563" t="s">
        <v>4032</v>
      </c>
      <c r="K1563" t="s">
        <v>4062</v>
      </c>
      <c r="L1563">
        <v>-1930.33</v>
      </c>
    </row>
    <row r="1564" spans="1:12">
      <c r="A1564" t="s">
        <v>1574</v>
      </c>
      <c r="B1564" s="2">
        <v>45276</v>
      </c>
      <c r="C1564">
        <v>5010</v>
      </c>
      <c r="D1564" t="s">
        <v>2015</v>
      </c>
      <c r="E1564">
        <v>1936.61</v>
      </c>
      <c r="F1564">
        <v>0</v>
      </c>
      <c r="G1564" t="s">
        <v>2021</v>
      </c>
      <c r="H1564" t="s">
        <v>2024</v>
      </c>
      <c r="I1564" t="s">
        <v>3590</v>
      </c>
      <c r="J1564" t="s">
        <v>4029</v>
      </c>
      <c r="K1564" t="s">
        <v>4039</v>
      </c>
      <c r="L1564">
        <v>-1936.61</v>
      </c>
    </row>
    <row r="1565" spans="1:12">
      <c r="A1565" t="s">
        <v>1575</v>
      </c>
      <c r="B1565" s="2">
        <v>45592</v>
      </c>
      <c r="C1565">
        <v>4000</v>
      </c>
      <c r="D1565" t="s">
        <v>2012</v>
      </c>
      <c r="E1565">
        <v>0</v>
      </c>
      <c r="F1565">
        <v>3625.02</v>
      </c>
      <c r="G1565" t="s">
        <v>2021</v>
      </c>
      <c r="H1565" t="s">
        <v>2027</v>
      </c>
      <c r="I1565" t="s">
        <v>3591</v>
      </c>
      <c r="J1565" t="s">
        <v>4032</v>
      </c>
      <c r="K1565" t="s">
        <v>4059</v>
      </c>
      <c r="L1565">
        <v>3625.02</v>
      </c>
    </row>
    <row r="1566" spans="1:12">
      <c r="A1566" t="s">
        <v>1576</v>
      </c>
      <c r="B1566" s="2">
        <v>45332</v>
      </c>
      <c r="C1566">
        <v>4000</v>
      </c>
      <c r="D1566" t="s">
        <v>2012</v>
      </c>
      <c r="E1566">
        <v>0</v>
      </c>
      <c r="F1566">
        <v>3348.1</v>
      </c>
      <c r="G1566" t="s">
        <v>2020</v>
      </c>
      <c r="H1566" t="s">
        <v>2023</v>
      </c>
      <c r="I1566" t="s">
        <v>3592</v>
      </c>
      <c r="J1566" t="s">
        <v>4029</v>
      </c>
      <c r="K1566" t="s">
        <v>4044</v>
      </c>
      <c r="L1566">
        <v>3348.1</v>
      </c>
    </row>
    <row r="1567" spans="1:12">
      <c r="A1567" t="s">
        <v>1577</v>
      </c>
      <c r="B1567" s="2">
        <v>44939</v>
      </c>
      <c r="C1567">
        <v>5010</v>
      </c>
      <c r="D1567" t="s">
        <v>2015</v>
      </c>
      <c r="E1567">
        <v>760.59</v>
      </c>
      <c r="F1567">
        <v>0</v>
      </c>
      <c r="G1567" t="s">
        <v>2018</v>
      </c>
      <c r="H1567" t="s">
        <v>2025</v>
      </c>
      <c r="I1567" t="s">
        <v>3593</v>
      </c>
      <c r="J1567" t="s">
        <v>4032</v>
      </c>
      <c r="K1567" t="s">
        <v>4047</v>
      </c>
      <c r="L1567">
        <v>-760.59</v>
      </c>
    </row>
    <row r="1568" spans="1:12">
      <c r="A1568" t="s">
        <v>1578</v>
      </c>
      <c r="B1568" s="2">
        <v>45377</v>
      </c>
      <c r="C1568">
        <v>4010</v>
      </c>
      <c r="D1568" t="s">
        <v>2016</v>
      </c>
      <c r="E1568">
        <v>0</v>
      </c>
      <c r="F1568">
        <v>3208.4</v>
      </c>
      <c r="G1568" t="s">
        <v>2020</v>
      </c>
      <c r="H1568" t="s">
        <v>2023</v>
      </c>
      <c r="I1568" t="s">
        <v>3594</v>
      </c>
      <c r="J1568" t="s">
        <v>4029</v>
      </c>
      <c r="K1568" t="s">
        <v>4049</v>
      </c>
      <c r="L1568">
        <v>3208.4</v>
      </c>
    </row>
    <row r="1569" spans="1:12">
      <c r="A1569" t="s">
        <v>1579</v>
      </c>
      <c r="B1569" s="2">
        <v>45653</v>
      </c>
      <c r="C1569">
        <v>6000</v>
      </c>
      <c r="D1569" t="s">
        <v>2014</v>
      </c>
      <c r="E1569">
        <v>420.76</v>
      </c>
      <c r="F1569">
        <v>0</v>
      </c>
      <c r="G1569" t="s">
        <v>2020</v>
      </c>
      <c r="H1569" t="s">
        <v>2024</v>
      </c>
      <c r="I1569" t="s">
        <v>3595</v>
      </c>
      <c r="J1569" t="s">
        <v>4028</v>
      </c>
      <c r="K1569" t="s">
        <v>4056</v>
      </c>
      <c r="L1569">
        <v>-420.76</v>
      </c>
    </row>
    <row r="1570" spans="1:12">
      <c r="A1570" t="s">
        <v>1580</v>
      </c>
      <c r="B1570" s="2">
        <v>45021</v>
      </c>
      <c r="C1570">
        <v>5010</v>
      </c>
      <c r="D1570" t="s">
        <v>2015</v>
      </c>
      <c r="E1570">
        <v>1497.64</v>
      </c>
      <c r="F1570">
        <v>0</v>
      </c>
      <c r="G1570" t="s">
        <v>2018</v>
      </c>
      <c r="H1570" t="s">
        <v>2025</v>
      </c>
      <c r="I1570" t="s">
        <v>3596</v>
      </c>
      <c r="J1570" t="s">
        <v>4031</v>
      </c>
      <c r="K1570" t="s">
        <v>4041</v>
      </c>
      <c r="L1570">
        <v>-1497.64</v>
      </c>
    </row>
    <row r="1571" spans="1:12">
      <c r="A1571" t="s">
        <v>1581</v>
      </c>
      <c r="B1571" s="2">
        <v>45623</v>
      </c>
      <c r="C1571">
        <v>4010</v>
      </c>
      <c r="D1571" t="s">
        <v>2016</v>
      </c>
      <c r="E1571">
        <v>0</v>
      </c>
      <c r="F1571">
        <v>3033.61</v>
      </c>
      <c r="G1571" t="s">
        <v>2018</v>
      </c>
      <c r="H1571" t="s">
        <v>2027</v>
      </c>
      <c r="I1571" t="s">
        <v>3597</v>
      </c>
      <c r="J1571" t="s">
        <v>4028</v>
      </c>
      <c r="K1571" t="s">
        <v>4043</v>
      </c>
      <c r="L1571">
        <v>3033.61</v>
      </c>
    </row>
    <row r="1572" spans="1:12">
      <c r="A1572" t="s">
        <v>1582</v>
      </c>
      <c r="B1572" s="2">
        <v>45057</v>
      </c>
      <c r="C1572">
        <v>4000</v>
      </c>
      <c r="D1572" t="s">
        <v>2012</v>
      </c>
      <c r="E1572">
        <v>0</v>
      </c>
      <c r="F1572">
        <v>1502.06</v>
      </c>
      <c r="G1572" t="s">
        <v>2019</v>
      </c>
      <c r="H1572" t="s">
        <v>2024</v>
      </c>
      <c r="I1572" t="s">
        <v>3598</v>
      </c>
      <c r="J1572" t="s">
        <v>4030</v>
      </c>
      <c r="K1572" t="s">
        <v>4062</v>
      </c>
      <c r="L1572">
        <v>1502.06</v>
      </c>
    </row>
    <row r="1573" spans="1:12">
      <c r="A1573" t="s">
        <v>1583</v>
      </c>
      <c r="B1573" s="2">
        <v>45486</v>
      </c>
      <c r="C1573">
        <v>5000</v>
      </c>
      <c r="D1573" t="s">
        <v>2013</v>
      </c>
      <c r="E1573">
        <v>532.65</v>
      </c>
      <c r="F1573">
        <v>0</v>
      </c>
      <c r="G1573" t="s">
        <v>2019</v>
      </c>
      <c r="H1573" t="s">
        <v>2025</v>
      </c>
      <c r="I1573" t="s">
        <v>3599</v>
      </c>
      <c r="J1573" t="s">
        <v>4028</v>
      </c>
      <c r="K1573" t="s">
        <v>4054</v>
      </c>
      <c r="L1573">
        <v>-532.65</v>
      </c>
    </row>
    <row r="1574" spans="1:12">
      <c r="A1574" t="s">
        <v>1584</v>
      </c>
      <c r="B1574" s="2">
        <v>45705</v>
      </c>
      <c r="C1574">
        <v>4010</v>
      </c>
      <c r="D1574" t="s">
        <v>2016</v>
      </c>
      <c r="E1574">
        <v>0</v>
      </c>
      <c r="F1574">
        <v>4109.07</v>
      </c>
      <c r="G1574" t="s">
        <v>2017</v>
      </c>
      <c r="H1574" t="s">
        <v>2027</v>
      </c>
      <c r="I1574" t="s">
        <v>3600</v>
      </c>
      <c r="J1574" t="s">
        <v>4030</v>
      </c>
      <c r="K1574" t="s">
        <v>4061</v>
      </c>
      <c r="L1574">
        <v>4109.07</v>
      </c>
    </row>
    <row r="1575" spans="1:12">
      <c r="A1575" t="s">
        <v>1585</v>
      </c>
      <c r="B1575" s="2">
        <v>45018</v>
      </c>
      <c r="C1575">
        <v>4000</v>
      </c>
      <c r="D1575" t="s">
        <v>2012</v>
      </c>
      <c r="E1575">
        <v>0</v>
      </c>
      <c r="F1575">
        <v>3235.61</v>
      </c>
      <c r="G1575" t="s">
        <v>2019</v>
      </c>
      <c r="H1575" t="s">
        <v>2023</v>
      </c>
      <c r="I1575" t="s">
        <v>3601</v>
      </c>
      <c r="J1575" t="s">
        <v>4030</v>
      </c>
      <c r="K1575" t="s">
        <v>4041</v>
      </c>
      <c r="L1575">
        <v>3235.61</v>
      </c>
    </row>
    <row r="1576" spans="1:12">
      <c r="A1576" t="s">
        <v>1586</v>
      </c>
      <c r="B1576" s="2">
        <v>45770</v>
      </c>
      <c r="C1576">
        <v>5000</v>
      </c>
      <c r="D1576" t="s">
        <v>2013</v>
      </c>
      <c r="E1576">
        <v>1836.46</v>
      </c>
      <c r="F1576">
        <v>0</v>
      </c>
      <c r="G1576" t="s">
        <v>2020</v>
      </c>
      <c r="H1576" t="s">
        <v>2023</v>
      </c>
      <c r="I1576" t="s">
        <v>3602</v>
      </c>
      <c r="J1576" t="s">
        <v>4031</v>
      </c>
      <c r="K1576" t="s">
        <v>4045</v>
      </c>
      <c r="L1576">
        <v>-1836.46</v>
      </c>
    </row>
    <row r="1577" spans="1:12">
      <c r="A1577" t="s">
        <v>1587</v>
      </c>
      <c r="B1577" s="2">
        <v>45038</v>
      </c>
      <c r="C1577">
        <v>6000</v>
      </c>
      <c r="D1577" t="s">
        <v>2014</v>
      </c>
      <c r="E1577">
        <v>1120.92</v>
      </c>
      <c r="F1577">
        <v>0</v>
      </c>
      <c r="G1577" t="s">
        <v>2021</v>
      </c>
      <c r="H1577" t="s">
        <v>2024</v>
      </c>
      <c r="I1577" t="s">
        <v>3603</v>
      </c>
      <c r="J1577" t="s">
        <v>4032</v>
      </c>
      <c r="K1577" t="s">
        <v>4041</v>
      </c>
      <c r="L1577">
        <v>-1120.92</v>
      </c>
    </row>
    <row r="1578" spans="1:12">
      <c r="A1578" t="s">
        <v>1588</v>
      </c>
      <c r="B1578" s="2">
        <v>45738</v>
      </c>
      <c r="C1578">
        <v>4010</v>
      </c>
      <c r="D1578" t="s">
        <v>2016</v>
      </c>
      <c r="E1578">
        <v>0</v>
      </c>
      <c r="F1578">
        <v>4622.21</v>
      </c>
      <c r="G1578" t="s">
        <v>2019</v>
      </c>
      <c r="H1578" t="s">
        <v>2025</v>
      </c>
      <c r="I1578" t="s">
        <v>3604</v>
      </c>
      <c r="J1578" t="s">
        <v>4031</v>
      </c>
      <c r="K1578" t="s">
        <v>4046</v>
      </c>
      <c r="L1578">
        <v>4622.21</v>
      </c>
    </row>
    <row r="1579" spans="1:12">
      <c r="A1579" t="s">
        <v>1589</v>
      </c>
      <c r="B1579" s="2">
        <v>45267</v>
      </c>
      <c r="C1579">
        <v>5010</v>
      </c>
      <c r="D1579" t="s">
        <v>2015</v>
      </c>
      <c r="E1579">
        <v>1067.19</v>
      </c>
      <c r="F1579">
        <v>0</v>
      </c>
      <c r="G1579" t="s">
        <v>2018</v>
      </c>
      <c r="H1579" t="s">
        <v>2025</v>
      </c>
      <c r="I1579" t="s">
        <v>3605</v>
      </c>
      <c r="J1579" t="s">
        <v>4031</v>
      </c>
      <c r="K1579" t="s">
        <v>4039</v>
      </c>
      <c r="L1579">
        <v>-1067.19</v>
      </c>
    </row>
    <row r="1580" spans="1:12">
      <c r="A1580" t="s">
        <v>1590</v>
      </c>
      <c r="B1580" s="2">
        <v>45368</v>
      </c>
      <c r="C1580">
        <v>5010</v>
      </c>
      <c r="D1580" t="s">
        <v>2015</v>
      </c>
      <c r="E1580">
        <v>1712.89</v>
      </c>
      <c r="F1580">
        <v>0</v>
      </c>
      <c r="G1580" t="s">
        <v>2022</v>
      </c>
      <c r="H1580" t="s">
        <v>2027</v>
      </c>
      <c r="I1580" t="s">
        <v>3606</v>
      </c>
      <c r="J1580" t="s">
        <v>4032</v>
      </c>
      <c r="K1580" t="s">
        <v>4049</v>
      </c>
      <c r="L1580">
        <v>-1712.89</v>
      </c>
    </row>
    <row r="1581" spans="1:12">
      <c r="A1581" t="s">
        <v>1591</v>
      </c>
      <c r="B1581" s="2">
        <v>45356</v>
      </c>
      <c r="C1581">
        <v>5010</v>
      </c>
      <c r="D1581" t="s">
        <v>2015</v>
      </c>
      <c r="E1581">
        <v>857.16</v>
      </c>
      <c r="F1581">
        <v>0</v>
      </c>
      <c r="G1581" t="s">
        <v>2018</v>
      </c>
      <c r="H1581" t="s">
        <v>2027</v>
      </c>
      <c r="I1581" t="s">
        <v>3607</v>
      </c>
      <c r="J1581" t="s">
        <v>4030</v>
      </c>
      <c r="K1581" t="s">
        <v>4049</v>
      </c>
      <c r="L1581">
        <v>-857.16</v>
      </c>
    </row>
    <row r="1582" spans="1:12">
      <c r="A1582" t="s">
        <v>1592</v>
      </c>
      <c r="B1582" s="2">
        <v>45817</v>
      </c>
      <c r="C1582">
        <v>4010</v>
      </c>
      <c r="D1582" t="s">
        <v>2016</v>
      </c>
      <c r="E1582">
        <v>0</v>
      </c>
      <c r="F1582">
        <v>1913.45</v>
      </c>
      <c r="G1582" t="s">
        <v>2022</v>
      </c>
      <c r="H1582" t="s">
        <v>2024</v>
      </c>
      <c r="I1582" t="s">
        <v>3608</v>
      </c>
      <c r="J1582" t="s">
        <v>4028</v>
      </c>
      <c r="K1582" t="s">
        <v>4052</v>
      </c>
      <c r="L1582">
        <v>1913.45</v>
      </c>
    </row>
    <row r="1583" spans="1:12">
      <c r="A1583" t="s">
        <v>1593</v>
      </c>
      <c r="B1583" s="2">
        <v>45156</v>
      </c>
      <c r="C1583">
        <v>5000</v>
      </c>
      <c r="D1583" t="s">
        <v>2013</v>
      </c>
      <c r="E1583">
        <v>1307.6099999999999</v>
      </c>
      <c r="F1583">
        <v>0</v>
      </c>
      <c r="G1583" t="s">
        <v>2018</v>
      </c>
      <c r="H1583" t="s">
        <v>2026</v>
      </c>
      <c r="I1583" t="s">
        <v>3609</v>
      </c>
      <c r="J1583" t="s">
        <v>4028</v>
      </c>
      <c r="K1583" t="s">
        <v>4037</v>
      </c>
      <c r="L1583">
        <v>-1307.6099999999999</v>
      </c>
    </row>
    <row r="1584" spans="1:12">
      <c r="A1584" t="s">
        <v>1594</v>
      </c>
      <c r="B1584" s="2">
        <v>45438</v>
      </c>
      <c r="C1584">
        <v>4000</v>
      </c>
      <c r="D1584" t="s">
        <v>2012</v>
      </c>
      <c r="E1584">
        <v>0</v>
      </c>
      <c r="F1584">
        <v>1128.51</v>
      </c>
      <c r="G1584" t="s">
        <v>2022</v>
      </c>
      <c r="H1584" t="s">
        <v>2027</v>
      </c>
      <c r="I1584" t="s">
        <v>3610</v>
      </c>
      <c r="J1584" t="s">
        <v>4030</v>
      </c>
      <c r="K1584" t="s">
        <v>4033</v>
      </c>
      <c r="L1584">
        <v>1128.51</v>
      </c>
    </row>
    <row r="1585" spans="1:12">
      <c r="A1585" t="s">
        <v>1595</v>
      </c>
      <c r="B1585" s="2">
        <v>45252</v>
      </c>
      <c r="C1585">
        <v>4000</v>
      </c>
      <c r="D1585" t="s">
        <v>2012</v>
      </c>
      <c r="E1585">
        <v>0</v>
      </c>
      <c r="F1585">
        <v>1933.41</v>
      </c>
      <c r="G1585" t="s">
        <v>2022</v>
      </c>
      <c r="H1585" t="s">
        <v>2024</v>
      </c>
      <c r="I1585" t="s">
        <v>3611</v>
      </c>
      <c r="J1585" t="s">
        <v>4032</v>
      </c>
      <c r="K1585" t="s">
        <v>4042</v>
      </c>
      <c r="L1585">
        <v>1933.41</v>
      </c>
    </row>
    <row r="1586" spans="1:12">
      <c r="A1586" t="s">
        <v>1596</v>
      </c>
      <c r="B1586" s="2">
        <v>45755</v>
      </c>
      <c r="C1586">
        <v>5010</v>
      </c>
      <c r="D1586" t="s">
        <v>2015</v>
      </c>
      <c r="E1586">
        <v>203.77</v>
      </c>
      <c r="F1586">
        <v>0</v>
      </c>
      <c r="G1586" t="s">
        <v>2022</v>
      </c>
      <c r="H1586" t="s">
        <v>2025</v>
      </c>
      <c r="I1586" t="s">
        <v>3612</v>
      </c>
      <c r="J1586" t="s">
        <v>4032</v>
      </c>
      <c r="K1586" t="s">
        <v>4045</v>
      </c>
      <c r="L1586">
        <v>-203.77</v>
      </c>
    </row>
    <row r="1587" spans="1:12">
      <c r="A1587" t="s">
        <v>1597</v>
      </c>
      <c r="B1587" s="2">
        <v>45465</v>
      </c>
      <c r="C1587">
        <v>4010</v>
      </c>
      <c r="D1587" t="s">
        <v>2016</v>
      </c>
      <c r="E1587">
        <v>0</v>
      </c>
      <c r="F1587">
        <v>3874.96</v>
      </c>
      <c r="G1587" t="s">
        <v>2021</v>
      </c>
      <c r="H1587" t="s">
        <v>2024</v>
      </c>
      <c r="I1587" t="s">
        <v>3613</v>
      </c>
      <c r="J1587" t="s">
        <v>4031</v>
      </c>
      <c r="K1587" t="s">
        <v>4034</v>
      </c>
      <c r="L1587">
        <v>3874.96</v>
      </c>
    </row>
    <row r="1588" spans="1:12">
      <c r="A1588" t="s">
        <v>1598</v>
      </c>
      <c r="B1588" s="2">
        <v>45071</v>
      </c>
      <c r="C1588">
        <v>5010</v>
      </c>
      <c r="D1588" t="s">
        <v>2015</v>
      </c>
      <c r="E1588">
        <v>369.39</v>
      </c>
      <c r="F1588">
        <v>0</v>
      </c>
      <c r="G1588" t="s">
        <v>2019</v>
      </c>
      <c r="H1588" t="s">
        <v>2027</v>
      </c>
      <c r="I1588" t="s">
        <v>3614</v>
      </c>
      <c r="J1588" t="s">
        <v>4031</v>
      </c>
      <c r="K1588" t="s">
        <v>4062</v>
      </c>
      <c r="L1588">
        <v>-369.39</v>
      </c>
    </row>
    <row r="1589" spans="1:12">
      <c r="A1589" t="s">
        <v>1599</v>
      </c>
      <c r="B1589" s="2">
        <v>45602</v>
      </c>
      <c r="C1589">
        <v>4000</v>
      </c>
      <c r="D1589" t="s">
        <v>2012</v>
      </c>
      <c r="E1589">
        <v>0</v>
      </c>
      <c r="F1589">
        <v>4685.3599999999997</v>
      </c>
      <c r="G1589" t="s">
        <v>2022</v>
      </c>
      <c r="H1589" t="s">
        <v>2026</v>
      </c>
      <c r="I1589" t="s">
        <v>3615</v>
      </c>
      <c r="J1589" t="s">
        <v>4032</v>
      </c>
      <c r="K1589" t="s">
        <v>4043</v>
      </c>
      <c r="L1589">
        <v>4685.3599999999997</v>
      </c>
    </row>
    <row r="1590" spans="1:12">
      <c r="A1590" t="s">
        <v>1600</v>
      </c>
      <c r="B1590" s="2">
        <v>45360</v>
      </c>
      <c r="C1590">
        <v>6000</v>
      </c>
      <c r="D1590" t="s">
        <v>2014</v>
      </c>
      <c r="E1590">
        <v>1614.34</v>
      </c>
      <c r="F1590">
        <v>0</v>
      </c>
      <c r="G1590" t="s">
        <v>2017</v>
      </c>
      <c r="H1590" t="s">
        <v>2025</v>
      </c>
      <c r="I1590" t="s">
        <v>3616</v>
      </c>
      <c r="J1590" t="s">
        <v>4031</v>
      </c>
      <c r="K1590" t="s">
        <v>4049</v>
      </c>
      <c r="L1590">
        <v>-1614.34</v>
      </c>
    </row>
    <row r="1591" spans="1:12">
      <c r="A1591" t="s">
        <v>1601</v>
      </c>
      <c r="B1591" s="2">
        <v>45743</v>
      </c>
      <c r="C1591">
        <v>6000</v>
      </c>
      <c r="D1591" t="s">
        <v>2014</v>
      </c>
      <c r="E1591">
        <v>1072.1199999999999</v>
      </c>
      <c r="F1591">
        <v>0</v>
      </c>
      <c r="G1591" t="s">
        <v>2020</v>
      </c>
      <c r="H1591" t="s">
        <v>2027</v>
      </c>
      <c r="I1591" t="s">
        <v>3617</v>
      </c>
      <c r="J1591" t="s">
        <v>4031</v>
      </c>
      <c r="K1591" t="s">
        <v>4046</v>
      </c>
      <c r="L1591">
        <v>-1072.1199999999999</v>
      </c>
    </row>
    <row r="1592" spans="1:12">
      <c r="A1592" t="s">
        <v>1602</v>
      </c>
      <c r="B1592" s="2">
        <v>45049</v>
      </c>
      <c r="C1592">
        <v>5000</v>
      </c>
      <c r="D1592" t="s">
        <v>2013</v>
      </c>
      <c r="E1592">
        <v>889.83</v>
      </c>
      <c r="F1592">
        <v>0</v>
      </c>
      <c r="G1592" t="s">
        <v>2018</v>
      </c>
      <c r="H1592" t="s">
        <v>2024</v>
      </c>
      <c r="I1592" t="s">
        <v>3618</v>
      </c>
      <c r="J1592" t="s">
        <v>4029</v>
      </c>
      <c r="K1592" t="s">
        <v>4062</v>
      </c>
      <c r="L1592">
        <v>-889.83</v>
      </c>
    </row>
    <row r="1593" spans="1:12">
      <c r="A1593" t="s">
        <v>1603</v>
      </c>
      <c r="B1593" s="2">
        <v>45073</v>
      </c>
      <c r="C1593">
        <v>4000</v>
      </c>
      <c r="D1593" t="s">
        <v>2012</v>
      </c>
      <c r="E1593">
        <v>0</v>
      </c>
      <c r="F1593">
        <v>174.81</v>
      </c>
      <c r="G1593" t="s">
        <v>2017</v>
      </c>
      <c r="H1593" t="s">
        <v>2027</v>
      </c>
      <c r="I1593" t="s">
        <v>3619</v>
      </c>
      <c r="J1593" t="s">
        <v>4032</v>
      </c>
      <c r="K1593" t="s">
        <v>4062</v>
      </c>
      <c r="L1593">
        <v>174.81</v>
      </c>
    </row>
    <row r="1594" spans="1:12">
      <c r="A1594" t="s">
        <v>1604</v>
      </c>
      <c r="B1594" s="2">
        <v>45257</v>
      </c>
      <c r="C1594">
        <v>4010</v>
      </c>
      <c r="D1594" t="s">
        <v>2016</v>
      </c>
      <c r="E1594">
        <v>0</v>
      </c>
      <c r="F1594">
        <v>3155.54</v>
      </c>
      <c r="G1594" t="s">
        <v>2021</v>
      </c>
      <c r="H1594" t="s">
        <v>2024</v>
      </c>
      <c r="I1594" t="s">
        <v>3620</v>
      </c>
      <c r="J1594" t="s">
        <v>4030</v>
      </c>
      <c r="K1594" t="s">
        <v>4042</v>
      </c>
      <c r="L1594">
        <v>3155.54</v>
      </c>
    </row>
    <row r="1595" spans="1:12">
      <c r="A1595" t="s">
        <v>1605</v>
      </c>
      <c r="B1595" s="2">
        <v>45172</v>
      </c>
      <c r="C1595">
        <v>4010</v>
      </c>
      <c r="D1595" t="s">
        <v>2016</v>
      </c>
      <c r="E1595">
        <v>0</v>
      </c>
      <c r="F1595">
        <v>1925.54</v>
      </c>
      <c r="G1595" t="s">
        <v>2018</v>
      </c>
      <c r="H1595" t="s">
        <v>2024</v>
      </c>
      <c r="I1595" t="s">
        <v>3621</v>
      </c>
      <c r="J1595" t="s">
        <v>4030</v>
      </c>
      <c r="K1595" t="s">
        <v>4036</v>
      </c>
      <c r="L1595">
        <v>1925.54</v>
      </c>
    </row>
    <row r="1596" spans="1:12">
      <c r="A1596" t="s">
        <v>1606</v>
      </c>
      <c r="B1596" s="2">
        <v>45595</v>
      </c>
      <c r="C1596">
        <v>6000</v>
      </c>
      <c r="D1596" t="s">
        <v>2014</v>
      </c>
      <c r="E1596">
        <v>1203.3399999999999</v>
      </c>
      <c r="F1596">
        <v>0</v>
      </c>
      <c r="G1596" t="s">
        <v>2020</v>
      </c>
      <c r="H1596" t="s">
        <v>2025</v>
      </c>
      <c r="I1596" t="s">
        <v>3622</v>
      </c>
      <c r="J1596" t="s">
        <v>4031</v>
      </c>
      <c r="K1596" t="s">
        <v>4059</v>
      </c>
      <c r="L1596">
        <v>-1203.3399999999999</v>
      </c>
    </row>
    <row r="1597" spans="1:12">
      <c r="A1597" t="s">
        <v>1607</v>
      </c>
      <c r="B1597" s="2">
        <v>45614</v>
      </c>
      <c r="C1597">
        <v>6000</v>
      </c>
      <c r="D1597" t="s">
        <v>2014</v>
      </c>
      <c r="E1597">
        <v>1776.59</v>
      </c>
      <c r="F1597">
        <v>0</v>
      </c>
      <c r="G1597" t="s">
        <v>2020</v>
      </c>
      <c r="H1597" t="s">
        <v>2025</v>
      </c>
      <c r="I1597" t="s">
        <v>3623</v>
      </c>
      <c r="J1597" t="s">
        <v>4029</v>
      </c>
      <c r="K1597" t="s">
        <v>4043</v>
      </c>
      <c r="L1597">
        <v>-1776.59</v>
      </c>
    </row>
    <row r="1598" spans="1:12">
      <c r="A1598" t="s">
        <v>1608</v>
      </c>
      <c r="B1598" s="2">
        <v>45009</v>
      </c>
      <c r="C1598">
        <v>5000</v>
      </c>
      <c r="D1598" t="s">
        <v>2013</v>
      </c>
      <c r="E1598">
        <v>1588.81</v>
      </c>
      <c r="F1598">
        <v>0</v>
      </c>
      <c r="G1598" t="s">
        <v>2019</v>
      </c>
      <c r="H1598" t="s">
        <v>2023</v>
      </c>
      <c r="I1598" t="s">
        <v>3624</v>
      </c>
      <c r="J1598" t="s">
        <v>4031</v>
      </c>
      <c r="K1598" t="s">
        <v>4051</v>
      </c>
      <c r="L1598">
        <v>-1588.81</v>
      </c>
    </row>
    <row r="1599" spans="1:12">
      <c r="A1599" t="s">
        <v>1609</v>
      </c>
      <c r="B1599" s="2">
        <v>45781</v>
      </c>
      <c r="C1599">
        <v>5000</v>
      </c>
      <c r="D1599" t="s">
        <v>2013</v>
      </c>
      <c r="E1599">
        <v>1229.26</v>
      </c>
      <c r="F1599">
        <v>0</v>
      </c>
      <c r="G1599" t="s">
        <v>2020</v>
      </c>
      <c r="H1599" t="s">
        <v>2024</v>
      </c>
      <c r="I1599" t="s">
        <v>3625</v>
      </c>
      <c r="J1599" t="s">
        <v>4029</v>
      </c>
      <c r="K1599" t="s">
        <v>4038</v>
      </c>
      <c r="L1599">
        <v>-1229.26</v>
      </c>
    </row>
    <row r="1600" spans="1:12">
      <c r="A1600" t="s">
        <v>1610</v>
      </c>
      <c r="B1600" s="2">
        <v>45832</v>
      </c>
      <c r="C1600">
        <v>4000</v>
      </c>
      <c r="D1600" t="s">
        <v>2012</v>
      </c>
      <c r="E1600">
        <v>0</v>
      </c>
      <c r="F1600">
        <v>3867.59</v>
      </c>
      <c r="G1600" t="s">
        <v>2019</v>
      </c>
      <c r="H1600" t="s">
        <v>2026</v>
      </c>
      <c r="I1600" t="s">
        <v>3626</v>
      </c>
      <c r="J1600" t="s">
        <v>4029</v>
      </c>
      <c r="K1600" t="s">
        <v>4052</v>
      </c>
      <c r="L1600">
        <v>3867.59</v>
      </c>
    </row>
    <row r="1601" spans="1:12">
      <c r="A1601" t="s">
        <v>1611</v>
      </c>
      <c r="B1601" s="2">
        <v>45408</v>
      </c>
      <c r="C1601">
        <v>6000</v>
      </c>
      <c r="D1601" t="s">
        <v>2014</v>
      </c>
      <c r="E1601">
        <v>615.80999999999995</v>
      </c>
      <c r="F1601">
        <v>0</v>
      </c>
      <c r="G1601" t="s">
        <v>2018</v>
      </c>
      <c r="H1601" t="s">
        <v>2027</v>
      </c>
      <c r="I1601" t="s">
        <v>3627</v>
      </c>
      <c r="J1601" t="s">
        <v>4029</v>
      </c>
      <c r="K1601" t="s">
        <v>4040</v>
      </c>
      <c r="L1601">
        <v>-615.80999999999995</v>
      </c>
    </row>
    <row r="1602" spans="1:12">
      <c r="A1602" t="s">
        <v>1612</v>
      </c>
      <c r="B1602" s="2">
        <v>45224</v>
      </c>
      <c r="C1602">
        <v>5010</v>
      </c>
      <c r="D1602" t="s">
        <v>2015</v>
      </c>
      <c r="E1602">
        <v>1182.17</v>
      </c>
      <c r="F1602">
        <v>0</v>
      </c>
      <c r="G1602" t="s">
        <v>2021</v>
      </c>
      <c r="H1602" t="s">
        <v>2025</v>
      </c>
      <c r="I1602" t="s">
        <v>3628</v>
      </c>
      <c r="J1602" t="s">
        <v>4031</v>
      </c>
      <c r="K1602" t="s">
        <v>4060</v>
      </c>
      <c r="L1602">
        <v>-1182.17</v>
      </c>
    </row>
    <row r="1603" spans="1:12">
      <c r="A1603" t="s">
        <v>1613</v>
      </c>
      <c r="B1603" s="2">
        <v>45081</v>
      </c>
      <c r="C1603">
        <v>4000</v>
      </c>
      <c r="D1603" t="s">
        <v>2012</v>
      </c>
      <c r="E1603">
        <v>0</v>
      </c>
      <c r="F1603">
        <v>4084.9</v>
      </c>
      <c r="G1603" t="s">
        <v>2021</v>
      </c>
      <c r="H1603" t="s">
        <v>2025</v>
      </c>
      <c r="I1603" t="s">
        <v>3629</v>
      </c>
      <c r="J1603" t="s">
        <v>4030</v>
      </c>
      <c r="K1603" t="s">
        <v>4055</v>
      </c>
      <c r="L1603">
        <v>4084.9</v>
      </c>
    </row>
    <row r="1604" spans="1:12">
      <c r="A1604" t="s">
        <v>1614</v>
      </c>
      <c r="B1604" s="2">
        <v>45276</v>
      </c>
      <c r="C1604">
        <v>4000</v>
      </c>
      <c r="D1604" t="s">
        <v>2012</v>
      </c>
      <c r="E1604">
        <v>0</v>
      </c>
      <c r="F1604">
        <v>2694.28</v>
      </c>
      <c r="G1604" t="s">
        <v>2019</v>
      </c>
      <c r="H1604" t="s">
        <v>2024</v>
      </c>
      <c r="I1604" t="s">
        <v>3630</v>
      </c>
      <c r="J1604" t="s">
        <v>4032</v>
      </c>
      <c r="K1604" t="s">
        <v>4039</v>
      </c>
      <c r="L1604">
        <v>2694.28</v>
      </c>
    </row>
    <row r="1605" spans="1:12">
      <c r="A1605" t="s">
        <v>1615</v>
      </c>
      <c r="B1605" s="2">
        <v>45782</v>
      </c>
      <c r="C1605">
        <v>4000</v>
      </c>
      <c r="D1605" t="s">
        <v>2012</v>
      </c>
      <c r="E1605">
        <v>0</v>
      </c>
      <c r="F1605">
        <v>3550.01</v>
      </c>
      <c r="G1605" t="s">
        <v>2021</v>
      </c>
      <c r="H1605" t="s">
        <v>2026</v>
      </c>
      <c r="I1605" t="s">
        <v>3631</v>
      </c>
      <c r="J1605" t="s">
        <v>4028</v>
      </c>
      <c r="K1605" t="s">
        <v>4038</v>
      </c>
      <c r="L1605">
        <v>3550.01</v>
      </c>
    </row>
    <row r="1606" spans="1:12">
      <c r="A1606" t="s">
        <v>1616</v>
      </c>
      <c r="B1606" s="2">
        <v>45495</v>
      </c>
      <c r="C1606">
        <v>4000</v>
      </c>
      <c r="D1606" t="s">
        <v>2012</v>
      </c>
      <c r="E1606">
        <v>0</v>
      </c>
      <c r="F1606">
        <v>2395.19</v>
      </c>
      <c r="G1606" t="s">
        <v>2022</v>
      </c>
      <c r="H1606" t="s">
        <v>2027</v>
      </c>
      <c r="I1606" t="s">
        <v>3632</v>
      </c>
      <c r="J1606" t="s">
        <v>4032</v>
      </c>
      <c r="K1606" t="s">
        <v>4054</v>
      </c>
      <c r="L1606">
        <v>2395.19</v>
      </c>
    </row>
    <row r="1607" spans="1:12">
      <c r="A1607" t="s">
        <v>1617</v>
      </c>
      <c r="B1607" s="2">
        <v>45438</v>
      </c>
      <c r="C1607">
        <v>5000</v>
      </c>
      <c r="D1607" t="s">
        <v>2013</v>
      </c>
      <c r="E1607">
        <v>1009.87</v>
      </c>
      <c r="F1607">
        <v>0</v>
      </c>
      <c r="G1607" t="s">
        <v>2021</v>
      </c>
      <c r="H1607" t="s">
        <v>2024</v>
      </c>
      <c r="I1607" t="s">
        <v>3633</v>
      </c>
      <c r="J1607" t="s">
        <v>4031</v>
      </c>
      <c r="K1607" t="s">
        <v>4033</v>
      </c>
      <c r="L1607">
        <v>-1009.87</v>
      </c>
    </row>
    <row r="1608" spans="1:12">
      <c r="A1608" t="s">
        <v>1618</v>
      </c>
      <c r="B1608" s="2">
        <v>45464</v>
      </c>
      <c r="C1608">
        <v>5010</v>
      </c>
      <c r="D1608" t="s">
        <v>2015</v>
      </c>
      <c r="E1608">
        <v>1792.26</v>
      </c>
      <c r="F1608">
        <v>0</v>
      </c>
      <c r="G1608" t="s">
        <v>2017</v>
      </c>
      <c r="H1608" t="s">
        <v>2023</v>
      </c>
      <c r="I1608" t="s">
        <v>3634</v>
      </c>
      <c r="J1608" t="s">
        <v>4028</v>
      </c>
      <c r="K1608" t="s">
        <v>4034</v>
      </c>
      <c r="L1608">
        <v>-1792.26</v>
      </c>
    </row>
    <row r="1609" spans="1:12">
      <c r="A1609" t="s">
        <v>1619</v>
      </c>
      <c r="B1609" s="2">
        <v>45306</v>
      </c>
      <c r="C1609">
        <v>5000</v>
      </c>
      <c r="D1609" t="s">
        <v>2013</v>
      </c>
      <c r="E1609">
        <v>1834.84</v>
      </c>
      <c r="F1609">
        <v>0</v>
      </c>
      <c r="G1609" t="s">
        <v>2019</v>
      </c>
      <c r="H1609" t="s">
        <v>2023</v>
      </c>
      <c r="I1609" t="s">
        <v>3635</v>
      </c>
      <c r="J1609" t="s">
        <v>4030</v>
      </c>
      <c r="K1609" t="s">
        <v>4053</v>
      </c>
      <c r="L1609">
        <v>-1834.84</v>
      </c>
    </row>
    <row r="1610" spans="1:12">
      <c r="A1610" t="s">
        <v>1620</v>
      </c>
      <c r="B1610" s="2">
        <v>45808</v>
      </c>
      <c r="C1610">
        <v>4010</v>
      </c>
      <c r="D1610" t="s">
        <v>2016</v>
      </c>
      <c r="E1610">
        <v>0</v>
      </c>
      <c r="F1610">
        <v>4316.42</v>
      </c>
      <c r="G1610" t="s">
        <v>2018</v>
      </c>
      <c r="H1610" t="s">
        <v>2027</v>
      </c>
      <c r="I1610" t="s">
        <v>3636</v>
      </c>
      <c r="J1610" t="s">
        <v>4030</v>
      </c>
      <c r="K1610" t="s">
        <v>4038</v>
      </c>
      <c r="L1610">
        <v>4316.42</v>
      </c>
    </row>
    <row r="1611" spans="1:12">
      <c r="A1611" t="s">
        <v>1621</v>
      </c>
      <c r="B1611" s="2">
        <v>45701</v>
      </c>
      <c r="C1611">
        <v>5010</v>
      </c>
      <c r="D1611" t="s">
        <v>2015</v>
      </c>
      <c r="E1611">
        <v>427.92</v>
      </c>
      <c r="F1611">
        <v>0</v>
      </c>
      <c r="G1611" t="s">
        <v>2021</v>
      </c>
      <c r="H1611" t="s">
        <v>2025</v>
      </c>
      <c r="I1611" t="s">
        <v>3637</v>
      </c>
      <c r="J1611" t="s">
        <v>4031</v>
      </c>
      <c r="K1611" t="s">
        <v>4061</v>
      </c>
      <c r="L1611">
        <v>-427.92</v>
      </c>
    </row>
    <row r="1612" spans="1:12">
      <c r="A1612" t="s">
        <v>1622</v>
      </c>
      <c r="B1612" s="2">
        <v>45555</v>
      </c>
      <c r="C1612">
        <v>4010</v>
      </c>
      <c r="D1612" t="s">
        <v>2016</v>
      </c>
      <c r="E1612">
        <v>0</v>
      </c>
      <c r="F1612">
        <v>881.32</v>
      </c>
      <c r="G1612" t="s">
        <v>2022</v>
      </c>
      <c r="H1612" t="s">
        <v>2027</v>
      </c>
      <c r="I1612" t="s">
        <v>3638</v>
      </c>
      <c r="J1612" t="s">
        <v>4030</v>
      </c>
      <c r="K1612" t="s">
        <v>4048</v>
      </c>
      <c r="L1612">
        <v>881.32</v>
      </c>
    </row>
    <row r="1613" spans="1:12">
      <c r="A1613" t="s">
        <v>1623</v>
      </c>
      <c r="B1613" s="2">
        <v>45028</v>
      </c>
      <c r="C1613">
        <v>6000</v>
      </c>
      <c r="D1613" t="s">
        <v>2014</v>
      </c>
      <c r="E1613">
        <v>896.81</v>
      </c>
      <c r="F1613">
        <v>0</v>
      </c>
      <c r="G1613" t="s">
        <v>2022</v>
      </c>
      <c r="H1613" t="s">
        <v>2025</v>
      </c>
      <c r="I1613" t="s">
        <v>3639</v>
      </c>
      <c r="J1613" t="s">
        <v>4030</v>
      </c>
      <c r="K1613" t="s">
        <v>4041</v>
      </c>
      <c r="L1613">
        <v>-896.81</v>
      </c>
    </row>
    <row r="1614" spans="1:12">
      <c r="A1614" t="s">
        <v>1624</v>
      </c>
      <c r="B1614" s="2">
        <v>45612</v>
      </c>
      <c r="C1614">
        <v>6000</v>
      </c>
      <c r="D1614" t="s">
        <v>2014</v>
      </c>
      <c r="E1614">
        <v>1292.1400000000001</v>
      </c>
      <c r="F1614">
        <v>0</v>
      </c>
      <c r="G1614" t="s">
        <v>2018</v>
      </c>
      <c r="H1614" t="s">
        <v>2023</v>
      </c>
      <c r="I1614" t="s">
        <v>3640</v>
      </c>
      <c r="J1614" t="s">
        <v>4031</v>
      </c>
      <c r="K1614" t="s">
        <v>4043</v>
      </c>
      <c r="L1614">
        <v>-1292.1400000000001</v>
      </c>
    </row>
    <row r="1615" spans="1:12">
      <c r="A1615" t="s">
        <v>1625</v>
      </c>
      <c r="B1615" s="2">
        <v>45410</v>
      </c>
      <c r="C1615">
        <v>5000</v>
      </c>
      <c r="D1615" t="s">
        <v>2013</v>
      </c>
      <c r="E1615">
        <v>1720</v>
      </c>
      <c r="F1615">
        <v>0</v>
      </c>
      <c r="G1615" t="s">
        <v>2019</v>
      </c>
      <c r="H1615" t="s">
        <v>2027</v>
      </c>
      <c r="I1615" t="s">
        <v>3641</v>
      </c>
      <c r="J1615" t="s">
        <v>4032</v>
      </c>
      <c r="K1615" t="s">
        <v>4040</v>
      </c>
      <c r="L1615">
        <v>-1720</v>
      </c>
    </row>
    <row r="1616" spans="1:12">
      <c r="A1616" t="s">
        <v>1626</v>
      </c>
      <c r="B1616" s="2">
        <v>45312</v>
      </c>
      <c r="C1616">
        <v>6000</v>
      </c>
      <c r="D1616" t="s">
        <v>2014</v>
      </c>
      <c r="E1616">
        <v>210.81</v>
      </c>
      <c r="F1616">
        <v>0</v>
      </c>
      <c r="G1616" t="s">
        <v>2021</v>
      </c>
      <c r="H1616" t="s">
        <v>2026</v>
      </c>
      <c r="I1616" t="s">
        <v>3642</v>
      </c>
      <c r="J1616" t="s">
        <v>4029</v>
      </c>
      <c r="K1616" t="s">
        <v>4053</v>
      </c>
      <c r="L1616">
        <v>-210.81</v>
      </c>
    </row>
    <row r="1617" spans="1:12">
      <c r="A1617" t="s">
        <v>1627</v>
      </c>
      <c r="B1617" s="2">
        <v>45077</v>
      </c>
      <c r="C1617">
        <v>4000</v>
      </c>
      <c r="D1617" t="s">
        <v>2012</v>
      </c>
      <c r="E1617">
        <v>0</v>
      </c>
      <c r="F1617">
        <v>3145.99</v>
      </c>
      <c r="G1617" t="s">
        <v>2019</v>
      </c>
      <c r="H1617" t="s">
        <v>2025</v>
      </c>
      <c r="I1617" t="s">
        <v>3643</v>
      </c>
      <c r="J1617" t="s">
        <v>4028</v>
      </c>
      <c r="K1617" t="s">
        <v>4062</v>
      </c>
      <c r="L1617">
        <v>3145.99</v>
      </c>
    </row>
    <row r="1618" spans="1:12">
      <c r="A1618" t="s">
        <v>1628</v>
      </c>
      <c r="B1618" s="2">
        <v>45601</v>
      </c>
      <c r="C1618">
        <v>4000</v>
      </c>
      <c r="D1618" t="s">
        <v>2012</v>
      </c>
      <c r="E1618">
        <v>0</v>
      </c>
      <c r="F1618">
        <v>4897.22</v>
      </c>
      <c r="G1618" t="s">
        <v>2020</v>
      </c>
      <c r="H1618" t="s">
        <v>2027</v>
      </c>
      <c r="I1618" t="s">
        <v>3644</v>
      </c>
      <c r="J1618" t="s">
        <v>4029</v>
      </c>
      <c r="K1618" t="s">
        <v>4043</v>
      </c>
      <c r="L1618">
        <v>4897.22</v>
      </c>
    </row>
    <row r="1619" spans="1:12">
      <c r="A1619" t="s">
        <v>1629</v>
      </c>
      <c r="B1619" s="2">
        <v>45011</v>
      </c>
      <c r="C1619">
        <v>5010</v>
      </c>
      <c r="D1619" t="s">
        <v>2015</v>
      </c>
      <c r="E1619">
        <v>1035.58</v>
      </c>
      <c r="F1619">
        <v>0</v>
      </c>
      <c r="G1619" t="s">
        <v>2022</v>
      </c>
      <c r="H1619" t="s">
        <v>2025</v>
      </c>
      <c r="I1619" t="s">
        <v>3645</v>
      </c>
      <c r="J1619" t="s">
        <v>4030</v>
      </c>
      <c r="K1619" t="s">
        <v>4051</v>
      </c>
      <c r="L1619">
        <v>-1035.58</v>
      </c>
    </row>
    <row r="1620" spans="1:12">
      <c r="A1620" t="s">
        <v>1630</v>
      </c>
      <c r="B1620" s="2">
        <v>45614</v>
      </c>
      <c r="C1620">
        <v>5010</v>
      </c>
      <c r="D1620" t="s">
        <v>2015</v>
      </c>
      <c r="E1620">
        <v>883.62</v>
      </c>
      <c r="F1620">
        <v>0</v>
      </c>
      <c r="G1620" t="s">
        <v>2019</v>
      </c>
      <c r="H1620" t="s">
        <v>2026</v>
      </c>
      <c r="I1620" t="s">
        <v>3646</v>
      </c>
      <c r="J1620" t="s">
        <v>4030</v>
      </c>
      <c r="K1620" t="s">
        <v>4043</v>
      </c>
      <c r="L1620">
        <v>-883.62</v>
      </c>
    </row>
    <row r="1621" spans="1:12">
      <c r="A1621" t="s">
        <v>1631</v>
      </c>
      <c r="B1621" s="2">
        <v>45566</v>
      </c>
      <c r="C1621">
        <v>4010</v>
      </c>
      <c r="D1621" t="s">
        <v>2016</v>
      </c>
      <c r="E1621">
        <v>0</v>
      </c>
      <c r="F1621">
        <v>1908.36</v>
      </c>
      <c r="G1621" t="s">
        <v>2022</v>
      </c>
      <c r="H1621" t="s">
        <v>2023</v>
      </c>
      <c r="I1621" t="s">
        <v>3647</v>
      </c>
      <c r="J1621" t="s">
        <v>4028</v>
      </c>
      <c r="K1621" t="s">
        <v>4059</v>
      </c>
      <c r="L1621">
        <v>1908.36</v>
      </c>
    </row>
    <row r="1622" spans="1:12">
      <c r="A1622" t="s">
        <v>1632</v>
      </c>
      <c r="B1622" s="2">
        <v>45068</v>
      </c>
      <c r="C1622">
        <v>4010</v>
      </c>
      <c r="D1622" t="s">
        <v>2016</v>
      </c>
      <c r="E1622">
        <v>0</v>
      </c>
      <c r="F1622">
        <v>145.24</v>
      </c>
      <c r="G1622" t="s">
        <v>2022</v>
      </c>
      <c r="H1622" t="s">
        <v>2025</v>
      </c>
      <c r="I1622" t="s">
        <v>3648</v>
      </c>
      <c r="J1622" t="s">
        <v>4028</v>
      </c>
      <c r="K1622" t="s">
        <v>4062</v>
      </c>
      <c r="L1622">
        <v>145.24</v>
      </c>
    </row>
    <row r="1623" spans="1:12">
      <c r="A1623" t="s">
        <v>1633</v>
      </c>
      <c r="B1623" s="2">
        <v>45550</v>
      </c>
      <c r="C1623">
        <v>4010</v>
      </c>
      <c r="D1623" t="s">
        <v>2016</v>
      </c>
      <c r="E1623">
        <v>0</v>
      </c>
      <c r="F1623">
        <v>527.38</v>
      </c>
      <c r="G1623" t="s">
        <v>2017</v>
      </c>
      <c r="H1623" t="s">
        <v>2025</v>
      </c>
      <c r="I1623" t="s">
        <v>3649</v>
      </c>
      <c r="J1623" t="s">
        <v>4032</v>
      </c>
      <c r="K1623" t="s">
        <v>4048</v>
      </c>
      <c r="L1623">
        <v>527.38</v>
      </c>
    </row>
    <row r="1624" spans="1:12">
      <c r="A1624" t="s">
        <v>1634</v>
      </c>
      <c r="B1624" s="2">
        <v>45151</v>
      </c>
      <c r="C1624">
        <v>4000</v>
      </c>
      <c r="D1624" t="s">
        <v>2012</v>
      </c>
      <c r="E1624">
        <v>0</v>
      </c>
      <c r="F1624">
        <v>3715.39</v>
      </c>
      <c r="G1624" t="s">
        <v>2021</v>
      </c>
      <c r="H1624" t="s">
        <v>2023</v>
      </c>
      <c r="I1624" t="s">
        <v>3650</v>
      </c>
      <c r="J1624" t="s">
        <v>4029</v>
      </c>
      <c r="K1624" t="s">
        <v>4037</v>
      </c>
      <c r="L1624">
        <v>3715.39</v>
      </c>
    </row>
    <row r="1625" spans="1:12">
      <c r="A1625" t="s">
        <v>1635</v>
      </c>
      <c r="B1625" s="2">
        <v>44959</v>
      </c>
      <c r="C1625">
        <v>5000</v>
      </c>
      <c r="D1625" t="s">
        <v>2013</v>
      </c>
      <c r="E1625">
        <v>870.5</v>
      </c>
      <c r="F1625">
        <v>0</v>
      </c>
      <c r="G1625" t="s">
        <v>2021</v>
      </c>
      <c r="H1625" t="s">
        <v>2026</v>
      </c>
      <c r="I1625" t="s">
        <v>3651</v>
      </c>
      <c r="J1625" t="s">
        <v>4030</v>
      </c>
      <c r="K1625" t="s">
        <v>4057</v>
      </c>
      <c r="L1625">
        <v>-870.5</v>
      </c>
    </row>
    <row r="1626" spans="1:12">
      <c r="A1626" t="s">
        <v>1636</v>
      </c>
      <c r="B1626" s="2">
        <v>45386</v>
      </c>
      <c r="C1626">
        <v>5010</v>
      </c>
      <c r="D1626" t="s">
        <v>2015</v>
      </c>
      <c r="E1626">
        <v>1992.58</v>
      </c>
      <c r="F1626">
        <v>0</v>
      </c>
      <c r="G1626" t="s">
        <v>2019</v>
      </c>
      <c r="H1626" t="s">
        <v>2023</v>
      </c>
      <c r="I1626" t="s">
        <v>3652</v>
      </c>
      <c r="J1626" t="s">
        <v>4028</v>
      </c>
      <c r="K1626" t="s">
        <v>4040</v>
      </c>
      <c r="L1626">
        <v>-1992.58</v>
      </c>
    </row>
    <row r="1627" spans="1:12">
      <c r="A1627" t="s">
        <v>1637</v>
      </c>
      <c r="B1627" s="2">
        <v>45001</v>
      </c>
      <c r="C1627">
        <v>5010</v>
      </c>
      <c r="D1627" t="s">
        <v>2015</v>
      </c>
      <c r="E1627">
        <v>1466.95</v>
      </c>
      <c r="F1627">
        <v>0</v>
      </c>
      <c r="G1627" t="s">
        <v>2022</v>
      </c>
      <c r="H1627" t="s">
        <v>2024</v>
      </c>
      <c r="I1627" t="s">
        <v>3653</v>
      </c>
      <c r="J1627" t="s">
        <v>4031</v>
      </c>
      <c r="K1627" t="s">
        <v>4051</v>
      </c>
      <c r="L1627">
        <v>-1466.95</v>
      </c>
    </row>
    <row r="1628" spans="1:12">
      <c r="A1628" t="s">
        <v>1638</v>
      </c>
      <c r="B1628" s="2">
        <v>45013</v>
      </c>
      <c r="C1628">
        <v>5000</v>
      </c>
      <c r="D1628" t="s">
        <v>2013</v>
      </c>
      <c r="E1628">
        <v>480.18</v>
      </c>
      <c r="F1628">
        <v>0</v>
      </c>
      <c r="G1628" t="s">
        <v>2018</v>
      </c>
      <c r="H1628" t="s">
        <v>2025</v>
      </c>
      <c r="I1628" t="s">
        <v>3654</v>
      </c>
      <c r="J1628" t="s">
        <v>4029</v>
      </c>
      <c r="K1628" t="s">
        <v>4051</v>
      </c>
      <c r="L1628">
        <v>-480.18</v>
      </c>
    </row>
    <row r="1629" spans="1:12">
      <c r="A1629" t="s">
        <v>1639</v>
      </c>
      <c r="B1629" s="2">
        <v>45010</v>
      </c>
      <c r="C1629">
        <v>4010</v>
      </c>
      <c r="D1629" t="s">
        <v>2016</v>
      </c>
      <c r="E1629">
        <v>0</v>
      </c>
      <c r="F1629">
        <v>4296.88</v>
      </c>
      <c r="G1629" t="s">
        <v>2021</v>
      </c>
      <c r="H1629" t="s">
        <v>2023</v>
      </c>
      <c r="I1629" t="s">
        <v>3655</v>
      </c>
      <c r="J1629" t="s">
        <v>4030</v>
      </c>
      <c r="K1629" t="s">
        <v>4051</v>
      </c>
      <c r="L1629">
        <v>4296.88</v>
      </c>
    </row>
    <row r="1630" spans="1:12">
      <c r="A1630" t="s">
        <v>1640</v>
      </c>
      <c r="B1630" s="2">
        <v>45588</v>
      </c>
      <c r="C1630">
        <v>5000</v>
      </c>
      <c r="D1630" t="s">
        <v>2013</v>
      </c>
      <c r="E1630">
        <v>123.85</v>
      </c>
      <c r="F1630">
        <v>0</v>
      </c>
      <c r="G1630" t="s">
        <v>2020</v>
      </c>
      <c r="H1630" t="s">
        <v>2023</v>
      </c>
      <c r="I1630" t="s">
        <v>3656</v>
      </c>
      <c r="J1630" t="s">
        <v>4030</v>
      </c>
      <c r="K1630" t="s">
        <v>4059</v>
      </c>
      <c r="L1630">
        <v>-123.85</v>
      </c>
    </row>
    <row r="1631" spans="1:12">
      <c r="A1631" t="s">
        <v>1641</v>
      </c>
      <c r="B1631" s="2">
        <v>45048</v>
      </c>
      <c r="C1631">
        <v>6000</v>
      </c>
      <c r="D1631" t="s">
        <v>2014</v>
      </c>
      <c r="E1631">
        <v>1528.6</v>
      </c>
      <c r="F1631">
        <v>0</v>
      </c>
      <c r="G1631" t="s">
        <v>2017</v>
      </c>
      <c r="H1631" t="s">
        <v>2027</v>
      </c>
      <c r="I1631" t="s">
        <v>3657</v>
      </c>
      <c r="J1631" t="s">
        <v>4031</v>
      </c>
      <c r="K1631" t="s">
        <v>4062</v>
      </c>
      <c r="L1631">
        <v>-1528.6</v>
      </c>
    </row>
    <row r="1632" spans="1:12">
      <c r="A1632" t="s">
        <v>1642</v>
      </c>
      <c r="B1632" s="2">
        <v>45364</v>
      </c>
      <c r="C1632">
        <v>5010</v>
      </c>
      <c r="D1632" t="s">
        <v>2015</v>
      </c>
      <c r="E1632">
        <v>1408.83</v>
      </c>
      <c r="F1632">
        <v>0</v>
      </c>
      <c r="G1632" t="s">
        <v>2017</v>
      </c>
      <c r="H1632" t="s">
        <v>2027</v>
      </c>
      <c r="I1632" t="s">
        <v>3658</v>
      </c>
      <c r="J1632" t="s">
        <v>4031</v>
      </c>
      <c r="K1632" t="s">
        <v>4049</v>
      </c>
      <c r="L1632">
        <v>-1408.83</v>
      </c>
    </row>
    <row r="1633" spans="1:12">
      <c r="A1633" t="s">
        <v>1643</v>
      </c>
      <c r="B1633" s="2">
        <v>45308</v>
      </c>
      <c r="C1633">
        <v>6000</v>
      </c>
      <c r="D1633" t="s">
        <v>2014</v>
      </c>
      <c r="E1633">
        <v>472.82</v>
      </c>
      <c r="F1633">
        <v>0</v>
      </c>
      <c r="G1633" t="s">
        <v>2019</v>
      </c>
      <c r="H1633" t="s">
        <v>2025</v>
      </c>
      <c r="I1633" t="s">
        <v>3659</v>
      </c>
      <c r="J1633" t="s">
        <v>4028</v>
      </c>
      <c r="K1633" t="s">
        <v>4053</v>
      </c>
      <c r="L1633">
        <v>-472.82</v>
      </c>
    </row>
    <row r="1634" spans="1:12">
      <c r="A1634" t="s">
        <v>1644</v>
      </c>
      <c r="B1634" s="2">
        <v>45284</v>
      </c>
      <c r="C1634">
        <v>6000</v>
      </c>
      <c r="D1634" t="s">
        <v>2014</v>
      </c>
      <c r="E1634">
        <v>826.92</v>
      </c>
      <c r="F1634">
        <v>0</v>
      </c>
      <c r="G1634" t="s">
        <v>2017</v>
      </c>
      <c r="H1634" t="s">
        <v>2025</v>
      </c>
      <c r="I1634" t="s">
        <v>3660</v>
      </c>
      <c r="J1634" t="s">
        <v>4028</v>
      </c>
      <c r="K1634" t="s">
        <v>4039</v>
      </c>
      <c r="L1634">
        <v>-826.92</v>
      </c>
    </row>
    <row r="1635" spans="1:12">
      <c r="A1635" t="s">
        <v>1645</v>
      </c>
      <c r="B1635" s="2">
        <v>44952</v>
      </c>
      <c r="C1635">
        <v>6000</v>
      </c>
      <c r="D1635" t="s">
        <v>2014</v>
      </c>
      <c r="E1635">
        <v>882.2</v>
      </c>
      <c r="F1635">
        <v>0</v>
      </c>
      <c r="G1635" t="s">
        <v>2020</v>
      </c>
      <c r="H1635" t="s">
        <v>2027</v>
      </c>
      <c r="I1635" t="s">
        <v>3661</v>
      </c>
      <c r="J1635" t="s">
        <v>4030</v>
      </c>
      <c r="K1635" t="s">
        <v>4047</v>
      </c>
      <c r="L1635">
        <v>-882.2</v>
      </c>
    </row>
    <row r="1636" spans="1:12">
      <c r="A1636" t="s">
        <v>1646</v>
      </c>
      <c r="B1636" s="2">
        <v>45582</v>
      </c>
      <c r="C1636">
        <v>6000</v>
      </c>
      <c r="D1636" t="s">
        <v>2014</v>
      </c>
      <c r="E1636">
        <v>1244.05</v>
      </c>
      <c r="F1636">
        <v>0</v>
      </c>
      <c r="G1636" t="s">
        <v>2021</v>
      </c>
      <c r="H1636" t="s">
        <v>2023</v>
      </c>
      <c r="I1636" t="s">
        <v>3662</v>
      </c>
      <c r="J1636" t="s">
        <v>4028</v>
      </c>
      <c r="K1636" t="s">
        <v>4059</v>
      </c>
      <c r="L1636">
        <v>-1244.05</v>
      </c>
    </row>
    <row r="1637" spans="1:12">
      <c r="A1637" t="s">
        <v>1647</v>
      </c>
      <c r="B1637" s="2">
        <v>45068</v>
      </c>
      <c r="C1637">
        <v>4000</v>
      </c>
      <c r="D1637" t="s">
        <v>2012</v>
      </c>
      <c r="E1637">
        <v>0</v>
      </c>
      <c r="F1637">
        <v>2017.86</v>
      </c>
      <c r="G1637" t="s">
        <v>2018</v>
      </c>
      <c r="H1637" t="s">
        <v>2023</v>
      </c>
      <c r="I1637" t="s">
        <v>3663</v>
      </c>
      <c r="J1637" t="s">
        <v>4032</v>
      </c>
      <c r="K1637" t="s">
        <v>4062</v>
      </c>
      <c r="L1637">
        <v>2017.86</v>
      </c>
    </row>
    <row r="1638" spans="1:12">
      <c r="A1638" t="s">
        <v>1648</v>
      </c>
      <c r="B1638" s="2">
        <v>45269</v>
      </c>
      <c r="C1638">
        <v>5010</v>
      </c>
      <c r="D1638" t="s">
        <v>2015</v>
      </c>
      <c r="E1638">
        <v>1845.02</v>
      </c>
      <c r="F1638">
        <v>0</v>
      </c>
      <c r="G1638" t="s">
        <v>2021</v>
      </c>
      <c r="H1638" t="s">
        <v>2026</v>
      </c>
      <c r="I1638" t="s">
        <v>3664</v>
      </c>
      <c r="J1638" t="s">
        <v>4032</v>
      </c>
      <c r="K1638" t="s">
        <v>4039</v>
      </c>
      <c r="L1638">
        <v>-1845.02</v>
      </c>
    </row>
    <row r="1639" spans="1:12">
      <c r="A1639" t="s">
        <v>1649</v>
      </c>
      <c r="B1639" s="2">
        <v>45377</v>
      </c>
      <c r="C1639">
        <v>4000</v>
      </c>
      <c r="D1639" t="s">
        <v>2012</v>
      </c>
      <c r="E1639">
        <v>0</v>
      </c>
      <c r="F1639">
        <v>1184.05</v>
      </c>
      <c r="G1639" t="s">
        <v>2022</v>
      </c>
      <c r="H1639" t="s">
        <v>2025</v>
      </c>
      <c r="I1639" t="s">
        <v>3665</v>
      </c>
      <c r="J1639" t="s">
        <v>4030</v>
      </c>
      <c r="K1639" t="s">
        <v>4049</v>
      </c>
      <c r="L1639">
        <v>1184.05</v>
      </c>
    </row>
    <row r="1640" spans="1:12">
      <c r="A1640" t="s">
        <v>1650</v>
      </c>
      <c r="B1640" s="2">
        <v>45282</v>
      </c>
      <c r="C1640">
        <v>5000</v>
      </c>
      <c r="D1640" t="s">
        <v>2013</v>
      </c>
      <c r="E1640">
        <v>1165.1400000000001</v>
      </c>
      <c r="F1640">
        <v>0</v>
      </c>
      <c r="G1640" t="s">
        <v>2018</v>
      </c>
      <c r="H1640" t="s">
        <v>2027</v>
      </c>
      <c r="I1640" t="s">
        <v>3666</v>
      </c>
      <c r="J1640" t="s">
        <v>4030</v>
      </c>
      <c r="K1640" t="s">
        <v>4039</v>
      </c>
      <c r="L1640">
        <v>-1165.1400000000001</v>
      </c>
    </row>
    <row r="1641" spans="1:12">
      <c r="A1641" t="s">
        <v>1651</v>
      </c>
      <c r="B1641" s="2">
        <v>45654</v>
      </c>
      <c r="C1641">
        <v>5000</v>
      </c>
      <c r="D1641" t="s">
        <v>2013</v>
      </c>
      <c r="E1641">
        <v>641.08000000000004</v>
      </c>
      <c r="F1641">
        <v>0</v>
      </c>
      <c r="G1641" t="s">
        <v>2017</v>
      </c>
      <c r="H1641" t="s">
        <v>2026</v>
      </c>
      <c r="I1641" t="s">
        <v>3667</v>
      </c>
      <c r="J1641" t="s">
        <v>4029</v>
      </c>
      <c r="K1641" t="s">
        <v>4056</v>
      </c>
      <c r="L1641">
        <v>-641.08000000000004</v>
      </c>
    </row>
    <row r="1642" spans="1:12">
      <c r="A1642" t="s">
        <v>1652</v>
      </c>
      <c r="B1642" s="2">
        <v>45116</v>
      </c>
      <c r="C1642">
        <v>5010</v>
      </c>
      <c r="D1642" t="s">
        <v>2015</v>
      </c>
      <c r="E1642">
        <v>194.16</v>
      </c>
      <c r="F1642">
        <v>0</v>
      </c>
      <c r="G1642" t="s">
        <v>2022</v>
      </c>
      <c r="H1642" t="s">
        <v>2025</v>
      </c>
      <c r="I1642" t="s">
        <v>3668</v>
      </c>
      <c r="J1642" t="s">
        <v>4032</v>
      </c>
      <c r="K1642" t="s">
        <v>4050</v>
      </c>
      <c r="L1642">
        <v>-194.16</v>
      </c>
    </row>
    <row r="1643" spans="1:12">
      <c r="A1643" t="s">
        <v>1653</v>
      </c>
      <c r="B1643" s="2">
        <v>45034</v>
      </c>
      <c r="C1643">
        <v>6000</v>
      </c>
      <c r="D1643" t="s">
        <v>2014</v>
      </c>
      <c r="E1643">
        <v>262.33999999999997</v>
      </c>
      <c r="F1643">
        <v>0</v>
      </c>
      <c r="G1643" t="s">
        <v>2021</v>
      </c>
      <c r="H1643" t="s">
        <v>2025</v>
      </c>
      <c r="I1643" t="s">
        <v>3669</v>
      </c>
      <c r="J1643" t="s">
        <v>4029</v>
      </c>
      <c r="K1643" t="s">
        <v>4041</v>
      </c>
      <c r="L1643">
        <v>-262.33999999999997</v>
      </c>
    </row>
    <row r="1644" spans="1:12">
      <c r="A1644" t="s">
        <v>1654</v>
      </c>
      <c r="B1644" s="2">
        <v>45464</v>
      </c>
      <c r="C1644">
        <v>5010</v>
      </c>
      <c r="D1644" t="s">
        <v>2015</v>
      </c>
      <c r="E1644">
        <v>1269.67</v>
      </c>
      <c r="F1644">
        <v>0</v>
      </c>
      <c r="G1644" t="s">
        <v>2019</v>
      </c>
      <c r="H1644" t="s">
        <v>2026</v>
      </c>
      <c r="I1644" t="s">
        <v>3670</v>
      </c>
      <c r="J1644" t="s">
        <v>4032</v>
      </c>
      <c r="K1644" t="s">
        <v>4034</v>
      </c>
      <c r="L1644">
        <v>-1269.67</v>
      </c>
    </row>
    <row r="1645" spans="1:12">
      <c r="A1645" t="s">
        <v>1655</v>
      </c>
      <c r="B1645" s="2">
        <v>45302</v>
      </c>
      <c r="C1645">
        <v>4000</v>
      </c>
      <c r="D1645" t="s">
        <v>2012</v>
      </c>
      <c r="E1645">
        <v>0</v>
      </c>
      <c r="F1645">
        <v>1736.08</v>
      </c>
      <c r="G1645" t="s">
        <v>2018</v>
      </c>
      <c r="H1645" t="s">
        <v>2026</v>
      </c>
      <c r="I1645" t="s">
        <v>3671</v>
      </c>
      <c r="J1645" t="s">
        <v>4028</v>
      </c>
      <c r="K1645" t="s">
        <v>4053</v>
      </c>
      <c r="L1645">
        <v>1736.08</v>
      </c>
    </row>
    <row r="1646" spans="1:12">
      <c r="A1646" t="s">
        <v>1656</v>
      </c>
      <c r="B1646" s="2">
        <v>45453</v>
      </c>
      <c r="C1646">
        <v>5010</v>
      </c>
      <c r="D1646" t="s">
        <v>2015</v>
      </c>
      <c r="E1646">
        <v>418.98</v>
      </c>
      <c r="F1646">
        <v>0</v>
      </c>
      <c r="G1646" t="s">
        <v>2020</v>
      </c>
      <c r="H1646" t="s">
        <v>2025</v>
      </c>
      <c r="I1646" t="s">
        <v>3672</v>
      </c>
      <c r="J1646" t="s">
        <v>4032</v>
      </c>
      <c r="K1646" t="s">
        <v>4034</v>
      </c>
      <c r="L1646">
        <v>-418.98</v>
      </c>
    </row>
    <row r="1647" spans="1:12">
      <c r="A1647" t="s">
        <v>1657</v>
      </c>
      <c r="B1647" s="2">
        <v>45069</v>
      </c>
      <c r="C1647">
        <v>5010</v>
      </c>
      <c r="D1647" t="s">
        <v>2015</v>
      </c>
      <c r="E1647">
        <v>1106.24</v>
      </c>
      <c r="F1647">
        <v>0</v>
      </c>
      <c r="G1647" t="s">
        <v>2021</v>
      </c>
      <c r="H1647" t="s">
        <v>2027</v>
      </c>
      <c r="I1647" t="s">
        <v>3673</v>
      </c>
      <c r="J1647" t="s">
        <v>4031</v>
      </c>
      <c r="K1647" t="s">
        <v>4062</v>
      </c>
      <c r="L1647">
        <v>-1106.24</v>
      </c>
    </row>
    <row r="1648" spans="1:12">
      <c r="A1648" t="s">
        <v>1658</v>
      </c>
      <c r="B1648" s="2">
        <v>45075</v>
      </c>
      <c r="C1648">
        <v>4010</v>
      </c>
      <c r="D1648" t="s">
        <v>2016</v>
      </c>
      <c r="E1648">
        <v>0</v>
      </c>
      <c r="F1648">
        <v>3037.2</v>
      </c>
      <c r="G1648" t="s">
        <v>2021</v>
      </c>
      <c r="H1648" t="s">
        <v>2026</v>
      </c>
      <c r="I1648" t="s">
        <v>3674</v>
      </c>
      <c r="J1648" t="s">
        <v>4028</v>
      </c>
      <c r="K1648" t="s">
        <v>4062</v>
      </c>
      <c r="L1648">
        <v>3037.2</v>
      </c>
    </row>
    <row r="1649" spans="1:12">
      <c r="A1649" t="s">
        <v>1659</v>
      </c>
      <c r="B1649" s="2">
        <v>44968</v>
      </c>
      <c r="C1649">
        <v>4000</v>
      </c>
      <c r="D1649" t="s">
        <v>2012</v>
      </c>
      <c r="E1649">
        <v>0</v>
      </c>
      <c r="F1649">
        <v>4063.27</v>
      </c>
      <c r="G1649" t="s">
        <v>2022</v>
      </c>
      <c r="H1649" t="s">
        <v>2023</v>
      </c>
      <c r="I1649" t="s">
        <v>3675</v>
      </c>
      <c r="J1649" t="s">
        <v>4028</v>
      </c>
      <c r="K1649" t="s">
        <v>4057</v>
      </c>
      <c r="L1649">
        <v>4063.27</v>
      </c>
    </row>
    <row r="1650" spans="1:12">
      <c r="A1650" t="s">
        <v>1660</v>
      </c>
      <c r="B1650" s="2">
        <v>45169</v>
      </c>
      <c r="C1650">
        <v>6000</v>
      </c>
      <c r="D1650" t="s">
        <v>2014</v>
      </c>
      <c r="E1650">
        <v>1920.87</v>
      </c>
      <c r="F1650">
        <v>0</v>
      </c>
      <c r="G1650" t="s">
        <v>2021</v>
      </c>
      <c r="H1650" t="s">
        <v>2024</v>
      </c>
      <c r="I1650" t="s">
        <v>3676</v>
      </c>
      <c r="J1650" t="s">
        <v>4030</v>
      </c>
      <c r="K1650" t="s">
        <v>4037</v>
      </c>
      <c r="L1650">
        <v>-1920.87</v>
      </c>
    </row>
    <row r="1651" spans="1:12">
      <c r="A1651" t="s">
        <v>1661</v>
      </c>
      <c r="B1651" s="2">
        <v>45502</v>
      </c>
      <c r="C1651">
        <v>6000</v>
      </c>
      <c r="D1651" t="s">
        <v>2014</v>
      </c>
      <c r="E1651">
        <v>1167.74</v>
      </c>
      <c r="F1651">
        <v>0</v>
      </c>
      <c r="G1651" t="s">
        <v>2021</v>
      </c>
      <c r="H1651" t="s">
        <v>2025</v>
      </c>
      <c r="I1651" t="s">
        <v>3677</v>
      </c>
      <c r="J1651" t="s">
        <v>4028</v>
      </c>
      <c r="K1651" t="s">
        <v>4054</v>
      </c>
      <c r="L1651">
        <v>-1167.74</v>
      </c>
    </row>
    <row r="1652" spans="1:12">
      <c r="A1652" t="s">
        <v>1662</v>
      </c>
      <c r="B1652" s="2">
        <v>45784</v>
      </c>
      <c r="C1652">
        <v>5000</v>
      </c>
      <c r="D1652" t="s">
        <v>2013</v>
      </c>
      <c r="E1652">
        <v>686.31</v>
      </c>
      <c r="F1652">
        <v>0</v>
      </c>
      <c r="G1652" t="s">
        <v>2021</v>
      </c>
      <c r="H1652" t="s">
        <v>2025</v>
      </c>
      <c r="I1652" t="s">
        <v>3678</v>
      </c>
      <c r="J1652" t="s">
        <v>4031</v>
      </c>
      <c r="K1652" t="s">
        <v>4038</v>
      </c>
      <c r="L1652">
        <v>-686.31</v>
      </c>
    </row>
    <row r="1653" spans="1:12">
      <c r="A1653" t="s">
        <v>1663</v>
      </c>
      <c r="B1653" s="2">
        <v>45682</v>
      </c>
      <c r="C1653">
        <v>4000</v>
      </c>
      <c r="D1653" t="s">
        <v>2012</v>
      </c>
      <c r="E1653">
        <v>0</v>
      </c>
      <c r="F1653">
        <v>1294.23</v>
      </c>
      <c r="G1653" t="s">
        <v>2022</v>
      </c>
      <c r="H1653" t="s">
        <v>2024</v>
      </c>
      <c r="I1653" t="s">
        <v>3679</v>
      </c>
      <c r="J1653" t="s">
        <v>4031</v>
      </c>
      <c r="K1653" t="s">
        <v>4035</v>
      </c>
      <c r="L1653">
        <v>1294.23</v>
      </c>
    </row>
    <row r="1654" spans="1:12">
      <c r="A1654" t="s">
        <v>1664</v>
      </c>
      <c r="B1654" s="2">
        <v>45493</v>
      </c>
      <c r="C1654">
        <v>5010</v>
      </c>
      <c r="D1654" t="s">
        <v>2015</v>
      </c>
      <c r="E1654">
        <v>1657.22</v>
      </c>
      <c r="F1654">
        <v>0</v>
      </c>
      <c r="G1654" t="s">
        <v>2019</v>
      </c>
      <c r="H1654" t="s">
        <v>2023</v>
      </c>
      <c r="I1654" t="s">
        <v>3680</v>
      </c>
      <c r="J1654" t="s">
        <v>4029</v>
      </c>
      <c r="K1654" t="s">
        <v>4054</v>
      </c>
      <c r="L1654">
        <v>-1657.22</v>
      </c>
    </row>
    <row r="1655" spans="1:12">
      <c r="A1655" t="s">
        <v>1665</v>
      </c>
      <c r="B1655" s="2">
        <v>45455</v>
      </c>
      <c r="C1655">
        <v>4010</v>
      </c>
      <c r="D1655" t="s">
        <v>2016</v>
      </c>
      <c r="E1655">
        <v>0</v>
      </c>
      <c r="F1655">
        <v>677.29</v>
      </c>
      <c r="G1655" t="s">
        <v>2021</v>
      </c>
      <c r="H1655" t="s">
        <v>2025</v>
      </c>
      <c r="I1655" t="s">
        <v>3681</v>
      </c>
      <c r="J1655" t="s">
        <v>4031</v>
      </c>
      <c r="K1655" t="s">
        <v>4034</v>
      </c>
      <c r="L1655">
        <v>677.29</v>
      </c>
    </row>
    <row r="1656" spans="1:12">
      <c r="A1656" t="s">
        <v>1666</v>
      </c>
      <c r="B1656" s="2">
        <v>45604</v>
      </c>
      <c r="C1656">
        <v>6000</v>
      </c>
      <c r="D1656" t="s">
        <v>2014</v>
      </c>
      <c r="E1656">
        <v>1765.08</v>
      </c>
      <c r="F1656">
        <v>0</v>
      </c>
      <c r="G1656" t="s">
        <v>2019</v>
      </c>
      <c r="H1656" t="s">
        <v>2025</v>
      </c>
      <c r="I1656" t="s">
        <v>3682</v>
      </c>
      <c r="J1656" t="s">
        <v>4031</v>
      </c>
      <c r="K1656" t="s">
        <v>4043</v>
      </c>
      <c r="L1656">
        <v>-1765.08</v>
      </c>
    </row>
    <row r="1657" spans="1:12">
      <c r="A1657" t="s">
        <v>1667</v>
      </c>
      <c r="B1657" s="2">
        <v>45218</v>
      </c>
      <c r="C1657">
        <v>4000</v>
      </c>
      <c r="D1657" t="s">
        <v>2012</v>
      </c>
      <c r="E1657">
        <v>0</v>
      </c>
      <c r="F1657">
        <v>3407.83</v>
      </c>
      <c r="G1657" t="s">
        <v>2017</v>
      </c>
      <c r="H1657" t="s">
        <v>2026</v>
      </c>
      <c r="I1657" t="s">
        <v>3683</v>
      </c>
      <c r="J1657" t="s">
        <v>4032</v>
      </c>
      <c r="K1657" t="s">
        <v>4060</v>
      </c>
      <c r="L1657">
        <v>3407.83</v>
      </c>
    </row>
    <row r="1658" spans="1:12">
      <c r="A1658" t="s">
        <v>1668</v>
      </c>
      <c r="B1658" s="2">
        <v>45246</v>
      </c>
      <c r="C1658">
        <v>5010</v>
      </c>
      <c r="D1658" t="s">
        <v>2015</v>
      </c>
      <c r="E1658">
        <v>543.41</v>
      </c>
      <c r="F1658">
        <v>0</v>
      </c>
      <c r="G1658" t="s">
        <v>2018</v>
      </c>
      <c r="H1658" t="s">
        <v>2025</v>
      </c>
      <c r="I1658" t="s">
        <v>3684</v>
      </c>
      <c r="J1658" t="s">
        <v>4031</v>
      </c>
      <c r="K1658" t="s">
        <v>4042</v>
      </c>
      <c r="L1658">
        <v>-543.41</v>
      </c>
    </row>
    <row r="1659" spans="1:12">
      <c r="A1659" t="s">
        <v>1669</v>
      </c>
      <c r="B1659" s="2">
        <v>45116</v>
      </c>
      <c r="C1659">
        <v>5000</v>
      </c>
      <c r="D1659" t="s">
        <v>2013</v>
      </c>
      <c r="E1659">
        <v>408.27</v>
      </c>
      <c r="F1659">
        <v>0</v>
      </c>
      <c r="G1659" t="s">
        <v>2019</v>
      </c>
      <c r="H1659" t="s">
        <v>2023</v>
      </c>
      <c r="I1659" t="s">
        <v>3685</v>
      </c>
      <c r="J1659" t="s">
        <v>4029</v>
      </c>
      <c r="K1659" t="s">
        <v>4050</v>
      </c>
      <c r="L1659">
        <v>-408.27</v>
      </c>
    </row>
    <row r="1660" spans="1:12">
      <c r="A1660" t="s">
        <v>1670</v>
      </c>
      <c r="B1660" s="2">
        <v>45699</v>
      </c>
      <c r="C1660">
        <v>4000</v>
      </c>
      <c r="D1660" t="s">
        <v>2012</v>
      </c>
      <c r="E1660">
        <v>0</v>
      </c>
      <c r="F1660">
        <v>1300.21</v>
      </c>
      <c r="G1660" t="s">
        <v>2022</v>
      </c>
      <c r="H1660" t="s">
        <v>2025</v>
      </c>
      <c r="I1660" t="s">
        <v>3686</v>
      </c>
      <c r="J1660" t="s">
        <v>4030</v>
      </c>
      <c r="K1660" t="s">
        <v>4061</v>
      </c>
      <c r="L1660">
        <v>1300.21</v>
      </c>
    </row>
    <row r="1661" spans="1:12">
      <c r="A1661" t="s">
        <v>1671</v>
      </c>
      <c r="B1661" s="2">
        <v>45093</v>
      </c>
      <c r="C1661">
        <v>5000</v>
      </c>
      <c r="D1661" t="s">
        <v>2013</v>
      </c>
      <c r="E1661">
        <v>1326.8</v>
      </c>
      <c r="F1661">
        <v>0</v>
      </c>
      <c r="G1661" t="s">
        <v>2022</v>
      </c>
      <c r="H1661" t="s">
        <v>2023</v>
      </c>
      <c r="I1661" t="s">
        <v>3687</v>
      </c>
      <c r="J1661" t="s">
        <v>4031</v>
      </c>
      <c r="K1661" t="s">
        <v>4055</v>
      </c>
      <c r="L1661">
        <v>-1326.8</v>
      </c>
    </row>
    <row r="1662" spans="1:12">
      <c r="A1662" t="s">
        <v>1672</v>
      </c>
      <c r="B1662" s="2">
        <v>45745</v>
      </c>
      <c r="C1662">
        <v>4000</v>
      </c>
      <c r="D1662" t="s">
        <v>2012</v>
      </c>
      <c r="E1662">
        <v>0</v>
      </c>
      <c r="F1662">
        <v>2057.71</v>
      </c>
      <c r="G1662" t="s">
        <v>2020</v>
      </c>
      <c r="H1662" t="s">
        <v>2025</v>
      </c>
      <c r="I1662" t="s">
        <v>3688</v>
      </c>
      <c r="J1662" t="s">
        <v>4032</v>
      </c>
      <c r="K1662" t="s">
        <v>4046</v>
      </c>
      <c r="L1662">
        <v>2057.71</v>
      </c>
    </row>
    <row r="1663" spans="1:12">
      <c r="A1663" t="s">
        <v>1673</v>
      </c>
      <c r="B1663" s="2">
        <v>45320</v>
      </c>
      <c r="C1663">
        <v>5000</v>
      </c>
      <c r="D1663" t="s">
        <v>2013</v>
      </c>
      <c r="E1663">
        <v>1959.6</v>
      </c>
      <c r="F1663">
        <v>0</v>
      </c>
      <c r="G1663" t="s">
        <v>2020</v>
      </c>
      <c r="H1663" t="s">
        <v>2023</v>
      </c>
      <c r="I1663" t="s">
        <v>3689</v>
      </c>
      <c r="J1663" t="s">
        <v>4030</v>
      </c>
      <c r="K1663" t="s">
        <v>4053</v>
      </c>
      <c r="L1663">
        <v>-1959.6</v>
      </c>
    </row>
    <row r="1664" spans="1:12">
      <c r="A1664" t="s">
        <v>1674</v>
      </c>
      <c r="B1664" s="2">
        <v>45740</v>
      </c>
      <c r="C1664">
        <v>5000</v>
      </c>
      <c r="D1664" t="s">
        <v>2013</v>
      </c>
      <c r="E1664">
        <v>1047.3399999999999</v>
      </c>
      <c r="F1664">
        <v>0</v>
      </c>
      <c r="G1664" t="s">
        <v>2018</v>
      </c>
      <c r="H1664" t="s">
        <v>2027</v>
      </c>
      <c r="I1664" t="s">
        <v>3690</v>
      </c>
      <c r="J1664" t="s">
        <v>4030</v>
      </c>
      <c r="K1664" t="s">
        <v>4046</v>
      </c>
      <c r="L1664">
        <v>-1047.3399999999999</v>
      </c>
    </row>
    <row r="1665" spans="1:12">
      <c r="A1665" t="s">
        <v>1675</v>
      </c>
      <c r="B1665" s="2">
        <v>45578</v>
      </c>
      <c r="C1665">
        <v>4010</v>
      </c>
      <c r="D1665" t="s">
        <v>2016</v>
      </c>
      <c r="E1665">
        <v>0</v>
      </c>
      <c r="F1665">
        <v>3260.6</v>
      </c>
      <c r="G1665" t="s">
        <v>2019</v>
      </c>
      <c r="H1665" t="s">
        <v>2025</v>
      </c>
      <c r="I1665" t="s">
        <v>3691</v>
      </c>
      <c r="J1665" t="s">
        <v>4030</v>
      </c>
      <c r="K1665" t="s">
        <v>4059</v>
      </c>
      <c r="L1665">
        <v>3260.6</v>
      </c>
    </row>
    <row r="1666" spans="1:12">
      <c r="A1666" t="s">
        <v>1676</v>
      </c>
      <c r="B1666" s="2">
        <v>45062</v>
      </c>
      <c r="C1666">
        <v>6000</v>
      </c>
      <c r="D1666" t="s">
        <v>2014</v>
      </c>
      <c r="E1666">
        <v>1149.3599999999999</v>
      </c>
      <c r="F1666">
        <v>0</v>
      </c>
      <c r="G1666" t="s">
        <v>2020</v>
      </c>
      <c r="H1666" t="s">
        <v>2025</v>
      </c>
      <c r="I1666" t="s">
        <v>3692</v>
      </c>
      <c r="J1666" t="s">
        <v>4030</v>
      </c>
      <c r="K1666" t="s">
        <v>4062</v>
      </c>
      <c r="L1666">
        <v>-1149.3599999999999</v>
      </c>
    </row>
    <row r="1667" spans="1:12">
      <c r="A1667" t="s">
        <v>1677</v>
      </c>
      <c r="B1667" s="2">
        <v>44982</v>
      </c>
      <c r="C1667">
        <v>4010</v>
      </c>
      <c r="D1667" t="s">
        <v>2016</v>
      </c>
      <c r="E1667">
        <v>0</v>
      </c>
      <c r="F1667">
        <v>1766.14</v>
      </c>
      <c r="G1667" t="s">
        <v>2021</v>
      </c>
      <c r="H1667" t="s">
        <v>2024</v>
      </c>
      <c r="I1667" t="s">
        <v>3693</v>
      </c>
      <c r="J1667" t="s">
        <v>4032</v>
      </c>
      <c r="K1667" t="s">
        <v>4057</v>
      </c>
      <c r="L1667">
        <v>1766.14</v>
      </c>
    </row>
    <row r="1668" spans="1:12">
      <c r="A1668" t="s">
        <v>1678</v>
      </c>
      <c r="B1668" s="2">
        <v>45151</v>
      </c>
      <c r="C1668">
        <v>6000</v>
      </c>
      <c r="D1668" t="s">
        <v>2014</v>
      </c>
      <c r="E1668">
        <v>1403.79</v>
      </c>
      <c r="F1668">
        <v>0</v>
      </c>
      <c r="G1668" t="s">
        <v>2021</v>
      </c>
      <c r="H1668" t="s">
        <v>2025</v>
      </c>
      <c r="I1668" t="s">
        <v>3694</v>
      </c>
      <c r="J1668" t="s">
        <v>4029</v>
      </c>
      <c r="K1668" t="s">
        <v>4037</v>
      </c>
      <c r="L1668">
        <v>-1403.79</v>
      </c>
    </row>
    <row r="1669" spans="1:12">
      <c r="A1669" t="s">
        <v>1679</v>
      </c>
      <c r="B1669" s="2">
        <v>45354</v>
      </c>
      <c r="C1669">
        <v>4000</v>
      </c>
      <c r="D1669" t="s">
        <v>2012</v>
      </c>
      <c r="E1669">
        <v>0</v>
      </c>
      <c r="F1669">
        <v>4061.44</v>
      </c>
      <c r="G1669" t="s">
        <v>2019</v>
      </c>
      <c r="H1669" t="s">
        <v>2027</v>
      </c>
      <c r="I1669" t="s">
        <v>3695</v>
      </c>
      <c r="J1669" t="s">
        <v>4031</v>
      </c>
      <c r="K1669" t="s">
        <v>4049</v>
      </c>
      <c r="L1669">
        <v>4061.44</v>
      </c>
    </row>
    <row r="1670" spans="1:12">
      <c r="A1670" t="s">
        <v>1680</v>
      </c>
      <c r="B1670" s="2">
        <v>45026</v>
      </c>
      <c r="C1670">
        <v>5010</v>
      </c>
      <c r="D1670" t="s">
        <v>2015</v>
      </c>
      <c r="E1670">
        <v>1472.53</v>
      </c>
      <c r="F1670">
        <v>0</v>
      </c>
      <c r="G1670" t="s">
        <v>2018</v>
      </c>
      <c r="H1670" t="s">
        <v>2026</v>
      </c>
      <c r="I1670" t="s">
        <v>3696</v>
      </c>
      <c r="J1670" t="s">
        <v>4032</v>
      </c>
      <c r="K1670" t="s">
        <v>4041</v>
      </c>
      <c r="L1670">
        <v>-1472.53</v>
      </c>
    </row>
    <row r="1671" spans="1:12">
      <c r="A1671" t="s">
        <v>1681</v>
      </c>
      <c r="B1671" s="2">
        <v>45269</v>
      </c>
      <c r="C1671">
        <v>4010</v>
      </c>
      <c r="D1671" t="s">
        <v>2016</v>
      </c>
      <c r="E1671">
        <v>0</v>
      </c>
      <c r="F1671">
        <v>4153.5600000000004</v>
      </c>
      <c r="G1671" t="s">
        <v>2020</v>
      </c>
      <c r="H1671" t="s">
        <v>2024</v>
      </c>
      <c r="I1671" t="s">
        <v>3697</v>
      </c>
      <c r="J1671" t="s">
        <v>4030</v>
      </c>
      <c r="K1671" t="s">
        <v>4039</v>
      </c>
      <c r="L1671">
        <v>4153.5600000000004</v>
      </c>
    </row>
    <row r="1672" spans="1:12">
      <c r="A1672" t="s">
        <v>1682</v>
      </c>
      <c r="B1672" s="2">
        <v>44994</v>
      </c>
      <c r="C1672">
        <v>4000</v>
      </c>
      <c r="D1672" t="s">
        <v>2012</v>
      </c>
      <c r="E1672">
        <v>0</v>
      </c>
      <c r="F1672">
        <v>1559.52</v>
      </c>
      <c r="G1672" t="s">
        <v>2019</v>
      </c>
      <c r="H1672" t="s">
        <v>2024</v>
      </c>
      <c r="I1672" t="s">
        <v>3698</v>
      </c>
      <c r="J1672" t="s">
        <v>4030</v>
      </c>
      <c r="K1672" t="s">
        <v>4051</v>
      </c>
      <c r="L1672">
        <v>1559.52</v>
      </c>
    </row>
    <row r="1673" spans="1:12">
      <c r="A1673" t="s">
        <v>1683</v>
      </c>
      <c r="B1673" s="2">
        <v>44999</v>
      </c>
      <c r="C1673">
        <v>5000</v>
      </c>
      <c r="D1673" t="s">
        <v>2013</v>
      </c>
      <c r="E1673">
        <v>1478.02</v>
      </c>
      <c r="F1673">
        <v>0</v>
      </c>
      <c r="G1673" t="s">
        <v>2021</v>
      </c>
      <c r="H1673" t="s">
        <v>2025</v>
      </c>
      <c r="I1673" t="s">
        <v>3699</v>
      </c>
      <c r="J1673" t="s">
        <v>4031</v>
      </c>
      <c r="K1673" t="s">
        <v>4051</v>
      </c>
      <c r="L1673">
        <v>-1478.02</v>
      </c>
    </row>
    <row r="1674" spans="1:12">
      <c r="A1674" t="s">
        <v>1684</v>
      </c>
      <c r="B1674" s="2">
        <v>45169</v>
      </c>
      <c r="C1674">
        <v>6000</v>
      </c>
      <c r="D1674" t="s">
        <v>2014</v>
      </c>
      <c r="E1674">
        <v>423.96</v>
      </c>
      <c r="F1674">
        <v>0</v>
      </c>
      <c r="G1674" t="s">
        <v>2018</v>
      </c>
      <c r="H1674" t="s">
        <v>2026</v>
      </c>
      <c r="I1674" t="s">
        <v>3700</v>
      </c>
      <c r="J1674" t="s">
        <v>4032</v>
      </c>
      <c r="K1674" t="s">
        <v>4037</v>
      </c>
      <c r="L1674">
        <v>-423.96</v>
      </c>
    </row>
    <row r="1675" spans="1:12">
      <c r="A1675" t="s">
        <v>1685</v>
      </c>
      <c r="B1675" s="2">
        <v>44984</v>
      </c>
      <c r="C1675">
        <v>4010</v>
      </c>
      <c r="D1675" t="s">
        <v>2016</v>
      </c>
      <c r="E1675">
        <v>0</v>
      </c>
      <c r="F1675">
        <v>1027.73</v>
      </c>
      <c r="G1675" t="s">
        <v>2019</v>
      </c>
      <c r="H1675" t="s">
        <v>2026</v>
      </c>
      <c r="I1675" t="s">
        <v>3701</v>
      </c>
      <c r="J1675" t="s">
        <v>4032</v>
      </c>
      <c r="K1675" t="s">
        <v>4057</v>
      </c>
      <c r="L1675">
        <v>1027.73</v>
      </c>
    </row>
    <row r="1676" spans="1:12">
      <c r="A1676" t="s">
        <v>1686</v>
      </c>
      <c r="B1676" s="2">
        <v>45570</v>
      </c>
      <c r="C1676">
        <v>4000</v>
      </c>
      <c r="D1676" t="s">
        <v>2012</v>
      </c>
      <c r="E1676">
        <v>0</v>
      </c>
      <c r="F1676">
        <v>1661.02</v>
      </c>
      <c r="G1676" t="s">
        <v>2021</v>
      </c>
      <c r="H1676" t="s">
        <v>2025</v>
      </c>
      <c r="I1676" t="s">
        <v>3702</v>
      </c>
      <c r="J1676" t="s">
        <v>4029</v>
      </c>
      <c r="K1676" t="s">
        <v>4059</v>
      </c>
      <c r="L1676">
        <v>1661.02</v>
      </c>
    </row>
    <row r="1677" spans="1:12">
      <c r="A1677" t="s">
        <v>1687</v>
      </c>
      <c r="B1677" s="2">
        <v>45147</v>
      </c>
      <c r="C1677">
        <v>4010</v>
      </c>
      <c r="D1677" t="s">
        <v>2016</v>
      </c>
      <c r="E1677">
        <v>0</v>
      </c>
      <c r="F1677">
        <v>1263.17</v>
      </c>
      <c r="G1677" t="s">
        <v>2018</v>
      </c>
      <c r="H1677" t="s">
        <v>2027</v>
      </c>
      <c r="I1677" t="s">
        <v>3703</v>
      </c>
      <c r="J1677" t="s">
        <v>4029</v>
      </c>
      <c r="K1677" t="s">
        <v>4037</v>
      </c>
      <c r="L1677">
        <v>1263.17</v>
      </c>
    </row>
    <row r="1678" spans="1:12">
      <c r="A1678" t="s">
        <v>1688</v>
      </c>
      <c r="B1678" s="2">
        <v>45363</v>
      </c>
      <c r="C1678">
        <v>4010</v>
      </c>
      <c r="D1678" t="s">
        <v>2016</v>
      </c>
      <c r="E1678">
        <v>0</v>
      </c>
      <c r="F1678">
        <v>2207.1799999999998</v>
      </c>
      <c r="G1678" t="s">
        <v>2021</v>
      </c>
      <c r="H1678" t="s">
        <v>2026</v>
      </c>
      <c r="I1678" t="s">
        <v>3704</v>
      </c>
      <c r="J1678" t="s">
        <v>4028</v>
      </c>
      <c r="K1678" t="s">
        <v>4049</v>
      </c>
      <c r="L1678">
        <v>2207.1799999999998</v>
      </c>
    </row>
    <row r="1679" spans="1:12">
      <c r="A1679" t="s">
        <v>1689</v>
      </c>
      <c r="B1679" s="2">
        <v>45803</v>
      </c>
      <c r="C1679">
        <v>4010</v>
      </c>
      <c r="D1679" t="s">
        <v>2016</v>
      </c>
      <c r="E1679">
        <v>0</v>
      </c>
      <c r="F1679">
        <v>3799.96</v>
      </c>
      <c r="G1679" t="s">
        <v>2021</v>
      </c>
      <c r="H1679" t="s">
        <v>2024</v>
      </c>
      <c r="I1679" t="s">
        <v>3705</v>
      </c>
      <c r="J1679" t="s">
        <v>4031</v>
      </c>
      <c r="K1679" t="s">
        <v>4038</v>
      </c>
      <c r="L1679">
        <v>3799.96</v>
      </c>
    </row>
    <row r="1680" spans="1:12">
      <c r="A1680" t="s">
        <v>1690</v>
      </c>
      <c r="B1680" s="2">
        <v>45023</v>
      </c>
      <c r="C1680">
        <v>5010</v>
      </c>
      <c r="D1680" t="s">
        <v>2015</v>
      </c>
      <c r="E1680">
        <v>1292.8800000000001</v>
      </c>
      <c r="F1680">
        <v>0</v>
      </c>
      <c r="G1680" t="s">
        <v>2022</v>
      </c>
      <c r="H1680" t="s">
        <v>2026</v>
      </c>
      <c r="I1680" t="s">
        <v>3706</v>
      </c>
      <c r="J1680" t="s">
        <v>4029</v>
      </c>
      <c r="K1680" t="s">
        <v>4041</v>
      </c>
      <c r="L1680">
        <v>-1292.8800000000001</v>
      </c>
    </row>
    <row r="1681" spans="1:12">
      <c r="A1681" t="s">
        <v>1691</v>
      </c>
      <c r="B1681" s="2">
        <v>45613</v>
      </c>
      <c r="C1681">
        <v>5000</v>
      </c>
      <c r="D1681" t="s">
        <v>2013</v>
      </c>
      <c r="E1681">
        <v>154.07</v>
      </c>
      <c r="F1681">
        <v>0</v>
      </c>
      <c r="G1681" t="s">
        <v>2020</v>
      </c>
      <c r="H1681" t="s">
        <v>2025</v>
      </c>
      <c r="I1681" t="s">
        <v>3707</v>
      </c>
      <c r="J1681" t="s">
        <v>4029</v>
      </c>
      <c r="K1681" t="s">
        <v>4043</v>
      </c>
      <c r="L1681">
        <v>-154.07</v>
      </c>
    </row>
    <row r="1682" spans="1:12">
      <c r="A1682" t="s">
        <v>1692</v>
      </c>
      <c r="B1682" s="2">
        <v>45672</v>
      </c>
      <c r="C1682">
        <v>6000</v>
      </c>
      <c r="D1682" t="s">
        <v>2014</v>
      </c>
      <c r="E1682">
        <v>1751.78</v>
      </c>
      <c r="F1682">
        <v>0</v>
      </c>
      <c r="G1682" t="s">
        <v>2022</v>
      </c>
      <c r="H1682" t="s">
        <v>2024</v>
      </c>
      <c r="I1682" t="s">
        <v>3708</v>
      </c>
      <c r="J1682" t="s">
        <v>4031</v>
      </c>
      <c r="K1682" t="s">
        <v>4035</v>
      </c>
      <c r="L1682">
        <v>-1751.78</v>
      </c>
    </row>
    <row r="1683" spans="1:12">
      <c r="A1683" t="s">
        <v>1693</v>
      </c>
      <c r="B1683" s="2">
        <v>45636</v>
      </c>
      <c r="C1683">
        <v>4010</v>
      </c>
      <c r="D1683" t="s">
        <v>2016</v>
      </c>
      <c r="E1683">
        <v>0</v>
      </c>
      <c r="F1683">
        <v>635.34</v>
      </c>
      <c r="G1683" t="s">
        <v>2018</v>
      </c>
      <c r="H1683" t="s">
        <v>2025</v>
      </c>
      <c r="I1683" t="s">
        <v>3709</v>
      </c>
      <c r="J1683" t="s">
        <v>4030</v>
      </c>
      <c r="K1683" t="s">
        <v>4056</v>
      </c>
      <c r="L1683">
        <v>635.34</v>
      </c>
    </row>
    <row r="1684" spans="1:12">
      <c r="A1684" t="s">
        <v>1694</v>
      </c>
      <c r="B1684" s="2">
        <v>45517</v>
      </c>
      <c r="C1684">
        <v>5000</v>
      </c>
      <c r="D1684" t="s">
        <v>2013</v>
      </c>
      <c r="E1684">
        <v>534.29</v>
      </c>
      <c r="F1684">
        <v>0</v>
      </c>
      <c r="G1684" t="s">
        <v>2019</v>
      </c>
      <c r="H1684" t="s">
        <v>2027</v>
      </c>
      <c r="I1684" t="s">
        <v>3710</v>
      </c>
      <c r="J1684" t="s">
        <v>4029</v>
      </c>
      <c r="K1684" t="s">
        <v>4058</v>
      </c>
      <c r="L1684">
        <v>-534.29</v>
      </c>
    </row>
    <row r="1685" spans="1:12">
      <c r="A1685" t="s">
        <v>1695</v>
      </c>
      <c r="B1685" s="2">
        <v>45503</v>
      </c>
      <c r="C1685">
        <v>5010</v>
      </c>
      <c r="D1685" t="s">
        <v>2015</v>
      </c>
      <c r="E1685">
        <v>1212.18</v>
      </c>
      <c r="F1685">
        <v>0</v>
      </c>
      <c r="G1685" t="s">
        <v>2017</v>
      </c>
      <c r="H1685" t="s">
        <v>2024</v>
      </c>
      <c r="I1685" t="s">
        <v>3711</v>
      </c>
      <c r="J1685" t="s">
        <v>4029</v>
      </c>
      <c r="K1685" t="s">
        <v>4054</v>
      </c>
      <c r="L1685">
        <v>-1212.18</v>
      </c>
    </row>
    <row r="1686" spans="1:12">
      <c r="A1686" t="s">
        <v>1696</v>
      </c>
      <c r="B1686" s="2">
        <v>45552</v>
      </c>
      <c r="C1686">
        <v>5000</v>
      </c>
      <c r="D1686" t="s">
        <v>2013</v>
      </c>
      <c r="E1686">
        <v>1830.4</v>
      </c>
      <c r="F1686">
        <v>0</v>
      </c>
      <c r="G1686" t="s">
        <v>2018</v>
      </c>
      <c r="H1686" t="s">
        <v>2025</v>
      </c>
      <c r="I1686" t="s">
        <v>3712</v>
      </c>
      <c r="J1686" t="s">
        <v>4032</v>
      </c>
      <c r="K1686" t="s">
        <v>4048</v>
      </c>
      <c r="L1686">
        <v>-1830.4</v>
      </c>
    </row>
    <row r="1687" spans="1:12">
      <c r="A1687" t="s">
        <v>1697</v>
      </c>
      <c r="B1687" s="2">
        <v>45016</v>
      </c>
      <c r="C1687">
        <v>4010</v>
      </c>
      <c r="D1687" t="s">
        <v>2016</v>
      </c>
      <c r="E1687">
        <v>0</v>
      </c>
      <c r="F1687">
        <v>1032.3800000000001</v>
      </c>
      <c r="G1687" t="s">
        <v>2022</v>
      </c>
      <c r="H1687" t="s">
        <v>2025</v>
      </c>
      <c r="I1687" t="s">
        <v>3713</v>
      </c>
      <c r="J1687" t="s">
        <v>4030</v>
      </c>
      <c r="K1687" t="s">
        <v>4051</v>
      </c>
      <c r="L1687">
        <v>1032.3800000000001</v>
      </c>
    </row>
    <row r="1688" spans="1:12">
      <c r="A1688" t="s">
        <v>1698</v>
      </c>
      <c r="B1688" s="2">
        <v>44967</v>
      </c>
      <c r="C1688">
        <v>4000</v>
      </c>
      <c r="D1688" t="s">
        <v>2012</v>
      </c>
      <c r="E1688">
        <v>0</v>
      </c>
      <c r="F1688">
        <v>2620.3200000000002</v>
      </c>
      <c r="G1688" t="s">
        <v>2021</v>
      </c>
      <c r="H1688" t="s">
        <v>2023</v>
      </c>
      <c r="I1688" t="s">
        <v>3714</v>
      </c>
      <c r="J1688" t="s">
        <v>4032</v>
      </c>
      <c r="K1688" t="s">
        <v>4057</v>
      </c>
      <c r="L1688">
        <v>2620.3200000000002</v>
      </c>
    </row>
    <row r="1689" spans="1:12">
      <c r="A1689" t="s">
        <v>1699</v>
      </c>
      <c r="B1689" s="2">
        <v>45527</v>
      </c>
      <c r="C1689">
        <v>4010</v>
      </c>
      <c r="D1689" t="s">
        <v>2016</v>
      </c>
      <c r="E1689">
        <v>0</v>
      </c>
      <c r="F1689">
        <v>4016.77</v>
      </c>
      <c r="G1689" t="s">
        <v>2021</v>
      </c>
      <c r="H1689" t="s">
        <v>2024</v>
      </c>
      <c r="I1689" t="s">
        <v>3715</v>
      </c>
      <c r="J1689" t="s">
        <v>4032</v>
      </c>
      <c r="K1689" t="s">
        <v>4058</v>
      </c>
      <c r="L1689">
        <v>4016.77</v>
      </c>
    </row>
    <row r="1690" spans="1:12">
      <c r="A1690" t="s">
        <v>1700</v>
      </c>
      <c r="B1690" s="2">
        <v>45409</v>
      </c>
      <c r="C1690">
        <v>5000</v>
      </c>
      <c r="D1690" t="s">
        <v>2013</v>
      </c>
      <c r="E1690">
        <v>575</v>
      </c>
      <c r="F1690">
        <v>0</v>
      </c>
      <c r="G1690" t="s">
        <v>2021</v>
      </c>
      <c r="H1690" t="s">
        <v>2023</v>
      </c>
      <c r="I1690" t="s">
        <v>3716</v>
      </c>
      <c r="J1690" t="s">
        <v>4029</v>
      </c>
      <c r="K1690" t="s">
        <v>4040</v>
      </c>
      <c r="L1690">
        <v>-575</v>
      </c>
    </row>
    <row r="1691" spans="1:12">
      <c r="A1691" t="s">
        <v>1701</v>
      </c>
      <c r="B1691" s="2">
        <v>45725</v>
      </c>
      <c r="C1691">
        <v>5010</v>
      </c>
      <c r="D1691" t="s">
        <v>2015</v>
      </c>
      <c r="E1691">
        <v>692.19</v>
      </c>
      <c r="F1691">
        <v>0</v>
      </c>
      <c r="G1691" t="s">
        <v>2022</v>
      </c>
      <c r="H1691" t="s">
        <v>2024</v>
      </c>
      <c r="I1691" t="s">
        <v>3717</v>
      </c>
      <c r="J1691" t="s">
        <v>4029</v>
      </c>
      <c r="K1691" t="s">
        <v>4046</v>
      </c>
      <c r="L1691">
        <v>-692.19</v>
      </c>
    </row>
    <row r="1692" spans="1:12">
      <c r="A1692" t="s">
        <v>1702</v>
      </c>
      <c r="B1692" s="2">
        <v>45831</v>
      </c>
      <c r="C1692">
        <v>4000</v>
      </c>
      <c r="D1692" t="s">
        <v>2012</v>
      </c>
      <c r="E1692">
        <v>0</v>
      </c>
      <c r="F1692">
        <v>129.38999999999999</v>
      </c>
      <c r="G1692" t="s">
        <v>2021</v>
      </c>
      <c r="H1692" t="s">
        <v>2025</v>
      </c>
      <c r="I1692" t="s">
        <v>3718</v>
      </c>
      <c r="J1692" t="s">
        <v>4032</v>
      </c>
      <c r="K1692" t="s">
        <v>4052</v>
      </c>
      <c r="L1692">
        <v>129.38999999999999</v>
      </c>
    </row>
    <row r="1693" spans="1:12">
      <c r="A1693" t="s">
        <v>1703</v>
      </c>
      <c r="B1693" s="2">
        <v>45435</v>
      </c>
      <c r="C1693">
        <v>6000</v>
      </c>
      <c r="D1693" t="s">
        <v>2014</v>
      </c>
      <c r="E1693">
        <v>739.61</v>
      </c>
      <c r="F1693">
        <v>0</v>
      </c>
      <c r="G1693" t="s">
        <v>2020</v>
      </c>
      <c r="H1693" t="s">
        <v>2023</v>
      </c>
      <c r="I1693" t="s">
        <v>3719</v>
      </c>
      <c r="J1693" t="s">
        <v>4029</v>
      </c>
      <c r="K1693" t="s">
        <v>4033</v>
      </c>
      <c r="L1693">
        <v>-739.61</v>
      </c>
    </row>
    <row r="1694" spans="1:12">
      <c r="A1694" t="s">
        <v>1704</v>
      </c>
      <c r="B1694" s="2">
        <v>45083</v>
      </c>
      <c r="C1694">
        <v>4000</v>
      </c>
      <c r="D1694" t="s">
        <v>2012</v>
      </c>
      <c r="E1694">
        <v>0</v>
      </c>
      <c r="F1694">
        <v>1931.62</v>
      </c>
      <c r="G1694" t="s">
        <v>2021</v>
      </c>
      <c r="H1694" t="s">
        <v>2025</v>
      </c>
      <c r="I1694" t="s">
        <v>3720</v>
      </c>
      <c r="J1694" t="s">
        <v>4032</v>
      </c>
      <c r="K1694" t="s">
        <v>4055</v>
      </c>
      <c r="L1694">
        <v>1931.62</v>
      </c>
    </row>
    <row r="1695" spans="1:12">
      <c r="A1695" t="s">
        <v>1705</v>
      </c>
      <c r="B1695" s="2">
        <v>45709</v>
      </c>
      <c r="C1695">
        <v>5010</v>
      </c>
      <c r="D1695" t="s">
        <v>2015</v>
      </c>
      <c r="E1695">
        <v>624.64</v>
      </c>
      <c r="F1695">
        <v>0</v>
      </c>
      <c r="G1695" t="s">
        <v>2019</v>
      </c>
      <c r="H1695" t="s">
        <v>2027</v>
      </c>
      <c r="I1695" t="s">
        <v>3721</v>
      </c>
      <c r="J1695" t="s">
        <v>4029</v>
      </c>
      <c r="K1695" t="s">
        <v>4061</v>
      </c>
      <c r="L1695">
        <v>-624.64</v>
      </c>
    </row>
    <row r="1696" spans="1:12">
      <c r="A1696" t="s">
        <v>1706</v>
      </c>
      <c r="B1696" s="2">
        <v>45435</v>
      </c>
      <c r="C1696">
        <v>4010</v>
      </c>
      <c r="D1696" t="s">
        <v>2016</v>
      </c>
      <c r="E1696">
        <v>0</v>
      </c>
      <c r="F1696">
        <v>724.9</v>
      </c>
      <c r="G1696" t="s">
        <v>2022</v>
      </c>
      <c r="H1696" t="s">
        <v>2027</v>
      </c>
      <c r="I1696" t="s">
        <v>3722</v>
      </c>
      <c r="J1696" t="s">
        <v>4029</v>
      </c>
      <c r="K1696" t="s">
        <v>4033</v>
      </c>
      <c r="L1696">
        <v>724.9</v>
      </c>
    </row>
    <row r="1697" spans="1:12">
      <c r="A1697" t="s">
        <v>1707</v>
      </c>
      <c r="B1697" s="2">
        <v>45373</v>
      </c>
      <c r="C1697">
        <v>6000</v>
      </c>
      <c r="D1697" t="s">
        <v>2014</v>
      </c>
      <c r="E1697">
        <v>630.79</v>
      </c>
      <c r="F1697">
        <v>0</v>
      </c>
      <c r="G1697" t="s">
        <v>2022</v>
      </c>
      <c r="H1697" t="s">
        <v>2023</v>
      </c>
      <c r="I1697" t="s">
        <v>3723</v>
      </c>
      <c r="J1697" t="s">
        <v>4030</v>
      </c>
      <c r="K1697" t="s">
        <v>4049</v>
      </c>
      <c r="L1697">
        <v>-630.79</v>
      </c>
    </row>
    <row r="1698" spans="1:12">
      <c r="A1698" t="s">
        <v>1708</v>
      </c>
      <c r="B1698" s="2">
        <v>45775</v>
      </c>
      <c r="C1698">
        <v>5010</v>
      </c>
      <c r="D1698" t="s">
        <v>2015</v>
      </c>
      <c r="E1698">
        <v>808.72</v>
      </c>
      <c r="F1698">
        <v>0</v>
      </c>
      <c r="G1698" t="s">
        <v>2019</v>
      </c>
      <c r="H1698" t="s">
        <v>2027</v>
      </c>
      <c r="I1698" t="s">
        <v>3724</v>
      </c>
      <c r="J1698" t="s">
        <v>4028</v>
      </c>
      <c r="K1698" t="s">
        <v>4045</v>
      </c>
      <c r="L1698">
        <v>-808.72</v>
      </c>
    </row>
    <row r="1699" spans="1:12">
      <c r="A1699" t="s">
        <v>1709</v>
      </c>
      <c r="B1699" s="2">
        <v>45160</v>
      </c>
      <c r="C1699">
        <v>4000</v>
      </c>
      <c r="D1699" t="s">
        <v>2012</v>
      </c>
      <c r="E1699">
        <v>0</v>
      </c>
      <c r="F1699">
        <v>1092.32</v>
      </c>
      <c r="G1699" t="s">
        <v>2017</v>
      </c>
      <c r="H1699" t="s">
        <v>2025</v>
      </c>
      <c r="I1699" t="s">
        <v>3725</v>
      </c>
      <c r="J1699" t="s">
        <v>4032</v>
      </c>
      <c r="K1699" t="s">
        <v>4037</v>
      </c>
      <c r="L1699">
        <v>1092.32</v>
      </c>
    </row>
    <row r="1700" spans="1:12">
      <c r="A1700" t="s">
        <v>1710</v>
      </c>
      <c r="B1700" s="2">
        <v>45389</v>
      </c>
      <c r="C1700">
        <v>5010</v>
      </c>
      <c r="D1700" t="s">
        <v>2015</v>
      </c>
      <c r="E1700">
        <v>1433.85</v>
      </c>
      <c r="F1700">
        <v>0</v>
      </c>
      <c r="G1700" t="s">
        <v>2022</v>
      </c>
      <c r="H1700" t="s">
        <v>2027</v>
      </c>
      <c r="I1700" t="s">
        <v>3726</v>
      </c>
      <c r="J1700" t="s">
        <v>4032</v>
      </c>
      <c r="K1700" t="s">
        <v>4040</v>
      </c>
      <c r="L1700">
        <v>-1433.85</v>
      </c>
    </row>
    <row r="1701" spans="1:12">
      <c r="A1701" t="s">
        <v>1711</v>
      </c>
      <c r="B1701" s="2">
        <v>45331</v>
      </c>
      <c r="C1701">
        <v>4010</v>
      </c>
      <c r="D1701" t="s">
        <v>2016</v>
      </c>
      <c r="E1701">
        <v>0</v>
      </c>
      <c r="F1701">
        <v>902.75</v>
      </c>
      <c r="G1701" t="s">
        <v>2021</v>
      </c>
      <c r="H1701" t="s">
        <v>2024</v>
      </c>
      <c r="I1701" t="s">
        <v>3727</v>
      </c>
      <c r="J1701" t="s">
        <v>4028</v>
      </c>
      <c r="K1701" t="s">
        <v>4044</v>
      </c>
      <c r="L1701">
        <v>902.75</v>
      </c>
    </row>
    <row r="1702" spans="1:12">
      <c r="A1702" t="s">
        <v>1712</v>
      </c>
      <c r="B1702" s="2">
        <v>45274</v>
      </c>
      <c r="C1702">
        <v>5010</v>
      </c>
      <c r="D1702" t="s">
        <v>2015</v>
      </c>
      <c r="E1702">
        <v>1012.66</v>
      </c>
      <c r="F1702">
        <v>0</v>
      </c>
      <c r="G1702" t="s">
        <v>2021</v>
      </c>
      <c r="H1702" t="s">
        <v>2024</v>
      </c>
      <c r="I1702" t="s">
        <v>3728</v>
      </c>
      <c r="J1702" t="s">
        <v>4030</v>
      </c>
      <c r="K1702" t="s">
        <v>4039</v>
      </c>
      <c r="L1702">
        <v>-1012.66</v>
      </c>
    </row>
    <row r="1703" spans="1:12">
      <c r="A1703" t="s">
        <v>1713</v>
      </c>
      <c r="B1703" s="2">
        <v>45657</v>
      </c>
      <c r="C1703">
        <v>5000</v>
      </c>
      <c r="D1703" t="s">
        <v>2013</v>
      </c>
      <c r="E1703">
        <v>1143.22</v>
      </c>
      <c r="F1703">
        <v>0</v>
      </c>
      <c r="G1703" t="s">
        <v>2019</v>
      </c>
      <c r="H1703" t="s">
        <v>2026</v>
      </c>
      <c r="I1703" t="s">
        <v>3729</v>
      </c>
      <c r="J1703" t="s">
        <v>4031</v>
      </c>
      <c r="K1703" t="s">
        <v>4056</v>
      </c>
      <c r="L1703">
        <v>-1143.22</v>
      </c>
    </row>
    <row r="1704" spans="1:12">
      <c r="A1704" t="s">
        <v>1714</v>
      </c>
      <c r="B1704" s="2">
        <v>44939</v>
      </c>
      <c r="C1704">
        <v>4000</v>
      </c>
      <c r="D1704" t="s">
        <v>2012</v>
      </c>
      <c r="E1704">
        <v>0</v>
      </c>
      <c r="F1704">
        <v>3892.69</v>
      </c>
      <c r="G1704" t="s">
        <v>2017</v>
      </c>
      <c r="H1704" t="s">
        <v>2027</v>
      </c>
      <c r="I1704" t="s">
        <v>3730</v>
      </c>
      <c r="J1704" t="s">
        <v>4030</v>
      </c>
      <c r="K1704" t="s">
        <v>4047</v>
      </c>
      <c r="L1704">
        <v>3892.69</v>
      </c>
    </row>
    <row r="1705" spans="1:12">
      <c r="A1705" t="s">
        <v>1715</v>
      </c>
      <c r="B1705" s="2">
        <v>45678</v>
      </c>
      <c r="C1705">
        <v>6000</v>
      </c>
      <c r="D1705" t="s">
        <v>2014</v>
      </c>
      <c r="E1705">
        <v>649.45000000000005</v>
      </c>
      <c r="F1705">
        <v>0</v>
      </c>
      <c r="G1705" t="s">
        <v>2022</v>
      </c>
      <c r="H1705" t="s">
        <v>2023</v>
      </c>
      <c r="I1705" t="s">
        <v>3731</v>
      </c>
      <c r="J1705" t="s">
        <v>4032</v>
      </c>
      <c r="K1705" t="s">
        <v>4035</v>
      </c>
      <c r="L1705">
        <v>-649.45000000000005</v>
      </c>
    </row>
    <row r="1706" spans="1:12">
      <c r="A1706" t="s">
        <v>1716</v>
      </c>
      <c r="B1706" s="2">
        <v>45670</v>
      </c>
      <c r="C1706">
        <v>4010</v>
      </c>
      <c r="D1706" t="s">
        <v>2016</v>
      </c>
      <c r="E1706">
        <v>0</v>
      </c>
      <c r="F1706">
        <v>1422.91</v>
      </c>
      <c r="G1706" t="s">
        <v>2018</v>
      </c>
      <c r="H1706" t="s">
        <v>2025</v>
      </c>
      <c r="I1706" t="s">
        <v>3732</v>
      </c>
      <c r="J1706" t="s">
        <v>4030</v>
      </c>
      <c r="K1706" t="s">
        <v>4035</v>
      </c>
      <c r="L1706">
        <v>1422.91</v>
      </c>
    </row>
    <row r="1707" spans="1:12">
      <c r="A1707" t="s">
        <v>1717</v>
      </c>
      <c r="B1707" s="2">
        <v>45365</v>
      </c>
      <c r="C1707">
        <v>4000</v>
      </c>
      <c r="D1707" t="s">
        <v>2012</v>
      </c>
      <c r="E1707">
        <v>0</v>
      </c>
      <c r="F1707">
        <v>1269.95</v>
      </c>
      <c r="G1707" t="s">
        <v>2018</v>
      </c>
      <c r="H1707" t="s">
        <v>2026</v>
      </c>
      <c r="I1707" t="s">
        <v>3733</v>
      </c>
      <c r="J1707" t="s">
        <v>4028</v>
      </c>
      <c r="K1707" t="s">
        <v>4049</v>
      </c>
      <c r="L1707">
        <v>1269.95</v>
      </c>
    </row>
    <row r="1708" spans="1:12">
      <c r="A1708" t="s">
        <v>1718</v>
      </c>
      <c r="B1708" s="2">
        <v>45561</v>
      </c>
      <c r="C1708">
        <v>4010</v>
      </c>
      <c r="D1708" t="s">
        <v>2016</v>
      </c>
      <c r="E1708">
        <v>0</v>
      </c>
      <c r="F1708">
        <v>4047.23</v>
      </c>
      <c r="G1708" t="s">
        <v>2019</v>
      </c>
      <c r="H1708" t="s">
        <v>2027</v>
      </c>
      <c r="I1708" t="s">
        <v>3734</v>
      </c>
      <c r="J1708" t="s">
        <v>4028</v>
      </c>
      <c r="K1708" t="s">
        <v>4048</v>
      </c>
      <c r="L1708">
        <v>4047.23</v>
      </c>
    </row>
    <row r="1709" spans="1:12">
      <c r="A1709" t="s">
        <v>1719</v>
      </c>
      <c r="B1709" s="2">
        <v>45619</v>
      </c>
      <c r="C1709">
        <v>5000</v>
      </c>
      <c r="D1709" t="s">
        <v>2013</v>
      </c>
      <c r="E1709">
        <v>546.9</v>
      </c>
      <c r="F1709">
        <v>0</v>
      </c>
      <c r="G1709" t="s">
        <v>2022</v>
      </c>
      <c r="H1709" t="s">
        <v>2027</v>
      </c>
      <c r="I1709" t="s">
        <v>3735</v>
      </c>
      <c r="J1709" t="s">
        <v>4030</v>
      </c>
      <c r="K1709" t="s">
        <v>4043</v>
      </c>
      <c r="L1709">
        <v>-546.9</v>
      </c>
    </row>
    <row r="1710" spans="1:12">
      <c r="A1710" t="s">
        <v>1720</v>
      </c>
      <c r="B1710" s="2">
        <v>44956</v>
      </c>
      <c r="C1710">
        <v>4000</v>
      </c>
      <c r="D1710" t="s">
        <v>2012</v>
      </c>
      <c r="E1710">
        <v>0</v>
      </c>
      <c r="F1710">
        <v>652.36</v>
      </c>
      <c r="G1710" t="s">
        <v>2022</v>
      </c>
      <c r="H1710" t="s">
        <v>2024</v>
      </c>
      <c r="I1710" t="s">
        <v>3736</v>
      </c>
      <c r="J1710" t="s">
        <v>4029</v>
      </c>
      <c r="K1710" t="s">
        <v>4047</v>
      </c>
      <c r="L1710">
        <v>652.36</v>
      </c>
    </row>
    <row r="1711" spans="1:12">
      <c r="A1711" t="s">
        <v>1721</v>
      </c>
      <c r="B1711" s="2">
        <v>44946</v>
      </c>
      <c r="C1711">
        <v>4010</v>
      </c>
      <c r="D1711" t="s">
        <v>2016</v>
      </c>
      <c r="E1711">
        <v>0</v>
      </c>
      <c r="F1711">
        <v>1963.74</v>
      </c>
      <c r="G1711" t="s">
        <v>2019</v>
      </c>
      <c r="H1711" t="s">
        <v>2024</v>
      </c>
      <c r="I1711" t="s">
        <v>3737</v>
      </c>
      <c r="J1711" t="s">
        <v>4031</v>
      </c>
      <c r="K1711" t="s">
        <v>4047</v>
      </c>
      <c r="L1711">
        <v>1963.74</v>
      </c>
    </row>
    <row r="1712" spans="1:12">
      <c r="A1712" t="s">
        <v>1722</v>
      </c>
      <c r="B1712" s="2">
        <v>45688</v>
      </c>
      <c r="C1712">
        <v>4010</v>
      </c>
      <c r="D1712" t="s">
        <v>2016</v>
      </c>
      <c r="E1712">
        <v>0</v>
      </c>
      <c r="F1712">
        <v>1521.92</v>
      </c>
      <c r="G1712" t="s">
        <v>2022</v>
      </c>
      <c r="H1712" t="s">
        <v>2027</v>
      </c>
      <c r="I1712" t="s">
        <v>3738</v>
      </c>
      <c r="J1712" t="s">
        <v>4029</v>
      </c>
      <c r="K1712" t="s">
        <v>4035</v>
      </c>
      <c r="L1712">
        <v>1521.92</v>
      </c>
    </row>
    <row r="1713" spans="1:12">
      <c r="A1713" t="s">
        <v>1723</v>
      </c>
      <c r="B1713" s="2">
        <v>45297</v>
      </c>
      <c r="C1713">
        <v>4010</v>
      </c>
      <c r="D1713" t="s">
        <v>2016</v>
      </c>
      <c r="E1713">
        <v>0</v>
      </c>
      <c r="F1713">
        <v>3858.51</v>
      </c>
      <c r="G1713" t="s">
        <v>2019</v>
      </c>
      <c r="H1713" t="s">
        <v>2025</v>
      </c>
      <c r="I1713" t="s">
        <v>3739</v>
      </c>
      <c r="J1713" t="s">
        <v>4028</v>
      </c>
      <c r="K1713" t="s">
        <v>4053</v>
      </c>
      <c r="L1713">
        <v>3858.51</v>
      </c>
    </row>
    <row r="1714" spans="1:12">
      <c r="A1714" t="s">
        <v>1724</v>
      </c>
      <c r="B1714" s="2">
        <v>45392</v>
      </c>
      <c r="C1714">
        <v>4010</v>
      </c>
      <c r="D1714" t="s">
        <v>2016</v>
      </c>
      <c r="E1714">
        <v>0</v>
      </c>
      <c r="F1714">
        <v>4500.74</v>
      </c>
      <c r="G1714" t="s">
        <v>2019</v>
      </c>
      <c r="H1714" t="s">
        <v>2027</v>
      </c>
      <c r="I1714" t="s">
        <v>3740</v>
      </c>
      <c r="J1714" t="s">
        <v>4030</v>
      </c>
      <c r="K1714" t="s">
        <v>4040</v>
      </c>
      <c r="L1714">
        <v>4500.74</v>
      </c>
    </row>
    <row r="1715" spans="1:12">
      <c r="A1715" t="s">
        <v>1725</v>
      </c>
      <c r="B1715" s="2">
        <v>45546</v>
      </c>
      <c r="C1715">
        <v>6000</v>
      </c>
      <c r="D1715" t="s">
        <v>2014</v>
      </c>
      <c r="E1715">
        <v>678.18</v>
      </c>
      <c r="F1715">
        <v>0</v>
      </c>
      <c r="G1715" t="s">
        <v>2020</v>
      </c>
      <c r="H1715" t="s">
        <v>2023</v>
      </c>
      <c r="I1715" t="s">
        <v>3741</v>
      </c>
      <c r="J1715" t="s">
        <v>4030</v>
      </c>
      <c r="K1715" t="s">
        <v>4048</v>
      </c>
      <c r="L1715">
        <v>-678.18</v>
      </c>
    </row>
    <row r="1716" spans="1:12">
      <c r="A1716" t="s">
        <v>1726</v>
      </c>
      <c r="B1716" s="2">
        <v>45630</v>
      </c>
      <c r="C1716">
        <v>6000</v>
      </c>
      <c r="D1716" t="s">
        <v>2014</v>
      </c>
      <c r="E1716">
        <v>1306.92</v>
      </c>
      <c r="F1716">
        <v>0</v>
      </c>
      <c r="G1716" t="s">
        <v>2022</v>
      </c>
      <c r="H1716" t="s">
        <v>2024</v>
      </c>
      <c r="I1716" t="s">
        <v>3742</v>
      </c>
      <c r="J1716" t="s">
        <v>4032</v>
      </c>
      <c r="K1716" t="s">
        <v>4056</v>
      </c>
      <c r="L1716">
        <v>-1306.92</v>
      </c>
    </row>
    <row r="1717" spans="1:12">
      <c r="A1717" t="s">
        <v>1727</v>
      </c>
      <c r="B1717" s="2">
        <v>44947</v>
      </c>
      <c r="C1717">
        <v>4010</v>
      </c>
      <c r="D1717" t="s">
        <v>2016</v>
      </c>
      <c r="E1717">
        <v>0</v>
      </c>
      <c r="F1717">
        <v>1899.18</v>
      </c>
      <c r="G1717" t="s">
        <v>2017</v>
      </c>
      <c r="H1717" t="s">
        <v>2023</v>
      </c>
      <c r="I1717" t="s">
        <v>3743</v>
      </c>
      <c r="J1717" t="s">
        <v>4028</v>
      </c>
      <c r="K1717" t="s">
        <v>4047</v>
      </c>
      <c r="L1717">
        <v>1899.18</v>
      </c>
    </row>
    <row r="1718" spans="1:12">
      <c r="A1718" t="s">
        <v>1728</v>
      </c>
      <c r="B1718" s="2">
        <v>45592</v>
      </c>
      <c r="C1718">
        <v>4010</v>
      </c>
      <c r="D1718" t="s">
        <v>2016</v>
      </c>
      <c r="E1718">
        <v>0</v>
      </c>
      <c r="F1718">
        <v>4785.2299999999996</v>
      </c>
      <c r="G1718" t="s">
        <v>2019</v>
      </c>
      <c r="H1718" t="s">
        <v>2026</v>
      </c>
      <c r="I1718" t="s">
        <v>3744</v>
      </c>
      <c r="J1718" t="s">
        <v>4028</v>
      </c>
      <c r="K1718" t="s">
        <v>4059</v>
      </c>
      <c r="L1718">
        <v>4785.2299999999996</v>
      </c>
    </row>
    <row r="1719" spans="1:12">
      <c r="A1719" t="s">
        <v>1729</v>
      </c>
      <c r="B1719" s="2">
        <v>45192</v>
      </c>
      <c r="C1719">
        <v>4010</v>
      </c>
      <c r="D1719" t="s">
        <v>2016</v>
      </c>
      <c r="E1719">
        <v>0</v>
      </c>
      <c r="F1719">
        <v>2005.29</v>
      </c>
      <c r="G1719" t="s">
        <v>2021</v>
      </c>
      <c r="H1719" t="s">
        <v>2024</v>
      </c>
      <c r="I1719" t="s">
        <v>3745</v>
      </c>
      <c r="J1719" t="s">
        <v>4031</v>
      </c>
      <c r="K1719" t="s">
        <v>4036</v>
      </c>
      <c r="L1719">
        <v>2005.29</v>
      </c>
    </row>
    <row r="1720" spans="1:12">
      <c r="A1720" t="s">
        <v>1730</v>
      </c>
      <c r="B1720" s="2">
        <v>45148</v>
      </c>
      <c r="C1720">
        <v>6000</v>
      </c>
      <c r="D1720" t="s">
        <v>2014</v>
      </c>
      <c r="E1720">
        <v>1255.1099999999999</v>
      </c>
      <c r="F1720">
        <v>0</v>
      </c>
      <c r="G1720" t="s">
        <v>2022</v>
      </c>
      <c r="H1720" t="s">
        <v>2024</v>
      </c>
      <c r="I1720" t="s">
        <v>3746</v>
      </c>
      <c r="J1720" t="s">
        <v>4029</v>
      </c>
      <c r="K1720" t="s">
        <v>4037</v>
      </c>
      <c r="L1720">
        <v>-1255.1099999999999</v>
      </c>
    </row>
    <row r="1721" spans="1:12">
      <c r="A1721" t="s">
        <v>1731</v>
      </c>
      <c r="B1721" s="2">
        <v>45311</v>
      </c>
      <c r="C1721">
        <v>5000</v>
      </c>
      <c r="D1721" t="s">
        <v>2013</v>
      </c>
      <c r="E1721">
        <v>816.6</v>
      </c>
      <c r="F1721">
        <v>0</v>
      </c>
      <c r="G1721" t="s">
        <v>2022</v>
      </c>
      <c r="H1721" t="s">
        <v>2027</v>
      </c>
      <c r="I1721" t="s">
        <v>3747</v>
      </c>
      <c r="J1721" t="s">
        <v>4029</v>
      </c>
      <c r="K1721" t="s">
        <v>4053</v>
      </c>
      <c r="L1721">
        <v>-816.6</v>
      </c>
    </row>
    <row r="1722" spans="1:12">
      <c r="A1722" t="s">
        <v>1732</v>
      </c>
      <c r="B1722" s="2">
        <v>45015</v>
      </c>
      <c r="C1722">
        <v>4010</v>
      </c>
      <c r="D1722" t="s">
        <v>2016</v>
      </c>
      <c r="E1722">
        <v>0</v>
      </c>
      <c r="F1722">
        <v>1623.32</v>
      </c>
      <c r="G1722" t="s">
        <v>2022</v>
      </c>
      <c r="H1722" t="s">
        <v>2023</v>
      </c>
      <c r="I1722" t="s">
        <v>3748</v>
      </c>
      <c r="J1722" t="s">
        <v>4030</v>
      </c>
      <c r="K1722" t="s">
        <v>4051</v>
      </c>
      <c r="L1722">
        <v>1623.32</v>
      </c>
    </row>
    <row r="1723" spans="1:12">
      <c r="A1723" t="s">
        <v>1733</v>
      </c>
      <c r="B1723" s="2">
        <v>45133</v>
      </c>
      <c r="C1723">
        <v>6000</v>
      </c>
      <c r="D1723" t="s">
        <v>2014</v>
      </c>
      <c r="E1723">
        <v>770.91</v>
      </c>
      <c r="F1723">
        <v>0</v>
      </c>
      <c r="G1723" t="s">
        <v>2022</v>
      </c>
      <c r="H1723" t="s">
        <v>2027</v>
      </c>
      <c r="I1723" t="s">
        <v>3749</v>
      </c>
      <c r="J1723" t="s">
        <v>4030</v>
      </c>
      <c r="K1723" t="s">
        <v>4050</v>
      </c>
      <c r="L1723">
        <v>-770.91</v>
      </c>
    </row>
    <row r="1724" spans="1:12">
      <c r="A1724" t="s">
        <v>1734</v>
      </c>
      <c r="B1724" s="2">
        <v>45379</v>
      </c>
      <c r="C1724">
        <v>4010</v>
      </c>
      <c r="D1724" t="s">
        <v>2016</v>
      </c>
      <c r="E1724">
        <v>0</v>
      </c>
      <c r="F1724">
        <v>3597.73</v>
      </c>
      <c r="G1724" t="s">
        <v>2017</v>
      </c>
      <c r="H1724" t="s">
        <v>2024</v>
      </c>
      <c r="I1724" t="s">
        <v>3750</v>
      </c>
      <c r="J1724" t="s">
        <v>4032</v>
      </c>
      <c r="K1724" t="s">
        <v>4049</v>
      </c>
      <c r="L1724">
        <v>3597.73</v>
      </c>
    </row>
    <row r="1725" spans="1:12">
      <c r="A1725" t="s">
        <v>1735</v>
      </c>
      <c r="B1725" s="2">
        <v>45730</v>
      </c>
      <c r="C1725">
        <v>5000</v>
      </c>
      <c r="D1725" t="s">
        <v>2013</v>
      </c>
      <c r="E1725">
        <v>468</v>
      </c>
      <c r="F1725">
        <v>0</v>
      </c>
      <c r="G1725" t="s">
        <v>2021</v>
      </c>
      <c r="H1725" t="s">
        <v>2027</v>
      </c>
      <c r="I1725" t="s">
        <v>3751</v>
      </c>
      <c r="J1725" t="s">
        <v>4031</v>
      </c>
      <c r="K1725" t="s">
        <v>4046</v>
      </c>
      <c r="L1725">
        <v>-468</v>
      </c>
    </row>
    <row r="1726" spans="1:12">
      <c r="A1726" t="s">
        <v>1736</v>
      </c>
      <c r="B1726" s="2">
        <v>45439</v>
      </c>
      <c r="C1726">
        <v>6000</v>
      </c>
      <c r="D1726" t="s">
        <v>2014</v>
      </c>
      <c r="E1726">
        <v>1093.3800000000001</v>
      </c>
      <c r="F1726">
        <v>0</v>
      </c>
      <c r="G1726" t="s">
        <v>2019</v>
      </c>
      <c r="H1726" t="s">
        <v>2024</v>
      </c>
      <c r="I1726" t="s">
        <v>3752</v>
      </c>
      <c r="J1726" t="s">
        <v>4030</v>
      </c>
      <c r="K1726" t="s">
        <v>4033</v>
      </c>
      <c r="L1726">
        <v>-1093.3800000000001</v>
      </c>
    </row>
    <row r="1727" spans="1:12">
      <c r="A1727" t="s">
        <v>1737</v>
      </c>
      <c r="B1727" s="2">
        <v>45429</v>
      </c>
      <c r="C1727">
        <v>4010</v>
      </c>
      <c r="D1727" t="s">
        <v>2016</v>
      </c>
      <c r="E1727">
        <v>0</v>
      </c>
      <c r="F1727">
        <v>1791.26</v>
      </c>
      <c r="G1727" t="s">
        <v>2019</v>
      </c>
      <c r="H1727" t="s">
        <v>2026</v>
      </c>
      <c r="I1727" t="s">
        <v>3753</v>
      </c>
      <c r="J1727" t="s">
        <v>4031</v>
      </c>
      <c r="K1727" t="s">
        <v>4033</v>
      </c>
      <c r="L1727">
        <v>1791.26</v>
      </c>
    </row>
    <row r="1728" spans="1:12">
      <c r="A1728" t="s">
        <v>1738</v>
      </c>
      <c r="B1728" s="2">
        <v>45760</v>
      </c>
      <c r="C1728">
        <v>4010</v>
      </c>
      <c r="D1728" t="s">
        <v>2016</v>
      </c>
      <c r="E1728">
        <v>0</v>
      </c>
      <c r="F1728">
        <v>2175.02</v>
      </c>
      <c r="G1728" t="s">
        <v>2018</v>
      </c>
      <c r="H1728" t="s">
        <v>2025</v>
      </c>
      <c r="I1728" t="s">
        <v>3754</v>
      </c>
      <c r="J1728" t="s">
        <v>4028</v>
      </c>
      <c r="K1728" t="s">
        <v>4045</v>
      </c>
      <c r="L1728">
        <v>2175.02</v>
      </c>
    </row>
    <row r="1729" spans="1:12">
      <c r="A1729" t="s">
        <v>1739</v>
      </c>
      <c r="B1729" s="2">
        <v>45677</v>
      </c>
      <c r="C1729">
        <v>6000</v>
      </c>
      <c r="D1729" t="s">
        <v>2014</v>
      </c>
      <c r="E1729">
        <v>1574.77</v>
      </c>
      <c r="F1729">
        <v>0</v>
      </c>
      <c r="G1729" t="s">
        <v>2017</v>
      </c>
      <c r="H1729" t="s">
        <v>2023</v>
      </c>
      <c r="I1729" t="s">
        <v>3755</v>
      </c>
      <c r="J1729" t="s">
        <v>4032</v>
      </c>
      <c r="K1729" t="s">
        <v>4035</v>
      </c>
      <c r="L1729">
        <v>-1574.77</v>
      </c>
    </row>
    <row r="1730" spans="1:12">
      <c r="A1730" t="s">
        <v>1740</v>
      </c>
      <c r="B1730" s="2">
        <v>45674</v>
      </c>
      <c r="C1730">
        <v>5000</v>
      </c>
      <c r="D1730" t="s">
        <v>2013</v>
      </c>
      <c r="E1730">
        <v>1527.19</v>
      </c>
      <c r="F1730">
        <v>0</v>
      </c>
      <c r="G1730" t="s">
        <v>2022</v>
      </c>
      <c r="H1730" t="s">
        <v>2027</v>
      </c>
      <c r="I1730" t="s">
        <v>3756</v>
      </c>
      <c r="J1730" t="s">
        <v>4028</v>
      </c>
      <c r="K1730" t="s">
        <v>4035</v>
      </c>
      <c r="L1730">
        <v>-1527.19</v>
      </c>
    </row>
    <row r="1731" spans="1:12">
      <c r="A1731" t="s">
        <v>1741</v>
      </c>
      <c r="B1731" s="2">
        <v>45277</v>
      </c>
      <c r="C1731">
        <v>5010</v>
      </c>
      <c r="D1731" t="s">
        <v>2015</v>
      </c>
      <c r="E1731">
        <v>235.69</v>
      </c>
      <c r="F1731">
        <v>0</v>
      </c>
      <c r="G1731" t="s">
        <v>2022</v>
      </c>
      <c r="H1731" t="s">
        <v>2024</v>
      </c>
      <c r="I1731" t="s">
        <v>3757</v>
      </c>
      <c r="J1731" t="s">
        <v>4030</v>
      </c>
      <c r="K1731" t="s">
        <v>4039</v>
      </c>
      <c r="L1731">
        <v>-235.69</v>
      </c>
    </row>
    <row r="1732" spans="1:12">
      <c r="A1732" t="s">
        <v>1742</v>
      </c>
      <c r="B1732" s="2">
        <v>44999</v>
      </c>
      <c r="C1732">
        <v>4010</v>
      </c>
      <c r="D1732" t="s">
        <v>2016</v>
      </c>
      <c r="E1732">
        <v>0</v>
      </c>
      <c r="F1732">
        <v>1732.54</v>
      </c>
      <c r="G1732" t="s">
        <v>2018</v>
      </c>
      <c r="H1732" t="s">
        <v>2026</v>
      </c>
      <c r="I1732" t="s">
        <v>3758</v>
      </c>
      <c r="J1732" t="s">
        <v>4031</v>
      </c>
      <c r="K1732" t="s">
        <v>4051</v>
      </c>
      <c r="L1732">
        <v>1732.54</v>
      </c>
    </row>
    <row r="1733" spans="1:12">
      <c r="A1733" t="s">
        <v>1743</v>
      </c>
      <c r="B1733" s="2">
        <v>45714</v>
      </c>
      <c r="C1733">
        <v>4010</v>
      </c>
      <c r="D1733" t="s">
        <v>2016</v>
      </c>
      <c r="E1733">
        <v>0</v>
      </c>
      <c r="F1733">
        <v>2626.2</v>
      </c>
      <c r="G1733" t="s">
        <v>2017</v>
      </c>
      <c r="H1733" t="s">
        <v>2025</v>
      </c>
      <c r="I1733" t="s">
        <v>3759</v>
      </c>
      <c r="J1733" t="s">
        <v>4032</v>
      </c>
      <c r="K1733" t="s">
        <v>4061</v>
      </c>
      <c r="L1733">
        <v>2626.2</v>
      </c>
    </row>
    <row r="1734" spans="1:12">
      <c r="A1734" t="s">
        <v>1744</v>
      </c>
      <c r="B1734" s="2">
        <v>45008</v>
      </c>
      <c r="C1734">
        <v>5010</v>
      </c>
      <c r="D1734" t="s">
        <v>2015</v>
      </c>
      <c r="E1734">
        <v>1253</v>
      </c>
      <c r="F1734">
        <v>0</v>
      </c>
      <c r="G1734" t="s">
        <v>2017</v>
      </c>
      <c r="H1734" t="s">
        <v>2023</v>
      </c>
      <c r="I1734" t="s">
        <v>3760</v>
      </c>
      <c r="J1734" t="s">
        <v>4029</v>
      </c>
      <c r="K1734" t="s">
        <v>4051</v>
      </c>
      <c r="L1734">
        <v>-1253</v>
      </c>
    </row>
    <row r="1735" spans="1:12">
      <c r="A1735" t="s">
        <v>1745</v>
      </c>
      <c r="B1735" s="2">
        <v>45667</v>
      </c>
      <c r="C1735">
        <v>5000</v>
      </c>
      <c r="D1735" t="s">
        <v>2013</v>
      </c>
      <c r="E1735">
        <v>698.8</v>
      </c>
      <c r="F1735">
        <v>0</v>
      </c>
      <c r="G1735" t="s">
        <v>2019</v>
      </c>
      <c r="H1735" t="s">
        <v>2027</v>
      </c>
      <c r="I1735" t="s">
        <v>3761</v>
      </c>
      <c r="J1735" t="s">
        <v>4032</v>
      </c>
      <c r="K1735" t="s">
        <v>4035</v>
      </c>
      <c r="L1735">
        <v>-698.8</v>
      </c>
    </row>
    <row r="1736" spans="1:12">
      <c r="A1736" t="s">
        <v>1746</v>
      </c>
      <c r="B1736" s="2">
        <v>45375</v>
      </c>
      <c r="C1736">
        <v>4000</v>
      </c>
      <c r="D1736" t="s">
        <v>2012</v>
      </c>
      <c r="E1736">
        <v>0</v>
      </c>
      <c r="F1736">
        <v>1651.12</v>
      </c>
      <c r="G1736" t="s">
        <v>2020</v>
      </c>
      <c r="H1736" t="s">
        <v>2023</v>
      </c>
      <c r="I1736" t="s">
        <v>3762</v>
      </c>
      <c r="J1736" t="s">
        <v>4030</v>
      </c>
      <c r="K1736" t="s">
        <v>4049</v>
      </c>
      <c r="L1736">
        <v>1651.12</v>
      </c>
    </row>
    <row r="1737" spans="1:12">
      <c r="A1737" t="s">
        <v>1747</v>
      </c>
      <c r="B1737" s="2">
        <v>45414</v>
      </c>
      <c r="C1737">
        <v>4010</v>
      </c>
      <c r="D1737" t="s">
        <v>2016</v>
      </c>
      <c r="E1737">
        <v>0</v>
      </c>
      <c r="F1737">
        <v>4999.53</v>
      </c>
      <c r="G1737" t="s">
        <v>2021</v>
      </c>
      <c r="H1737" t="s">
        <v>2023</v>
      </c>
      <c r="I1737" t="s">
        <v>3763</v>
      </c>
      <c r="J1737" t="s">
        <v>4032</v>
      </c>
      <c r="K1737" t="s">
        <v>4033</v>
      </c>
      <c r="L1737">
        <v>4999.53</v>
      </c>
    </row>
    <row r="1738" spans="1:12">
      <c r="A1738" t="s">
        <v>1748</v>
      </c>
      <c r="B1738" s="2">
        <v>45792</v>
      </c>
      <c r="C1738">
        <v>5000</v>
      </c>
      <c r="D1738" t="s">
        <v>2013</v>
      </c>
      <c r="E1738">
        <v>600.07000000000005</v>
      </c>
      <c r="F1738">
        <v>0</v>
      </c>
      <c r="G1738" t="s">
        <v>2018</v>
      </c>
      <c r="H1738" t="s">
        <v>2024</v>
      </c>
      <c r="I1738" t="s">
        <v>3764</v>
      </c>
      <c r="J1738" t="s">
        <v>4029</v>
      </c>
      <c r="K1738" t="s">
        <v>4038</v>
      </c>
      <c r="L1738">
        <v>-600.07000000000005</v>
      </c>
    </row>
    <row r="1739" spans="1:12">
      <c r="A1739" t="s">
        <v>1749</v>
      </c>
      <c r="B1739" s="2">
        <v>45055</v>
      </c>
      <c r="C1739">
        <v>6000</v>
      </c>
      <c r="D1739" t="s">
        <v>2014</v>
      </c>
      <c r="E1739">
        <v>1136.96</v>
      </c>
      <c r="F1739">
        <v>0</v>
      </c>
      <c r="G1739" t="s">
        <v>2022</v>
      </c>
      <c r="H1739" t="s">
        <v>2026</v>
      </c>
      <c r="I1739" t="s">
        <v>3765</v>
      </c>
      <c r="J1739" t="s">
        <v>4031</v>
      </c>
      <c r="K1739" t="s">
        <v>4062</v>
      </c>
      <c r="L1739">
        <v>-1136.96</v>
      </c>
    </row>
    <row r="1740" spans="1:12">
      <c r="A1740" t="s">
        <v>1750</v>
      </c>
      <c r="B1740" s="2">
        <v>45354</v>
      </c>
      <c r="C1740">
        <v>4010</v>
      </c>
      <c r="D1740" t="s">
        <v>2016</v>
      </c>
      <c r="E1740">
        <v>0</v>
      </c>
      <c r="F1740">
        <v>3007.82</v>
      </c>
      <c r="G1740" t="s">
        <v>2022</v>
      </c>
      <c r="H1740" t="s">
        <v>2027</v>
      </c>
      <c r="I1740" t="s">
        <v>3766</v>
      </c>
      <c r="J1740" t="s">
        <v>4031</v>
      </c>
      <c r="K1740" t="s">
        <v>4049</v>
      </c>
      <c r="L1740">
        <v>3007.82</v>
      </c>
    </row>
    <row r="1741" spans="1:12">
      <c r="A1741" t="s">
        <v>1751</v>
      </c>
      <c r="B1741" s="2">
        <v>45487</v>
      </c>
      <c r="C1741">
        <v>4010</v>
      </c>
      <c r="D1741" t="s">
        <v>2016</v>
      </c>
      <c r="E1741">
        <v>0</v>
      </c>
      <c r="F1741">
        <v>2023.01</v>
      </c>
      <c r="G1741" t="s">
        <v>2020</v>
      </c>
      <c r="H1741" t="s">
        <v>2027</v>
      </c>
      <c r="I1741" t="s">
        <v>3767</v>
      </c>
      <c r="J1741" t="s">
        <v>4028</v>
      </c>
      <c r="K1741" t="s">
        <v>4054</v>
      </c>
      <c r="L1741">
        <v>2023.01</v>
      </c>
    </row>
    <row r="1742" spans="1:12">
      <c r="A1742" t="s">
        <v>1752</v>
      </c>
      <c r="B1742" s="2">
        <v>45397</v>
      </c>
      <c r="C1742">
        <v>4000</v>
      </c>
      <c r="D1742" t="s">
        <v>2012</v>
      </c>
      <c r="E1742">
        <v>0</v>
      </c>
      <c r="F1742">
        <v>3884.34</v>
      </c>
      <c r="G1742" t="s">
        <v>2019</v>
      </c>
      <c r="H1742" t="s">
        <v>2023</v>
      </c>
      <c r="I1742" t="s">
        <v>3768</v>
      </c>
      <c r="J1742" t="s">
        <v>4028</v>
      </c>
      <c r="K1742" t="s">
        <v>4040</v>
      </c>
      <c r="L1742">
        <v>3884.34</v>
      </c>
    </row>
    <row r="1743" spans="1:12">
      <c r="A1743" t="s">
        <v>1753</v>
      </c>
      <c r="B1743" s="2">
        <v>45327</v>
      </c>
      <c r="C1743">
        <v>4000</v>
      </c>
      <c r="D1743" t="s">
        <v>2012</v>
      </c>
      <c r="E1743">
        <v>0</v>
      </c>
      <c r="F1743">
        <v>225.78</v>
      </c>
      <c r="G1743" t="s">
        <v>2020</v>
      </c>
      <c r="H1743" t="s">
        <v>2025</v>
      </c>
      <c r="I1743" t="s">
        <v>3769</v>
      </c>
      <c r="J1743" t="s">
        <v>4029</v>
      </c>
      <c r="K1743" t="s">
        <v>4044</v>
      </c>
      <c r="L1743">
        <v>225.78</v>
      </c>
    </row>
    <row r="1744" spans="1:12">
      <c r="A1744" t="s">
        <v>1754</v>
      </c>
      <c r="B1744" s="2">
        <v>45622</v>
      </c>
      <c r="C1744">
        <v>4000</v>
      </c>
      <c r="D1744" t="s">
        <v>2012</v>
      </c>
      <c r="E1744">
        <v>0</v>
      </c>
      <c r="F1744">
        <v>2518.37</v>
      </c>
      <c r="G1744" t="s">
        <v>2019</v>
      </c>
      <c r="H1744" t="s">
        <v>2026</v>
      </c>
      <c r="I1744" t="s">
        <v>3770</v>
      </c>
      <c r="J1744" t="s">
        <v>4030</v>
      </c>
      <c r="K1744" t="s">
        <v>4043</v>
      </c>
      <c r="L1744">
        <v>2518.37</v>
      </c>
    </row>
    <row r="1745" spans="1:12">
      <c r="A1745" t="s">
        <v>1755</v>
      </c>
      <c r="B1745" s="2">
        <v>45590</v>
      </c>
      <c r="C1745">
        <v>5000</v>
      </c>
      <c r="D1745" t="s">
        <v>2013</v>
      </c>
      <c r="E1745">
        <v>847.09</v>
      </c>
      <c r="F1745">
        <v>0</v>
      </c>
      <c r="G1745" t="s">
        <v>2021</v>
      </c>
      <c r="H1745" t="s">
        <v>2026</v>
      </c>
      <c r="I1745" t="s">
        <v>3771</v>
      </c>
      <c r="J1745" t="s">
        <v>4028</v>
      </c>
      <c r="K1745" t="s">
        <v>4059</v>
      </c>
      <c r="L1745">
        <v>-847.09</v>
      </c>
    </row>
    <row r="1746" spans="1:12">
      <c r="A1746" t="s">
        <v>1756</v>
      </c>
      <c r="B1746" s="2">
        <v>45331</v>
      </c>
      <c r="C1746">
        <v>6000</v>
      </c>
      <c r="D1746" t="s">
        <v>2014</v>
      </c>
      <c r="E1746">
        <v>121.29</v>
      </c>
      <c r="F1746">
        <v>0</v>
      </c>
      <c r="G1746" t="s">
        <v>2022</v>
      </c>
      <c r="H1746" t="s">
        <v>2025</v>
      </c>
      <c r="I1746" t="s">
        <v>3772</v>
      </c>
      <c r="J1746" t="s">
        <v>4029</v>
      </c>
      <c r="K1746" t="s">
        <v>4044</v>
      </c>
      <c r="L1746">
        <v>-121.29</v>
      </c>
    </row>
    <row r="1747" spans="1:12">
      <c r="A1747" t="s">
        <v>1757</v>
      </c>
      <c r="B1747" s="2">
        <v>45385</v>
      </c>
      <c r="C1747">
        <v>6000</v>
      </c>
      <c r="D1747" t="s">
        <v>2014</v>
      </c>
      <c r="E1747">
        <v>1357.35</v>
      </c>
      <c r="F1747">
        <v>0</v>
      </c>
      <c r="G1747" t="s">
        <v>2020</v>
      </c>
      <c r="H1747" t="s">
        <v>2024</v>
      </c>
      <c r="I1747" t="s">
        <v>3773</v>
      </c>
      <c r="J1747" t="s">
        <v>4031</v>
      </c>
      <c r="K1747" t="s">
        <v>4040</v>
      </c>
      <c r="L1747">
        <v>-1357.35</v>
      </c>
    </row>
    <row r="1748" spans="1:12">
      <c r="A1748" t="s">
        <v>1758</v>
      </c>
      <c r="B1748" s="2">
        <v>45066</v>
      </c>
      <c r="C1748">
        <v>4010</v>
      </c>
      <c r="D1748" t="s">
        <v>2016</v>
      </c>
      <c r="E1748">
        <v>0</v>
      </c>
      <c r="F1748">
        <v>1658.15</v>
      </c>
      <c r="G1748" t="s">
        <v>2022</v>
      </c>
      <c r="H1748" t="s">
        <v>2025</v>
      </c>
      <c r="I1748" t="s">
        <v>3774</v>
      </c>
      <c r="J1748" t="s">
        <v>4032</v>
      </c>
      <c r="K1748" t="s">
        <v>4062</v>
      </c>
      <c r="L1748">
        <v>1658.15</v>
      </c>
    </row>
    <row r="1749" spans="1:12">
      <c r="A1749" t="s">
        <v>1759</v>
      </c>
      <c r="B1749" s="2">
        <v>45664</v>
      </c>
      <c r="C1749">
        <v>5010</v>
      </c>
      <c r="D1749" t="s">
        <v>2015</v>
      </c>
      <c r="E1749">
        <v>759.41</v>
      </c>
      <c r="F1749">
        <v>0</v>
      </c>
      <c r="G1749" t="s">
        <v>2021</v>
      </c>
      <c r="H1749" t="s">
        <v>2023</v>
      </c>
      <c r="I1749" t="s">
        <v>3775</v>
      </c>
      <c r="J1749" t="s">
        <v>4030</v>
      </c>
      <c r="K1749" t="s">
        <v>4035</v>
      </c>
      <c r="L1749">
        <v>-759.41</v>
      </c>
    </row>
    <row r="1750" spans="1:12">
      <c r="A1750" t="s">
        <v>1760</v>
      </c>
      <c r="B1750" s="2">
        <v>45238</v>
      </c>
      <c r="C1750">
        <v>4000</v>
      </c>
      <c r="D1750" t="s">
        <v>2012</v>
      </c>
      <c r="E1750">
        <v>0</v>
      </c>
      <c r="F1750">
        <v>4703.2</v>
      </c>
      <c r="G1750" t="s">
        <v>2022</v>
      </c>
      <c r="H1750" t="s">
        <v>2025</v>
      </c>
      <c r="I1750" t="s">
        <v>3776</v>
      </c>
      <c r="J1750" t="s">
        <v>4029</v>
      </c>
      <c r="K1750" t="s">
        <v>4042</v>
      </c>
      <c r="L1750">
        <v>4703.2</v>
      </c>
    </row>
    <row r="1751" spans="1:12">
      <c r="A1751" t="s">
        <v>1761</v>
      </c>
      <c r="B1751" s="2">
        <v>45156</v>
      </c>
      <c r="C1751">
        <v>4010</v>
      </c>
      <c r="D1751" t="s">
        <v>2016</v>
      </c>
      <c r="E1751">
        <v>0</v>
      </c>
      <c r="F1751">
        <v>528.16999999999996</v>
      </c>
      <c r="G1751" t="s">
        <v>2020</v>
      </c>
      <c r="H1751" t="s">
        <v>2026</v>
      </c>
      <c r="I1751" t="s">
        <v>3777</v>
      </c>
      <c r="J1751" t="s">
        <v>4029</v>
      </c>
      <c r="K1751" t="s">
        <v>4037</v>
      </c>
      <c r="L1751">
        <v>528.16999999999996</v>
      </c>
    </row>
    <row r="1752" spans="1:12">
      <c r="A1752" t="s">
        <v>1762</v>
      </c>
      <c r="B1752" s="2">
        <v>45142</v>
      </c>
      <c r="C1752">
        <v>4000</v>
      </c>
      <c r="D1752" t="s">
        <v>2012</v>
      </c>
      <c r="E1752">
        <v>0</v>
      </c>
      <c r="F1752">
        <v>4978.6499999999996</v>
      </c>
      <c r="G1752" t="s">
        <v>2019</v>
      </c>
      <c r="H1752" t="s">
        <v>2023</v>
      </c>
      <c r="I1752" t="s">
        <v>3778</v>
      </c>
      <c r="J1752" t="s">
        <v>4031</v>
      </c>
      <c r="K1752" t="s">
        <v>4037</v>
      </c>
      <c r="L1752">
        <v>4978.6499999999996</v>
      </c>
    </row>
    <row r="1753" spans="1:12">
      <c r="A1753" t="s">
        <v>1763</v>
      </c>
      <c r="B1753" s="2">
        <v>45838</v>
      </c>
      <c r="C1753">
        <v>6000</v>
      </c>
      <c r="D1753" t="s">
        <v>2014</v>
      </c>
      <c r="E1753">
        <v>912.48</v>
      </c>
      <c r="F1753">
        <v>0</v>
      </c>
      <c r="G1753" t="s">
        <v>2021</v>
      </c>
      <c r="H1753" t="s">
        <v>2023</v>
      </c>
      <c r="I1753" t="s">
        <v>3779</v>
      </c>
      <c r="J1753" t="s">
        <v>4029</v>
      </c>
      <c r="K1753" t="s">
        <v>4052</v>
      </c>
      <c r="L1753">
        <v>-912.48</v>
      </c>
    </row>
    <row r="1754" spans="1:12">
      <c r="A1754" t="s">
        <v>1764</v>
      </c>
      <c r="B1754" s="2">
        <v>45721</v>
      </c>
      <c r="C1754">
        <v>4000</v>
      </c>
      <c r="D1754" t="s">
        <v>2012</v>
      </c>
      <c r="E1754">
        <v>0</v>
      </c>
      <c r="F1754">
        <v>3719.23</v>
      </c>
      <c r="G1754" t="s">
        <v>2019</v>
      </c>
      <c r="H1754" t="s">
        <v>2027</v>
      </c>
      <c r="I1754" t="s">
        <v>3780</v>
      </c>
      <c r="J1754" t="s">
        <v>4028</v>
      </c>
      <c r="K1754" t="s">
        <v>4046</v>
      </c>
      <c r="L1754">
        <v>3719.23</v>
      </c>
    </row>
    <row r="1755" spans="1:12">
      <c r="A1755" t="s">
        <v>1765</v>
      </c>
      <c r="B1755" s="2">
        <v>45664</v>
      </c>
      <c r="C1755">
        <v>5000</v>
      </c>
      <c r="D1755" t="s">
        <v>2013</v>
      </c>
      <c r="E1755">
        <v>136.12</v>
      </c>
      <c r="F1755">
        <v>0</v>
      </c>
      <c r="G1755" t="s">
        <v>2019</v>
      </c>
      <c r="H1755" t="s">
        <v>2027</v>
      </c>
      <c r="I1755" t="s">
        <v>3781</v>
      </c>
      <c r="J1755" t="s">
        <v>4028</v>
      </c>
      <c r="K1755" t="s">
        <v>4035</v>
      </c>
      <c r="L1755">
        <v>-136.12</v>
      </c>
    </row>
    <row r="1756" spans="1:12">
      <c r="A1756" t="s">
        <v>1766</v>
      </c>
      <c r="B1756" s="2">
        <v>45557</v>
      </c>
      <c r="C1756">
        <v>5000</v>
      </c>
      <c r="D1756" t="s">
        <v>2013</v>
      </c>
      <c r="E1756">
        <v>501.66</v>
      </c>
      <c r="F1756">
        <v>0</v>
      </c>
      <c r="G1756" t="s">
        <v>2022</v>
      </c>
      <c r="H1756" t="s">
        <v>2025</v>
      </c>
      <c r="I1756" t="s">
        <v>3782</v>
      </c>
      <c r="J1756" t="s">
        <v>4030</v>
      </c>
      <c r="K1756" t="s">
        <v>4048</v>
      </c>
      <c r="L1756">
        <v>-501.66</v>
      </c>
    </row>
    <row r="1757" spans="1:12">
      <c r="A1757" t="s">
        <v>1767</v>
      </c>
      <c r="B1757" s="2">
        <v>45788</v>
      </c>
      <c r="C1757">
        <v>4010</v>
      </c>
      <c r="D1757" t="s">
        <v>2016</v>
      </c>
      <c r="E1757">
        <v>0</v>
      </c>
      <c r="F1757">
        <v>4477.99</v>
      </c>
      <c r="G1757" t="s">
        <v>2022</v>
      </c>
      <c r="H1757" t="s">
        <v>2024</v>
      </c>
      <c r="I1757" t="s">
        <v>3783</v>
      </c>
      <c r="J1757" t="s">
        <v>4028</v>
      </c>
      <c r="K1757" t="s">
        <v>4038</v>
      </c>
      <c r="L1757">
        <v>4477.99</v>
      </c>
    </row>
    <row r="1758" spans="1:12">
      <c r="A1758" t="s">
        <v>1768</v>
      </c>
      <c r="B1758" s="2">
        <v>45735</v>
      </c>
      <c r="C1758">
        <v>5000</v>
      </c>
      <c r="D1758" t="s">
        <v>2013</v>
      </c>
      <c r="E1758">
        <v>310.49</v>
      </c>
      <c r="F1758">
        <v>0</v>
      </c>
      <c r="G1758" t="s">
        <v>2018</v>
      </c>
      <c r="H1758" t="s">
        <v>2026</v>
      </c>
      <c r="I1758" t="s">
        <v>3784</v>
      </c>
      <c r="J1758" t="s">
        <v>4031</v>
      </c>
      <c r="K1758" t="s">
        <v>4046</v>
      </c>
      <c r="L1758">
        <v>-310.49</v>
      </c>
    </row>
    <row r="1759" spans="1:12">
      <c r="A1759" t="s">
        <v>1769</v>
      </c>
      <c r="B1759" s="2">
        <v>45429</v>
      </c>
      <c r="C1759">
        <v>5010</v>
      </c>
      <c r="D1759" t="s">
        <v>2015</v>
      </c>
      <c r="E1759">
        <v>1687.77</v>
      </c>
      <c r="F1759">
        <v>0</v>
      </c>
      <c r="G1759" t="s">
        <v>2020</v>
      </c>
      <c r="H1759" t="s">
        <v>2026</v>
      </c>
      <c r="I1759" t="s">
        <v>3785</v>
      </c>
      <c r="J1759" t="s">
        <v>4032</v>
      </c>
      <c r="K1759" t="s">
        <v>4033</v>
      </c>
      <c r="L1759">
        <v>-1687.77</v>
      </c>
    </row>
    <row r="1760" spans="1:12">
      <c r="A1760" t="s">
        <v>1770</v>
      </c>
      <c r="B1760" s="2">
        <v>45376</v>
      </c>
      <c r="C1760">
        <v>4010</v>
      </c>
      <c r="D1760" t="s">
        <v>2016</v>
      </c>
      <c r="E1760">
        <v>0</v>
      </c>
      <c r="F1760">
        <v>3606.68</v>
      </c>
      <c r="G1760" t="s">
        <v>2017</v>
      </c>
      <c r="H1760" t="s">
        <v>2023</v>
      </c>
      <c r="I1760" t="s">
        <v>3786</v>
      </c>
      <c r="J1760" t="s">
        <v>4032</v>
      </c>
      <c r="K1760" t="s">
        <v>4049</v>
      </c>
      <c r="L1760">
        <v>3606.68</v>
      </c>
    </row>
    <row r="1761" spans="1:12">
      <c r="A1761" t="s">
        <v>1771</v>
      </c>
      <c r="B1761" s="2">
        <v>45022</v>
      </c>
      <c r="C1761">
        <v>5010</v>
      </c>
      <c r="D1761" t="s">
        <v>2015</v>
      </c>
      <c r="E1761">
        <v>1726.93</v>
      </c>
      <c r="F1761">
        <v>0</v>
      </c>
      <c r="G1761" t="s">
        <v>2021</v>
      </c>
      <c r="H1761" t="s">
        <v>2025</v>
      </c>
      <c r="I1761" t="s">
        <v>3787</v>
      </c>
      <c r="J1761" t="s">
        <v>4030</v>
      </c>
      <c r="K1761" t="s">
        <v>4041</v>
      </c>
      <c r="L1761">
        <v>-1726.93</v>
      </c>
    </row>
    <row r="1762" spans="1:12">
      <c r="A1762" t="s">
        <v>1772</v>
      </c>
      <c r="B1762" s="2">
        <v>44998</v>
      </c>
      <c r="C1762">
        <v>4010</v>
      </c>
      <c r="D1762" t="s">
        <v>2016</v>
      </c>
      <c r="E1762">
        <v>0</v>
      </c>
      <c r="F1762">
        <v>4091.1</v>
      </c>
      <c r="G1762" t="s">
        <v>2022</v>
      </c>
      <c r="H1762" t="s">
        <v>2023</v>
      </c>
      <c r="I1762" t="s">
        <v>3788</v>
      </c>
      <c r="J1762" t="s">
        <v>4030</v>
      </c>
      <c r="K1762" t="s">
        <v>4051</v>
      </c>
      <c r="L1762">
        <v>4091.1</v>
      </c>
    </row>
    <row r="1763" spans="1:12">
      <c r="A1763" t="s">
        <v>1773</v>
      </c>
      <c r="B1763" s="2">
        <v>45115</v>
      </c>
      <c r="C1763">
        <v>5000</v>
      </c>
      <c r="D1763" t="s">
        <v>2013</v>
      </c>
      <c r="E1763">
        <v>1712.78</v>
      </c>
      <c r="F1763">
        <v>0</v>
      </c>
      <c r="G1763" t="s">
        <v>2019</v>
      </c>
      <c r="H1763" t="s">
        <v>2027</v>
      </c>
      <c r="I1763" t="s">
        <v>3789</v>
      </c>
      <c r="J1763" t="s">
        <v>4030</v>
      </c>
      <c r="K1763" t="s">
        <v>4050</v>
      </c>
      <c r="L1763">
        <v>-1712.78</v>
      </c>
    </row>
    <row r="1764" spans="1:12">
      <c r="A1764" t="s">
        <v>1774</v>
      </c>
      <c r="B1764" s="2">
        <v>45051</v>
      </c>
      <c r="C1764">
        <v>4010</v>
      </c>
      <c r="D1764" t="s">
        <v>2016</v>
      </c>
      <c r="E1764">
        <v>0</v>
      </c>
      <c r="F1764">
        <v>4088.16</v>
      </c>
      <c r="G1764" t="s">
        <v>2018</v>
      </c>
      <c r="H1764" t="s">
        <v>2026</v>
      </c>
      <c r="I1764" t="s">
        <v>3790</v>
      </c>
      <c r="J1764" t="s">
        <v>4029</v>
      </c>
      <c r="K1764" t="s">
        <v>4062</v>
      </c>
      <c r="L1764">
        <v>4088.16</v>
      </c>
    </row>
    <row r="1765" spans="1:12">
      <c r="A1765" t="s">
        <v>1775</v>
      </c>
      <c r="B1765" s="2">
        <v>45093</v>
      </c>
      <c r="C1765">
        <v>5000</v>
      </c>
      <c r="D1765" t="s">
        <v>2013</v>
      </c>
      <c r="E1765">
        <v>1941.5</v>
      </c>
      <c r="F1765">
        <v>0</v>
      </c>
      <c r="G1765" t="s">
        <v>2019</v>
      </c>
      <c r="H1765" t="s">
        <v>2023</v>
      </c>
      <c r="I1765" t="s">
        <v>3791</v>
      </c>
      <c r="J1765" t="s">
        <v>4028</v>
      </c>
      <c r="K1765" t="s">
        <v>4055</v>
      </c>
      <c r="L1765">
        <v>-1941.5</v>
      </c>
    </row>
    <row r="1766" spans="1:12">
      <c r="A1766" t="s">
        <v>1776</v>
      </c>
      <c r="B1766" s="2">
        <v>45293</v>
      </c>
      <c r="C1766">
        <v>5010</v>
      </c>
      <c r="D1766" t="s">
        <v>2015</v>
      </c>
      <c r="E1766">
        <v>1945.41</v>
      </c>
      <c r="F1766">
        <v>0</v>
      </c>
      <c r="G1766" t="s">
        <v>2020</v>
      </c>
      <c r="H1766" t="s">
        <v>2023</v>
      </c>
      <c r="I1766" t="s">
        <v>3792</v>
      </c>
      <c r="J1766" t="s">
        <v>4028</v>
      </c>
      <c r="K1766" t="s">
        <v>4053</v>
      </c>
      <c r="L1766">
        <v>-1945.41</v>
      </c>
    </row>
    <row r="1767" spans="1:12">
      <c r="A1767" t="s">
        <v>1777</v>
      </c>
      <c r="B1767" s="2">
        <v>45337</v>
      </c>
      <c r="C1767">
        <v>5000</v>
      </c>
      <c r="D1767" t="s">
        <v>2013</v>
      </c>
      <c r="E1767">
        <v>1421.11</v>
      </c>
      <c r="F1767">
        <v>0</v>
      </c>
      <c r="G1767" t="s">
        <v>2019</v>
      </c>
      <c r="H1767" t="s">
        <v>2026</v>
      </c>
      <c r="I1767" t="s">
        <v>3793</v>
      </c>
      <c r="J1767" t="s">
        <v>4032</v>
      </c>
      <c r="K1767" t="s">
        <v>4044</v>
      </c>
      <c r="L1767">
        <v>-1421.11</v>
      </c>
    </row>
    <row r="1768" spans="1:12">
      <c r="A1768" t="s">
        <v>1778</v>
      </c>
      <c r="B1768" s="2">
        <v>44980</v>
      </c>
      <c r="C1768">
        <v>5010</v>
      </c>
      <c r="D1768" t="s">
        <v>2015</v>
      </c>
      <c r="E1768">
        <v>289.94</v>
      </c>
      <c r="F1768">
        <v>0</v>
      </c>
      <c r="G1768" t="s">
        <v>2022</v>
      </c>
      <c r="H1768" t="s">
        <v>2026</v>
      </c>
      <c r="I1768" t="s">
        <v>3794</v>
      </c>
      <c r="J1768" t="s">
        <v>4031</v>
      </c>
      <c r="K1768" t="s">
        <v>4057</v>
      </c>
      <c r="L1768">
        <v>-289.94</v>
      </c>
    </row>
    <row r="1769" spans="1:12">
      <c r="A1769" t="s">
        <v>1779</v>
      </c>
      <c r="B1769" s="2">
        <v>45156</v>
      </c>
      <c r="C1769">
        <v>5010</v>
      </c>
      <c r="D1769" t="s">
        <v>2015</v>
      </c>
      <c r="E1769">
        <v>1061.21</v>
      </c>
      <c r="F1769">
        <v>0</v>
      </c>
      <c r="G1769" t="s">
        <v>2021</v>
      </c>
      <c r="H1769" t="s">
        <v>2025</v>
      </c>
      <c r="I1769" t="s">
        <v>3795</v>
      </c>
      <c r="J1769" t="s">
        <v>4031</v>
      </c>
      <c r="K1769" t="s">
        <v>4037</v>
      </c>
      <c r="L1769">
        <v>-1061.21</v>
      </c>
    </row>
    <row r="1770" spans="1:12">
      <c r="A1770" t="s">
        <v>1780</v>
      </c>
      <c r="B1770" s="2">
        <v>44983</v>
      </c>
      <c r="C1770">
        <v>4000</v>
      </c>
      <c r="D1770" t="s">
        <v>2012</v>
      </c>
      <c r="E1770">
        <v>0</v>
      </c>
      <c r="F1770">
        <v>2682.77</v>
      </c>
      <c r="G1770" t="s">
        <v>2018</v>
      </c>
      <c r="H1770" t="s">
        <v>2026</v>
      </c>
      <c r="I1770" t="s">
        <v>3796</v>
      </c>
      <c r="J1770" t="s">
        <v>4028</v>
      </c>
      <c r="K1770" t="s">
        <v>4057</v>
      </c>
      <c r="L1770">
        <v>2682.77</v>
      </c>
    </row>
    <row r="1771" spans="1:12">
      <c r="A1771" t="s">
        <v>1781</v>
      </c>
      <c r="B1771" s="2">
        <v>45808</v>
      </c>
      <c r="C1771">
        <v>4010</v>
      </c>
      <c r="D1771" t="s">
        <v>2016</v>
      </c>
      <c r="E1771">
        <v>0</v>
      </c>
      <c r="F1771">
        <v>250.7</v>
      </c>
      <c r="G1771" t="s">
        <v>2021</v>
      </c>
      <c r="H1771" t="s">
        <v>2026</v>
      </c>
      <c r="I1771" t="s">
        <v>3797</v>
      </c>
      <c r="J1771" t="s">
        <v>4032</v>
      </c>
      <c r="K1771" t="s">
        <v>4038</v>
      </c>
      <c r="L1771">
        <v>250.7</v>
      </c>
    </row>
    <row r="1772" spans="1:12">
      <c r="A1772" t="s">
        <v>1782</v>
      </c>
      <c r="B1772" s="2">
        <v>45699</v>
      </c>
      <c r="C1772">
        <v>5000</v>
      </c>
      <c r="D1772" t="s">
        <v>2013</v>
      </c>
      <c r="E1772">
        <v>1995.64</v>
      </c>
      <c r="F1772">
        <v>0</v>
      </c>
      <c r="G1772" t="s">
        <v>2020</v>
      </c>
      <c r="H1772" t="s">
        <v>2023</v>
      </c>
      <c r="I1772" t="s">
        <v>3798</v>
      </c>
      <c r="J1772" t="s">
        <v>4031</v>
      </c>
      <c r="K1772" t="s">
        <v>4061</v>
      </c>
      <c r="L1772">
        <v>-1995.64</v>
      </c>
    </row>
    <row r="1773" spans="1:12">
      <c r="A1773" t="s">
        <v>1783</v>
      </c>
      <c r="B1773" s="2">
        <v>45098</v>
      </c>
      <c r="C1773">
        <v>5010</v>
      </c>
      <c r="D1773" t="s">
        <v>2015</v>
      </c>
      <c r="E1773">
        <v>1268.68</v>
      </c>
      <c r="F1773">
        <v>0</v>
      </c>
      <c r="G1773" t="s">
        <v>2018</v>
      </c>
      <c r="H1773" t="s">
        <v>2023</v>
      </c>
      <c r="I1773" t="s">
        <v>3799</v>
      </c>
      <c r="J1773" t="s">
        <v>4029</v>
      </c>
      <c r="K1773" t="s">
        <v>4055</v>
      </c>
      <c r="L1773">
        <v>-1268.68</v>
      </c>
    </row>
    <row r="1774" spans="1:12">
      <c r="A1774" t="s">
        <v>1784</v>
      </c>
      <c r="B1774" s="2">
        <v>45069</v>
      </c>
      <c r="C1774">
        <v>5000</v>
      </c>
      <c r="D1774" t="s">
        <v>2013</v>
      </c>
      <c r="E1774">
        <v>1700.66</v>
      </c>
      <c r="F1774">
        <v>0</v>
      </c>
      <c r="G1774" t="s">
        <v>2017</v>
      </c>
      <c r="H1774" t="s">
        <v>2023</v>
      </c>
      <c r="I1774" t="s">
        <v>3800</v>
      </c>
      <c r="J1774" t="s">
        <v>4032</v>
      </c>
      <c r="K1774" t="s">
        <v>4062</v>
      </c>
      <c r="L1774">
        <v>-1700.66</v>
      </c>
    </row>
    <row r="1775" spans="1:12">
      <c r="A1775" t="s">
        <v>1785</v>
      </c>
      <c r="B1775" s="2">
        <v>45826</v>
      </c>
      <c r="C1775">
        <v>6000</v>
      </c>
      <c r="D1775" t="s">
        <v>2014</v>
      </c>
      <c r="E1775">
        <v>335.24</v>
      </c>
      <c r="F1775">
        <v>0</v>
      </c>
      <c r="G1775" t="s">
        <v>2021</v>
      </c>
      <c r="H1775" t="s">
        <v>2024</v>
      </c>
      <c r="I1775" t="s">
        <v>3801</v>
      </c>
      <c r="J1775" t="s">
        <v>4028</v>
      </c>
      <c r="K1775" t="s">
        <v>4052</v>
      </c>
      <c r="L1775">
        <v>-335.24</v>
      </c>
    </row>
    <row r="1776" spans="1:12">
      <c r="A1776" t="s">
        <v>1786</v>
      </c>
      <c r="B1776" s="2">
        <v>45454</v>
      </c>
      <c r="C1776">
        <v>6000</v>
      </c>
      <c r="D1776" t="s">
        <v>2014</v>
      </c>
      <c r="E1776">
        <v>705.25</v>
      </c>
      <c r="F1776">
        <v>0</v>
      </c>
      <c r="G1776" t="s">
        <v>2018</v>
      </c>
      <c r="H1776" t="s">
        <v>2025</v>
      </c>
      <c r="I1776" t="s">
        <v>3802</v>
      </c>
      <c r="J1776" t="s">
        <v>4030</v>
      </c>
      <c r="K1776" t="s">
        <v>4034</v>
      </c>
      <c r="L1776">
        <v>-705.25</v>
      </c>
    </row>
    <row r="1777" spans="1:12">
      <c r="A1777" t="s">
        <v>1787</v>
      </c>
      <c r="B1777" s="2">
        <v>45141</v>
      </c>
      <c r="C1777">
        <v>5000</v>
      </c>
      <c r="D1777" t="s">
        <v>2013</v>
      </c>
      <c r="E1777">
        <v>1859.77</v>
      </c>
      <c r="F1777">
        <v>0</v>
      </c>
      <c r="G1777" t="s">
        <v>2022</v>
      </c>
      <c r="H1777" t="s">
        <v>2027</v>
      </c>
      <c r="I1777" t="s">
        <v>3803</v>
      </c>
      <c r="J1777" t="s">
        <v>4030</v>
      </c>
      <c r="K1777" t="s">
        <v>4037</v>
      </c>
      <c r="L1777">
        <v>-1859.77</v>
      </c>
    </row>
    <row r="1778" spans="1:12">
      <c r="A1778" t="s">
        <v>1788</v>
      </c>
      <c r="B1778" s="2">
        <v>45270</v>
      </c>
      <c r="C1778">
        <v>6000</v>
      </c>
      <c r="D1778" t="s">
        <v>2014</v>
      </c>
      <c r="E1778">
        <v>1672.52</v>
      </c>
      <c r="F1778">
        <v>0</v>
      </c>
      <c r="G1778" t="s">
        <v>2017</v>
      </c>
      <c r="H1778" t="s">
        <v>2024</v>
      </c>
      <c r="I1778" t="s">
        <v>3804</v>
      </c>
      <c r="J1778" t="s">
        <v>4029</v>
      </c>
      <c r="K1778" t="s">
        <v>4039</v>
      </c>
      <c r="L1778">
        <v>-1672.52</v>
      </c>
    </row>
    <row r="1779" spans="1:12">
      <c r="A1779" t="s">
        <v>1789</v>
      </c>
      <c r="B1779" s="2">
        <v>45442</v>
      </c>
      <c r="C1779">
        <v>6000</v>
      </c>
      <c r="D1779" t="s">
        <v>2014</v>
      </c>
      <c r="E1779">
        <v>692.89</v>
      </c>
      <c r="F1779">
        <v>0</v>
      </c>
      <c r="G1779" t="s">
        <v>2018</v>
      </c>
      <c r="H1779" t="s">
        <v>2025</v>
      </c>
      <c r="I1779" t="s">
        <v>3805</v>
      </c>
      <c r="J1779" t="s">
        <v>4028</v>
      </c>
      <c r="K1779" t="s">
        <v>4033</v>
      </c>
      <c r="L1779">
        <v>-692.89</v>
      </c>
    </row>
    <row r="1780" spans="1:12">
      <c r="A1780" t="s">
        <v>1790</v>
      </c>
      <c r="B1780" s="2">
        <v>44997</v>
      </c>
      <c r="C1780">
        <v>5010</v>
      </c>
      <c r="D1780" t="s">
        <v>2015</v>
      </c>
      <c r="E1780">
        <v>324.08</v>
      </c>
      <c r="F1780">
        <v>0</v>
      </c>
      <c r="G1780" t="s">
        <v>2017</v>
      </c>
      <c r="H1780" t="s">
        <v>2026</v>
      </c>
      <c r="I1780" t="s">
        <v>3806</v>
      </c>
      <c r="J1780" t="s">
        <v>4032</v>
      </c>
      <c r="K1780" t="s">
        <v>4051</v>
      </c>
      <c r="L1780">
        <v>-324.08</v>
      </c>
    </row>
    <row r="1781" spans="1:12">
      <c r="A1781" t="s">
        <v>1791</v>
      </c>
      <c r="B1781" s="2">
        <v>45542</v>
      </c>
      <c r="C1781">
        <v>6000</v>
      </c>
      <c r="D1781" t="s">
        <v>2014</v>
      </c>
      <c r="E1781">
        <v>1164.05</v>
      </c>
      <c r="F1781">
        <v>0</v>
      </c>
      <c r="G1781" t="s">
        <v>2022</v>
      </c>
      <c r="H1781" t="s">
        <v>2023</v>
      </c>
      <c r="I1781" t="s">
        <v>3807</v>
      </c>
      <c r="J1781" t="s">
        <v>4031</v>
      </c>
      <c r="K1781" t="s">
        <v>4048</v>
      </c>
      <c r="L1781">
        <v>-1164.05</v>
      </c>
    </row>
    <row r="1782" spans="1:12">
      <c r="A1782" t="s">
        <v>1792</v>
      </c>
      <c r="B1782" s="2">
        <v>45413</v>
      </c>
      <c r="C1782">
        <v>4000</v>
      </c>
      <c r="D1782" t="s">
        <v>2012</v>
      </c>
      <c r="E1782">
        <v>0</v>
      </c>
      <c r="F1782">
        <v>778.57</v>
      </c>
      <c r="G1782" t="s">
        <v>2020</v>
      </c>
      <c r="H1782" t="s">
        <v>2027</v>
      </c>
      <c r="I1782" t="s">
        <v>3808</v>
      </c>
      <c r="J1782" t="s">
        <v>4030</v>
      </c>
      <c r="K1782" t="s">
        <v>4033</v>
      </c>
      <c r="L1782">
        <v>778.57</v>
      </c>
    </row>
    <row r="1783" spans="1:12">
      <c r="A1783" t="s">
        <v>1793</v>
      </c>
      <c r="B1783" s="2">
        <v>45161</v>
      </c>
      <c r="C1783">
        <v>6000</v>
      </c>
      <c r="D1783" t="s">
        <v>2014</v>
      </c>
      <c r="E1783">
        <v>670.62</v>
      </c>
      <c r="F1783">
        <v>0</v>
      </c>
      <c r="G1783" t="s">
        <v>2018</v>
      </c>
      <c r="H1783" t="s">
        <v>2025</v>
      </c>
      <c r="I1783" t="s">
        <v>3809</v>
      </c>
      <c r="J1783" t="s">
        <v>4028</v>
      </c>
      <c r="K1783" t="s">
        <v>4037</v>
      </c>
      <c r="L1783">
        <v>-670.62</v>
      </c>
    </row>
    <row r="1784" spans="1:12">
      <c r="A1784" t="s">
        <v>1794</v>
      </c>
      <c r="B1784" s="2">
        <v>45545</v>
      </c>
      <c r="C1784">
        <v>6000</v>
      </c>
      <c r="D1784" t="s">
        <v>2014</v>
      </c>
      <c r="E1784">
        <v>887.17</v>
      </c>
      <c r="F1784">
        <v>0</v>
      </c>
      <c r="G1784" t="s">
        <v>2019</v>
      </c>
      <c r="H1784" t="s">
        <v>2023</v>
      </c>
      <c r="I1784" t="s">
        <v>3810</v>
      </c>
      <c r="J1784" t="s">
        <v>4029</v>
      </c>
      <c r="K1784" t="s">
        <v>4048</v>
      </c>
      <c r="L1784">
        <v>-887.17</v>
      </c>
    </row>
    <row r="1785" spans="1:12">
      <c r="A1785" t="s">
        <v>1795</v>
      </c>
      <c r="B1785" s="2">
        <v>45365</v>
      </c>
      <c r="C1785">
        <v>5010</v>
      </c>
      <c r="D1785" t="s">
        <v>2015</v>
      </c>
      <c r="E1785">
        <v>680.13</v>
      </c>
      <c r="F1785">
        <v>0</v>
      </c>
      <c r="G1785" t="s">
        <v>2019</v>
      </c>
      <c r="H1785" t="s">
        <v>2026</v>
      </c>
      <c r="I1785" t="s">
        <v>3811</v>
      </c>
      <c r="J1785" t="s">
        <v>4030</v>
      </c>
      <c r="K1785" t="s">
        <v>4049</v>
      </c>
      <c r="L1785">
        <v>-680.13</v>
      </c>
    </row>
    <row r="1786" spans="1:12">
      <c r="A1786" t="s">
        <v>1796</v>
      </c>
      <c r="B1786" s="2">
        <v>45415</v>
      </c>
      <c r="C1786">
        <v>4010</v>
      </c>
      <c r="D1786" t="s">
        <v>2016</v>
      </c>
      <c r="E1786">
        <v>0</v>
      </c>
      <c r="F1786">
        <v>841.83</v>
      </c>
      <c r="G1786" t="s">
        <v>2017</v>
      </c>
      <c r="H1786" t="s">
        <v>2023</v>
      </c>
      <c r="I1786" t="s">
        <v>3812</v>
      </c>
      <c r="J1786" t="s">
        <v>4030</v>
      </c>
      <c r="K1786" t="s">
        <v>4033</v>
      </c>
      <c r="L1786">
        <v>841.83</v>
      </c>
    </row>
    <row r="1787" spans="1:12">
      <c r="A1787" t="s">
        <v>1797</v>
      </c>
      <c r="B1787" s="2">
        <v>45818</v>
      </c>
      <c r="C1787">
        <v>4010</v>
      </c>
      <c r="D1787" t="s">
        <v>2016</v>
      </c>
      <c r="E1787">
        <v>0</v>
      </c>
      <c r="F1787">
        <v>302.97000000000003</v>
      </c>
      <c r="G1787" t="s">
        <v>2019</v>
      </c>
      <c r="H1787" t="s">
        <v>2024</v>
      </c>
      <c r="I1787" t="s">
        <v>3813</v>
      </c>
      <c r="J1787" t="s">
        <v>4031</v>
      </c>
      <c r="K1787" t="s">
        <v>4052</v>
      </c>
      <c r="L1787">
        <v>302.97000000000003</v>
      </c>
    </row>
    <row r="1788" spans="1:12">
      <c r="A1788" t="s">
        <v>1798</v>
      </c>
      <c r="B1788" s="2">
        <v>45648</v>
      </c>
      <c r="C1788">
        <v>5000</v>
      </c>
      <c r="D1788" t="s">
        <v>2013</v>
      </c>
      <c r="E1788">
        <v>80.23</v>
      </c>
      <c r="F1788">
        <v>0</v>
      </c>
      <c r="G1788" t="s">
        <v>2018</v>
      </c>
      <c r="H1788" t="s">
        <v>2026</v>
      </c>
      <c r="I1788" t="s">
        <v>3814</v>
      </c>
      <c r="J1788" t="s">
        <v>4032</v>
      </c>
      <c r="K1788" t="s">
        <v>4056</v>
      </c>
      <c r="L1788">
        <v>-80.23</v>
      </c>
    </row>
    <row r="1789" spans="1:12">
      <c r="A1789" t="s">
        <v>1799</v>
      </c>
      <c r="B1789" s="2">
        <v>45385</v>
      </c>
      <c r="C1789">
        <v>5000</v>
      </c>
      <c r="D1789" t="s">
        <v>2013</v>
      </c>
      <c r="E1789">
        <v>338.61</v>
      </c>
      <c r="F1789">
        <v>0</v>
      </c>
      <c r="G1789" t="s">
        <v>2021</v>
      </c>
      <c r="H1789" t="s">
        <v>2025</v>
      </c>
      <c r="I1789" t="s">
        <v>3815</v>
      </c>
      <c r="J1789" t="s">
        <v>4031</v>
      </c>
      <c r="K1789" t="s">
        <v>4040</v>
      </c>
      <c r="L1789">
        <v>-338.61</v>
      </c>
    </row>
    <row r="1790" spans="1:12">
      <c r="A1790" t="s">
        <v>1800</v>
      </c>
      <c r="B1790" s="2">
        <v>45014</v>
      </c>
      <c r="C1790">
        <v>5000</v>
      </c>
      <c r="D1790" t="s">
        <v>2013</v>
      </c>
      <c r="E1790">
        <v>1098.3699999999999</v>
      </c>
      <c r="F1790">
        <v>0</v>
      </c>
      <c r="G1790" t="s">
        <v>2021</v>
      </c>
      <c r="H1790" t="s">
        <v>2027</v>
      </c>
      <c r="I1790" t="s">
        <v>3816</v>
      </c>
      <c r="J1790" t="s">
        <v>4031</v>
      </c>
      <c r="K1790" t="s">
        <v>4051</v>
      </c>
      <c r="L1790">
        <v>-1098.3699999999999</v>
      </c>
    </row>
    <row r="1791" spans="1:12">
      <c r="A1791" t="s">
        <v>1801</v>
      </c>
      <c r="B1791" s="2">
        <v>45818</v>
      </c>
      <c r="C1791">
        <v>4000</v>
      </c>
      <c r="D1791" t="s">
        <v>2012</v>
      </c>
      <c r="E1791">
        <v>0</v>
      </c>
      <c r="F1791">
        <v>2290.62</v>
      </c>
      <c r="G1791" t="s">
        <v>2017</v>
      </c>
      <c r="H1791" t="s">
        <v>2026</v>
      </c>
      <c r="I1791" t="s">
        <v>3817</v>
      </c>
      <c r="J1791" t="s">
        <v>4032</v>
      </c>
      <c r="K1791" t="s">
        <v>4052</v>
      </c>
      <c r="L1791">
        <v>2290.62</v>
      </c>
    </row>
    <row r="1792" spans="1:12">
      <c r="A1792" t="s">
        <v>1802</v>
      </c>
      <c r="B1792" s="2">
        <v>45150</v>
      </c>
      <c r="C1792">
        <v>5010</v>
      </c>
      <c r="D1792" t="s">
        <v>2015</v>
      </c>
      <c r="E1792">
        <v>1294.49</v>
      </c>
      <c r="F1792">
        <v>0</v>
      </c>
      <c r="G1792" t="s">
        <v>2018</v>
      </c>
      <c r="H1792" t="s">
        <v>2027</v>
      </c>
      <c r="I1792" t="s">
        <v>3818</v>
      </c>
      <c r="J1792" t="s">
        <v>4032</v>
      </c>
      <c r="K1792" t="s">
        <v>4037</v>
      </c>
      <c r="L1792">
        <v>-1294.49</v>
      </c>
    </row>
    <row r="1793" spans="1:12">
      <c r="A1793" t="s">
        <v>1803</v>
      </c>
      <c r="B1793" s="2">
        <v>45729</v>
      </c>
      <c r="C1793">
        <v>5010</v>
      </c>
      <c r="D1793" t="s">
        <v>2015</v>
      </c>
      <c r="E1793">
        <v>877.51</v>
      </c>
      <c r="F1793">
        <v>0</v>
      </c>
      <c r="G1793" t="s">
        <v>2021</v>
      </c>
      <c r="H1793" t="s">
        <v>2027</v>
      </c>
      <c r="I1793" t="s">
        <v>3819</v>
      </c>
      <c r="J1793" t="s">
        <v>4032</v>
      </c>
      <c r="K1793" t="s">
        <v>4046</v>
      </c>
      <c r="L1793">
        <v>-877.51</v>
      </c>
    </row>
    <row r="1794" spans="1:12">
      <c r="A1794" t="s">
        <v>1804</v>
      </c>
      <c r="B1794" s="2">
        <v>45624</v>
      </c>
      <c r="C1794">
        <v>4000</v>
      </c>
      <c r="D1794" t="s">
        <v>2012</v>
      </c>
      <c r="E1794">
        <v>0</v>
      </c>
      <c r="F1794">
        <v>2987.63</v>
      </c>
      <c r="G1794" t="s">
        <v>2018</v>
      </c>
      <c r="H1794" t="s">
        <v>2025</v>
      </c>
      <c r="I1794" t="s">
        <v>3820</v>
      </c>
      <c r="J1794" t="s">
        <v>4029</v>
      </c>
      <c r="K1794" t="s">
        <v>4043</v>
      </c>
      <c r="L1794">
        <v>2987.63</v>
      </c>
    </row>
    <row r="1795" spans="1:12">
      <c r="A1795" t="s">
        <v>1805</v>
      </c>
      <c r="B1795" s="2">
        <v>45322</v>
      </c>
      <c r="C1795">
        <v>5000</v>
      </c>
      <c r="D1795" t="s">
        <v>2013</v>
      </c>
      <c r="E1795">
        <v>1925.26</v>
      </c>
      <c r="F1795">
        <v>0</v>
      </c>
      <c r="G1795" t="s">
        <v>2021</v>
      </c>
      <c r="H1795" t="s">
        <v>2024</v>
      </c>
      <c r="I1795" t="s">
        <v>3821</v>
      </c>
      <c r="J1795" t="s">
        <v>4028</v>
      </c>
      <c r="K1795" t="s">
        <v>4053</v>
      </c>
      <c r="L1795">
        <v>-1925.26</v>
      </c>
    </row>
    <row r="1796" spans="1:12">
      <c r="A1796" t="s">
        <v>1806</v>
      </c>
      <c r="B1796" s="2">
        <v>45358</v>
      </c>
      <c r="C1796">
        <v>4000</v>
      </c>
      <c r="D1796" t="s">
        <v>2012</v>
      </c>
      <c r="E1796">
        <v>0</v>
      </c>
      <c r="F1796">
        <v>1216.3499999999999</v>
      </c>
      <c r="G1796" t="s">
        <v>2021</v>
      </c>
      <c r="H1796" t="s">
        <v>2026</v>
      </c>
      <c r="I1796" t="s">
        <v>3822</v>
      </c>
      <c r="J1796" t="s">
        <v>4032</v>
      </c>
      <c r="K1796" t="s">
        <v>4049</v>
      </c>
      <c r="L1796">
        <v>1216.3499999999999</v>
      </c>
    </row>
    <row r="1797" spans="1:12">
      <c r="A1797" t="s">
        <v>1807</v>
      </c>
      <c r="B1797" s="2">
        <v>45756</v>
      </c>
      <c r="C1797">
        <v>5010</v>
      </c>
      <c r="D1797" t="s">
        <v>2015</v>
      </c>
      <c r="E1797">
        <v>1553.28</v>
      </c>
      <c r="F1797">
        <v>0</v>
      </c>
      <c r="G1797" t="s">
        <v>2020</v>
      </c>
      <c r="H1797" t="s">
        <v>2024</v>
      </c>
      <c r="I1797" t="s">
        <v>3823</v>
      </c>
      <c r="J1797" t="s">
        <v>4031</v>
      </c>
      <c r="K1797" t="s">
        <v>4045</v>
      </c>
      <c r="L1797">
        <v>-1553.28</v>
      </c>
    </row>
    <row r="1798" spans="1:12">
      <c r="A1798" t="s">
        <v>1808</v>
      </c>
      <c r="B1798" s="2">
        <v>45494</v>
      </c>
      <c r="C1798">
        <v>4000</v>
      </c>
      <c r="D1798" t="s">
        <v>2012</v>
      </c>
      <c r="E1798">
        <v>0</v>
      </c>
      <c r="F1798">
        <v>1122.51</v>
      </c>
      <c r="G1798" t="s">
        <v>2020</v>
      </c>
      <c r="H1798" t="s">
        <v>2027</v>
      </c>
      <c r="I1798" t="s">
        <v>3824</v>
      </c>
      <c r="J1798" t="s">
        <v>4031</v>
      </c>
      <c r="K1798" t="s">
        <v>4054</v>
      </c>
      <c r="L1798">
        <v>1122.51</v>
      </c>
    </row>
    <row r="1799" spans="1:12">
      <c r="A1799" t="s">
        <v>1809</v>
      </c>
      <c r="B1799" s="2">
        <v>44969</v>
      </c>
      <c r="C1799">
        <v>6000</v>
      </c>
      <c r="D1799" t="s">
        <v>2014</v>
      </c>
      <c r="E1799">
        <v>1893.28</v>
      </c>
      <c r="F1799">
        <v>0</v>
      </c>
      <c r="G1799" t="s">
        <v>2020</v>
      </c>
      <c r="H1799" t="s">
        <v>2025</v>
      </c>
      <c r="I1799" t="s">
        <v>3825</v>
      </c>
      <c r="J1799" t="s">
        <v>4030</v>
      </c>
      <c r="K1799" t="s">
        <v>4057</v>
      </c>
      <c r="L1799">
        <v>-1893.28</v>
      </c>
    </row>
    <row r="1800" spans="1:12">
      <c r="A1800" t="s">
        <v>1810</v>
      </c>
      <c r="B1800" s="2">
        <v>45551</v>
      </c>
      <c r="C1800">
        <v>5000</v>
      </c>
      <c r="D1800" t="s">
        <v>2013</v>
      </c>
      <c r="E1800">
        <v>1667.55</v>
      </c>
      <c r="F1800">
        <v>0</v>
      </c>
      <c r="G1800" t="s">
        <v>2018</v>
      </c>
      <c r="H1800" t="s">
        <v>2023</v>
      </c>
      <c r="I1800" t="s">
        <v>3826</v>
      </c>
      <c r="J1800" t="s">
        <v>4029</v>
      </c>
      <c r="K1800" t="s">
        <v>4048</v>
      </c>
      <c r="L1800">
        <v>-1667.55</v>
      </c>
    </row>
    <row r="1801" spans="1:12">
      <c r="A1801" t="s">
        <v>1811</v>
      </c>
      <c r="B1801" s="2">
        <v>45280</v>
      </c>
      <c r="C1801">
        <v>5000</v>
      </c>
      <c r="D1801" t="s">
        <v>2013</v>
      </c>
      <c r="E1801">
        <v>1448.96</v>
      </c>
      <c r="F1801">
        <v>0</v>
      </c>
      <c r="G1801" t="s">
        <v>2017</v>
      </c>
      <c r="H1801" t="s">
        <v>2027</v>
      </c>
      <c r="I1801" t="s">
        <v>3827</v>
      </c>
      <c r="J1801" t="s">
        <v>4031</v>
      </c>
      <c r="K1801" t="s">
        <v>4039</v>
      </c>
      <c r="L1801">
        <v>-1448.96</v>
      </c>
    </row>
    <row r="1802" spans="1:12">
      <c r="A1802" t="s">
        <v>1812</v>
      </c>
      <c r="B1802" s="2">
        <v>45318</v>
      </c>
      <c r="C1802">
        <v>5010</v>
      </c>
      <c r="D1802" t="s">
        <v>2015</v>
      </c>
      <c r="E1802">
        <v>292.83999999999997</v>
      </c>
      <c r="F1802">
        <v>0</v>
      </c>
      <c r="G1802" t="s">
        <v>2020</v>
      </c>
      <c r="H1802" t="s">
        <v>2026</v>
      </c>
      <c r="I1802" t="s">
        <v>3828</v>
      </c>
      <c r="J1802" t="s">
        <v>4031</v>
      </c>
      <c r="K1802" t="s">
        <v>4053</v>
      </c>
      <c r="L1802">
        <v>-292.83999999999997</v>
      </c>
    </row>
    <row r="1803" spans="1:12">
      <c r="A1803" t="s">
        <v>1813</v>
      </c>
      <c r="B1803" s="2">
        <v>45245</v>
      </c>
      <c r="C1803">
        <v>5000</v>
      </c>
      <c r="D1803" t="s">
        <v>2013</v>
      </c>
      <c r="E1803">
        <v>1746.92</v>
      </c>
      <c r="F1803">
        <v>0</v>
      </c>
      <c r="G1803" t="s">
        <v>2019</v>
      </c>
      <c r="H1803" t="s">
        <v>2024</v>
      </c>
      <c r="I1803" t="s">
        <v>3829</v>
      </c>
      <c r="J1803" t="s">
        <v>4031</v>
      </c>
      <c r="K1803" t="s">
        <v>4042</v>
      </c>
      <c r="L1803">
        <v>-1746.92</v>
      </c>
    </row>
    <row r="1804" spans="1:12">
      <c r="A1804" t="s">
        <v>1814</v>
      </c>
      <c r="B1804" s="2">
        <v>45172</v>
      </c>
      <c r="C1804">
        <v>6000</v>
      </c>
      <c r="D1804" t="s">
        <v>2014</v>
      </c>
      <c r="E1804">
        <v>870.1</v>
      </c>
      <c r="F1804">
        <v>0</v>
      </c>
      <c r="G1804" t="s">
        <v>2021</v>
      </c>
      <c r="H1804" t="s">
        <v>2025</v>
      </c>
      <c r="I1804" t="s">
        <v>3830</v>
      </c>
      <c r="J1804" t="s">
        <v>4032</v>
      </c>
      <c r="K1804" t="s">
        <v>4036</v>
      </c>
      <c r="L1804">
        <v>-870.1</v>
      </c>
    </row>
    <row r="1805" spans="1:12">
      <c r="A1805" t="s">
        <v>1815</v>
      </c>
      <c r="B1805" s="2">
        <v>44986</v>
      </c>
      <c r="C1805">
        <v>5000</v>
      </c>
      <c r="D1805" t="s">
        <v>2013</v>
      </c>
      <c r="E1805">
        <v>1451.54</v>
      </c>
      <c r="F1805">
        <v>0</v>
      </c>
      <c r="G1805" t="s">
        <v>2019</v>
      </c>
      <c r="H1805" t="s">
        <v>2026</v>
      </c>
      <c r="I1805" t="s">
        <v>3831</v>
      </c>
      <c r="J1805" t="s">
        <v>4031</v>
      </c>
      <c r="K1805" t="s">
        <v>4051</v>
      </c>
      <c r="L1805">
        <v>-1451.54</v>
      </c>
    </row>
    <row r="1806" spans="1:12">
      <c r="A1806" t="s">
        <v>1816</v>
      </c>
      <c r="B1806" s="2">
        <v>45060</v>
      </c>
      <c r="C1806">
        <v>4010</v>
      </c>
      <c r="D1806" t="s">
        <v>2016</v>
      </c>
      <c r="E1806">
        <v>0</v>
      </c>
      <c r="F1806">
        <v>905.45</v>
      </c>
      <c r="G1806" t="s">
        <v>2017</v>
      </c>
      <c r="H1806" t="s">
        <v>2023</v>
      </c>
      <c r="I1806" t="s">
        <v>3832</v>
      </c>
      <c r="J1806" t="s">
        <v>4030</v>
      </c>
      <c r="K1806" t="s">
        <v>4062</v>
      </c>
      <c r="L1806">
        <v>905.45</v>
      </c>
    </row>
    <row r="1807" spans="1:12">
      <c r="A1807" t="s">
        <v>1817</v>
      </c>
      <c r="B1807" s="2">
        <v>45288</v>
      </c>
      <c r="C1807">
        <v>5000</v>
      </c>
      <c r="D1807" t="s">
        <v>2013</v>
      </c>
      <c r="E1807">
        <v>435.57</v>
      </c>
      <c r="F1807">
        <v>0</v>
      </c>
      <c r="G1807" t="s">
        <v>2019</v>
      </c>
      <c r="H1807" t="s">
        <v>2026</v>
      </c>
      <c r="I1807" t="s">
        <v>3833</v>
      </c>
      <c r="J1807" t="s">
        <v>4031</v>
      </c>
      <c r="K1807" t="s">
        <v>4039</v>
      </c>
      <c r="L1807">
        <v>-435.57</v>
      </c>
    </row>
    <row r="1808" spans="1:12">
      <c r="A1808" t="s">
        <v>1818</v>
      </c>
      <c r="B1808" s="2">
        <v>45728</v>
      </c>
      <c r="C1808">
        <v>4010</v>
      </c>
      <c r="D1808" t="s">
        <v>2016</v>
      </c>
      <c r="E1808">
        <v>0</v>
      </c>
      <c r="F1808">
        <v>1129.92</v>
      </c>
      <c r="G1808" t="s">
        <v>2022</v>
      </c>
      <c r="H1808" t="s">
        <v>2027</v>
      </c>
      <c r="I1808" t="s">
        <v>3834</v>
      </c>
      <c r="J1808" t="s">
        <v>4029</v>
      </c>
      <c r="K1808" t="s">
        <v>4046</v>
      </c>
      <c r="L1808">
        <v>1129.92</v>
      </c>
    </row>
    <row r="1809" spans="1:12">
      <c r="A1809" t="s">
        <v>1819</v>
      </c>
      <c r="B1809" s="2">
        <v>45008</v>
      </c>
      <c r="C1809">
        <v>5000</v>
      </c>
      <c r="D1809" t="s">
        <v>2013</v>
      </c>
      <c r="E1809">
        <v>956.25</v>
      </c>
      <c r="F1809">
        <v>0</v>
      </c>
      <c r="G1809" t="s">
        <v>2017</v>
      </c>
      <c r="H1809" t="s">
        <v>2026</v>
      </c>
      <c r="I1809" t="s">
        <v>3835</v>
      </c>
      <c r="J1809" t="s">
        <v>4029</v>
      </c>
      <c r="K1809" t="s">
        <v>4051</v>
      </c>
      <c r="L1809">
        <v>-956.25</v>
      </c>
    </row>
    <row r="1810" spans="1:12">
      <c r="A1810" t="s">
        <v>1820</v>
      </c>
      <c r="B1810" s="2">
        <v>45573</v>
      </c>
      <c r="C1810">
        <v>5000</v>
      </c>
      <c r="D1810" t="s">
        <v>2013</v>
      </c>
      <c r="E1810">
        <v>1866.55</v>
      </c>
      <c r="F1810">
        <v>0</v>
      </c>
      <c r="G1810" t="s">
        <v>2018</v>
      </c>
      <c r="H1810" t="s">
        <v>2023</v>
      </c>
      <c r="I1810" t="s">
        <v>3836</v>
      </c>
      <c r="J1810" t="s">
        <v>4029</v>
      </c>
      <c r="K1810" t="s">
        <v>4059</v>
      </c>
      <c r="L1810">
        <v>-1866.55</v>
      </c>
    </row>
    <row r="1811" spans="1:12">
      <c r="A1811" t="s">
        <v>1821</v>
      </c>
      <c r="B1811" s="2">
        <v>45815</v>
      </c>
      <c r="C1811">
        <v>5000</v>
      </c>
      <c r="D1811" t="s">
        <v>2013</v>
      </c>
      <c r="E1811">
        <v>1920.83</v>
      </c>
      <c r="F1811">
        <v>0</v>
      </c>
      <c r="G1811" t="s">
        <v>2020</v>
      </c>
      <c r="H1811" t="s">
        <v>2026</v>
      </c>
      <c r="I1811" t="s">
        <v>3837</v>
      </c>
      <c r="J1811" t="s">
        <v>4032</v>
      </c>
      <c r="K1811" t="s">
        <v>4052</v>
      </c>
      <c r="L1811">
        <v>-1920.83</v>
      </c>
    </row>
    <row r="1812" spans="1:12">
      <c r="A1812" t="s">
        <v>1822</v>
      </c>
      <c r="B1812" s="2">
        <v>45603</v>
      </c>
      <c r="C1812">
        <v>4000</v>
      </c>
      <c r="D1812" t="s">
        <v>2012</v>
      </c>
      <c r="E1812">
        <v>0</v>
      </c>
      <c r="F1812">
        <v>4953.79</v>
      </c>
      <c r="G1812" t="s">
        <v>2022</v>
      </c>
      <c r="H1812" t="s">
        <v>2024</v>
      </c>
      <c r="I1812" t="s">
        <v>3838</v>
      </c>
      <c r="J1812" t="s">
        <v>4032</v>
      </c>
      <c r="K1812" t="s">
        <v>4043</v>
      </c>
      <c r="L1812">
        <v>4953.79</v>
      </c>
    </row>
    <row r="1813" spans="1:12">
      <c r="A1813" t="s">
        <v>1823</v>
      </c>
      <c r="B1813" s="2">
        <v>45423</v>
      </c>
      <c r="C1813">
        <v>5000</v>
      </c>
      <c r="D1813" t="s">
        <v>2013</v>
      </c>
      <c r="E1813">
        <v>1790.29</v>
      </c>
      <c r="F1813">
        <v>0</v>
      </c>
      <c r="G1813" t="s">
        <v>2022</v>
      </c>
      <c r="H1813" t="s">
        <v>2024</v>
      </c>
      <c r="I1813" t="s">
        <v>3839</v>
      </c>
      <c r="J1813" t="s">
        <v>4028</v>
      </c>
      <c r="K1813" t="s">
        <v>4033</v>
      </c>
      <c r="L1813">
        <v>-1790.29</v>
      </c>
    </row>
    <row r="1814" spans="1:12">
      <c r="A1814" t="s">
        <v>1824</v>
      </c>
      <c r="B1814" s="2">
        <v>45802</v>
      </c>
      <c r="C1814">
        <v>4000</v>
      </c>
      <c r="D1814" t="s">
        <v>2012</v>
      </c>
      <c r="E1814">
        <v>0</v>
      </c>
      <c r="F1814">
        <v>523.59</v>
      </c>
      <c r="G1814" t="s">
        <v>2018</v>
      </c>
      <c r="H1814" t="s">
        <v>2026</v>
      </c>
      <c r="I1814" t="s">
        <v>3840</v>
      </c>
      <c r="J1814" t="s">
        <v>4032</v>
      </c>
      <c r="K1814" t="s">
        <v>4038</v>
      </c>
      <c r="L1814">
        <v>523.59</v>
      </c>
    </row>
    <row r="1815" spans="1:12">
      <c r="A1815" t="s">
        <v>1825</v>
      </c>
      <c r="B1815" s="2">
        <v>45298</v>
      </c>
      <c r="C1815">
        <v>5010</v>
      </c>
      <c r="D1815" t="s">
        <v>2015</v>
      </c>
      <c r="E1815">
        <v>200.91</v>
      </c>
      <c r="F1815">
        <v>0</v>
      </c>
      <c r="G1815" t="s">
        <v>2021</v>
      </c>
      <c r="H1815" t="s">
        <v>2026</v>
      </c>
      <c r="I1815" t="s">
        <v>3841</v>
      </c>
      <c r="J1815" t="s">
        <v>4031</v>
      </c>
      <c r="K1815" t="s">
        <v>4053</v>
      </c>
      <c r="L1815">
        <v>-200.91</v>
      </c>
    </row>
    <row r="1816" spans="1:12">
      <c r="A1816" t="s">
        <v>1826</v>
      </c>
      <c r="B1816" s="2">
        <v>45612</v>
      </c>
      <c r="C1816">
        <v>6000</v>
      </c>
      <c r="D1816" t="s">
        <v>2014</v>
      </c>
      <c r="E1816">
        <v>219.39</v>
      </c>
      <c r="F1816">
        <v>0</v>
      </c>
      <c r="G1816" t="s">
        <v>2018</v>
      </c>
      <c r="H1816" t="s">
        <v>2027</v>
      </c>
      <c r="I1816" t="s">
        <v>3842</v>
      </c>
      <c r="J1816" t="s">
        <v>4032</v>
      </c>
      <c r="K1816" t="s">
        <v>4043</v>
      </c>
      <c r="L1816">
        <v>-219.39</v>
      </c>
    </row>
    <row r="1817" spans="1:12">
      <c r="A1817" t="s">
        <v>1827</v>
      </c>
      <c r="B1817" s="2">
        <v>45000</v>
      </c>
      <c r="C1817">
        <v>5010</v>
      </c>
      <c r="D1817" t="s">
        <v>2015</v>
      </c>
      <c r="E1817">
        <v>1274.73</v>
      </c>
      <c r="F1817">
        <v>0</v>
      </c>
      <c r="G1817" t="s">
        <v>2022</v>
      </c>
      <c r="H1817" t="s">
        <v>2027</v>
      </c>
      <c r="I1817" t="s">
        <v>3843</v>
      </c>
      <c r="J1817" t="s">
        <v>4032</v>
      </c>
      <c r="K1817" t="s">
        <v>4051</v>
      </c>
      <c r="L1817">
        <v>-1274.73</v>
      </c>
    </row>
    <row r="1818" spans="1:12">
      <c r="A1818" t="s">
        <v>1828</v>
      </c>
      <c r="B1818" s="2">
        <v>45775</v>
      </c>
      <c r="C1818">
        <v>5000</v>
      </c>
      <c r="D1818" t="s">
        <v>2013</v>
      </c>
      <c r="E1818">
        <v>692.56</v>
      </c>
      <c r="F1818">
        <v>0</v>
      </c>
      <c r="G1818" t="s">
        <v>2017</v>
      </c>
      <c r="H1818" t="s">
        <v>2023</v>
      </c>
      <c r="I1818" t="s">
        <v>3844</v>
      </c>
      <c r="J1818" t="s">
        <v>4030</v>
      </c>
      <c r="K1818" t="s">
        <v>4045</v>
      </c>
      <c r="L1818">
        <v>-692.56</v>
      </c>
    </row>
    <row r="1819" spans="1:12">
      <c r="A1819" t="s">
        <v>1829</v>
      </c>
      <c r="B1819" s="2">
        <v>45704</v>
      </c>
      <c r="C1819">
        <v>5000</v>
      </c>
      <c r="D1819" t="s">
        <v>2013</v>
      </c>
      <c r="E1819">
        <v>1914.11</v>
      </c>
      <c r="F1819">
        <v>0</v>
      </c>
      <c r="G1819" t="s">
        <v>2022</v>
      </c>
      <c r="H1819" t="s">
        <v>2026</v>
      </c>
      <c r="I1819" t="s">
        <v>3845</v>
      </c>
      <c r="J1819" t="s">
        <v>4029</v>
      </c>
      <c r="K1819" t="s">
        <v>4061</v>
      </c>
      <c r="L1819">
        <v>-1914.11</v>
      </c>
    </row>
    <row r="1820" spans="1:12">
      <c r="A1820" t="s">
        <v>1830</v>
      </c>
      <c r="B1820" s="2">
        <v>45027</v>
      </c>
      <c r="C1820">
        <v>5010</v>
      </c>
      <c r="D1820" t="s">
        <v>2015</v>
      </c>
      <c r="E1820">
        <v>1033.2</v>
      </c>
      <c r="F1820">
        <v>0</v>
      </c>
      <c r="G1820" t="s">
        <v>2018</v>
      </c>
      <c r="H1820" t="s">
        <v>2023</v>
      </c>
      <c r="I1820" t="s">
        <v>3846</v>
      </c>
      <c r="J1820" t="s">
        <v>4030</v>
      </c>
      <c r="K1820" t="s">
        <v>4041</v>
      </c>
      <c r="L1820">
        <v>-1033.2</v>
      </c>
    </row>
    <row r="1821" spans="1:12">
      <c r="A1821" t="s">
        <v>1831</v>
      </c>
      <c r="B1821" s="2">
        <v>44958</v>
      </c>
      <c r="C1821">
        <v>4010</v>
      </c>
      <c r="D1821" t="s">
        <v>2016</v>
      </c>
      <c r="E1821">
        <v>0</v>
      </c>
      <c r="F1821">
        <v>2648.51</v>
      </c>
      <c r="G1821" t="s">
        <v>2020</v>
      </c>
      <c r="H1821" t="s">
        <v>2024</v>
      </c>
      <c r="I1821" t="s">
        <v>3847</v>
      </c>
      <c r="J1821" t="s">
        <v>4032</v>
      </c>
      <c r="K1821" t="s">
        <v>4057</v>
      </c>
      <c r="L1821">
        <v>2648.51</v>
      </c>
    </row>
    <row r="1822" spans="1:12">
      <c r="A1822" t="s">
        <v>1832</v>
      </c>
      <c r="B1822" s="2">
        <v>45118</v>
      </c>
      <c r="C1822">
        <v>4000</v>
      </c>
      <c r="D1822" t="s">
        <v>2012</v>
      </c>
      <c r="E1822">
        <v>0</v>
      </c>
      <c r="F1822">
        <v>737.9</v>
      </c>
      <c r="G1822" t="s">
        <v>2022</v>
      </c>
      <c r="H1822" t="s">
        <v>2024</v>
      </c>
      <c r="I1822" t="s">
        <v>3848</v>
      </c>
      <c r="J1822" t="s">
        <v>4029</v>
      </c>
      <c r="K1822" t="s">
        <v>4050</v>
      </c>
      <c r="L1822">
        <v>737.9</v>
      </c>
    </row>
    <row r="1823" spans="1:12">
      <c r="A1823" t="s">
        <v>1833</v>
      </c>
      <c r="B1823" s="2">
        <v>45289</v>
      </c>
      <c r="C1823">
        <v>6000</v>
      </c>
      <c r="D1823" t="s">
        <v>2014</v>
      </c>
      <c r="E1823">
        <v>323.47000000000003</v>
      </c>
      <c r="F1823">
        <v>0</v>
      </c>
      <c r="G1823" t="s">
        <v>2020</v>
      </c>
      <c r="H1823" t="s">
        <v>2025</v>
      </c>
      <c r="I1823" t="s">
        <v>3849</v>
      </c>
      <c r="J1823" t="s">
        <v>4031</v>
      </c>
      <c r="K1823" t="s">
        <v>4039</v>
      </c>
      <c r="L1823">
        <v>-323.47000000000003</v>
      </c>
    </row>
    <row r="1824" spans="1:12">
      <c r="A1824" t="s">
        <v>1834</v>
      </c>
      <c r="B1824" s="2">
        <v>45410</v>
      </c>
      <c r="C1824">
        <v>5010</v>
      </c>
      <c r="D1824" t="s">
        <v>2015</v>
      </c>
      <c r="E1824">
        <v>728.68</v>
      </c>
      <c r="F1824">
        <v>0</v>
      </c>
      <c r="G1824" t="s">
        <v>2018</v>
      </c>
      <c r="H1824" t="s">
        <v>2024</v>
      </c>
      <c r="I1824" t="s">
        <v>3850</v>
      </c>
      <c r="J1824" t="s">
        <v>4032</v>
      </c>
      <c r="K1824" t="s">
        <v>4040</v>
      </c>
      <c r="L1824">
        <v>-728.68</v>
      </c>
    </row>
    <row r="1825" spans="1:12">
      <c r="A1825" t="s">
        <v>1835</v>
      </c>
      <c r="B1825" s="2">
        <v>45374</v>
      </c>
      <c r="C1825">
        <v>5000</v>
      </c>
      <c r="D1825" t="s">
        <v>2013</v>
      </c>
      <c r="E1825">
        <v>1625.93</v>
      </c>
      <c r="F1825">
        <v>0</v>
      </c>
      <c r="G1825" t="s">
        <v>2020</v>
      </c>
      <c r="H1825" t="s">
        <v>2023</v>
      </c>
      <c r="I1825" t="s">
        <v>3851</v>
      </c>
      <c r="J1825" t="s">
        <v>4029</v>
      </c>
      <c r="K1825" t="s">
        <v>4049</v>
      </c>
      <c r="L1825">
        <v>-1625.93</v>
      </c>
    </row>
    <row r="1826" spans="1:12">
      <c r="A1826" t="s">
        <v>1836</v>
      </c>
      <c r="B1826" s="2">
        <v>45474</v>
      </c>
      <c r="C1826">
        <v>4000</v>
      </c>
      <c r="D1826" t="s">
        <v>2012</v>
      </c>
      <c r="E1826">
        <v>0</v>
      </c>
      <c r="F1826">
        <v>166.02</v>
      </c>
      <c r="G1826" t="s">
        <v>2019</v>
      </c>
      <c r="H1826" t="s">
        <v>2023</v>
      </c>
      <c r="I1826" t="s">
        <v>3852</v>
      </c>
      <c r="J1826" t="s">
        <v>4029</v>
      </c>
      <c r="K1826" t="s">
        <v>4054</v>
      </c>
      <c r="L1826">
        <v>166.02</v>
      </c>
    </row>
    <row r="1827" spans="1:12">
      <c r="A1827" t="s">
        <v>1837</v>
      </c>
      <c r="B1827" s="2">
        <v>45492</v>
      </c>
      <c r="C1827">
        <v>5000</v>
      </c>
      <c r="D1827" t="s">
        <v>2013</v>
      </c>
      <c r="E1827">
        <v>510</v>
      </c>
      <c r="F1827">
        <v>0</v>
      </c>
      <c r="G1827" t="s">
        <v>2019</v>
      </c>
      <c r="H1827" t="s">
        <v>2025</v>
      </c>
      <c r="I1827" t="s">
        <v>3853</v>
      </c>
      <c r="J1827" t="s">
        <v>4030</v>
      </c>
      <c r="K1827" t="s">
        <v>4054</v>
      </c>
      <c r="L1827">
        <v>-510</v>
      </c>
    </row>
    <row r="1828" spans="1:12">
      <c r="A1828" t="s">
        <v>1838</v>
      </c>
      <c r="B1828" s="2">
        <v>45574</v>
      </c>
      <c r="C1828">
        <v>4010</v>
      </c>
      <c r="D1828" t="s">
        <v>2016</v>
      </c>
      <c r="E1828">
        <v>0</v>
      </c>
      <c r="F1828">
        <v>1743.21</v>
      </c>
      <c r="G1828" t="s">
        <v>2022</v>
      </c>
      <c r="H1828" t="s">
        <v>2025</v>
      </c>
      <c r="I1828" t="s">
        <v>3854</v>
      </c>
      <c r="J1828" t="s">
        <v>4028</v>
      </c>
      <c r="K1828" t="s">
        <v>4059</v>
      </c>
      <c r="L1828">
        <v>1743.21</v>
      </c>
    </row>
    <row r="1829" spans="1:12">
      <c r="A1829" t="s">
        <v>1839</v>
      </c>
      <c r="B1829" s="2">
        <v>45488</v>
      </c>
      <c r="C1829">
        <v>5010</v>
      </c>
      <c r="D1829" t="s">
        <v>2015</v>
      </c>
      <c r="E1829">
        <v>652.48</v>
      </c>
      <c r="F1829">
        <v>0</v>
      </c>
      <c r="G1829" t="s">
        <v>2017</v>
      </c>
      <c r="H1829" t="s">
        <v>2023</v>
      </c>
      <c r="I1829" t="s">
        <v>3855</v>
      </c>
      <c r="J1829" t="s">
        <v>4030</v>
      </c>
      <c r="K1829" t="s">
        <v>4054</v>
      </c>
      <c r="L1829">
        <v>-652.48</v>
      </c>
    </row>
    <row r="1830" spans="1:12">
      <c r="A1830" t="s">
        <v>1840</v>
      </c>
      <c r="B1830" s="2">
        <v>45247</v>
      </c>
      <c r="C1830">
        <v>5000</v>
      </c>
      <c r="D1830" t="s">
        <v>2013</v>
      </c>
      <c r="E1830">
        <v>710.38</v>
      </c>
      <c r="F1830">
        <v>0</v>
      </c>
      <c r="G1830" t="s">
        <v>2017</v>
      </c>
      <c r="H1830" t="s">
        <v>2027</v>
      </c>
      <c r="I1830" t="s">
        <v>3856</v>
      </c>
      <c r="J1830" t="s">
        <v>4029</v>
      </c>
      <c r="K1830" t="s">
        <v>4042</v>
      </c>
      <c r="L1830">
        <v>-710.38</v>
      </c>
    </row>
    <row r="1831" spans="1:12">
      <c r="A1831" t="s">
        <v>1841</v>
      </c>
      <c r="B1831" s="2">
        <v>45717</v>
      </c>
      <c r="C1831">
        <v>4010</v>
      </c>
      <c r="D1831" t="s">
        <v>2016</v>
      </c>
      <c r="E1831">
        <v>0</v>
      </c>
      <c r="F1831">
        <v>4569.3500000000004</v>
      </c>
      <c r="G1831" t="s">
        <v>2017</v>
      </c>
      <c r="H1831" t="s">
        <v>2026</v>
      </c>
      <c r="I1831" t="s">
        <v>3857</v>
      </c>
      <c r="J1831" t="s">
        <v>4029</v>
      </c>
      <c r="K1831" t="s">
        <v>4046</v>
      </c>
      <c r="L1831">
        <v>4569.3500000000004</v>
      </c>
    </row>
    <row r="1832" spans="1:12">
      <c r="A1832" t="s">
        <v>1842</v>
      </c>
      <c r="B1832" s="2">
        <v>45596</v>
      </c>
      <c r="C1832">
        <v>5000</v>
      </c>
      <c r="D1832" t="s">
        <v>2013</v>
      </c>
      <c r="E1832">
        <v>1247.49</v>
      </c>
      <c r="F1832">
        <v>0</v>
      </c>
      <c r="G1832" t="s">
        <v>2021</v>
      </c>
      <c r="H1832" t="s">
        <v>2025</v>
      </c>
      <c r="I1832" t="s">
        <v>3858</v>
      </c>
      <c r="J1832" t="s">
        <v>4030</v>
      </c>
      <c r="K1832" t="s">
        <v>4059</v>
      </c>
      <c r="L1832">
        <v>-1247.49</v>
      </c>
    </row>
    <row r="1833" spans="1:12">
      <c r="A1833" t="s">
        <v>1843</v>
      </c>
      <c r="B1833" s="2">
        <v>45467</v>
      </c>
      <c r="C1833">
        <v>6000</v>
      </c>
      <c r="D1833" t="s">
        <v>2014</v>
      </c>
      <c r="E1833">
        <v>153.35</v>
      </c>
      <c r="F1833">
        <v>0</v>
      </c>
      <c r="G1833" t="s">
        <v>2021</v>
      </c>
      <c r="H1833" t="s">
        <v>2025</v>
      </c>
      <c r="I1833" t="s">
        <v>3859</v>
      </c>
      <c r="J1833" t="s">
        <v>4032</v>
      </c>
      <c r="K1833" t="s">
        <v>4034</v>
      </c>
      <c r="L1833">
        <v>-153.35</v>
      </c>
    </row>
    <row r="1834" spans="1:12">
      <c r="A1834" t="s">
        <v>1844</v>
      </c>
      <c r="B1834" s="2">
        <v>45711</v>
      </c>
      <c r="C1834">
        <v>4010</v>
      </c>
      <c r="D1834" t="s">
        <v>2016</v>
      </c>
      <c r="E1834">
        <v>0</v>
      </c>
      <c r="F1834">
        <v>432.36</v>
      </c>
      <c r="G1834" t="s">
        <v>2017</v>
      </c>
      <c r="H1834" t="s">
        <v>2025</v>
      </c>
      <c r="I1834" t="s">
        <v>3860</v>
      </c>
      <c r="J1834" t="s">
        <v>4030</v>
      </c>
      <c r="K1834" t="s">
        <v>4061</v>
      </c>
      <c r="L1834">
        <v>432.36</v>
      </c>
    </row>
    <row r="1835" spans="1:12">
      <c r="A1835" t="s">
        <v>1845</v>
      </c>
      <c r="B1835" s="2">
        <v>45712</v>
      </c>
      <c r="C1835">
        <v>5010</v>
      </c>
      <c r="D1835" t="s">
        <v>2015</v>
      </c>
      <c r="E1835">
        <v>283.95999999999998</v>
      </c>
      <c r="F1835">
        <v>0</v>
      </c>
      <c r="G1835" t="s">
        <v>2018</v>
      </c>
      <c r="H1835" t="s">
        <v>2023</v>
      </c>
      <c r="I1835" t="s">
        <v>3861</v>
      </c>
      <c r="J1835" t="s">
        <v>4031</v>
      </c>
      <c r="K1835" t="s">
        <v>4061</v>
      </c>
      <c r="L1835">
        <v>-283.95999999999998</v>
      </c>
    </row>
    <row r="1836" spans="1:12">
      <c r="A1836" t="s">
        <v>1846</v>
      </c>
      <c r="B1836" s="2">
        <v>44966</v>
      </c>
      <c r="C1836">
        <v>5000</v>
      </c>
      <c r="D1836" t="s">
        <v>2013</v>
      </c>
      <c r="E1836">
        <v>1915.58</v>
      </c>
      <c r="F1836">
        <v>0</v>
      </c>
      <c r="G1836" t="s">
        <v>2021</v>
      </c>
      <c r="H1836" t="s">
        <v>2027</v>
      </c>
      <c r="I1836" t="s">
        <v>3862</v>
      </c>
      <c r="J1836" t="s">
        <v>4031</v>
      </c>
      <c r="K1836" t="s">
        <v>4057</v>
      </c>
      <c r="L1836">
        <v>-1915.58</v>
      </c>
    </row>
    <row r="1837" spans="1:12">
      <c r="A1837" t="s">
        <v>1847</v>
      </c>
      <c r="B1837" s="2">
        <v>45025</v>
      </c>
      <c r="C1837">
        <v>5000</v>
      </c>
      <c r="D1837" t="s">
        <v>2013</v>
      </c>
      <c r="E1837">
        <v>229.78</v>
      </c>
      <c r="F1837">
        <v>0</v>
      </c>
      <c r="G1837" t="s">
        <v>2020</v>
      </c>
      <c r="H1837" t="s">
        <v>2026</v>
      </c>
      <c r="I1837" t="s">
        <v>3863</v>
      </c>
      <c r="J1837" t="s">
        <v>4028</v>
      </c>
      <c r="K1837" t="s">
        <v>4041</v>
      </c>
      <c r="L1837">
        <v>-229.78</v>
      </c>
    </row>
    <row r="1838" spans="1:12">
      <c r="A1838" t="s">
        <v>1848</v>
      </c>
      <c r="B1838" s="2">
        <v>45651</v>
      </c>
      <c r="C1838">
        <v>6000</v>
      </c>
      <c r="D1838" t="s">
        <v>2014</v>
      </c>
      <c r="E1838">
        <v>1583.41</v>
      </c>
      <c r="F1838">
        <v>0</v>
      </c>
      <c r="G1838" t="s">
        <v>2018</v>
      </c>
      <c r="H1838" t="s">
        <v>2023</v>
      </c>
      <c r="I1838" t="s">
        <v>3864</v>
      </c>
      <c r="J1838" t="s">
        <v>4029</v>
      </c>
      <c r="K1838" t="s">
        <v>4056</v>
      </c>
      <c r="L1838">
        <v>-1583.41</v>
      </c>
    </row>
    <row r="1839" spans="1:12">
      <c r="A1839" t="s">
        <v>1849</v>
      </c>
      <c r="B1839" s="2">
        <v>44978</v>
      </c>
      <c r="C1839">
        <v>4010</v>
      </c>
      <c r="D1839" t="s">
        <v>2016</v>
      </c>
      <c r="E1839">
        <v>0</v>
      </c>
      <c r="F1839">
        <v>4316.26</v>
      </c>
      <c r="G1839" t="s">
        <v>2018</v>
      </c>
      <c r="H1839" t="s">
        <v>2027</v>
      </c>
      <c r="I1839" t="s">
        <v>3865</v>
      </c>
      <c r="J1839" t="s">
        <v>4028</v>
      </c>
      <c r="K1839" t="s">
        <v>4057</v>
      </c>
      <c r="L1839">
        <v>4316.26</v>
      </c>
    </row>
    <row r="1840" spans="1:12">
      <c r="A1840" t="s">
        <v>1850</v>
      </c>
      <c r="B1840" s="2">
        <v>45460</v>
      </c>
      <c r="C1840">
        <v>4000</v>
      </c>
      <c r="D1840" t="s">
        <v>2012</v>
      </c>
      <c r="E1840">
        <v>0</v>
      </c>
      <c r="F1840">
        <v>887.28</v>
      </c>
      <c r="G1840" t="s">
        <v>2017</v>
      </c>
      <c r="H1840" t="s">
        <v>2026</v>
      </c>
      <c r="I1840" t="s">
        <v>3866</v>
      </c>
      <c r="J1840" t="s">
        <v>4029</v>
      </c>
      <c r="K1840" t="s">
        <v>4034</v>
      </c>
      <c r="L1840">
        <v>887.28</v>
      </c>
    </row>
    <row r="1841" spans="1:12">
      <c r="A1841" t="s">
        <v>1851</v>
      </c>
      <c r="B1841" s="2">
        <v>45831</v>
      </c>
      <c r="C1841">
        <v>4010</v>
      </c>
      <c r="D1841" t="s">
        <v>2016</v>
      </c>
      <c r="E1841">
        <v>0</v>
      </c>
      <c r="F1841">
        <v>1446.64</v>
      </c>
      <c r="G1841" t="s">
        <v>2018</v>
      </c>
      <c r="H1841" t="s">
        <v>2025</v>
      </c>
      <c r="I1841" t="s">
        <v>3867</v>
      </c>
      <c r="J1841" t="s">
        <v>4029</v>
      </c>
      <c r="K1841" t="s">
        <v>4052</v>
      </c>
      <c r="L1841">
        <v>1446.64</v>
      </c>
    </row>
    <row r="1842" spans="1:12">
      <c r="A1842" t="s">
        <v>1852</v>
      </c>
      <c r="B1842" s="2">
        <v>45615</v>
      </c>
      <c r="C1842">
        <v>5010</v>
      </c>
      <c r="D1842" t="s">
        <v>2015</v>
      </c>
      <c r="E1842">
        <v>794.56</v>
      </c>
      <c r="F1842">
        <v>0</v>
      </c>
      <c r="G1842" t="s">
        <v>2022</v>
      </c>
      <c r="H1842" t="s">
        <v>2027</v>
      </c>
      <c r="I1842" t="s">
        <v>3868</v>
      </c>
      <c r="J1842" t="s">
        <v>4031</v>
      </c>
      <c r="K1842" t="s">
        <v>4043</v>
      </c>
      <c r="L1842">
        <v>-794.56</v>
      </c>
    </row>
    <row r="1843" spans="1:12">
      <c r="A1843" t="s">
        <v>1853</v>
      </c>
      <c r="B1843" s="2">
        <v>44993</v>
      </c>
      <c r="C1843">
        <v>4000</v>
      </c>
      <c r="D1843" t="s">
        <v>2012</v>
      </c>
      <c r="E1843">
        <v>0</v>
      </c>
      <c r="F1843">
        <v>1094.51</v>
      </c>
      <c r="G1843" t="s">
        <v>2018</v>
      </c>
      <c r="H1843" t="s">
        <v>2025</v>
      </c>
      <c r="I1843" t="s">
        <v>3869</v>
      </c>
      <c r="J1843" t="s">
        <v>4031</v>
      </c>
      <c r="K1843" t="s">
        <v>4051</v>
      </c>
      <c r="L1843">
        <v>1094.51</v>
      </c>
    </row>
    <row r="1844" spans="1:12">
      <c r="A1844" t="s">
        <v>1854</v>
      </c>
      <c r="B1844" s="2">
        <v>45421</v>
      </c>
      <c r="C1844">
        <v>4010</v>
      </c>
      <c r="D1844" t="s">
        <v>2016</v>
      </c>
      <c r="E1844">
        <v>0</v>
      </c>
      <c r="F1844">
        <v>1492.82</v>
      </c>
      <c r="G1844" t="s">
        <v>2019</v>
      </c>
      <c r="H1844" t="s">
        <v>2026</v>
      </c>
      <c r="I1844" t="s">
        <v>3870</v>
      </c>
      <c r="J1844" t="s">
        <v>4031</v>
      </c>
      <c r="K1844" t="s">
        <v>4033</v>
      </c>
      <c r="L1844">
        <v>1492.82</v>
      </c>
    </row>
    <row r="1845" spans="1:12">
      <c r="A1845" t="s">
        <v>1855</v>
      </c>
      <c r="B1845" s="2">
        <v>45660</v>
      </c>
      <c r="C1845">
        <v>4000</v>
      </c>
      <c r="D1845" t="s">
        <v>2012</v>
      </c>
      <c r="E1845">
        <v>0</v>
      </c>
      <c r="F1845">
        <v>1521.98</v>
      </c>
      <c r="G1845" t="s">
        <v>2020</v>
      </c>
      <c r="H1845" t="s">
        <v>2025</v>
      </c>
      <c r="I1845" t="s">
        <v>3871</v>
      </c>
      <c r="J1845" t="s">
        <v>4028</v>
      </c>
      <c r="K1845" t="s">
        <v>4035</v>
      </c>
      <c r="L1845">
        <v>1521.98</v>
      </c>
    </row>
    <row r="1846" spans="1:12">
      <c r="A1846" t="s">
        <v>1856</v>
      </c>
      <c r="B1846" s="2">
        <v>45527</v>
      </c>
      <c r="C1846">
        <v>5010</v>
      </c>
      <c r="D1846" t="s">
        <v>2015</v>
      </c>
      <c r="E1846">
        <v>597.86</v>
      </c>
      <c r="F1846">
        <v>0</v>
      </c>
      <c r="G1846" t="s">
        <v>2020</v>
      </c>
      <c r="H1846" t="s">
        <v>2027</v>
      </c>
      <c r="I1846" t="s">
        <v>3872</v>
      </c>
      <c r="J1846" t="s">
        <v>4029</v>
      </c>
      <c r="K1846" t="s">
        <v>4058</v>
      </c>
      <c r="L1846">
        <v>-597.86</v>
      </c>
    </row>
    <row r="1847" spans="1:12">
      <c r="A1847" t="s">
        <v>1857</v>
      </c>
      <c r="B1847" s="2">
        <v>45312</v>
      </c>
      <c r="C1847">
        <v>6000</v>
      </c>
      <c r="D1847" t="s">
        <v>2014</v>
      </c>
      <c r="E1847">
        <v>106.18</v>
      </c>
      <c r="F1847">
        <v>0</v>
      </c>
      <c r="G1847" t="s">
        <v>2020</v>
      </c>
      <c r="H1847" t="s">
        <v>2026</v>
      </c>
      <c r="I1847" t="s">
        <v>3873</v>
      </c>
      <c r="J1847" t="s">
        <v>4031</v>
      </c>
      <c r="K1847" t="s">
        <v>4053</v>
      </c>
      <c r="L1847">
        <v>-106.18</v>
      </c>
    </row>
    <row r="1848" spans="1:12">
      <c r="A1848" t="s">
        <v>1858</v>
      </c>
      <c r="B1848" s="2">
        <v>45118</v>
      </c>
      <c r="C1848">
        <v>5010</v>
      </c>
      <c r="D1848" t="s">
        <v>2015</v>
      </c>
      <c r="E1848">
        <v>446.48</v>
      </c>
      <c r="F1848">
        <v>0</v>
      </c>
      <c r="G1848" t="s">
        <v>2017</v>
      </c>
      <c r="H1848" t="s">
        <v>2026</v>
      </c>
      <c r="I1848" t="s">
        <v>3874</v>
      </c>
      <c r="J1848" t="s">
        <v>4028</v>
      </c>
      <c r="K1848" t="s">
        <v>4050</v>
      </c>
      <c r="L1848">
        <v>-446.48</v>
      </c>
    </row>
    <row r="1849" spans="1:12">
      <c r="A1849" t="s">
        <v>1859</v>
      </c>
      <c r="B1849" s="2">
        <v>45645</v>
      </c>
      <c r="C1849">
        <v>6000</v>
      </c>
      <c r="D1849" t="s">
        <v>2014</v>
      </c>
      <c r="E1849">
        <v>405.28</v>
      </c>
      <c r="F1849">
        <v>0</v>
      </c>
      <c r="G1849" t="s">
        <v>2018</v>
      </c>
      <c r="H1849" t="s">
        <v>2025</v>
      </c>
      <c r="I1849" t="s">
        <v>3875</v>
      </c>
      <c r="J1849" t="s">
        <v>4028</v>
      </c>
      <c r="K1849" t="s">
        <v>4056</v>
      </c>
      <c r="L1849">
        <v>-405.28</v>
      </c>
    </row>
    <row r="1850" spans="1:12">
      <c r="A1850" t="s">
        <v>1860</v>
      </c>
      <c r="B1850" s="2">
        <v>45120</v>
      </c>
      <c r="C1850">
        <v>5000</v>
      </c>
      <c r="D1850" t="s">
        <v>2013</v>
      </c>
      <c r="E1850">
        <v>1418.69</v>
      </c>
      <c r="F1850">
        <v>0</v>
      </c>
      <c r="G1850" t="s">
        <v>2018</v>
      </c>
      <c r="H1850" t="s">
        <v>2024</v>
      </c>
      <c r="I1850" t="s">
        <v>3876</v>
      </c>
      <c r="J1850" t="s">
        <v>4031</v>
      </c>
      <c r="K1850" t="s">
        <v>4050</v>
      </c>
      <c r="L1850">
        <v>-1418.69</v>
      </c>
    </row>
    <row r="1851" spans="1:12">
      <c r="A1851" t="s">
        <v>1861</v>
      </c>
      <c r="B1851" s="2">
        <v>45714</v>
      </c>
      <c r="C1851">
        <v>6000</v>
      </c>
      <c r="D1851" t="s">
        <v>2014</v>
      </c>
      <c r="E1851">
        <v>622.67999999999995</v>
      </c>
      <c r="F1851">
        <v>0</v>
      </c>
      <c r="G1851" t="s">
        <v>2018</v>
      </c>
      <c r="H1851" t="s">
        <v>2026</v>
      </c>
      <c r="I1851" t="s">
        <v>3877</v>
      </c>
      <c r="J1851" t="s">
        <v>4031</v>
      </c>
      <c r="K1851" t="s">
        <v>4061</v>
      </c>
      <c r="L1851">
        <v>-622.67999999999995</v>
      </c>
    </row>
    <row r="1852" spans="1:12">
      <c r="A1852" t="s">
        <v>1862</v>
      </c>
      <c r="B1852" s="2">
        <v>45536</v>
      </c>
      <c r="C1852">
        <v>6000</v>
      </c>
      <c r="D1852" t="s">
        <v>2014</v>
      </c>
      <c r="E1852">
        <v>568.46</v>
      </c>
      <c r="F1852">
        <v>0</v>
      </c>
      <c r="G1852" t="s">
        <v>2018</v>
      </c>
      <c r="H1852" t="s">
        <v>2023</v>
      </c>
      <c r="I1852" t="s">
        <v>3878</v>
      </c>
      <c r="J1852" t="s">
        <v>4030</v>
      </c>
      <c r="K1852" t="s">
        <v>4048</v>
      </c>
      <c r="L1852">
        <v>-568.46</v>
      </c>
    </row>
    <row r="1853" spans="1:12">
      <c r="A1853" t="s">
        <v>1863</v>
      </c>
      <c r="B1853" s="2">
        <v>45151</v>
      </c>
      <c r="C1853">
        <v>5000</v>
      </c>
      <c r="D1853" t="s">
        <v>2013</v>
      </c>
      <c r="E1853">
        <v>544.71</v>
      </c>
      <c r="F1853">
        <v>0</v>
      </c>
      <c r="G1853" t="s">
        <v>2022</v>
      </c>
      <c r="H1853" t="s">
        <v>2027</v>
      </c>
      <c r="I1853" t="s">
        <v>3879</v>
      </c>
      <c r="J1853" t="s">
        <v>4032</v>
      </c>
      <c r="K1853" t="s">
        <v>4037</v>
      </c>
      <c r="L1853">
        <v>-544.71</v>
      </c>
    </row>
    <row r="1854" spans="1:12">
      <c r="A1854" t="s">
        <v>1864</v>
      </c>
      <c r="B1854" s="2">
        <v>44945</v>
      </c>
      <c r="C1854">
        <v>5000</v>
      </c>
      <c r="D1854" t="s">
        <v>2013</v>
      </c>
      <c r="E1854">
        <v>1849.24</v>
      </c>
      <c r="F1854">
        <v>0</v>
      </c>
      <c r="G1854" t="s">
        <v>2020</v>
      </c>
      <c r="H1854" t="s">
        <v>2025</v>
      </c>
      <c r="I1854" t="s">
        <v>3880</v>
      </c>
      <c r="J1854" t="s">
        <v>4031</v>
      </c>
      <c r="K1854" t="s">
        <v>4047</v>
      </c>
      <c r="L1854">
        <v>-1849.24</v>
      </c>
    </row>
    <row r="1855" spans="1:12">
      <c r="A1855" t="s">
        <v>1865</v>
      </c>
      <c r="B1855" s="2">
        <v>45533</v>
      </c>
      <c r="C1855">
        <v>6000</v>
      </c>
      <c r="D1855" t="s">
        <v>2014</v>
      </c>
      <c r="E1855">
        <v>499.11</v>
      </c>
      <c r="F1855">
        <v>0</v>
      </c>
      <c r="G1855" t="s">
        <v>2017</v>
      </c>
      <c r="H1855" t="s">
        <v>2027</v>
      </c>
      <c r="I1855" t="s">
        <v>3881</v>
      </c>
      <c r="J1855" t="s">
        <v>4032</v>
      </c>
      <c r="K1855" t="s">
        <v>4058</v>
      </c>
      <c r="L1855">
        <v>-499.11</v>
      </c>
    </row>
    <row r="1856" spans="1:12">
      <c r="A1856" t="s">
        <v>1866</v>
      </c>
      <c r="B1856" s="2">
        <v>45440</v>
      </c>
      <c r="C1856">
        <v>6000</v>
      </c>
      <c r="D1856" t="s">
        <v>2014</v>
      </c>
      <c r="E1856">
        <v>288.41000000000003</v>
      </c>
      <c r="F1856">
        <v>0</v>
      </c>
      <c r="G1856" t="s">
        <v>2020</v>
      </c>
      <c r="H1856" t="s">
        <v>2023</v>
      </c>
      <c r="I1856" t="s">
        <v>3882</v>
      </c>
      <c r="J1856" t="s">
        <v>4028</v>
      </c>
      <c r="K1856" t="s">
        <v>4033</v>
      </c>
      <c r="L1856">
        <v>-288.41000000000003</v>
      </c>
    </row>
    <row r="1857" spans="1:12">
      <c r="A1857" t="s">
        <v>1867</v>
      </c>
      <c r="B1857" s="2">
        <v>45033</v>
      </c>
      <c r="C1857">
        <v>4010</v>
      </c>
      <c r="D1857" t="s">
        <v>2016</v>
      </c>
      <c r="E1857">
        <v>0</v>
      </c>
      <c r="F1857">
        <v>4589.42</v>
      </c>
      <c r="G1857" t="s">
        <v>2017</v>
      </c>
      <c r="H1857" t="s">
        <v>2025</v>
      </c>
      <c r="I1857" t="s">
        <v>3883</v>
      </c>
      <c r="J1857" t="s">
        <v>4029</v>
      </c>
      <c r="K1857" t="s">
        <v>4041</v>
      </c>
      <c r="L1857">
        <v>4589.42</v>
      </c>
    </row>
    <row r="1858" spans="1:12">
      <c r="A1858" t="s">
        <v>1868</v>
      </c>
      <c r="B1858" s="2">
        <v>45613</v>
      </c>
      <c r="C1858">
        <v>4010</v>
      </c>
      <c r="D1858" t="s">
        <v>2016</v>
      </c>
      <c r="E1858">
        <v>0</v>
      </c>
      <c r="F1858">
        <v>4897.2299999999996</v>
      </c>
      <c r="G1858" t="s">
        <v>2020</v>
      </c>
      <c r="H1858" t="s">
        <v>2025</v>
      </c>
      <c r="I1858" t="s">
        <v>3884</v>
      </c>
      <c r="J1858" t="s">
        <v>4032</v>
      </c>
      <c r="K1858" t="s">
        <v>4043</v>
      </c>
      <c r="L1858">
        <v>4897.2299999999996</v>
      </c>
    </row>
    <row r="1859" spans="1:12">
      <c r="A1859" t="s">
        <v>1869</v>
      </c>
      <c r="B1859" s="2">
        <v>45417</v>
      </c>
      <c r="C1859">
        <v>4010</v>
      </c>
      <c r="D1859" t="s">
        <v>2016</v>
      </c>
      <c r="E1859">
        <v>0</v>
      </c>
      <c r="F1859">
        <v>4365.5600000000004</v>
      </c>
      <c r="G1859" t="s">
        <v>2022</v>
      </c>
      <c r="H1859" t="s">
        <v>2024</v>
      </c>
      <c r="I1859" t="s">
        <v>3885</v>
      </c>
      <c r="J1859" t="s">
        <v>4028</v>
      </c>
      <c r="K1859" t="s">
        <v>4033</v>
      </c>
      <c r="L1859">
        <v>4365.5600000000004</v>
      </c>
    </row>
    <row r="1860" spans="1:12">
      <c r="A1860" t="s">
        <v>1870</v>
      </c>
      <c r="B1860" s="2">
        <v>45663</v>
      </c>
      <c r="C1860">
        <v>5010</v>
      </c>
      <c r="D1860" t="s">
        <v>2015</v>
      </c>
      <c r="E1860">
        <v>1569.69</v>
      </c>
      <c r="F1860">
        <v>0</v>
      </c>
      <c r="G1860" t="s">
        <v>2018</v>
      </c>
      <c r="H1860" t="s">
        <v>2025</v>
      </c>
      <c r="I1860" t="s">
        <v>3886</v>
      </c>
      <c r="J1860" t="s">
        <v>4031</v>
      </c>
      <c r="K1860" t="s">
        <v>4035</v>
      </c>
      <c r="L1860">
        <v>-1569.69</v>
      </c>
    </row>
    <row r="1861" spans="1:12">
      <c r="A1861" t="s">
        <v>1871</v>
      </c>
      <c r="B1861" s="2">
        <v>45827</v>
      </c>
      <c r="C1861">
        <v>6000</v>
      </c>
      <c r="D1861" t="s">
        <v>2014</v>
      </c>
      <c r="E1861">
        <v>1592.97</v>
      </c>
      <c r="F1861">
        <v>0</v>
      </c>
      <c r="G1861" t="s">
        <v>2018</v>
      </c>
      <c r="H1861" t="s">
        <v>2026</v>
      </c>
      <c r="I1861" t="s">
        <v>3887</v>
      </c>
      <c r="J1861" t="s">
        <v>4028</v>
      </c>
      <c r="K1861" t="s">
        <v>4052</v>
      </c>
      <c r="L1861">
        <v>-1592.97</v>
      </c>
    </row>
    <row r="1862" spans="1:12">
      <c r="A1862" t="s">
        <v>1872</v>
      </c>
      <c r="B1862" s="2">
        <v>45270</v>
      </c>
      <c r="C1862">
        <v>4010</v>
      </c>
      <c r="D1862" t="s">
        <v>2016</v>
      </c>
      <c r="E1862">
        <v>0</v>
      </c>
      <c r="F1862">
        <v>871.59</v>
      </c>
      <c r="G1862" t="s">
        <v>2021</v>
      </c>
      <c r="H1862" t="s">
        <v>2026</v>
      </c>
      <c r="I1862" t="s">
        <v>3888</v>
      </c>
      <c r="J1862" t="s">
        <v>4031</v>
      </c>
      <c r="K1862" t="s">
        <v>4039</v>
      </c>
      <c r="L1862">
        <v>871.59</v>
      </c>
    </row>
    <row r="1863" spans="1:12">
      <c r="A1863" t="s">
        <v>1873</v>
      </c>
      <c r="B1863" s="2">
        <v>45022</v>
      </c>
      <c r="C1863">
        <v>5000</v>
      </c>
      <c r="D1863" t="s">
        <v>2013</v>
      </c>
      <c r="E1863">
        <v>585.89</v>
      </c>
      <c r="F1863">
        <v>0</v>
      </c>
      <c r="G1863" t="s">
        <v>2018</v>
      </c>
      <c r="H1863" t="s">
        <v>2024</v>
      </c>
      <c r="I1863" t="s">
        <v>3889</v>
      </c>
      <c r="J1863" t="s">
        <v>4029</v>
      </c>
      <c r="K1863" t="s">
        <v>4041</v>
      </c>
      <c r="L1863">
        <v>-585.89</v>
      </c>
    </row>
    <row r="1864" spans="1:12">
      <c r="A1864" t="s">
        <v>1874</v>
      </c>
      <c r="B1864" s="2">
        <v>45075</v>
      </c>
      <c r="C1864">
        <v>5000</v>
      </c>
      <c r="D1864" t="s">
        <v>2013</v>
      </c>
      <c r="E1864">
        <v>1221.74</v>
      </c>
      <c r="F1864">
        <v>0</v>
      </c>
      <c r="G1864" t="s">
        <v>2022</v>
      </c>
      <c r="H1864" t="s">
        <v>2023</v>
      </c>
      <c r="I1864" t="s">
        <v>3890</v>
      </c>
      <c r="J1864" t="s">
        <v>4029</v>
      </c>
      <c r="K1864" t="s">
        <v>4062</v>
      </c>
      <c r="L1864">
        <v>-1221.74</v>
      </c>
    </row>
    <row r="1865" spans="1:12">
      <c r="A1865" t="s">
        <v>1875</v>
      </c>
      <c r="B1865" s="2">
        <v>45347</v>
      </c>
      <c r="C1865">
        <v>4000</v>
      </c>
      <c r="D1865" t="s">
        <v>2012</v>
      </c>
      <c r="E1865">
        <v>0</v>
      </c>
      <c r="F1865">
        <v>4982.43</v>
      </c>
      <c r="G1865" t="s">
        <v>2020</v>
      </c>
      <c r="H1865" t="s">
        <v>2024</v>
      </c>
      <c r="I1865" t="s">
        <v>3891</v>
      </c>
      <c r="J1865" t="s">
        <v>4028</v>
      </c>
      <c r="K1865" t="s">
        <v>4044</v>
      </c>
      <c r="L1865">
        <v>4982.43</v>
      </c>
    </row>
    <row r="1866" spans="1:12">
      <c r="A1866" t="s">
        <v>1876</v>
      </c>
      <c r="B1866" s="2">
        <v>45617</v>
      </c>
      <c r="C1866">
        <v>5000</v>
      </c>
      <c r="D1866" t="s">
        <v>2013</v>
      </c>
      <c r="E1866">
        <v>1723.01</v>
      </c>
      <c r="F1866">
        <v>0</v>
      </c>
      <c r="G1866" t="s">
        <v>2019</v>
      </c>
      <c r="H1866" t="s">
        <v>2027</v>
      </c>
      <c r="I1866" t="s">
        <v>3892</v>
      </c>
      <c r="J1866" t="s">
        <v>4030</v>
      </c>
      <c r="K1866" t="s">
        <v>4043</v>
      </c>
      <c r="L1866">
        <v>-1723.01</v>
      </c>
    </row>
    <row r="1867" spans="1:12">
      <c r="A1867" t="s">
        <v>1877</v>
      </c>
      <c r="B1867" s="2">
        <v>45636</v>
      </c>
      <c r="C1867">
        <v>5010</v>
      </c>
      <c r="D1867" t="s">
        <v>2015</v>
      </c>
      <c r="E1867">
        <v>1741.23</v>
      </c>
      <c r="F1867">
        <v>0</v>
      </c>
      <c r="G1867" t="s">
        <v>2018</v>
      </c>
      <c r="H1867" t="s">
        <v>2025</v>
      </c>
      <c r="I1867" t="s">
        <v>3893</v>
      </c>
      <c r="J1867" t="s">
        <v>4028</v>
      </c>
      <c r="K1867" t="s">
        <v>4056</v>
      </c>
      <c r="L1867">
        <v>-1741.23</v>
      </c>
    </row>
    <row r="1868" spans="1:12">
      <c r="A1868" t="s">
        <v>1878</v>
      </c>
      <c r="B1868" s="2">
        <v>45326</v>
      </c>
      <c r="C1868">
        <v>6000</v>
      </c>
      <c r="D1868" t="s">
        <v>2014</v>
      </c>
      <c r="E1868">
        <v>1055.53</v>
      </c>
      <c r="F1868">
        <v>0</v>
      </c>
      <c r="G1868" t="s">
        <v>2019</v>
      </c>
      <c r="H1868" t="s">
        <v>2026</v>
      </c>
      <c r="I1868" t="s">
        <v>3894</v>
      </c>
      <c r="J1868" t="s">
        <v>4028</v>
      </c>
      <c r="K1868" t="s">
        <v>4044</v>
      </c>
      <c r="L1868">
        <v>-1055.53</v>
      </c>
    </row>
    <row r="1869" spans="1:12">
      <c r="A1869" t="s">
        <v>1879</v>
      </c>
      <c r="B1869" s="2">
        <v>45684</v>
      </c>
      <c r="C1869">
        <v>6000</v>
      </c>
      <c r="D1869" t="s">
        <v>2014</v>
      </c>
      <c r="E1869">
        <v>349.69</v>
      </c>
      <c r="F1869">
        <v>0</v>
      </c>
      <c r="G1869" t="s">
        <v>2021</v>
      </c>
      <c r="H1869" t="s">
        <v>2027</v>
      </c>
      <c r="I1869" t="s">
        <v>3895</v>
      </c>
      <c r="J1869" t="s">
        <v>4028</v>
      </c>
      <c r="K1869" t="s">
        <v>4035</v>
      </c>
      <c r="L1869">
        <v>-349.69</v>
      </c>
    </row>
    <row r="1870" spans="1:12">
      <c r="A1870" t="s">
        <v>1880</v>
      </c>
      <c r="B1870" s="2">
        <v>45588</v>
      </c>
      <c r="C1870">
        <v>4010</v>
      </c>
      <c r="D1870" t="s">
        <v>2016</v>
      </c>
      <c r="E1870">
        <v>0</v>
      </c>
      <c r="F1870">
        <v>1886.23</v>
      </c>
      <c r="G1870" t="s">
        <v>2017</v>
      </c>
      <c r="H1870" t="s">
        <v>2023</v>
      </c>
      <c r="I1870" t="s">
        <v>3896</v>
      </c>
      <c r="J1870" t="s">
        <v>4029</v>
      </c>
      <c r="K1870" t="s">
        <v>4059</v>
      </c>
      <c r="L1870">
        <v>1886.23</v>
      </c>
    </row>
    <row r="1871" spans="1:12">
      <c r="A1871" t="s">
        <v>1881</v>
      </c>
      <c r="B1871" s="2">
        <v>45263</v>
      </c>
      <c r="C1871">
        <v>6000</v>
      </c>
      <c r="D1871" t="s">
        <v>2014</v>
      </c>
      <c r="E1871">
        <v>552.91</v>
      </c>
      <c r="F1871">
        <v>0</v>
      </c>
      <c r="G1871" t="s">
        <v>2020</v>
      </c>
      <c r="H1871" t="s">
        <v>2026</v>
      </c>
      <c r="I1871" t="s">
        <v>3897</v>
      </c>
      <c r="J1871" t="s">
        <v>4030</v>
      </c>
      <c r="K1871" t="s">
        <v>4039</v>
      </c>
      <c r="L1871">
        <v>-552.91</v>
      </c>
    </row>
    <row r="1872" spans="1:12">
      <c r="A1872" t="s">
        <v>1882</v>
      </c>
      <c r="B1872" s="2">
        <v>45620</v>
      </c>
      <c r="C1872">
        <v>4010</v>
      </c>
      <c r="D1872" t="s">
        <v>2016</v>
      </c>
      <c r="E1872">
        <v>0</v>
      </c>
      <c r="F1872">
        <v>258.08</v>
      </c>
      <c r="G1872" t="s">
        <v>2021</v>
      </c>
      <c r="H1872" t="s">
        <v>2024</v>
      </c>
      <c r="I1872" t="s">
        <v>3898</v>
      </c>
      <c r="J1872" t="s">
        <v>4031</v>
      </c>
      <c r="K1872" t="s">
        <v>4043</v>
      </c>
      <c r="L1872">
        <v>258.08</v>
      </c>
    </row>
    <row r="1873" spans="1:12">
      <c r="A1873" t="s">
        <v>1883</v>
      </c>
      <c r="B1873" s="2">
        <v>45795</v>
      </c>
      <c r="C1873">
        <v>5010</v>
      </c>
      <c r="D1873" t="s">
        <v>2015</v>
      </c>
      <c r="E1873">
        <v>1370.81</v>
      </c>
      <c r="F1873">
        <v>0</v>
      </c>
      <c r="G1873" t="s">
        <v>2021</v>
      </c>
      <c r="H1873" t="s">
        <v>2023</v>
      </c>
      <c r="I1873" t="s">
        <v>3899</v>
      </c>
      <c r="J1873" t="s">
        <v>4030</v>
      </c>
      <c r="K1873" t="s">
        <v>4038</v>
      </c>
      <c r="L1873">
        <v>-1370.81</v>
      </c>
    </row>
    <row r="1874" spans="1:12">
      <c r="A1874" t="s">
        <v>1884</v>
      </c>
      <c r="B1874" s="2">
        <v>45382</v>
      </c>
      <c r="C1874">
        <v>6000</v>
      </c>
      <c r="D1874" t="s">
        <v>2014</v>
      </c>
      <c r="E1874">
        <v>1669.15</v>
      </c>
      <c r="F1874">
        <v>0</v>
      </c>
      <c r="G1874" t="s">
        <v>2019</v>
      </c>
      <c r="H1874" t="s">
        <v>2024</v>
      </c>
      <c r="I1874" t="s">
        <v>3900</v>
      </c>
      <c r="J1874" t="s">
        <v>4031</v>
      </c>
      <c r="K1874" t="s">
        <v>4049</v>
      </c>
      <c r="L1874">
        <v>-1669.15</v>
      </c>
    </row>
    <row r="1875" spans="1:12">
      <c r="A1875" t="s">
        <v>1885</v>
      </c>
      <c r="B1875" s="2">
        <v>45095</v>
      </c>
      <c r="C1875">
        <v>5010</v>
      </c>
      <c r="D1875" t="s">
        <v>2015</v>
      </c>
      <c r="E1875">
        <v>1711.71</v>
      </c>
      <c r="F1875">
        <v>0</v>
      </c>
      <c r="G1875" t="s">
        <v>2017</v>
      </c>
      <c r="H1875" t="s">
        <v>2025</v>
      </c>
      <c r="I1875" t="s">
        <v>3901</v>
      </c>
      <c r="J1875" t="s">
        <v>4029</v>
      </c>
      <c r="K1875" t="s">
        <v>4055</v>
      </c>
      <c r="L1875">
        <v>-1711.71</v>
      </c>
    </row>
    <row r="1876" spans="1:12">
      <c r="A1876" t="s">
        <v>1886</v>
      </c>
      <c r="B1876" s="2">
        <v>44933</v>
      </c>
      <c r="C1876">
        <v>5000</v>
      </c>
      <c r="D1876" t="s">
        <v>2013</v>
      </c>
      <c r="E1876">
        <v>520.70000000000005</v>
      </c>
      <c r="F1876">
        <v>0</v>
      </c>
      <c r="G1876" t="s">
        <v>2018</v>
      </c>
      <c r="H1876" t="s">
        <v>2027</v>
      </c>
      <c r="I1876" t="s">
        <v>3902</v>
      </c>
      <c r="J1876" t="s">
        <v>4031</v>
      </c>
      <c r="K1876" t="s">
        <v>4047</v>
      </c>
      <c r="L1876">
        <v>-520.70000000000005</v>
      </c>
    </row>
    <row r="1877" spans="1:12">
      <c r="A1877" t="s">
        <v>1887</v>
      </c>
      <c r="B1877" s="2">
        <v>45378</v>
      </c>
      <c r="C1877">
        <v>6000</v>
      </c>
      <c r="D1877" t="s">
        <v>2014</v>
      </c>
      <c r="E1877">
        <v>501.53</v>
      </c>
      <c r="F1877">
        <v>0</v>
      </c>
      <c r="G1877" t="s">
        <v>2017</v>
      </c>
      <c r="H1877" t="s">
        <v>2027</v>
      </c>
      <c r="I1877" t="s">
        <v>3903</v>
      </c>
      <c r="J1877" t="s">
        <v>4031</v>
      </c>
      <c r="K1877" t="s">
        <v>4049</v>
      </c>
      <c r="L1877">
        <v>-501.53</v>
      </c>
    </row>
    <row r="1878" spans="1:12">
      <c r="A1878" t="s">
        <v>1888</v>
      </c>
      <c r="B1878" s="2">
        <v>45293</v>
      </c>
      <c r="C1878">
        <v>5010</v>
      </c>
      <c r="D1878" t="s">
        <v>2015</v>
      </c>
      <c r="E1878">
        <v>283.45</v>
      </c>
      <c r="F1878">
        <v>0</v>
      </c>
      <c r="G1878" t="s">
        <v>2018</v>
      </c>
      <c r="H1878" t="s">
        <v>2024</v>
      </c>
      <c r="I1878" t="s">
        <v>3904</v>
      </c>
      <c r="J1878" t="s">
        <v>4031</v>
      </c>
      <c r="K1878" t="s">
        <v>4053</v>
      </c>
      <c r="L1878">
        <v>-283.45</v>
      </c>
    </row>
    <row r="1879" spans="1:12">
      <c r="A1879" t="s">
        <v>1889</v>
      </c>
      <c r="B1879" s="2">
        <v>45811</v>
      </c>
      <c r="C1879">
        <v>4010</v>
      </c>
      <c r="D1879" t="s">
        <v>2016</v>
      </c>
      <c r="E1879">
        <v>0</v>
      </c>
      <c r="F1879">
        <v>3079.85</v>
      </c>
      <c r="G1879" t="s">
        <v>2018</v>
      </c>
      <c r="H1879" t="s">
        <v>2024</v>
      </c>
      <c r="I1879" t="s">
        <v>3905</v>
      </c>
      <c r="J1879" t="s">
        <v>4032</v>
      </c>
      <c r="K1879" t="s">
        <v>4052</v>
      </c>
      <c r="L1879">
        <v>3079.85</v>
      </c>
    </row>
    <row r="1880" spans="1:12">
      <c r="A1880" t="s">
        <v>1890</v>
      </c>
      <c r="B1880" s="2">
        <v>45221</v>
      </c>
      <c r="C1880">
        <v>6000</v>
      </c>
      <c r="D1880" t="s">
        <v>2014</v>
      </c>
      <c r="E1880">
        <v>316.08</v>
      </c>
      <c r="F1880">
        <v>0</v>
      </c>
      <c r="G1880" t="s">
        <v>2018</v>
      </c>
      <c r="H1880" t="s">
        <v>2023</v>
      </c>
      <c r="I1880" t="s">
        <v>3906</v>
      </c>
      <c r="J1880" t="s">
        <v>4032</v>
      </c>
      <c r="K1880" t="s">
        <v>4060</v>
      </c>
      <c r="L1880">
        <v>-316.08</v>
      </c>
    </row>
    <row r="1881" spans="1:12">
      <c r="A1881" t="s">
        <v>1891</v>
      </c>
      <c r="B1881" s="2">
        <v>45334</v>
      </c>
      <c r="C1881">
        <v>5010</v>
      </c>
      <c r="D1881" t="s">
        <v>2015</v>
      </c>
      <c r="E1881">
        <v>1517.3</v>
      </c>
      <c r="F1881">
        <v>0</v>
      </c>
      <c r="G1881" t="s">
        <v>2021</v>
      </c>
      <c r="H1881" t="s">
        <v>2026</v>
      </c>
      <c r="I1881" t="s">
        <v>3907</v>
      </c>
      <c r="J1881" t="s">
        <v>4030</v>
      </c>
      <c r="K1881" t="s">
        <v>4044</v>
      </c>
      <c r="L1881">
        <v>-1517.3</v>
      </c>
    </row>
    <row r="1882" spans="1:12">
      <c r="A1882" t="s">
        <v>1892</v>
      </c>
      <c r="B1882" s="2">
        <v>45493</v>
      </c>
      <c r="C1882">
        <v>5000</v>
      </c>
      <c r="D1882" t="s">
        <v>2013</v>
      </c>
      <c r="E1882">
        <v>1863.66</v>
      </c>
      <c r="F1882">
        <v>0</v>
      </c>
      <c r="G1882" t="s">
        <v>2022</v>
      </c>
      <c r="H1882" t="s">
        <v>2027</v>
      </c>
      <c r="I1882" t="s">
        <v>3908</v>
      </c>
      <c r="J1882" t="s">
        <v>4032</v>
      </c>
      <c r="K1882" t="s">
        <v>4054</v>
      </c>
      <c r="L1882">
        <v>-1863.66</v>
      </c>
    </row>
    <row r="1883" spans="1:12">
      <c r="A1883" t="s">
        <v>1893</v>
      </c>
      <c r="B1883" s="2">
        <v>45466</v>
      </c>
      <c r="C1883">
        <v>5000</v>
      </c>
      <c r="D1883" t="s">
        <v>2013</v>
      </c>
      <c r="E1883">
        <v>146.04</v>
      </c>
      <c r="F1883">
        <v>0</v>
      </c>
      <c r="G1883" t="s">
        <v>2022</v>
      </c>
      <c r="H1883" t="s">
        <v>2025</v>
      </c>
      <c r="I1883" t="s">
        <v>3909</v>
      </c>
      <c r="J1883" t="s">
        <v>4030</v>
      </c>
      <c r="K1883" t="s">
        <v>4034</v>
      </c>
      <c r="L1883">
        <v>-146.04</v>
      </c>
    </row>
    <row r="1884" spans="1:12">
      <c r="A1884" t="s">
        <v>1894</v>
      </c>
      <c r="B1884" s="2">
        <v>45225</v>
      </c>
      <c r="C1884">
        <v>6000</v>
      </c>
      <c r="D1884" t="s">
        <v>2014</v>
      </c>
      <c r="E1884">
        <v>701.14</v>
      </c>
      <c r="F1884">
        <v>0</v>
      </c>
      <c r="G1884" t="s">
        <v>2017</v>
      </c>
      <c r="H1884" t="s">
        <v>2025</v>
      </c>
      <c r="I1884" t="s">
        <v>3910</v>
      </c>
      <c r="J1884" t="s">
        <v>4029</v>
      </c>
      <c r="K1884" t="s">
        <v>4060</v>
      </c>
      <c r="L1884">
        <v>-701.14</v>
      </c>
    </row>
    <row r="1885" spans="1:12">
      <c r="A1885" t="s">
        <v>1895</v>
      </c>
      <c r="B1885" s="2">
        <v>45562</v>
      </c>
      <c r="C1885">
        <v>5010</v>
      </c>
      <c r="D1885" t="s">
        <v>2015</v>
      </c>
      <c r="E1885">
        <v>1033.6199999999999</v>
      </c>
      <c r="F1885">
        <v>0</v>
      </c>
      <c r="G1885" t="s">
        <v>2019</v>
      </c>
      <c r="H1885" t="s">
        <v>2025</v>
      </c>
      <c r="I1885" t="s">
        <v>3911</v>
      </c>
      <c r="J1885" t="s">
        <v>4031</v>
      </c>
      <c r="K1885" t="s">
        <v>4048</v>
      </c>
      <c r="L1885">
        <v>-1033.6199999999999</v>
      </c>
    </row>
    <row r="1886" spans="1:12">
      <c r="A1886" t="s">
        <v>1896</v>
      </c>
      <c r="B1886" s="2">
        <v>45787</v>
      </c>
      <c r="C1886">
        <v>6000</v>
      </c>
      <c r="D1886" t="s">
        <v>2014</v>
      </c>
      <c r="E1886">
        <v>652.77</v>
      </c>
      <c r="F1886">
        <v>0</v>
      </c>
      <c r="G1886" t="s">
        <v>2021</v>
      </c>
      <c r="H1886" t="s">
        <v>2024</v>
      </c>
      <c r="I1886" t="s">
        <v>3912</v>
      </c>
      <c r="J1886" t="s">
        <v>4031</v>
      </c>
      <c r="K1886" t="s">
        <v>4038</v>
      </c>
      <c r="L1886">
        <v>-652.77</v>
      </c>
    </row>
    <row r="1887" spans="1:12">
      <c r="A1887" t="s">
        <v>1897</v>
      </c>
      <c r="B1887" s="2">
        <v>45110</v>
      </c>
      <c r="C1887">
        <v>4000</v>
      </c>
      <c r="D1887" t="s">
        <v>2012</v>
      </c>
      <c r="E1887">
        <v>0</v>
      </c>
      <c r="F1887">
        <v>2202.71</v>
      </c>
      <c r="G1887" t="s">
        <v>2017</v>
      </c>
      <c r="H1887" t="s">
        <v>2025</v>
      </c>
      <c r="I1887" t="s">
        <v>3913</v>
      </c>
      <c r="J1887" t="s">
        <v>4031</v>
      </c>
      <c r="K1887" t="s">
        <v>4050</v>
      </c>
      <c r="L1887">
        <v>2202.71</v>
      </c>
    </row>
    <row r="1888" spans="1:12">
      <c r="A1888" t="s">
        <v>1898</v>
      </c>
      <c r="B1888" s="2">
        <v>45201</v>
      </c>
      <c r="C1888">
        <v>6000</v>
      </c>
      <c r="D1888" t="s">
        <v>2014</v>
      </c>
      <c r="E1888">
        <v>1252.73</v>
      </c>
      <c r="F1888">
        <v>0</v>
      </c>
      <c r="G1888" t="s">
        <v>2021</v>
      </c>
      <c r="H1888" t="s">
        <v>2026</v>
      </c>
      <c r="I1888" t="s">
        <v>3914</v>
      </c>
      <c r="J1888" t="s">
        <v>4031</v>
      </c>
      <c r="K1888" t="s">
        <v>4060</v>
      </c>
      <c r="L1888">
        <v>-1252.73</v>
      </c>
    </row>
    <row r="1889" spans="1:12">
      <c r="A1889" t="s">
        <v>1899</v>
      </c>
      <c r="B1889" s="2">
        <v>45386</v>
      </c>
      <c r="C1889">
        <v>5000</v>
      </c>
      <c r="D1889" t="s">
        <v>2013</v>
      </c>
      <c r="E1889">
        <v>1422.61</v>
      </c>
      <c r="F1889">
        <v>0</v>
      </c>
      <c r="G1889" t="s">
        <v>2018</v>
      </c>
      <c r="H1889" t="s">
        <v>2026</v>
      </c>
      <c r="I1889" t="s">
        <v>3915</v>
      </c>
      <c r="J1889" t="s">
        <v>4032</v>
      </c>
      <c r="K1889" t="s">
        <v>4040</v>
      </c>
      <c r="L1889">
        <v>-1422.61</v>
      </c>
    </row>
    <row r="1890" spans="1:12">
      <c r="A1890" t="s">
        <v>1900</v>
      </c>
      <c r="B1890" s="2">
        <v>45810</v>
      </c>
      <c r="C1890">
        <v>5010</v>
      </c>
      <c r="D1890" t="s">
        <v>2015</v>
      </c>
      <c r="E1890">
        <v>729.53</v>
      </c>
      <c r="F1890">
        <v>0</v>
      </c>
      <c r="G1890" t="s">
        <v>2020</v>
      </c>
      <c r="H1890" t="s">
        <v>2023</v>
      </c>
      <c r="I1890" t="s">
        <v>3916</v>
      </c>
      <c r="J1890" t="s">
        <v>4029</v>
      </c>
      <c r="K1890" t="s">
        <v>4052</v>
      </c>
      <c r="L1890">
        <v>-729.53</v>
      </c>
    </row>
    <row r="1891" spans="1:12">
      <c r="A1891" t="s">
        <v>1901</v>
      </c>
      <c r="B1891" s="2">
        <v>44945</v>
      </c>
      <c r="C1891">
        <v>5010</v>
      </c>
      <c r="D1891" t="s">
        <v>2015</v>
      </c>
      <c r="E1891">
        <v>1561.21</v>
      </c>
      <c r="F1891">
        <v>0</v>
      </c>
      <c r="G1891" t="s">
        <v>2018</v>
      </c>
      <c r="H1891" t="s">
        <v>2026</v>
      </c>
      <c r="I1891" t="s">
        <v>3917</v>
      </c>
      <c r="J1891" t="s">
        <v>4031</v>
      </c>
      <c r="K1891" t="s">
        <v>4047</v>
      </c>
      <c r="L1891">
        <v>-1561.21</v>
      </c>
    </row>
    <row r="1892" spans="1:12">
      <c r="A1892" t="s">
        <v>1902</v>
      </c>
      <c r="B1892" s="2">
        <v>45701</v>
      </c>
      <c r="C1892">
        <v>4010</v>
      </c>
      <c r="D1892" t="s">
        <v>2016</v>
      </c>
      <c r="E1892">
        <v>0</v>
      </c>
      <c r="F1892">
        <v>3774.32</v>
      </c>
      <c r="G1892" t="s">
        <v>2022</v>
      </c>
      <c r="H1892" t="s">
        <v>2024</v>
      </c>
      <c r="I1892" t="s">
        <v>3918</v>
      </c>
      <c r="J1892" t="s">
        <v>4032</v>
      </c>
      <c r="K1892" t="s">
        <v>4061</v>
      </c>
      <c r="L1892">
        <v>3774.32</v>
      </c>
    </row>
    <row r="1893" spans="1:12">
      <c r="A1893" t="s">
        <v>1903</v>
      </c>
      <c r="B1893" s="2">
        <v>45159</v>
      </c>
      <c r="C1893">
        <v>6000</v>
      </c>
      <c r="D1893" t="s">
        <v>2014</v>
      </c>
      <c r="E1893">
        <v>503.88</v>
      </c>
      <c r="F1893">
        <v>0</v>
      </c>
      <c r="G1893" t="s">
        <v>2020</v>
      </c>
      <c r="H1893" t="s">
        <v>2024</v>
      </c>
      <c r="I1893" t="s">
        <v>3919</v>
      </c>
      <c r="J1893" t="s">
        <v>4029</v>
      </c>
      <c r="K1893" t="s">
        <v>4037</v>
      </c>
      <c r="L1893">
        <v>-503.88</v>
      </c>
    </row>
    <row r="1894" spans="1:12">
      <c r="A1894" t="s">
        <v>1904</v>
      </c>
      <c r="B1894" s="2">
        <v>45212</v>
      </c>
      <c r="C1894">
        <v>4010</v>
      </c>
      <c r="D1894" t="s">
        <v>2016</v>
      </c>
      <c r="E1894">
        <v>0</v>
      </c>
      <c r="F1894">
        <v>2344.2199999999998</v>
      </c>
      <c r="G1894" t="s">
        <v>2018</v>
      </c>
      <c r="H1894" t="s">
        <v>2024</v>
      </c>
      <c r="I1894" t="s">
        <v>3920</v>
      </c>
      <c r="J1894" t="s">
        <v>4029</v>
      </c>
      <c r="K1894" t="s">
        <v>4060</v>
      </c>
      <c r="L1894">
        <v>2344.2199999999998</v>
      </c>
    </row>
    <row r="1895" spans="1:12">
      <c r="A1895" t="s">
        <v>1905</v>
      </c>
      <c r="B1895" s="2">
        <v>45304</v>
      </c>
      <c r="C1895">
        <v>5010</v>
      </c>
      <c r="D1895" t="s">
        <v>2015</v>
      </c>
      <c r="E1895">
        <v>1283.57</v>
      </c>
      <c r="F1895">
        <v>0</v>
      </c>
      <c r="G1895" t="s">
        <v>2018</v>
      </c>
      <c r="H1895" t="s">
        <v>2027</v>
      </c>
      <c r="I1895" t="s">
        <v>3921</v>
      </c>
      <c r="J1895" t="s">
        <v>4032</v>
      </c>
      <c r="K1895" t="s">
        <v>4053</v>
      </c>
      <c r="L1895">
        <v>-1283.57</v>
      </c>
    </row>
    <row r="1896" spans="1:12">
      <c r="A1896" t="s">
        <v>1906</v>
      </c>
      <c r="B1896" s="2">
        <v>45483</v>
      </c>
      <c r="C1896">
        <v>4010</v>
      </c>
      <c r="D1896" t="s">
        <v>2016</v>
      </c>
      <c r="E1896">
        <v>0</v>
      </c>
      <c r="F1896">
        <v>1964.79</v>
      </c>
      <c r="G1896" t="s">
        <v>2022</v>
      </c>
      <c r="H1896" t="s">
        <v>2024</v>
      </c>
      <c r="I1896" t="s">
        <v>3922</v>
      </c>
      <c r="J1896" t="s">
        <v>4030</v>
      </c>
      <c r="K1896" t="s">
        <v>4054</v>
      </c>
      <c r="L1896">
        <v>1964.79</v>
      </c>
    </row>
    <row r="1897" spans="1:12">
      <c r="A1897" t="s">
        <v>1907</v>
      </c>
      <c r="B1897" s="2">
        <v>45481</v>
      </c>
      <c r="C1897">
        <v>4010</v>
      </c>
      <c r="D1897" t="s">
        <v>2016</v>
      </c>
      <c r="E1897">
        <v>0</v>
      </c>
      <c r="F1897">
        <v>3387.63</v>
      </c>
      <c r="G1897" t="s">
        <v>2021</v>
      </c>
      <c r="H1897" t="s">
        <v>2026</v>
      </c>
      <c r="I1897" t="s">
        <v>3923</v>
      </c>
      <c r="J1897" t="s">
        <v>4029</v>
      </c>
      <c r="K1897" t="s">
        <v>4054</v>
      </c>
      <c r="L1897">
        <v>3387.63</v>
      </c>
    </row>
    <row r="1898" spans="1:12">
      <c r="A1898" t="s">
        <v>1908</v>
      </c>
      <c r="B1898" s="2">
        <v>45166</v>
      </c>
      <c r="C1898">
        <v>6000</v>
      </c>
      <c r="D1898" t="s">
        <v>2014</v>
      </c>
      <c r="E1898">
        <v>1756.28</v>
      </c>
      <c r="F1898">
        <v>0</v>
      </c>
      <c r="G1898" t="s">
        <v>2019</v>
      </c>
      <c r="H1898" t="s">
        <v>2027</v>
      </c>
      <c r="I1898" t="s">
        <v>3924</v>
      </c>
      <c r="J1898" t="s">
        <v>4029</v>
      </c>
      <c r="K1898" t="s">
        <v>4037</v>
      </c>
      <c r="L1898">
        <v>-1756.28</v>
      </c>
    </row>
    <row r="1899" spans="1:12">
      <c r="A1899" t="s">
        <v>1909</v>
      </c>
      <c r="B1899" s="2">
        <v>45291</v>
      </c>
      <c r="C1899">
        <v>6000</v>
      </c>
      <c r="D1899" t="s">
        <v>2014</v>
      </c>
      <c r="E1899">
        <v>938.88</v>
      </c>
      <c r="F1899">
        <v>0</v>
      </c>
      <c r="G1899" t="s">
        <v>2018</v>
      </c>
      <c r="H1899" t="s">
        <v>2027</v>
      </c>
      <c r="I1899" t="s">
        <v>3925</v>
      </c>
      <c r="J1899" t="s">
        <v>4028</v>
      </c>
      <c r="K1899" t="s">
        <v>4039</v>
      </c>
      <c r="L1899">
        <v>-938.88</v>
      </c>
    </row>
    <row r="1900" spans="1:12">
      <c r="A1900" t="s">
        <v>1910</v>
      </c>
      <c r="B1900" s="2">
        <v>45637</v>
      </c>
      <c r="C1900">
        <v>4000</v>
      </c>
      <c r="D1900" t="s">
        <v>2012</v>
      </c>
      <c r="E1900">
        <v>0</v>
      </c>
      <c r="F1900">
        <v>994.95</v>
      </c>
      <c r="G1900" t="s">
        <v>2018</v>
      </c>
      <c r="H1900" t="s">
        <v>2023</v>
      </c>
      <c r="I1900" t="s">
        <v>3926</v>
      </c>
      <c r="J1900" t="s">
        <v>4032</v>
      </c>
      <c r="K1900" t="s">
        <v>4056</v>
      </c>
      <c r="L1900">
        <v>994.95</v>
      </c>
    </row>
    <row r="1901" spans="1:12">
      <c r="A1901" t="s">
        <v>1911</v>
      </c>
      <c r="B1901" s="2">
        <v>45480</v>
      </c>
      <c r="C1901">
        <v>5000</v>
      </c>
      <c r="D1901" t="s">
        <v>2013</v>
      </c>
      <c r="E1901">
        <v>1619.31</v>
      </c>
      <c r="F1901">
        <v>0</v>
      </c>
      <c r="G1901" t="s">
        <v>2020</v>
      </c>
      <c r="H1901" t="s">
        <v>2024</v>
      </c>
      <c r="I1901" t="s">
        <v>3927</v>
      </c>
      <c r="J1901" t="s">
        <v>4030</v>
      </c>
      <c r="K1901" t="s">
        <v>4054</v>
      </c>
      <c r="L1901">
        <v>-1619.31</v>
      </c>
    </row>
    <row r="1902" spans="1:12">
      <c r="A1902" t="s">
        <v>1912</v>
      </c>
      <c r="B1902" s="2">
        <v>45413</v>
      </c>
      <c r="C1902">
        <v>4010</v>
      </c>
      <c r="D1902" t="s">
        <v>2016</v>
      </c>
      <c r="E1902">
        <v>0</v>
      </c>
      <c r="F1902">
        <v>2332.9299999999998</v>
      </c>
      <c r="G1902" t="s">
        <v>2017</v>
      </c>
      <c r="H1902" t="s">
        <v>2027</v>
      </c>
      <c r="I1902" t="s">
        <v>3928</v>
      </c>
      <c r="J1902" t="s">
        <v>4031</v>
      </c>
      <c r="K1902" t="s">
        <v>4033</v>
      </c>
      <c r="L1902">
        <v>2332.9299999999998</v>
      </c>
    </row>
    <row r="1903" spans="1:12">
      <c r="A1903" t="s">
        <v>1913</v>
      </c>
      <c r="B1903" s="2">
        <v>45199</v>
      </c>
      <c r="C1903">
        <v>5010</v>
      </c>
      <c r="D1903" t="s">
        <v>2015</v>
      </c>
      <c r="E1903">
        <v>335.2</v>
      </c>
      <c r="F1903">
        <v>0</v>
      </c>
      <c r="G1903" t="s">
        <v>2020</v>
      </c>
      <c r="H1903" t="s">
        <v>2024</v>
      </c>
      <c r="I1903" t="s">
        <v>3929</v>
      </c>
      <c r="J1903" t="s">
        <v>4031</v>
      </c>
      <c r="K1903" t="s">
        <v>4036</v>
      </c>
      <c r="L1903">
        <v>-335.2</v>
      </c>
    </row>
    <row r="1904" spans="1:12">
      <c r="A1904" t="s">
        <v>1914</v>
      </c>
      <c r="B1904" s="2">
        <v>45545</v>
      </c>
      <c r="C1904">
        <v>5010</v>
      </c>
      <c r="D1904" t="s">
        <v>2015</v>
      </c>
      <c r="E1904">
        <v>1838.96</v>
      </c>
      <c r="F1904">
        <v>0</v>
      </c>
      <c r="G1904" t="s">
        <v>2022</v>
      </c>
      <c r="H1904" t="s">
        <v>2026</v>
      </c>
      <c r="I1904" t="s">
        <v>3930</v>
      </c>
      <c r="J1904" t="s">
        <v>4030</v>
      </c>
      <c r="K1904" t="s">
        <v>4048</v>
      </c>
      <c r="L1904">
        <v>-1838.96</v>
      </c>
    </row>
    <row r="1905" spans="1:12">
      <c r="A1905" t="s">
        <v>1915</v>
      </c>
      <c r="B1905" s="2">
        <v>45753</v>
      </c>
      <c r="C1905">
        <v>4000</v>
      </c>
      <c r="D1905" t="s">
        <v>2012</v>
      </c>
      <c r="E1905">
        <v>0</v>
      </c>
      <c r="F1905">
        <v>2599.65</v>
      </c>
      <c r="G1905" t="s">
        <v>2018</v>
      </c>
      <c r="H1905" t="s">
        <v>2024</v>
      </c>
      <c r="I1905" t="s">
        <v>3931</v>
      </c>
      <c r="J1905" t="s">
        <v>4029</v>
      </c>
      <c r="K1905" t="s">
        <v>4045</v>
      </c>
      <c r="L1905">
        <v>2599.65</v>
      </c>
    </row>
    <row r="1906" spans="1:12">
      <c r="A1906" t="s">
        <v>1916</v>
      </c>
      <c r="B1906" s="2">
        <v>45069</v>
      </c>
      <c r="C1906">
        <v>5000</v>
      </c>
      <c r="D1906" t="s">
        <v>2013</v>
      </c>
      <c r="E1906">
        <v>801.83</v>
      </c>
      <c r="F1906">
        <v>0</v>
      </c>
      <c r="G1906" t="s">
        <v>2019</v>
      </c>
      <c r="H1906" t="s">
        <v>2025</v>
      </c>
      <c r="I1906" t="s">
        <v>3932</v>
      </c>
      <c r="J1906" t="s">
        <v>4031</v>
      </c>
      <c r="K1906" t="s">
        <v>4062</v>
      </c>
      <c r="L1906">
        <v>-801.83</v>
      </c>
    </row>
    <row r="1907" spans="1:12">
      <c r="A1907" t="s">
        <v>1917</v>
      </c>
      <c r="B1907" s="2">
        <v>45153</v>
      </c>
      <c r="C1907">
        <v>5000</v>
      </c>
      <c r="D1907" t="s">
        <v>2013</v>
      </c>
      <c r="E1907">
        <v>54.12</v>
      </c>
      <c r="F1907">
        <v>0</v>
      </c>
      <c r="G1907" t="s">
        <v>2017</v>
      </c>
      <c r="H1907" t="s">
        <v>2027</v>
      </c>
      <c r="I1907" t="s">
        <v>3933</v>
      </c>
      <c r="J1907" t="s">
        <v>4028</v>
      </c>
      <c r="K1907" t="s">
        <v>4037</v>
      </c>
      <c r="L1907">
        <v>-54.12</v>
      </c>
    </row>
    <row r="1908" spans="1:12">
      <c r="A1908" t="s">
        <v>1918</v>
      </c>
      <c r="B1908" s="2">
        <v>44973</v>
      </c>
      <c r="C1908">
        <v>5000</v>
      </c>
      <c r="D1908" t="s">
        <v>2013</v>
      </c>
      <c r="E1908">
        <v>326.83</v>
      </c>
      <c r="F1908">
        <v>0</v>
      </c>
      <c r="G1908" t="s">
        <v>2020</v>
      </c>
      <c r="H1908" t="s">
        <v>2026</v>
      </c>
      <c r="I1908" t="s">
        <v>3934</v>
      </c>
      <c r="J1908" t="s">
        <v>4032</v>
      </c>
      <c r="K1908" t="s">
        <v>4057</v>
      </c>
      <c r="L1908">
        <v>-326.83</v>
      </c>
    </row>
    <row r="1909" spans="1:12">
      <c r="A1909" t="s">
        <v>1919</v>
      </c>
      <c r="B1909" s="2">
        <v>45327</v>
      </c>
      <c r="C1909">
        <v>5000</v>
      </c>
      <c r="D1909" t="s">
        <v>2013</v>
      </c>
      <c r="E1909">
        <v>1868.89</v>
      </c>
      <c r="F1909">
        <v>0</v>
      </c>
      <c r="G1909" t="s">
        <v>2017</v>
      </c>
      <c r="H1909" t="s">
        <v>2027</v>
      </c>
      <c r="I1909" t="s">
        <v>3935</v>
      </c>
      <c r="J1909" t="s">
        <v>4028</v>
      </c>
      <c r="K1909" t="s">
        <v>4044</v>
      </c>
      <c r="L1909">
        <v>-1868.89</v>
      </c>
    </row>
    <row r="1910" spans="1:12">
      <c r="A1910" t="s">
        <v>1920</v>
      </c>
      <c r="B1910" s="2">
        <v>45513</v>
      </c>
      <c r="C1910">
        <v>6000</v>
      </c>
      <c r="D1910" t="s">
        <v>2014</v>
      </c>
      <c r="E1910">
        <v>1572.8</v>
      </c>
      <c r="F1910">
        <v>0</v>
      </c>
      <c r="G1910" t="s">
        <v>2022</v>
      </c>
      <c r="H1910" t="s">
        <v>2025</v>
      </c>
      <c r="I1910" t="s">
        <v>3936</v>
      </c>
      <c r="J1910" t="s">
        <v>4030</v>
      </c>
      <c r="K1910" t="s">
        <v>4058</v>
      </c>
      <c r="L1910">
        <v>-1572.8</v>
      </c>
    </row>
    <row r="1911" spans="1:12">
      <c r="A1911" t="s">
        <v>1921</v>
      </c>
      <c r="B1911" s="2">
        <v>45786</v>
      </c>
      <c r="C1911">
        <v>5010</v>
      </c>
      <c r="D1911" t="s">
        <v>2015</v>
      </c>
      <c r="E1911">
        <v>284.08</v>
      </c>
      <c r="F1911">
        <v>0</v>
      </c>
      <c r="G1911" t="s">
        <v>2020</v>
      </c>
      <c r="H1911" t="s">
        <v>2027</v>
      </c>
      <c r="I1911" t="s">
        <v>3937</v>
      </c>
      <c r="J1911" t="s">
        <v>4030</v>
      </c>
      <c r="K1911" t="s">
        <v>4038</v>
      </c>
      <c r="L1911">
        <v>-284.08</v>
      </c>
    </row>
    <row r="1912" spans="1:12">
      <c r="A1912" t="s">
        <v>1922</v>
      </c>
      <c r="B1912" s="2">
        <v>45262</v>
      </c>
      <c r="C1912">
        <v>4010</v>
      </c>
      <c r="D1912" t="s">
        <v>2016</v>
      </c>
      <c r="E1912">
        <v>0</v>
      </c>
      <c r="F1912">
        <v>2962.29</v>
      </c>
      <c r="G1912" t="s">
        <v>2017</v>
      </c>
      <c r="H1912" t="s">
        <v>2024</v>
      </c>
      <c r="I1912" t="s">
        <v>3938</v>
      </c>
      <c r="J1912" t="s">
        <v>4031</v>
      </c>
      <c r="K1912" t="s">
        <v>4039</v>
      </c>
      <c r="L1912">
        <v>2962.29</v>
      </c>
    </row>
    <row r="1913" spans="1:12">
      <c r="A1913" t="s">
        <v>1923</v>
      </c>
      <c r="B1913" s="2">
        <v>45739</v>
      </c>
      <c r="C1913">
        <v>4010</v>
      </c>
      <c r="D1913" t="s">
        <v>2016</v>
      </c>
      <c r="E1913">
        <v>0</v>
      </c>
      <c r="F1913">
        <v>1937.71</v>
      </c>
      <c r="G1913" t="s">
        <v>2019</v>
      </c>
      <c r="H1913" t="s">
        <v>2027</v>
      </c>
      <c r="I1913" t="s">
        <v>3939</v>
      </c>
      <c r="J1913" t="s">
        <v>4029</v>
      </c>
      <c r="K1913" t="s">
        <v>4046</v>
      </c>
      <c r="L1913">
        <v>1937.71</v>
      </c>
    </row>
    <row r="1914" spans="1:12">
      <c r="A1914" t="s">
        <v>1924</v>
      </c>
      <c r="B1914" s="2">
        <v>45223</v>
      </c>
      <c r="C1914">
        <v>4010</v>
      </c>
      <c r="D1914" t="s">
        <v>2016</v>
      </c>
      <c r="E1914">
        <v>0</v>
      </c>
      <c r="F1914">
        <v>166.31</v>
      </c>
      <c r="G1914" t="s">
        <v>2021</v>
      </c>
      <c r="H1914" t="s">
        <v>2023</v>
      </c>
      <c r="I1914" t="s">
        <v>3940</v>
      </c>
      <c r="J1914" t="s">
        <v>4032</v>
      </c>
      <c r="K1914" t="s">
        <v>4060</v>
      </c>
      <c r="L1914">
        <v>166.31</v>
      </c>
    </row>
    <row r="1915" spans="1:12">
      <c r="A1915" t="s">
        <v>1925</v>
      </c>
      <c r="B1915" s="2">
        <v>45035</v>
      </c>
      <c r="C1915">
        <v>4000</v>
      </c>
      <c r="D1915" t="s">
        <v>2012</v>
      </c>
      <c r="E1915">
        <v>0</v>
      </c>
      <c r="F1915">
        <v>1137.06</v>
      </c>
      <c r="G1915" t="s">
        <v>2019</v>
      </c>
      <c r="H1915" t="s">
        <v>2026</v>
      </c>
      <c r="I1915" t="s">
        <v>3941</v>
      </c>
      <c r="J1915" t="s">
        <v>4029</v>
      </c>
      <c r="K1915" t="s">
        <v>4041</v>
      </c>
      <c r="L1915">
        <v>1137.06</v>
      </c>
    </row>
    <row r="1916" spans="1:12">
      <c r="A1916" t="s">
        <v>1926</v>
      </c>
      <c r="B1916" s="2">
        <v>45366</v>
      </c>
      <c r="C1916">
        <v>4010</v>
      </c>
      <c r="D1916" t="s">
        <v>2016</v>
      </c>
      <c r="E1916">
        <v>0</v>
      </c>
      <c r="F1916">
        <v>993.38</v>
      </c>
      <c r="G1916" t="s">
        <v>2021</v>
      </c>
      <c r="H1916" t="s">
        <v>2027</v>
      </c>
      <c r="I1916" t="s">
        <v>3942</v>
      </c>
      <c r="J1916" t="s">
        <v>4030</v>
      </c>
      <c r="K1916" t="s">
        <v>4049</v>
      </c>
      <c r="L1916">
        <v>993.38</v>
      </c>
    </row>
    <row r="1917" spans="1:12">
      <c r="A1917" t="s">
        <v>1927</v>
      </c>
      <c r="B1917" s="2">
        <v>45445</v>
      </c>
      <c r="C1917">
        <v>5010</v>
      </c>
      <c r="D1917" t="s">
        <v>2015</v>
      </c>
      <c r="E1917">
        <v>1915.74</v>
      </c>
      <c r="F1917">
        <v>0</v>
      </c>
      <c r="G1917" t="s">
        <v>2021</v>
      </c>
      <c r="H1917" t="s">
        <v>2024</v>
      </c>
      <c r="I1917" t="s">
        <v>3943</v>
      </c>
      <c r="J1917" t="s">
        <v>4028</v>
      </c>
      <c r="K1917" t="s">
        <v>4034</v>
      </c>
      <c r="L1917">
        <v>-1915.74</v>
      </c>
    </row>
    <row r="1918" spans="1:12">
      <c r="A1918" t="s">
        <v>1928</v>
      </c>
      <c r="B1918" s="2">
        <v>45145</v>
      </c>
      <c r="C1918">
        <v>5010</v>
      </c>
      <c r="D1918" t="s">
        <v>2015</v>
      </c>
      <c r="E1918">
        <v>1850.88</v>
      </c>
      <c r="F1918">
        <v>0</v>
      </c>
      <c r="G1918" t="s">
        <v>2020</v>
      </c>
      <c r="H1918" t="s">
        <v>2024</v>
      </c>
      <c r="I1918" t="s">
        <v>3944</v>
      </c>
      <c r="J1918" t="s">
        <v>4028</v>
      </c>
      <c r="K1918" t="s">
        <v>4037</v>
      </c>
      <c r="L1918">
        <v>-1850.88</v>
      </c>
    </row>
    <row r="1919" spans="1:12">
      <c r="A1919" t="s">
        <v>1929</v>
      </c>
      <c r="B1919" s="2">
        <v>45143</v>
      </c>
      <c r="C1919">
        <v>4010</v>
      </c>
      <c r="D1919" t="s">
        <v>2016</v>
      </c>
      <c r="E1919">
        <v>0</v>
      </c>
      <c r="F1919">
        <v>4525.68</v>
      </c>
      <c r="G1919" t="s">
        <v>2017</v>
      </c>
      <c r="H1919" t="s">
        <v>2027</v>
      </c>
      <c r="I1919" t="s">
        <v>3945</v>
      </c>
      <c r="J1919" t="s">
        <v>4031</v>
      </c>
      <c r="K1919" t="s">
        <v>4037</v>
      </c>
      <c r="L1919">
        <v>4525.68</v>
      </c>
    </row>
    <row r="1920" spans="1:12">
      <c r="A1920" t="s">
        <v>1930</v>
      </c>
      <c r="B1920" s="2">
        <v>44942</v>
      </c>
      <c r="C1920">
        <v>5010</v>
      </c>
      <c r="D1920" t="s">
        <v>2015</v>
      </c>
      <c r="E1920">
        <v>854.45</v>
      </c>
      <c r="F1920">
        <v>0</v>
      </c>
      <c r="G1920" t="s">
        <v>2020</v>
      </c>
      <c r="H1920" t="s">
        <v>2027</v>
      </c>
      <c r="I1920" t="s">
        <v>3946</v>
      </c>
      <c r="J1920" t="s">
        <v>4028</v>
      </c>
      <c r="K1920" t="s">
        <v>4047</v>
      </c>
      <c r="L1920">
        <v>-854.45</v>
      </c>
    </row>
    <row r="1921" spans="1:12">
      <c r="A1921" t="s">
        <v>1931</v>
      </c>
      <c r="B1921" s="2">
        <v>45574</v>
      </c>
      <c r="C1921">
        <v>5000</v>
      </c>
      <c r="D1921" t="s">
        <v>2013</v>
      </c>
      <c r="E1921">
        <v>198.43</v>
      </c>
      <c r="F1921">
        <v>0</v>
      </c>
      <c r="G1921" t="s">
        <v>2019</v>
      </c>
      <c r="H1921" t="s">
        <v>2025</v>
      </c>
      <c r="I1921" t="s">
        <v>3947</v>
      </c>
      <c r="J1921" t="s">
        <v>4030</v>
      </c>
      <c r="K1921" t="s">
        <v>4059</v>
      </c>
      <c r="L1921">
        <v>-198.43</v>
      </c>
    </row>
    <row r="1922" spans="1:12">
      <c r="A1922" t="s">
        <v>1932</v>
      </c>
      <c r="B1922" s="2">
        <v>45720</v>
      </c>
      <c r="C1922">
        <v>6000</v>
      </c>
      <c r="D1922" t="s">
        <v>2014</v>
      </c>
      <c r="E1922">
        <v>1818.32</v>
      </c>
      <c r="F1922">
        <v>0</v>
      </c>
      <c r="G1922" t="s">
        <v>2021</v>
      </c>
      <c r="H1922" t="s">
        <v>2024</v>
      </c>
      <c r="I1922" t="s">
        <v>3948</v>
      </c>
      <c r="J1922" t="s">
        <v>4032</v>
      </c>
      <c r="K1922" t="s">
        <v>4046</v>
      </c>
      <c r="L1922">
        <v>-1818.32</v>
      </c>
    </row>
    <row r="1923" spans="1:12">
      <c r="A1923" t="s">
        <v>1933</v>
      </c>
      <c r="B1923" s="2">
        <v>45384</v>
      </c>
      <c r="C1923">
        <v>4010</v>
      </c>
      <c r="D1923" t="s">
        <v>2016</v>
      </c>
      <c r="E1923">
        <v>0</v>
      </c>
      <c r="F1923">
        <v>2638.4</v>
      </c>
      <c r="G1923" t="s">
        <v>2022</v>
      </c>
      <c r="H1923" t="s">
        <v>2027</v>
      </c>
      <c r="I1923" t="s">
        <v>3949</v>
      </c>
      <c r="J1923" t="s">
        <v>4031</v>
      </c>
      <c r="K1923" t="s">
        <v>4040</v>
      </c>
      <c r="L1923">
        <v>2638.4</v>
      </c>
    </row>
    <row r="1924" spans="1:12">
      <c r="A1924" t="s">
        <v>1934</v>
      </c>
      <c r="B1924" s="2">
        <v>45003</v>
      </c>
      <c r="C1924">
        <v>4010</v>
      </c>
      <c r="D1924" t="s">
        <v>2016</v>
      </c>
      <c r="E1924">
        <v>0</v>
      </c>
      <c r="F1924">
        <v>2791.71</v>
      </c>
      <c r="G1924" t="s">
        <v>2018</v>
      </c>
      <c r="H1924" t="s">
        <v>2026</v>
      </c>
      <c r="I1924" t="s">
        <v>3950</v>
      </c>
      <c r="J1924" t="s">
        <v>4032</v>
      </c>
      <c r="K1924" t="s">
        <v>4051</v>
      </c>
      <c r="L1924">
        <v>2791.71</v>
      </c>
    </row>
    <row r="1925" spans="1:12">
      <c r="A1925" t="s">
        <v>1935</v>
      </c>
      <c r="B1925" s="2">
        <v>45320</v>
      </c>
      <c r="C1925">
        <v>5000</v>
      </c>
      <c r="D1925" t="s">
        <v>2013</v>
      </c>
      <c r="E1925">
        <v>726.03</v>
      </c>
      <c r="F1925">
        <v>0</v>
      </c>
      <c r="G1925" t="s">
        <v>2018</v>
      </c>
      <c r="H1925" t="s">
        <v>2027</v>
      </c>
      <c r="I1925" t="s">
        <v>3951</v>
      </c>
      <c r="J1925" t="s">
        <v>4031</v>
      </c>
      <c r="K1925" t="s">
        <v>4053</v>
      </c>
      <c r="L1925">
        <v>-726.03</v>
      </c>
    </row>
    <row r="1926" spans="1:12">
      <c r="A1926" t="s">
        <v>1936</v>
      </c>
      <c r="B1926" s="2">
        <v>45055</v>
      </c>
      <c r="C1926">
        <v>5000</v>
      </c>
      <c r="D1926" t="s">
        <v>2013</v>
      </c>
      <c r="E1926">
        <v>1370.59</v>
      </c>
      <c r="F1926">
        <v>0</v>
      </c>
      <c r="G1926" t="s">
        <v>2017</v>
      </c>
      <c r="H1926" t="s">
        <v>2027</v>
      </c>
      <c r="I1926" t="s">
        <v>3952</v>
      </c>
      <c r="J1926" t="s">
        <v>4030</v>
      </c>
      <c r="K1926" t="s">
        <v>4062</v>
      </c>
      <c r="L1926">
        <v>-1370.59</v>
      </c>
    </row>
    <row r="1927" spans="1:12">
      <c r="A1927" t="s">
        <v>1937</v>
      </c>
      <c r="B1927" s="2">
        <v>45409</v>
      </c>
      <c r="C1927">
        <v>5010</v>
      </c>
      <c r="D1927" t="s">
        <v>2015</v>
      </c>
      <c r="E1927">
        <v>263.16000000000003</v>
      </c>
      <c r="F1927">
        <v>0</v>
      </c>
      <c r="G1927" t="s">
        <v>2019</v>
      </c>
      <c r="H1927" t="s">
        <v>2025</v>
      </c>
      <c r="I1927" t="s">
        <v>3953</v>
      </c>
      <c r="J1927" t="s">
        <v>4032</v>
      </c>
      <c r="K1927" t="s">
        <v>4040</v>
      </c>
      <c r="L1927">
        <v>-263.16000000000003</v>
      </c>
    </row>
    <row r="1928" spans="1:12">
      <c r="A1928" t="s">
        <v>1938</v>
      </c>
      <c r="B1928" s="2">
        <v>45561</v>
      </c>
      <c r="C1928">
        <v>5010</v>
      </c>
      <c r="D1928" t="s">
        <v>2015</v>
      </c>
      <c r="E1928">
        <v>1336.28</v>
      </c>
      <c r="F1928">
        <v>0</v>
      </c>
      <c r="G1928" t="s">
        <v>2019</v>
      </c>
      <c r="H1928" t="s">
        <v>2024</v>
      </c>
      <c r="I1928" t="s">
        <v>3954</v>
      </c>
      <c r="J1928" t="s">
        <v>4030</v>
      </c>
      <c r="K1928" t="s">
        <v>4048</v>
      </c>
      <c r="L1928">
        <v>-1336.28</v>
      </c>
    </row>
    <row r="1929" spans="1:12">
      <c r="A1929" t="s">
        <v>1939</v>
      </c>
      <c r="B1929" s="2">
        <v>45435</v>
      </c>
      <c r="C1929">
        <v>6000</v>
      </c>
      <c r="D1929" t="s">
        <v>2014</v>
      </c>
      <c r="E1929">
        <v>1661.05</v>
      </c>
      <c r="F1929">
        <v>0</v>
      </c>
      <c r="G1929" t="s">
        <v>2020</v>
      </c>
      <c r="H1929" t="s">
        <v>2025</v>
      </c>
      <c r="I1929" t="s">
        <v>3955</v>
      </c>
      <c r="J1929" t="s">
        <v>4029</v>
      </c>
      <c r="K1929" t="s">
        <v>4033</v>
      </c>
      <c r="L1929">
        <v>-1661.05</v>
      </c>
    </row>
    <row r="1930" spans="1:12">
      <c r="A1930" t="s">
        <v>1940</v>
      </c>
      <c r="B1930" s="2">
        <v>45247</v>
      </c>
      <c r="C1930">
        <v>4000</v>
      </c>
      <c r="D1930" t="s">
        <v>2012</v>
      </c>
      <c r="E1930">
        <v>0</v>
      </c>
      <c r="F1930">
        <v>2221.86</v>
      </c>
      <c r="G1930" t="s">
        <v>2022</v>
      </c>
      <c r="H1930" t="s">
        <v>2024</v>
      </c>
      <c r="I1930" t="s">
        <v>3956</v>
      </c>
      <c r="J1930" t="s">
        <v>4028</v>
      </c>
      <c r="K1930" t="s">
        <v>4042</v>
      </c>
      <c r="L1930">
        <v>2221.86</v>
      </c>
    </row>
    <row r="1931" spans="1:12">
      <c r="A1931" t="s">
        <v>1941</v>
      </c>
      <c r="B1931" s="2">
        <v>45356</v>
      </c>
      <c r="C1931">
        <v>4010</v>
      </c>
      <c r="D1931" t="s">
        <v>2016</v>
      </c>
      <c r="E1931">
        <v>0</v>
      </c>
      <c r="F1931">
        <v>4064.87</v>
      </c>
      <c r="G1931" t="s">
        <v>2017</v>
      </c>
      <c r="H1931" t="s">
        <v>2024</v>
      </c>
      <c r="I1931" t="s">
        <v>3957</v>
      </c>
      <c r="J1931" t="s">
        <v>4032</v>
      </c>
      <c r="K1931" t="s">
        <v>4049</v>
      </c>
      <c r="L1931">
        <v>4064.87</v>
      </c>
    </row>
    <row r="1932" spans="1:12">
      <c r="A1932" t="s">
        <v>1942</v>
      </c>
      <c r="B1932" s="2">
        <v>45592</v>
      </c>
      <c r="C1932">
        <v>5000</v>
      </c>
      <c r="D1932" t="s">
        <v>2013</v>
      </c>
      <c r="E1932">
        <v>564.04</v>
      </c>
      <c r="F1932">
        <v>0</v>
      </c>
      <c r="G1932" t="s">
        <v>2020</v>
      </c>
      <c r="H1932" t="s">
        <v>2025</v>
      </c>
      <c r="I1932" t="s">
        <v>3958</v>
      </c>
      <c r="J1932" t="s">
        <v>4031</v>
      </c>
      <c r="K1932" t="s">
        <v>4059</v>
      </c>
      <c r="L1932">
        <v>-564.04</v>
      </c>
    </row>
    <row r="1933" spans="1:12">
      <c r="A1933" t="s">
        <v>1943</v>
      </c>
      <c r="B1933" s="2">
        <v>45255</v>
      </c>
      <c r="C1933">
        <v>4010</v>
      </c>
      <c r="D1933" t="s">
        <v>2016</v>
      </c>
      <c r="E1933">
        <v>0</v>
      </c>
      <c r="F1933">
        <v>2394.69</v>
      </c>
      <c r="G1933" t="s">
        <v>2022</v>
      </c>
      <c r="H1933" t="s">
        <v>2024</v>
      </c>
      <c r="I1933" t="s">
        <v>3959</v>
      </c>
      <c r="J1933" t="s">
        <v>4030</v>
      </c>
      <c r="K1933" t="s">
        <v>4042</v>
      </c>
      <c r="L1933">
        <v>2394.69</v>
      </c>
    </row>
    <row r="1934" spans="1:12">
      <c r="A1934" t="s">
        <v>1944</v>
      </c>
      <c r="B1934" s="2">
        <v>45583</v>
      </c>
      <c r="C1934">
        <v>4010</v>
      </c>
      <c r="D1934" t="s">
        <v>2016</v>
      </c>
      <c r="E1934">
        <v>0</v>
      </c>
      <c r="F1934">
        <v>4484.1899999999996</v>
      </c>
      <c r="G1934" t="s">
        <v>2020</v>
      </c>
      <c r="H1934" t="s">
        <v>2023</v>
      </c>
      <c r="I1934" t="s">
        <v>3960</v>
      </c>
      <c r="J1934" t="s">
        <v>4030</v>
      </c>
      <c r="K1934" t="s">
        <v>4059</v>
      </c>
      <c r="L1934">
        <v>4484.1899999999996</v>
      </c>
    </row>
    <row r="1935" spans="1:12">
      <c r="A1935" t="s">
        <v>1945</v>
      </c>
      <c r="B1935" s="2">
        <v>45656</v>
      </c>
      <c r="C1935">
        <v>4010</v>
      </c>
      <c r="D1935" t="s">
        <v>2016</v>
      </c>
      <c r="E1935">
        <v>0</v>
      </c>
      <c r="F1935">
        <v>1838.71</v>
      </c>
      <c r="G1935" t="s">
        <v>2020</v>
      </c>
      <c r="H1935" t="s">
        <v>2025</v>
      </c>
      <c r="I1935" t="s">
        <v>3961</v>
      </c>
      <c r="J1935" t="s">
        <v>4032</v>
      </c>
      <c r="K1935" t="s">
        <v>4056</v>
      </c>
      <c r="L1935">
        <v>1838.71</v>
      </c>
    </row>
    <row r="1936" spans="1:12">
      <c r="A1936" t="s">
        <v>1946</v>
      </c>
      <c r="B1936" s="2">
        <v>45767</v>
      </c>
      <c r="C1936">
        <v>5010</v>
      </c>
      <c r="D1936" t="s">
        <v>2015</v>
      </c>
      <c r="E1936">
        <v>407.55</v>
      </c>
      <c r="F1936">
        <v>0</v>
      </c>
      <c r="G1936" t="s">
        <v>2019</v>
      </c>
      <c r="H1936" t="s">
        <v>2025</v>
      </c>
      <c r="I1936" t="s">
        <v>3962</v>
      </c>
      <c r="J1936" t="s">
        <v>4028</v>
      </c>
      <c r="K1936" t="s">
        <v>4045</v>
      </c>
      <c r="L1936">
        <v>-407.55</v>
      </c>
    </row>
    <row r="1937" spans="1:12">
      <c r="A1937" t="s">
        <v>1947</v>
      </c>
      <c r="B1937" s="2">
        <v>45253</v>
      </c>
      <c r="C1937">
        <v>4000</v>
      </c>
      <c r="D1937" t="s">
        <v>2012</v>
      </c>
      <c r="E1937">
        <v>0</v>
      </c>
      <c r="F1937">
        <v>1239.76</v>
      </c>
      <c r="G1937" t="s">
        <v>2022</v>
      </c>
      <c r="H1937" t="s">
        <v>2025</v>
      </c>
      <c r="I1937" t="s">
        <v>3963</v>
      </c>
      <c r="J1937" t="s">
        <v>4032</v>
      </c>
      <c r="K1937" t="s">
        <v>4042</v>
      </c>
      <c r="L1937">
        <v>1239.76</v>
      </c>
    </row>
    <row r="1938" spans="1:12">
      <c r="A1938" t="s">
        <v>1948</v>
      </c>
      <c r="B1938" s="2">
        <v>45119</v>
      </c>
      <c r="C1938">
        <v>5010</v>
      </c>
      <c r="D1938" t="s">
        <v>2015</v>
      </c>
      <c r="E1938">
        <v>721.91</v>
      </c>
      <c r="F1938">
        <v>0</v>
      </c>
      <c r="G1938" t="s">
        <v>2020</v>
      </c>
      <c r="H1938" t="s">
        <v>2023</v>
      </c>
      <c r="I1938" t="s">
        <v>3964</v>
      </c>
      <c r="J1938" t="s">
        <v>4029</v>
      </c>
      <c r="K1938" t="s">
        <v>4050</v>
      </c>
      <c r="L1938">
        <v>-721.91</v>
      </c>
    </row>
    <row r="1939" spans="1:12">
      <c r="A1939" t="s">
        <v>1949</v>
      </c>
      <c r="B1939" s="2">
        <v>45307</v>
      </c>
      <c r="C1939">
        <v>6000</v>
      </c>
      <c r="D1939" t="s">
        <v>2014</v>
      </c>
      <c r="E1939">
        <v>1506.81</v>
      </c>
      <c r="F1939">
        <v>0</v>
      </c>
      <c r="G1939" t="s">
        <v>2020</v>
      </c>
      <c r="H1939" t="s">
        <v>2026</v>
      </c>
      <c r="I1939" t="s">
        <v>3965</v>
      </c>
      <c r="J1939" t="s">
        <v>4028</v>
      </c>
      <c r="K1939" t="s">
        <v>4053</v>
      </c>
      <c r="L1939">
        <v>-1506.81</v>
      </c>
    </row>
    <row r="1940" spans="1:12">
      <c r="A1940" t="s">
        <v>1950</v>
      </c>
      <c r="B1940" s="2">
        <v>45723</v>
      </c>
      <c r="C1940">
        <v>4010</v>
      </c>
      <c r="D1940" t="s">
        <v>2016</v>
      </c>
      <c r="E1940">
        <v>0</v>
      </c>
      <c r="F1940">
        <v>3376.73</v>
      </c>
      <c r="G1940" t="s">
        <v>2019</v>
      </c>
      <c r="H1940" t="s">
        <v>2025</v>
      </c>
      <c r="I1940" t="s">
        <v>3966</v>
      </c>
      <c r="J1940" t="s">
        <v>4029</v>
      </c>
      <c r="K1940" t="s">
        <v>4046</v>
      </c>
      <c r="L1940">
        <v>3376.73</v>
      </c>
    </row>
    <row r="1941" spans="1:12">
      <c r="A1941" t="s">
        <v>1951</v>
      </c>
      <c r="B1941" s="2">
        <v>45265</v>
      </c>
      <c r="C1941">
        <v>6000</v>
      </c>
      <c r="D1941" t="s">
        <v>2014</v>
      </c>
      <c r="E1941">
        <v>1023.13</v>
      </c>
      <c r="F1941">
        <v>0</v>
      </c>
      <c r="G1941" t="s">
        <v>2020</v>
      </c>
      <c r="H1941" t="s">
        <v>2027</v>
      </c>
      <c r="I1941" t="s">
        <v>3967</v>
      </c>
      <c r="J1941" t="s">
        <v>4028</v>
      </c>
      <c r="K1941" t="s">
        <v>4039</v>
      </c>
      <c r="L1941">
        <v>-1023.13</v>
      </c>
    </row>
    <row r="1942" spans="1:12">
      <c r="A1942" t="s">
        <v>1952</v>
      </c>
      <c r="B1942" s="2">
        <v>45834</v>
      </c>
      <c r="C1942">
        <v>6000</v>
      </c>
      <c r="D1942" t="s">
        <v>2014</v>
      </c>
      <c r="E1942">
        <v>1885.62</v>
      </c>
      <c r="F1942">
        <v>0</v>
      </c>
      <c r="G1942" t="s">
        <v>2021</v>
      </c>
      <c r="H1942" t="s">
        <v>2026</v>
      </c>
      <c r="I1942" t="s">
        <v>3968</v>
      </c>
      <c r="J1942" t="s">
        <v>4032</v>
      </c>
      <c r="K1942" t="s">
        <v>4052</v>
      </c>
      <c r="L1942">
        <v>-1885.62</v>
      </c>
    </row>
    <row r="1943" spans="1:12">
      <c r="A1943" t="s">
        <v>1953</v>
      </c>
      <c r="B1943" s="2">
        <v>45421</v>
      </c>
      <c r="C1943">
        <v>4010</v>
      </c>
      <c r="D1943" t="s">
        <v>2016</v>
      </c>
      <c r="E1943">
        <v>0</v>
      </c>
      <c r="F1943">
        <v>955.35</v>
      </c>
      <c r="G1943" t="s">
        <v>2020</v>
      </c>
      <c r="H1943" t="s">
        <v>2026</v>
      </c>
      <c r="I1943" t="s">
        <v>3969</v>
      </c>
      <c r="J1943" t="s">
        <v>4032</v>
      </c>
      <c r="K1943" t="s">
        <v>4033</v>
      </c>
      <c r="L1943">
        <v>955.35</v>
      </c>
    </row>
    <row r="1944" spans="1:12">
      <c r="A1944" t="s">
        <v>1954</v>
      </c>
      <c r="B1944" s="2">
        <v>44927</v>
      </c>
      <c r="C1944">
        <v>5010</v>
      </c>
      <c r="D1944" t="s">
        <v>2015</v>
      </c>
      <c r="E1944">
        <v>1735.63</v>
      </c>
      <c r="F1944">
        <v>0</v>
      </c>
      <c r="G1944" t="s">
        <v>2017</v>
      </c>
      <c r="H1944" t="s">
        <v>2023</v>
      </c>
      <c r="I1944" t="s">
        <v>3970</v>
      </c>
      <c r="J1944" t="s">
        <v>4032</v>
      </c>
      <c r="K1944" t="s">
        <v>4047</v>
      </c>
      <c r="L1944">
        <v>-1735.63</v>
      </c>
    </row>
    <row r="1945" spans="1:12">
      <c r="A1945" t="s">
        <v>1955</v>
      </c>
      <c r="B1945" s="2">
        <v>45131</v>
      </c>
      <c r="C1945">
        <v>5000</v>
      </c>
      <c r="D1945" t="s">
        <v>2013</v>
      </c>
      <c r="E1945">
        <v>1311.61</v>
      </c>
      <c r="F1945">
        <v>0</v>
      </c>
      <c r="G1945" t="s">
        <v>2022</v>
      </c>
      <c r="H1945" t="s">
        <v>2027</v>
      </c>
      <c r="I1945" t="s">
        <v>3971</v>
      </c>
      <c r="J1945" t="s">
        <v>4030</v>
      </c>
      <c r="K1945" t="s">
        <v>4050</v>
      </c>
      <c r="L1945">
        <v>-1311.61</v>
      </c>
    </row>
    <row r="1946" spans="1:12">
      <c r="A1946" t="s">
        <v>1956</v>
      </c>
      <c r="B1946" s="2">
        <v>45256</v>
      </c>
      <c r="C1946">
        <v>4010</v>
      </c>
      <c r="D1946" t="s">
        <v>2016</v>
      </c>
      <c r="E1946">
        <v>0</v>
      </c>
      <c r="F1946">
        <v>3124.09</v>
      </c>
      <c r="G1946" t="s">
        <v>2022</v>
      </c>
      <c r="H1946" t="s">
        <v>2023</v>
      </c>
      <c r="I1946" t="s">
        <v>3972</v>
      </c>
      <c r="J1946" t="s">
        <v>4031</v>
      </c>
      <c r="K1946" t="s">
        <v>4042</v>
      </c>
      <c r="L1946">
        <v>3124.09</v>
      </c>
    </row>
    <row r="1947" spans="1:12">
      <c r="A1947" t="s">
        <v>1957</v>
      </c>
      <c r="B1947" s="2">
        <v>45505</v>
      </c>
      <c r="C1947">
        <v>5010</v>
      </c>
      <c r="D1947" t="s">
        <v>2015</v>
      </c>
      <c r="E1947">
        <v>1453.46</v>
      </c>
      <c r="F1947">
        <v>0</v>
      </c>
      <c r="G1947" t="s">
        <v>2021</v>
      </c>
      <c r="H1947" t="s">
        <v>2025</v>
      </c>
      <c r="I1947" t="s">
        <v>3973</v>
      </c>
      <c r="J1947" t="s">
        <v>4031</v>
      </c>
      <c r="K1947" t="s">
        <v>4058</v>
      </c>
      <c r="L1947">
        <v>-1453.46</v>
      </c>
    </row>
    <row r="1948" spans="1:12">
      <c r="A1948" t="s">
        <v>1958</v>
      </c>
      <c r="B1948" s="2">
        <v>45018</v>
      </c>
      <c r="C1948">
        <v>6000</v>
      </c>
      <c r="D1948" t="s">
        <v>2014</v>
      </c>
      <c r="E1948">
        <v>502.87</v>
      </c>
      <c r="F1948">
        <v>0</v>
      </c>
      <c r="G1948" t="s">
        <v>2018</v>
      </c>
      <c r="H1948" t="s">
        <v>2023</v>
      </c>
      <c r="I1948" t="s">
        <v>3974</v>
      </c>
      <c r="J1948" t="s">
        <v>4032</v>
      </c>
      <c r="K1948" t="s">
        <v>4041</v>
      </c>
      <c r="L1948">
        <v>-502.87</v>
      </c>
    </row>
    <row r="1949" spans="1:12">
      <c r="A1949" t="s">
        <v>1959</v>
      </c>
      <c r="B1949" s="2">
        <v>45161</v>
      </c>
      <c r="C1949">
        <v>6000</v>
      </c>
      <c r="D1949" t="s">
        <v>2014</v>
      </c>
      <c r="E1949">
        <v>845.04</v>
      </c>
      <c r="F1949">
        <v>0</v>
      </c>
      <c r="G1949" t="s">
        <v>2020</v>
      </c>
      <c r="H1949" t="s">
        <v>2024</v>
      </c>
      <c r="I1949" t="s">
        <v>3975</v>
      </c>
      <c r="J1949" t="s">
        <v>4029</v>
      </c>
      <c r="K1949" t="s">
        <v>4037</v>
      </c>
      <c r="L1949">
        <v>-845.04</v>
      </c>
    </row>
    <row r="1950" spans="1:12">
      <c r="A1950" t="s">
        <v>1960</v>
      </c>
      <c r="B1950" s="2">
        <v>45657</v>
      </c>
      <c r="C1950">
        <v>4010</v>
      </c>
      <c r="D1950" t="s">
        <v>2016</v>
      </c>
      <c r="E1950">
        <v>0</v>
      </c>
      <c r="F1950">
        <v>2650.78</v>
      </c>
      <c r="G1950" t="s">
        <v>2021</v>
      </c>
      <c r="H1950" t="s">
        <v>2025</v>
      </c>
      <c r="I1950" t="s">
        <v>3976</v>
      </c>
      <c r="J1950" t="s">
        <v>4030</v>
      </c>
      <c r="K1950" t="s">
        <v>4056</v>
      </c>
      <c r="L1950">
        <v>2650.78</v>
      </c>
    </row>
    <row r="1951" spans="1:12">
      <c r="A1951" t="s">
        <v>1961</v>
      </c>
      <c r="B1951" s="2">
        <v>45663</v>
      </c>
      <c r="C1951">
        <v>4000</v>
      </c>
      <c r="D1951" t="s">
        <v>2012</v>
      </c>
      <c r="E1951">
        <v>0</v>
      </c>
      <c r="F1951">
        <v>3701</v>
      </c>
      <c r="G1951" t="s">
        <v>2018</v>
      </c>
      <c r="H1951" t="s">
        <v>2027</v>
      </c>
      <c r="I1951" t="s">
        <v>3977</v>
      </c>
      <c r="J1951" t="s">
        <v>4030</v>
      </c>
      <c r="K1951" t="s">
        <v>4035</v>
      </c>
      <c r="L1951">
        <v>3701</v>
      </c>
    </row>
    <row r="1952" spans="1:12">
      <c r="A1952" t="s">
        <v>1962</v>
      </c>
      <c r="B1952" s="2">
        <v>45525</v>
      </c>
      <c r="C1952">
        <v>6000</v>
      </c>
      <c r="D1952" t="s">
        <v>2014</v>
      </c>
      <c r="E1952">
        <v>866.51</v>
      </c>
      <c r="F1952">
        <v>0</v>
      </c>
      <c r="G1952" t="s">
        <v>2019</v>
      </c>
      <c r="H1952" t="s">
        <v>2026</v>
      </c>
      <c r="I1952" t="s">
        <v>3978</v>
      </c>
      <c r="J1952" t="s">
        <v>4032</v>
      </c>
      <c r="K1952" t="s">
        <v>4058</v>
      </c>
      <c r="L1952">
        <v>-866.51</v>
      </c>
    </row>
    <row r="1953" spans="1:12">
      <c r="A1953" t="s">
        <v>1963</v>
      </c>
      <c r="B1953" s="2">
        <v>45387</v>
      </c>
      <c r="C1953">
        <v>5000</v>
      </c>
      <c r="D1953" t="s">
        <v>2013</v>
      </c>
      <c r="E1953">
        <v>1517.29</v>
      </c>
      <c r="F1953">
        <v>0</v>
      </c>
      <c r="G1953" t="s">
        <v>2019</v>
      </c>
      <c r="H1953" t="s">
        <v>2027</v>
      </c>
      <c r="I1953" t="s">
        <v>3979</v>
      </c>
      <c r="J1953" t="s">
        <v>4029</v>
      </c>
      <c r="K1953" t="s">
        <v>4040</v>
      </c>
      <c r="L1953">
        <v>-1517.29</v>
      </c>
    </row>
    <row r="1954" spans="1:12">
      <c r="A1954" t="s">
        <v>1964</v>
      </c>
      <c r="B1954" s="2">
        <v>45662</v>
      </c>
      <c r="C1954">
        <v>5000</v>
      </c>
      <c r="D1954" t="s">
        <v>2013</v>
      </c>
      <c r="E1954">
        <v>58.18</v>
      </c>
      <c r="F1954">
        <v>0</v>
      </c>
      <c r="G1954" t="s">
        <v>2017</v>
      </c>
      <c r="H1954" t="s">
        <v>2026</v>
      </c>
      <c r="I1954" t="s">
        <v>3980</v>
      </c>
      <c r="J1954" t="s">
        <v>4029</v>
      </c>
      <c r="K1954" t="s">
        <v>4035</v>
      </c>
      <c r="L1954">
        <v>-58.18</v>
      </c>
    </row>
    <row r="1955" spans="1:12">
      <c r="A1955" t="s">
        <v>1965</v>
      </c>
      <c r="B1955" s="2">
        <v>45649</v>
      </c>
      <c r="C1955">
        <v>4000</v>
      </c>
      <c r="D1955" t="s">
        <v>2012</v>
      </c>
      <c r="E1955">
        <v>0</v>
      </c>
      <c r="F1955">
        <v>944.88</v>
      </c>
      <c r="G1955" t="s">
        <v>2020</v>
      </c>
      <c r="H1955" t="s">
        <v>2024</v>
      </c>
      <c r="I1955" t="s">
        <v>3981</v>
      </c>
      <c r="J1955" t="s">
        <v>4030</v>
      </c>
      <c r="K1955" t="s">
        <v>4056</v>
      </c>
      <c r="L1955">
        <v>944.88</v>
      </c>
    </row>
    <row r="1956" spans="1:12">
      <c r="A1956" t="s">
        <v>1966</v>
      </c>
      <c r="B1956" s="2">
        <v>45671</v>
      </c>
      <c r="C1956">
        <v>6000</v>
      </c>
      <c r="D1956" t="s">
        <v>2014</v>
      </c>
      <c r="E1956">
        <v>394.98</v>
      </c>
      <c r="F1956">
        <v>0</v>
      </c>
      <c r="G1956" t="s">
        <v>2018</v>
      </c>
      <c r="H1956" t="s">
        <v>2024</v>
      </c>
      <c r="I1956" t="s">
        <v>3982</v>
      </c>
      <c r="J1956" t="s">
        <v>4032</v>
      </c>
      <c r="K1956" t="s">
        <v>4035</v>
      </c>
      <c r="L1956">
        <v>-394.98</v>
      </c>
    </row>
    <row r="1957" spans="1:12">
      <c r="A1957" t="s">
        <v>1967</v>
      </c>
      <c r="B1957" s="2">
        <v>45082</v>
      </c>
      <c r="C1957">
        <v>5000</v>
      </c>
      <c r="D1957" t="s">
        <v>2013</v>
      </c>
      <c r="E1957">
        <v>1322.13</v>
      </c>
      <c r="F1957">
        <v>0</v>
      </c>
      <c r="G1957" t="s">
        <v>2019</v>
      </c>
      <c r="H1957" t="s">
        <v>2026</v>
      </c>
      <c r="I1957" t="s">
        <v>3983</v>
      </c>
      <c r="J1957" t="s">
        <v>4032</v>
      </c>
      <c r="K1957" t="s">
        <v>4055</v>
      </c>
      <c r="L1957">
        <v>-1322.13</v>
      </c>
    </row>
    <row r="1958" spans="1:12">
      <c r="A1958" t="s">
        <v>1968</v>
      </c>
      <c r="B1958" s="2">
        <v>45447</v>
      </c>
      <c r="C1958">
        <v>5010</v>
      </c>
      <c r="D1958" t="s">
        <v>2015</v>
      </c>
      <c r="E1958">
        <v>780.7</v>
      </c>
      <c r="F1958">
        <v>0</v>
      </c>
      <c r="G1958" t="s">
        <v>2019</v>
      </c>
      <c r="H1958" t="s">
        <v>2024</v>
      </c>
      <c r="I1958" t="s">
        <v>3984</v>
      </c>
      <c r="J1958" t="s">
        <v>4031</v>
      </c>
      <c r="K1958" t="s">
        <v>4034</v>
      </c>
      <c r="L1958">
        <v>-780.7</v>
      </c>
    </row>
    <row r="1959" spans="1:12">
      <c r="A1959" t="s">
        <v>1969</v>
      </c>
      <c r="B1959" s="2">
        <v>45695</v>
      </c>
      <c r="C1959">
        <v>5000</v>
      </c>
      <c r="D1959" t="s">
        <v>2013</v>
      </c>
      <c r="E1959">
        <v>1051.1600000000001</v>
      </c>
      <c r="F1959">
        <v>0</v>
      </c>
      <c r="G1959" t="s">
        <v>2017</v>
      </c>
      <c r="H1959" t="s">
        <v>2024</v>
      </c>
      <c r="I1959" t="s">
        <v>3985</v>
      </c>
      <c r="J1959" t="s">
        <v>4028</v>
      </c>
      <c r="K1959" t="s">
        <v>4061</v>
      </c>
      <c r="L1959">
        <v>-1051.1600000000001</v>
      </c>
    </row>
    <row r="1960" spans="1:12">
      <c r="A1960" t="s">
        <v>1970</v>
      </c>
      <c r="B1960" s="2">
        <v>45243</v>
      </c>
      <c r="C1960">
        <v>4010</v>
      </c>
      <c r="D1960" t="s">
        <v>2016</v>
      </c>
      <c r="E1960">
        <v>0</v>
      </c>
      <c r="F1960">
        <v>3466.47</v>
      </c>
      <c r="G1960" t="s">
        <v>2021</v>
      </c>
      <c r="H1960" t="s">
        <v>2025</v>
      </c>
      <c r="I1960" t="s">
        <v>3986</v>
      </c>
      <c r="J1960" t="s">
        <v>4030</v>
      </c>
      <c r="K1960" t="s">
        <v>4042</v>
      </c>
      <c r="L1960">
        <v>3466.47</v>
      </c>
    </row>
    <row r="1961" spans="1:12">
      <c r="A1961" t="s">
        <v>1971</v>
      </c>
      <c r="B1961" s="2">
        <v>45306</v>
      </c>
      <c r="C1961">
        <v>4000</v>
      </c>
      <c r="D1961" t="s">
        <v>2012</v>
      </c>
      <c r="E1961">
        <v>0</v>
      </c>
      <c r="F1961">
        <v>2900.85</v>
      </c>
      <c r="G1961" t="s">
        <v>2020</v>
      </c>
      <c r="H1961" t="s">
        <v>2026</v>
      </c>
      <c r="I1961" t="s">
        <v>3987</v>
      </c>
      <c r="J1961" t="s">
        <v>4032</v>
      </c>
      <c r="K1961" t="s">
        <v>4053</v>
      </c>
      <c r="L1961">
        <v>2900.85</v>
      </c>
    </row>
    <row r="1962" spans="1:12">
      <c r="A1962" t="s">
        <v>1972</v>
      </c>
      <c r="B1962" s="2">
        <v>45641</v>
      </c>
      <c r="C1962">
        <v>5010</v>
      </c>
      <c r="D1962" t="s">
        <v>2015</v>
      </c>
      <c r="E1962">
        <v>852.05</v>
      </c>
      <c r="F1962">
        <v>0</v>
      </c>
      <c r="G1962" t="s">
        <v>2019</v>
      </c>
      <c r="H1962" t="s">
        <v>2024</v>
      </c>
      <c r="I1962" t="s">
        <v>3988</v>
      </c>
      <c r="J1962" t="s">
        <v>4032</v>
      </c>
      <c r="K1962" t="s">
        <v>4056</v>
      </c>
      <c r="L1962">
        <v>-852.05</v>
      </c>
    </row>
    <row r="1963" spans="1:12">
      <c r="A1963" t="s">
        <v>1973</v>
      </c>
      <c r="B1963" s="2">
        <v>45050</v>
      </c>
      <c r="C1963">
        <v>6000</v>
      </c>
      <c r="D1963" t="s">
        <v>2014</v>
      </c>
      <c r="E1963">
        <v>1137.76</v>
      </c>
      <c r="F1963">
        <v>0</v>
      </c>
      <c r="G1963" t="s">
        <v>2018</v>
      </c>
      <c r="H1963" t="s">
        <v>2027</v>
      </c>
      <c r="I1963" t="s">
        <v>3989</v>
      </c>
      <c r="J1963" t="s">
        <v>4030</v>
      </c>
      <c r="K1963" t="s">
        <v>4062</v>
      </c>
      <c r="L1963">
        <v>-1137.76</v>
      </c>
    </row>
    <row r="1964" spans="1:12">
      <c r="A1964" t="s">
        <v>1974</v>
      </c>
      <c r="B1964" s="2">
        <v>45464</v>
      </c>
      <c r="C1964">
        <v>6000</v>
      </c>
      <c r="D1964" t="s">
        <v>2014</v>
      </c>
      <c r="E1964">
        <v>1927.94</v>
      </c>
      <c r="F1964">
        <v>0</v>
      </c>
      <c r="G1964" t="s">
        <v>2022</v>
      </c>
      <c r="H1964" t="s">
        <v>2027</v>
      </c>
      <c r="I1964" t="s">
        <v>3990</v>
      </c>
      <c r="J1964" t="s">
        <v>4032</v>
      </c>
      <c r="K1964" t="s">
        <v>4034</v>
      </c>
      <c r="L1964">
        <v>-1927.94</v>
      </c>
    </row>
    <row r="1965" spans="1:12">
      <c r="A1965" t="s">
        <v>1975</v>
      </c>
      <c r="B1965" s="2">
        <v>45713</v>
      </c>
      <c r="C1965">
        <v>4010</v>
      </c>
      <c r="D1965" t="s">
        <v>2016</v>
      </c>
      <c r="E1965">
        <v>0</v>
      </c>
      <c r="F1965">
        <v>2609.17</v>
      </c>
      <c r="G1965" t="s">
        <v>2018</v>
      </c>
      <c r="H1965" t="s">
        <v>2023</v>
      </c>
      <c r="I1965" t="s">
        <v>3991</v>
      </c>
      <c r="J1965" t="s">
        <v>4028</v>
      </c>
      <c r="K1965" t="s">
        <v>4061</v>
      </c>
      <c r="L1965">
        <v>2609.17</v>
      </c>
    </row>
    <row r="1966" spans="1:12">
      <c r="A1966" t="s">
        <v>1976</v>
      </c>
      <c r="B1966" s="2">
        <v>45755</v>
      </c>
      <c r="C1966">
        <v>5000</v>
      </c>
      <c r="D1966" t="s">
        <v>2013</v>
      </c>
      <c r="E1966">
        <v>1813.3</v>
      </c>
      <c r="F1966">
        <v>0</v>
      </c>
      <c r="G1966" t="s">
        <v>2022</v>
      </c>
      <c r="H1966" t="s">
        <v>2025</v>
      </c>
      <c r="I1966" t="s">
        <v>3992</v>
      </c>
      <c r="J1966" t="s">
        <v>4030</v>
      </c>
      <c r="K1966" t="s">
        <v>4045</v>
      </c>
      <c r="L1966">
        <v>-1813.3</v>
      </c>
    </row>
    <row r="1967" spans="1:12">
      <c r="A1967" t="s">
        <v>1977</v>
      </c>
      <c r="B1967" s="2">
        <v>45166</v>
      </c>
      <c r="C1967">
        <v>4000</v>
      </c>
      <c r="D1967" t="s">
        <v>2012</v>
      </c>
      <c r="E1967">
        <v>0</v>
      </c>
      <c r="F1967">
        <v>2658.68</v>
      </c>
      <c r="G1967" t="s">
        <v>2022</v>
      </c>
      <c r="H1967" t="s">
        <v>2025</v>
      </c>
      <c r="I1967" t="s">
        <v>3993</v>
      </c>
      <c r="J1967" t="s">
        <v>4028</v>
      </c>
      <c r="K1967" t="s">
        <v>4037</v>
      </c>
      <c r="L1967">
        <v>2658.68</v>
      </c>
    </row>
    <row r="1968" spans="1:12">
      <c r="A1968" t="s">
        <v>1978</v>
      </c>
      <c r="B1968" s="2">
        <v>45195</v>
      </c>
      <c r="C1968">
        <v>4010</v>
      </c>
      <c r="D1968" t="s">
        <v>2016</v>
      </c>
      <c r="E1968">
        <v>0</v>
      </c>
      <c r="F1968">
        <v>4776.24</v>
      </c>
      <c r="G1968" t="s">
        <v>2018</v>
      </c>
      <c r="H1968" t="s">
        <v>2025</v>
      </c>
      <c r="I1968" t="s">
        <v>3994</v>
      </c>
      <c r="J1968" t="s">
        <v>4030</v>
      </c>
      <c r="K1968" t="s">
        <v>4036</v>
      </c>
      <c r="L1968">
        <v>4776.24</v>
      </c>
    </row>
    <row r="1969" spans="1:12">
      <c r="A1969" t="s">
        <v>1979</v>
      </c>
      <c r="B1969" s="2">
        <v>45548</v>
      </c>
      <c r="C1969">
        <v>5000</v>
      </c>
      <c r="D1969" t="s">
        <v>2013</v>
      </c>
      <c r="E1969">
        <v>839.33</v>
      </c>
      <c r="F1969">
        <v>0</v>
      </c>
      <c r="G1969" t="s">
        <v>2022</v>
      </c>
      <c r="H1969" t="s">
        <v>2027</v>
      </c>
      <c r="I1969" t="s">
        <v>3995</v>
      </c>
      <c r="J1969" t="s">
        <v>4031</v>
      </c>
      <c r="K1969" t="s">
        <v>4048</v>
      </c>
      <c r="L1969">
        <v>-839.33</v>
      </c>
    </row>
    <row r="1970" spans="1:12">
      <c r="A1970" t="s">
        <v>1980</v>
      </c>
      <c r="B1970" s="2">
        <v>45218</v>
      </c>
      <c r="C1970">
        <v>6000</v>
      </c>
      <c r="D1970" t="s">
        <v>2014</v>
      </c>
      <c r="E1970">
        <v>961.76</v>
      </c>
      <c r="F1970">
        <v>0</v>
      </c>
      <c r="G1970" t="s">
        <v>2020</v>
      </c>
      <c r="H1970" t="s">
        <v>2025</v>
      </c>
      <c r="I1970" t="s">
        <v>3996</v>
      </c>
      <c r="J1970" t="s">
        <v>4030</v>
      </c>
      <c r="K1970" t="s">
        <v>4060</v>
      </c>
      <c r="L1970">
        <v>-961.76</v>
      </c>
    </row>
    <row r="1971" spans="1:12">
      <c r="A1971" t="s">
        <v>1981</v>
      </c>
      <c r="B1971" s="2">
        <v>45770</v>
      </c>
      <c r="C1971">
        <v>4010</v>
      </c>
      <c r="D1971" t="s">
        <v>2016</v>
      </c>
      <c r="E1971">
        <v>0</v>
      </c>
      <c r="F1971">
        <v>1071.52</v>
      </c>
      <c r="G1971" t="s">
        <v>2019</v>
      </c>
      <c r="H1971" t="s">
        <v>2025</v>
      </c>
      <c r="I1971" t="s">
        <v>3997</v>
      </c>
      <c r="J1971" t="s">
        <v>4031</v>
      </c>
      <c r="K1971" t="s">
        <v>4045</v>
      </c>
      <c r="L1971">
        <v>1071.52</v>
      </c>
    </row>
    <row r="1972" spans="1:12">
      <c r="A1972" t="s">
        <v>1982</v>
      </c>
      <c r="B1972" s="2">
        <v>45586</v>
      </c>
      <c r="C1972">
        <v>5000</v>
      </c>
      <c r="D1972" t="s">
        <v>2013</v>
      </c>
      <c r="E1972">
        <v>512.01</v>
      </c>
      <c r="F1972">
        <v>0</v>
      </c>
      <c r="G1972" t="s">
        <v>2019</v>
      </c>
      <c r="H1972" t="s">
        <v>2027</v>
      </c>
      <c r="I1972" t="s">
        <v>3998</v>
      </c>
      <c r="J1972" t="s">
        <v>4032</v>
      </c>
      <c r="K1972" t="s">
        <v>4059</v>
      </c>
      <c r="L1972">
        <v>-512.01</v>
      </c>
    </row>
    <row r="1973" spans="1:12">
      <c r="A1973" t="s">
        <v>1983</v>
      </c>
      <c r="B1973" s="2">
        <v>45443</v>
      </c>
      <c r="C1973">
        <v>4010</v>
      </c>
      <c r="D1973" t="s">
        <v>2016</v>
      </c>
      <c r="E1973">
        <v>0</v>
      </c>
      <c r="F1973">
        <v>876.89</v>
      </c>
      <c r="G1973" t="s">
        <v>2019</v>
      </c>
      <c r="H1973" t="s">
        <v>2026</v>
      </c>
      <c r="I1973" t="s">
        <v>3999</v>
      </c>
      <c r="J1973" t="s">
        <v>4032</v>
      </c>
      <c r="K1973" t="s">
        <v>4033</v>
      </c>
      <c r="L1973">
        <v>876.89</v>
      </c>
    </row>
    <row r="1974" spans="1:12">
      <c r="A1974" t="s">
        <v>1984</v>
      </c>
      <c r="B1974" s="2">
        <v>45246</v>
      </c>
      <c r="C1974">
        <v>4010</v>
      </c>
      <c r="D1974" t="s">
        <v>2016</v>
      </c>
      <c r="E1974">
        <v>0</v>
      </c>
      <c r="F1974">
        <v>214.94</v>
      </c>
      <c r="G1974" t="s">
        <v>2022</v>
      </c>
      <c r="H1974" t="s">
        <v>2027</v>
      </c>
      <c r="I1974" t="s">
        <v>4000</v>
      </c>
      <c r="J1974" t="s">
        <v>4031</v>
      </c>
      <c r="K1974" t="s">
        <v>4042</v>
      </c>
      <c r="L1974">
        <v>214.94</v>
      </c>
    </row>
    <row r="1975" spans="1:12">
      <c r="A1975" t="s">
        <v>1985</v>
      </c>
      <c r="B1975" s="2">
        <v>45362</v>
      </c>
      <c r="C1975">
        <v>5010</v>
      </c>
      <c r="D1975" t="s">
        <v>2015</v>
      </c>
      <c r="E1975">
        <v>318.63</v>
      </c>
      <c r="F1975">
        <v>0</v>
      </c>
      <c r="G1975" t="s">
        <v>2022</v>
      </c>
      <c r="H1975" t="s">
        <v>2025</v>
      </c>
      <c r="I1975" t="s">
        <v>4001</v>
      </c>
      <c r="J1975" t="s">
        <v>4032</v>
      </c>
      <c r="K1975" t="s">
        <v>4049</v>
      </c>
      <c r="L1975">
        <v>-318.63</v>
      </c>
    </row>
    <row r="1976" spans="1:12">
      <c r="A1976" t="s">
        <v>1986</v>
      </c>
      <c r="B1976" s="2">
        <v>45026</v>
      </c>
      <c r="C1976">
        <v>6000</v>
      </c>
      <c r="D1976" t="s">
        <v>2014</v>
      </c>
      <c r="E1976">
        <v>1505.25</v>
      </c>
      <c r="F1976">
        <v>0</v>
      </c>
      <c r="G1976" t="s">
        <v>2022</v>
      </c>
      <c r="H1976" t="s">
        <v>2026</v>
      </c>
      <c r="I1976" t="s">
        <v>4002</v>
      </c>
      <c r="J1976" t="s">
        <v>4031</v>
      </c>
      <c r="K1976" t="s">
        <v>4041</v>
      </c>
      <c r="L1976">
        <v>-1505.25</v>
      </c>
    </row>
    <row r="1977" spans="1:12">
      <c r="A1977" t="s">
        <v>1987</v>
      </c>
      <c r="B1977" s="2">
        <v>45484</v>
      </c>
      <c r="C1977">
        <v>5010</v>
      </c>
      <c r="D1977" t="s">
        <v>2015</v>
      </c>
      <c r="E1977">
        <v>1165.8499999999999</v>
      </c>
      <c r="F1977">
        <v>0</v>
      </c>
      <c r="G1977" t="s">
        <v>2018</v>
      </c>
      <c r="H1977" t="s">
        <v>2027</v>
      </c>
      <c r="I1977" t="s">
        <v>4003</v>
      </c>
      <c r="J1977" t="s">
        <v>4030</v>
      </c>
      <c r="K1977" t="s">
        <v>4054</v>
      </c>
      <c r="L1977">
        <v>-1165.8499999999999</v>
      </c>
    </row>
    <row r="1978" spans="1:12">
      <c r="A1978" t="s">
        <v>1988</v>
      </c>
      <c r="B1978" s="2">
        <v>45643</v>
      </c>
      <c r="C1978">
        <v>5000</v>
      </c>
      <c r="D1978" t="s">
        <v>2013</v>
      </c>
      <c r="E1978">
        <v>424.86</v>
      </c>
      <c r="F1978">
        <v>0</v>
      </c>
      <c r="G1978" t="s">
        <v>2021</v>
      </c>
      <c r="H1978" t="s">
        <v>2025</v>
      </c>
      <c r="I1978" t="s">
        <v>4004</v>
      </c>
      <c r="J1978" t="s">
        <v>4032</v>
      </c>
      <c r="K1978" t="s">
        <v>4056</v>
      </c>
      <c r="L1978">
        <v>-424.86</v>
      </c>
    </row>
    <row r="1979" spans="1:12">
      <c r="A1979" t="s">
        <v>1989</v>
      </c>
      <c r="B1979" s="2">
        <v>45224</v>
      </c>
      <c r="C1979">
        <v>5000</v>
      </c>
      <c r="D1979" t="s">
        <v>2013</v>
      </c>
      <c r="E1979">
        <v>1626.39</v>
      </c>
      <c r="F1979">
        <v>0</v>
      </c>
      <c r="G1979" t="s">
        <v>2018</v>
      </c>
      <c r="H1979" t="s">
        <v>2026</v>
      </c>
      <c r="I1979" t="s">
        <v>4005</v>
      </c>
      <c r="J1979" t="s">
        <v>4029</v>
      </c>
      <c r="K1979" t="s">
        <v>4060</v>
      </c>
      <c r="L1979">
        <v>-1626.39</v>
      </c>
    </row>
    <row r="1980" spans="1:12">
      <c r="A1980" t="s">
        <v>1990</v>
      </c>
      <c r="B1980" s="2">
        <v>45408</v>
      </c>
      <c r="C1980">
        <v>6000</v>
      </c>
      <c r="D1980" t="s">
        <v>2014</v>
      </c>
      <c r="E1980">
        <v>559.39</v>
      </c>
      <c r="F1980">
        <v>0</v>
      </c>
      <c r="G1980" t="s">
        <v>2020</v>
      </c>
      <c r="H1980" t="s">
        <v>2027</v>
      </c>
      <c r="I1980" t="s">
        <v>4006</v>
      </c>
      <c r="J1980" t="s">
        <v>4031</v>
      </c>
      <c r="K1980" t="s">
        <v>4040</v>
      </c>
      <c r="L1980">
        <v>-559.39</v>
      </c>
    </row>
    <row r="1981" spans="1:12">
      <c r="A1981" t="s">
        <v>1991</v>
      </c>
      <c r="B1981" s="2">
        <v>45421</v>
      </c>
      <c r="C1981">
        <v>5000</v>
      </c>
      <c r="D1981" t="s">
        <v>2013</v>
      </c>
      <c r="E1981">
        <v>1234.21</v>
      </c>
      <c r="F1981">
        <v>0</v>
      </c>
      <c r="G1981" t="s">
        <v>2021</v>
      </c>
      <c r="H1981" t="s">
        <v>2026</v>
      </c>
      <c r="I1981" t="s">
        <v>4007</v>
      </c>
      <c r="J1981" t="s">
        <v>4032</v>
      </c>
      <c r="K1981" t="s">
        <v>4033</v>
      </c>
      <c r="L1981">
        <v>-1234.21</v>
      </c>
    </row>
    <row r="1982" spans="1:12">
      <c r="A1982" t="s">
        <v>1992</v>
      </c>
      <c r="B1982" s="2">
        <v>45338</v>
      </c>
      <c r="C1982">
        <v>6000</v>
      </c>
      <c r="D1982" t="s">
        <v>2014</v>
      </c>
      <c r="E1982">
        <v>704.55</v>
      </c>
      <c r="F1982">
        <v>0</v>
      </c>
      <c r="G1982" t="s">
        <v>2020</v>
      </c>
      <c r="H1982" t="s">
        <v>2023</v>
      </c>
      <c r="I1982" t="s">
        <v>4008</v>
      </c>
      <c r="J1982" t="s">
        <v>4029</v>
      </c>
      <c r="K1982" t="s">
        <v>4044</v>
      </c>
      <c r="L1982">
        <v>-704.55</v>
      </c>
    </row>
    <row r="1983" spans="1:12">
      <c r="A1983" t="s">
        <v>1993</v>
      </c>
      <c r="B1983" s="2">
        <v>44965</v>
      </c>
      <c r="C1983">
        <v>4010</v>
      </c>
      <c r="D1983" t="s">
        <v>2016</v>
      </c>
      <c r="E1983">
        <v>0</v>
      </c>
      <c r="F1983">
        <v>118.67</v>
      </c>
      <c r="G1983" t="s">
        <v>2017</v>
      </c>
      <c r="H1983" t="s">
        <v>2025</v>
      </c>
      <c r="I1983" t="s">
        <v>4009</v>
      </c>
      <c r="J1983" t="s">
        <v>4032</v>
      </c>
      <c r="K1983" t="s">
        <v>4057</v>
      </c>
      <c r="L1983">
        <v>118.67</v>
      </c>
    </row>
    <row r="1984" spans="1:12">
      <c r="A1984" t="s">
        <v>1994</v>
      </c>
      <c r="B1984" s="2">
        <v>45097</v>
      </c>
      <c r="C1984">
        <v>4000</v>
      </c>
      <c r="D1984" t="s">
        <v>2012</v>
      </c>
      <c r="E1984">
        <v>0</v>
      </c>
      <c r="F1984">
        <v>1819.43</v>
      </c>
      <c r="G1984" t="s">
        <v>2017</v>
      </c>
      <c r="H1984" t="s">
        <v>2023</v>
      </c>
      <c r="I1984" t="s">
        <v>4010</v>
      </c>
      <c r="J1984" t="s">
        <v>4029</v>
      </c>
      <c r="K1984" t="s">
        <v>4055</v>
      </c>
      <c r="L1984">
        <v>1819.43</v>
      </c>
    </row>
    <row r="1985" spans="1:12">
      <c r="A1985" t="s">
        <v>1995</v>
      </c>
      <c r="B1985" s="2">
        <v>45180</v>
      </c>
      <c r="C1985">
        <v>5010</v>
      </c>
      <c r="D1985" t="s">
        <v>2015</v>
      </c>
      <c r="E1985">
        <v>1104.31</v>
      </c>
      <c r="F1985">
        <v>0</v>
      </c>
      <c r="G1985" t="s">
        <v>2020</v>
      </c>
      <c r="H1985" t="s">
        <v>2023</v>
      </c>
      <c r="I1985" t="s">
        <v>4011</v>
      </c>
      <c r="J1985" t="s">
        <v>4030</v>
      </c>
      <c r="K1985" t="s">
        <v>4036</v>
      </c>
      <c r="L1985">
        <v>-1104.31</v>
      </c>
    </row>
    <row r="1986" spans="1:12">
      <c r="A1986" t="s">
        <v>1996</v>
      </c>
      <c r="B1986" s="2">
        <v>44946</v>
      </c>
      <c r="C1986">
        <v>5000</v>
      </c>
      <c r="D1986" t="s">
        <v>2013</v>
      </c>
      <c r="E1986">
        <v>698.67</v>
      </c>
      <c r="F1986">
        <v>0</v>
      </c>
      <c r="G1986" t="s">
        <v>2022</v>
      </c>
      <c r="H1986" t="s">
        <v>2025</v>
      </c>
      <c r="I1986" t="s">
        <v>4012</v>
      </c>
      <c r="J1986" t="s">
        <v>4030</v>
      </c>
      <c r="K1986" t="s">
        <v>4047</v>
      </c>
      <c r="L1986">
        <v>-698.67</v>
      </c>
    </row>
    <row r="1987" spans="1:12">
      <c r="A1987" t="s">
        <v>1997</v>
      </c>
      <c r="B1987" s="2">
        <v>45581</v>
      </c>
      <c r="C1987">
        <v>4000</v>
      </c>
      <c r="D1987" t="s">
        <v>2012</v>
      </c>
      <c r="E1987">
        <v>0</v>
      </c>
      <c r="F1987">
        <v>3256.52</v>
      </c>
      <c r="G1987" t="s">
        <v>2020</v>
      </c>
      <c r="H1987" t="s">
        <v>2026</v>
      </c>
      <c r="I1987" t="s">
        <v>4013</v>
      </c>
      <c r="J1987" t="s">
        <v>4029</v>
      </c>
      <c r="K1987" t="s">
        <v>4059</v>
      </c>
      <c r="L1987">
        <v>3256.52</v>
      </c>
    </row>
    <row r="1988" spans="1:12">
      <c r="A1988" t="s">
        <v>1998</v>
      </c>
      <c r="B1988" s="2">
        <v>45230</v>
      </c>
      <c r="C1988">
        <v>6000</v>
      </c>
      <c r="D1988" t="s">
        <v>2014</v>
      </c>
      <c r="E1988">
        <v>415.73</v>
      </c>
      <c r="F1988">
        <v>0</v>
      </c>
      <c r="G1988" t="s">
        <v>2020</v>
      </c>
      <c r="H1988" t="s">
        <v>2023</v>
      </c>
      <c r="I1988" t="s">
        <v>4014</v>
      </c>
      <c r="J1988" t="s">
        <v>4031</v>
      </c>
      <c r="K1988" t="s">
        <v>4060</v>
      </c>
      <c r="L1988">
        <v>-415.73</v>
      </c>
    </row>
    <row r="1989" spans="1:12">
      <c r="A1989" t="s">
        <v>1999</v>
      </c>
      <c r="B1989" s="2">
        <v>45747</v>
      </c>
      <c r="C1989">
        <v>5000</v>
      </c>
      <c r="D1989" t="s">
        <v>2013</v>
      </c>
      <c r="E1989">
        <v>798.68</v>
      </c>
      <c r="F1989">
        <v>0</v>
      </c>
      <c r="G1989" t="s">
        <v>2020</v>
      </c>
      <c r="H1989" t="s">
        <v>2023</v>
      </c>
      <c r="I1989" t="s">
        <v>4015</v>
      </c>
      <c r="J1989" t="s">
        <v>4032</v>
      </c>
      <c r="K1989" t="s">
        <v>4046</v>
      </c>
      <c r="L1989">
        <v>-798.68</v>
      </c>
    </row>
    <row r="1990" spans="1:12">
      <c r="A1990" t="s">
        <v>2000</v>
      </c>
      <c r="B1990" s="2">
        <v>45008</v>
      </c>
      <c r="C1990">
        <v>5010</v>
      </c>
      <c r="D1990" t="s">
        <v>2015</v>
      </c>
      <c r="E1990">
        <v>829.83</v>
      </c>
      <c r="F1990">
        <v>0</v>
      </c>
      <c r="G1990" t="s">
        <v>2018</v>
      </c>
      <c r="H1990" t="s">
        <v>2024</v>
      </c>
      <c r="I1990" t="s">
        <v>4016</v>
      </c>
      <c r="J1990" t="s">
        <v>4030</v>
      </c>
      <c r="K1990" t="s">
        <v>4051</v>
      </c>
      <c r="L1990">
        <v>-829.83</v>
      </c>
    </row>
    <row r="1991" spans="1:12">
      <c r="A1991" t="s">
        <v>2001</v>
      </c>
      <c r="B1991" s="2">
        <v>45591</v>
      </c>
      <c r="C1991">
        <v>5010</v>
      </c>
      <c r="D1991" t="s">
        <v>2015</v>
      </c>
      <c r="E1991">
        <v>247.03</v>
      </c>
      <c r="F1991">
        <v>0</v>
      </c>
      <c r="G1991" t="s">
        <v>2020</v>
      </c>
      <c r="H1991" t="s">
        <v>2026</v>
      </c>
      <c r="I1991" t="s">
        <v>4017</v>
      </c>
      <c r="J1991" t="s">
        <v>4031</v>
      </c>
      <c r="K1991" t="s">
        <v>4059</v>
      </c>
      <c r="L1991">
        <v>-247.03</v>
      </c>
    </row>
    <row r="1992" spans="1:12">
      <c r="A1992" t="s">
        <v>2002</v>
      </c>
      <c r="B1992" s="2">
        <v>45188</v>
      </c>
      <c r="C1992">
        <v>5000</v>
      </c>
      <c r="D1992" t="s">
        <v>2013</v>
      </c>
      <c r="E1992">
        <v>688.11</v>
      </c>
      <c r="F1992">
        <v>0</v>
      </c>
      <c r="G1992" t="s">
        <v>2018</v>
      </c>
      <c r="H1992" t="s">
        <v>2026</v>
      </c>
      <c r="I1992" t="s">
        <v>4018</v>
      </c>
      <c r="J1992" t="s">
        <v>4031</v>
      </c>
      <c r="K1992" t="s">
        <v>4036</v>
      </c>
      <c r="L1992">
        <v>-688.11</v>
      </c>
    </row>
    <row r="1993" spans="1:12">
      <c r="A1993" t="s">
        <v>2003</v>
      </c>
      <c r="B1993" s="2">
        <v>45530</v>
      </c>
      <c r="C1993">
        <v>6000</v>
      </c>
      <c r="D1993" t="s">
        <v>2014</v>
      </c>
      <c r="E1993">
        <v>1196.93</v>
      </c>
      <c r="F1993">
        <v>0</v>
      </c>
      <c r="G1993" t="s">
        <v>2020</v>
      </c>
      <c r="H1993" t="s">
        <v>2024</v>
      </c>
      <c r="I1993" t="s">
        <v>4019</v>
      </c>
      <c r="J1993" t="s">
        <v>4031</v>
      </c>
      <c r="K1993" t="s">
        <v>4058</v>
      </c>
      <c r="L1993">
        <v>-1196.93</v>
      </c>
    </row>
    <row r="1994" spans="1:12">
      <c r="A1994" t="s">
        <v>2004</v>
      </c>
      <c r="B1994" s="2">
        <v>45452</v>
      </c>
      <c r="C1994">
        <v>4010</v>
      </c>
      <c r="D1994" t="s">
        <v>2016</v>
      </c>
      <c r="E1994">
        <v>0</v>
      </c>
      <c r="F1994">
        <v>2003.64</v>
      </c>
      <c r="G1994" t="s">
        <v>2021</v>
      </c>
      <c r="H1994" t="s">
        <v>2023</v>
      </c>
      <c r="I1994" t="s">
        <v>4020</v>
      </c>
      <c r="J1994" t="s">
        <v>4032</v>
      </c>
      <c r="K1994" t="s">
        <v>4034</v>
      </c>
      <c r="L1994">
        <v>2003.64</v>
      </c>
    </row>
    <row r="1995" spans="1:12">
      <c r="A1995" t="s">
        <v>2005</v>
      </c>
      <c r="B1995" s="2">
        <v>45615</v>
      </c>
      <c r="C1995">
        <v>4000</v>
      </c>
      <c r="D1995" t="s">
        <v>2012</v>
      </c>
      <c r="E1995">
        <v>0</v>
      </c>
      <c r="F1995">
        <v>1233.1300000000001</v>
      </c>
      <c r="G1995" t="s">
        <v>2017</v>
      </c>
      <c r="H1995" t="s">
        <v>2026</v>
      </c>
      <c r="I1995" t="s">
        <v>4021</v>
      </c>
      <c r="J1995" t="s">
        <v>4028</v>
      </c>
      <c r="K1995" t="s">
        <v>4043</v>
      </c>
      <c r="L1995">
        <v>1233.1300000000001</v>
      </c>
    </row>
    <row r="1996" spans="1:12">
      <c r="A1996" t="s">
        <v>2006</v>
      </c>
      <c r="B1996" s="2">
        <v>45299</v>
      </c>
      <c r="C1996">
        <v>4010</v>
      </c>
      <c r="D1996" t="s">
        <v>2016</v>
      </c>
      <c r="E1996">
        <v>0</v>
      </c>
      <c r="F1996">
        <v>767.31</v>
      </c>
      <c r="G1996" t="s">
        <v>2017</v>
      </c>
      <c r="H1996" t="s">
        <v>2027</v>
      </c>
      <c r="I1996" t="s">
        <v>4022</v>
      </c>
      <c r="J1996" t="s">
        <v>4031</v>
      </c>
      <c r="K1996" t="s">
        <v>4053</v>
      </c>
      <c r="L1996">
        <v>767.31</v>
      </c>
    </row>
    <row r="1997" spans="1:12">
      <c r="A1997" t="s">
        <v>2007</v>
      </c>
      <c r="B1997" s="2">
        <v>45812</v>
      </c>
      <c r="C1997">
        <v>5010</v>
      </c>
      <c r="D1997" t="s">
        <v>2015</v>
      </c>
      <c r="E1997">
        <v>719.33</v>
      </c>
      <c r="F1997">
        <v>0</v>
      </c>
      <c r="G1997" t="s">
        <v>2019</v>
      </c>
      <c r="H1997" t="s">
        <v>2024</v>
      </c>
      <c r="I1997" t="s">
        <v>4023</v>
      </c>
      <c r="J1997" t="s">
        <v>4029</v>
      </c>
      <c r="K1997" t="s">
        <v>4052</v>
      </c>
      <c r="L1997">
        <v>-719.33</v>
      </c>
    </row>
    <row r="1998" spans="1:12">
      <c r="A1998" t="s">
        <v>2008</v>
      </c>
      <c r="B1998" s="2">
        <v>45147</v>
      </c>
      <c r="C1998">
        <v>4000</v>
      </c>
      <c r="D1998" t="s">
        <v>2012</v>
      </c>
      <c r="E1998">
        <v>0</v>
      </c>
      <c r="F1998">
        <v>2016.99</v>
      </c>
      <c r="G1998" t="s">
        <v>2018</v>
      </c>
      <c r="H1998" t="s">
        <v>2025</v>
      </c>
      <c r="I1998" t="s">
        <v>4024</v>
      </c>
      <c r="J1998" t="s">
        <v>4032</v>
      </c>
      <c r="K1998" t="s">
        <v>4037</v>
      </c>
      <c r="L1998">
        <v>2016.99</v>
      </c>
    </row>
    <row r="1999" spans="1:12">
      <c r="A1999" t="s">
        <v>2009</v>
      </c>
      <c r="B1999" s="2">
        <v>45249</v>
      </c>
      <c r="C1999">
        <v>4000</v>
      </c>
      <c r="D1999" t="s">
        <v>2012</v>
      </c>
      <c r="E1999">
        <v>0</v>
      </c>
      <c r="F1999">
        <v>4719.37</v>
      </c>
      <c r="G1999" t="s">
        <v>2022</v>
      </c>
      <c r="H1999" t="s">
        <v>2027</v>
      </c>
      <c r="I1999" t="s">
        <v>4025</v>
      </c>
      <c r="J1999" t="s">
        <v>4032</v>
      </c>
      <c r="K1999" t="s">
        <v>4042</v>
      </c>
      <c r="L1999">
        <v>4719.37</v>
      </c>
    </row>
    <row r="2000" spans="1:12">
      <c r="A2000" t="s">
        <v>2010</v>
      </c>
      <c r="B2000" s="2">
        <v>45013</v>
      </c>
      <c r="C2000">
        <v>4010</v>
      </c>
      <c r="D2000" t="s">
        <v>2016</v>
      </c>
      <c r="E2000">
        <v>0</v>
      </c>
      <c r="F2000">
        <v>4523.09</v>
      </c>
      <c r="G2000" t="s">
        <v>2022</v>
      </c>
      <c r="H2000" t="s">
        <v>2023</v>
      </c>
      <c r="I2000" t="s">
        <v>4026</v>
      </c>
      <c r="J2000" t="s">
        <v>4030</v>
      </c>
      <c r="K2000" t="s">
        <v>4051</v>
      </c>
      <c r="L2000">
        <v>4523.09</v>
      </c>
    </row>
    <row r="2001" spans="1:12">
      <c r="A2001" t="s">
        <v>2011</v>
      </c>
      <c r="B2001" s="2">
        <v>45555</v>
      </c>
      <c r="C2001">
        <v>4000</v>
      </c>
      <c r="D2001" t="s">
        <v>2012</v>
      </c>
      <c r="E2001">
        <v>0</v>
      </c>
      <c r="F2001">
        <v>354.88</v>
      </c>
      <c r="G2001" t="s">
        <v>2018</v>
      </c>
      <c r="H2001" t="s">
        <v>2023</v>
      </c>
      <c r="I2001" t="s">
        <v>4027</v>
      </c>
      <c r="J2001" t="s">
        <v>4031</v>
      </c>
      <c r="K2001" t="s">
        <v>4048</v>
      </c>
      <c r="L2001">
        <v>354.88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35EFE-7212-4FB7-A22A-BDD92BC9901E}">
  <dimension ref="A3:E4"/>
  <sheetViews>
    <sheetView workbookViewId="0">
      <selection activeCell="A3" sqref="A3"/>
    </sheetView>
  </sheetViews>
  <sheetFormatPr defaultRowHeight="15"/>
  <cols>
    <col min="1" max="1" width="15" bestFit="1" customWidth="1"/>
    <col min="2" max="2" width="13.28515625" bestFit="1" customWidth="1"/>
    <col min="3" max="3" width="14" bestFit="1" customWidth="1"/>
    <col min="4" max="4" width="17.5703125" bestFit="1" customWidth="1"/>
    <col min="5" max="5" width="15.42578125" bestFit="1" customWidth="1"/>
  </cols>
  <sheetData>
    <row r="3" spans="1:5">
      <c r="A3" t="s">
        <v>4112</v>
      </c>
      <c r="B3" t="s">
        <v>4113</v>
      </c>
      <c r="C3" t="s">
        <v>4114</v>
      </c>
      <c r="D3" t="s">
        <v>4115</v>
      </c>
      <c r="E3" t="s">
        <v>4108</v>
      </c>
    </row>
    <row r="4" spans="1:5">
      <c r="A4">
        <v>3</v>
      </c>
      <c r="B4">
        <v>1526082.9199999967</v>
      </c>
      <c r="C4">
        <v>7473770.040000001</v>
      </c>
      <c r="D4">
        <v>1.1015469935630371</v>
      </c>
      <c r="E4">
        <v>-5947687.1200000048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15EEF-1771-40D4-9520-F285CFCAFCBA}">
  <dimension ref="A2:M13"/>
  <sheetViews>
    <sheetView workbookViewId="0">
      <selection activeCell="F7" sqref="F7"/>
    </sheetView>
  </sheetViews>
  <sheetFormatPr defaultRowHeight="15"/>
  <cols>
    <col min="3" max="3" width="9.42578125" customWidth="1"/>
    <col min="4" max="4" width="10.85546875" customWidth="1"/>
    <col min="5" max="5" width="12.85546875" customWidth="1"/>
    <col min="6" max="6" width="12.28515625" bestFit="1" customWidth="1"/>
  </cols>
  <sheetData>
    <row r="2" spans="1:13">
      <c r="A2" s="10" t="s">
        <v>4090</v>
      </c>
      <c r="B2" s="10" t="s">
        <v>4091</v>
      </c>
      <c r="C2" s="10" t="s">
        <v>4092</v>
      </c>
      <c r="D2" s="10" t="s">
        <v>4093</v>
      </c>
      <c r="E2" s="10" t="s">
        <v>4094</v>
      </c>
    </row>
    <row r="3" spans="1:13">
      <c r="A3" s="11" t="s">
        <v>4095</v>
      </c>
      <c r="B3">
        <v>763041.4599999981</v>
      </c>
      <c r="C3">
        <v>3736885.0200000005</v>
      </c>
      <c r="D3" s="11">
        <f>B3-C3</f>
        <v>-2973843.5600000024</v>
      </c>
      <c r="E3" s="11">
        <f>D3/C3</f>
        <v>-0.79580815146407746</v>
      </c>
    </row>
    <row r="4" spans="1:13" ht="30">
      <c r="A4" s="11" t="s">
        <v>4096</v>
      </c>
      <c r="B4" s="13">
        <v>3736885.02</v>
      </c>
      <c r="C4" s="13">
        <v>763041.45999999973</v>
      </c>
      <c r="D4" s="11">
        <f>B4-C4</f>
        <v>2973843.5600000005</v>
      </c>
      <c r="E4" s="11">
        <f>D4/C4</f>
        <v>3.8973551450271149</v>
      </c>
      <c r="I4" s="10"/>
      <c r="J4" s="10"/>
      <c r="K4" s="10"/>
      <c r="L4" s="10"/>
      <c r="M4" s="10"/>
    </row>
    <row r="5" spans="1:13" ht="30">
      <c r="A5" s="11" t="s">
        <v>4097</v>
      </c>
      <c r="B5">
        <f>B3-B4</f>
        <v>-2973843.5600000019</v>
      </c>
      <c r="C5">
        <f>C3-C4</f>
        <v>2973843.5600000005</v>
      </c>
      <c r="D5" s="11">
        <f>D3-D4</f>
        <v>-5947687.1200000029</v>
      </c>
      <c r="E5" s="11">
        <f>D5/C5</f>
        <v>-2.0000000000000004</v>
      </c>
      <c r="I5" s="11"/>
      <c r="J5" s="12"/>
      <c r="K5" s="12"/>
      <c r="L5" s="11"/>
      <c r="M5" s="11"/>
    </row>
    <row r="6" spans="1:13">
      <c r="I6" s="11"/>
      <c r="J6" s="12"/>
      <c r="K6" s="12"/>
      <c r="L6" s="11"/>
      <c r="M6" s="11"/>
    </row>
    <row r="7" spans="1:13">
      <c r="I7" s="11"/>
      <c r="J7" s="11"/>
      <c r="K7" s="11"/>
      <c r="L7" s="11"/>
      <c r="M7" s="11"/>
    </row>
    <row r="10" spans="1:13">
      <c r="B10" s="10"/>
      <c r="C10" s="10"/>
      <c r="D10" s="10"/>
      <c r="E10" s="10"/>
      <c r="F10" s="10"/>
    </row>
    <row r="11" spans="1:13">
      <c r="B11" s="11"/>
      <c r="E11" s="11"/>
      <c r="F11" s="11"/>
    </row>
    <row r="12" spans="1:13">
      <c r="B12" s="11"/>
      <c r="C12" s="13"/>
      <c r="D12" s="13"/>
      <c r="E12" s="11"/>
      <c r="F12" s="11"/>
    </row>
    <row r="13" spans="1:13">
      <c r="B13" s="11"/>
      <c r="E13" s="11"/>
      <c r="F13" s="11"/>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7456A-9078-4BA1-A724-C1FE25C53363}">
  <dimension ref="A3:G18"/>
  <sheetViews>
    <sheetView workbookViewId="0">
      <selection activeCell="A9" sqref="A9"/>
    </sheetView>
  </sheetViews>
  <sheetFormatPr defaultRowHeight="15"/>
  <cols>
    <col min="1" max="1" width="17.85546875" bestFit="1" customWidth="1"/>
    <col min="2" max="2" width="16.28515625" bestFit="1" customWidth="1"/>
    <col min="3" max="3" width="10" bestFit="1" customWidth="1"/>
    <col min="4" max="4" width="7.28515625" bestFit="1" customWidth="1"/>
    <col min="5" max="5" width="11.28515625" bestFit="1" customWidth="1"/>
  </cols>
  <sheetData>
    <row r="3" spans="1:5">
      <c r="A3" s="3" t="s">
        <v>4089</v>
      </c>
      <c r="B3" s="3" t="s">
        <v>4098</v>
      </c>
    </row>
    <row r="4" spans="1:5">
      <c r="A4" s="3" t="s">
        <v>4070</v>
      </c>
      <c r="B4">
        <v>2024</v>
      </c>
      <c r="C4">
        <v>2025</v>
      </c>
      <c r="D4" t="s">
        <v>4071</v>
      </c>
      <c r="E4" t="s">
        <v>4072</v>
      </c>
    </row>
    <row r="5" spans="1:5">
      <c r="A5" s="4" t="s">
        <v>2021</v>
      </c>
      <c r="B5">
        <v>330828.86</v>
      </c>
      <c r="C5">
        <v>311974.92</v>
      </c>
      <c r="E5">
        <v>642803.78</v>
      </c>
    </row>
    <row r="6" spans="1:5">
      <c r="A6" s="4" t="s">
        <v>2018</v>
      </c>
      <c r="B6">
        <v>181551.44</v>
      </c>
      <c r="C6">
        <v>346844.39</v>
      </c>
      <c r="E6">
        <v>528395.83000000007</v>
      </c>
    </row>
    <row r="7" spans="1:5">
      <c r="A7" s="4" t="s">
        <v>2019</v>
      </c>
      <c r="B7">
        <v>324785.56</v>
      </c>
      <c r="C7">
        <v>235876.7</v>
      </c>
      <c r="E7">
        <v>560662.26</v>
      </c>
    </row>
    <row r="8" spans="1:5">
      <c r="A8" s="4" t="s">
        <v>2020</v>
      </c>
      <c r="B8">
        <v>401070.7</v>
      </c>
      <c r="C8">
        <v>411722.26</v>
      </c>
      <c r="E8">
        <v>812792.96</v>
      </c>
    </row>
    <row r="9" spans="1:5">
      <c r="A9" s="4" t="s">
        <v>2022</v>
      </c>
      <c r="B9">
        <v>327881.56999999995</v>
      </c>
      <c r="C9">
        <v>151964.74</v>
      </c>
      <c r="E9">
        <v>479846.30999999994</v>
      </c>
    </row>
    <row r="10" spans="1:5">
      <c r="A10" s="4" t="s">
        <v>2017</v>
      </c>
      <c r="B10">
        <v>329341.49</v>
      </c>
      <c r="C10">
        <v>383042.39</v>
      </c>
      <c r="E10">
        <v>712383.88</v>
      </c>
    </row>
    <row r="11" spans="1:5">
      <c r="A11" s="4" t="s">
        <v>4071</v>
      </c>
    </row>
    <row r="12" spans="1:5">
      <c r="A12" s="4" t="s">
        <v>4072</v>
      </c>
      <c r="B12">
        <v>1895459.6199999999</v>
      </c>
      <c r="C12">
        <v>1841425.4</v>
      </c>
      <c r="E12">
        <v>3736885.02</v>
      </c>
    </row>
    <row r="18" spans="7:7" ht="23.25">
      <c r="G18" s="23" t="s">
        <v>4122</v>
      </c>
    </row>
  </sheetData>
  <conditionalFormatting sqref="G18">
    <cfRule type="cellIs" dxfId="0" priority="1" operator="greaterThan">
      <formula>"Highlight cells &gt; 10% above monthly average  Highlight cells &lt; 10% below monthly average"</formula>
    </cfRule>
  </conditionalFormatting>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3D2FB-C381-4438-8192-02892ABB2586}">
  <dimension ref="A1:H49"/>
  <sheetViews>
    <sheetView workbookViewId="0">
      <selection activeCell="D1" sqref="D1:D1048576"/>
    </sheetView>
  </sheetViews>
  <sheetFormatPr defaultRowHeight="15"/>
  <sheetData>
    <row r="1" spans="1:8">
      <c r="A1" s="1" t="s">
        <v>4063</v>
      </c>
      <c r="B1" s="1" t="s">
        <v>6</v>
      </c>
      <c r="C1" s="1" t="s">
        <v>4064</v>
      </c>
      <c r="D1" s="1" t="s">
        <v>4065</v>
      </c>
      <c r="E1" s="1" t="s">
        <v>4066</v>
      </c>
      <c r="F1" s="1" t="s">
        <v>4067</v>
      </c>
      <c r="G1" s="1" t="s">
        <v>4068</v>
      </c>
      <c r="H1" s="1" t="s">
        <v>4069</v>
      </c>
    </row>
    <row r="2" spans="1:8">
      <c r="A2">
        <v>2024</v>
      </c>
      <c r="B2" t="s">
        <v>2021</v>
      </c>
      <c r="C2">
        <v>1</v>
      </c>
      <c r="D2">
        <v>41215.19</v>
      </c>
      <c r="E2">
        <v>39758.93</v>
      </c>
      <c r="F2">
        <v>37613.910000000003</v>
      </c>
      <c r="G2">
        <v>-3601.28</v>
      </c>
    </row>
    <row r="3" spans="1:8">
      <c r="A3">
        <v>2024</v>
      </c>
      <c r="B3" t="s">
        <v>2021</v>
      </c>
      <c r="C3">
        <v>2</v>
      </c>
      <c r="D3">
        <v>79918.89</v>
      </c>
      <c r="E3">
        <v>84614.59</v>
      </c>
      <c r="F3">
        <v>86720.13</v>
      </c>
      <c r="G3">
        <v>6801.24</v>
      </c>
    </row>
    <row r="4" spans="1:8">
      <c r="A4">
        <v>2024</v>
      </c>
      <c r="B4" t="s">
        <v>2021</v>
      </c>
      <c r="C4">
        <v>3</v>
      </c>
      <c r="D4">
        <v>92014.18</v>
      </c>
      <c r="E4">
        <v>100763.08</v>
      </c>
      <c r="F4">
        <v>105980.31</v>
      </c>
      <c r="G4">
        <v>13966.13</v>
      </c>
    </row>
    <row r="5" spans="1:8">
      <c r="A5">
        <v>2024</v>
      </c>
      <c r="B5" t="s">
        <v>2021</v>
      </c>
      <c r="C5">
        <v>4</v>
      </c>
      <c r="D5">
        <v>117680.6</v>
      </c>
      <c r="E5">
        <v>106162.49</v>
      </c>
      <c r="F5">
        <v>96071.26</v>
      </c>
      <c r="G5">
        <v>-21609.34</v>
      </c>
    </row>
    <row r="6" spans="1:8">
      <c r="A6">
        <v>2024</v>
      </c>
      <c r="B6" t="s">
        <v>2018</v>
      </c>
      <c r="C6">
        <v>1</v>
      </c>
      <c r="D6">
        <v>32925.71</v>
      </c>
      <c r="E6">
        <v>30364.35</v>
      </c>
      <c r="F6">
        <v>30596.03</v>
      </c>
      <c r="G6">
        <v>-2329.6799999999998</v>
      </c>
    </row>
    <row r="7" spans="1:8">
      <c r="A7">
        <v>2024</v>
      </c>
      <c r="B7" t="s">
        <v>2018</v>
      </c>
      <c r="C7">
        <v>2</v>
      </c>
      <c r="D7">
        <v>75074.820000000007</v>
      </c>
      <c r="E7">
        <v>68249.88</v>
      </c>
      <c r="F7">
        <v>68953.81</v>
      </c>
      <c r="G7">
        <v>-6121.01</v>
      </c>
    </row>
    <row r="8" spans="1:8">
      <c r="A8">
        <v>2024</v>
      </c>
      <c r="B8" t="s">
        <v>2018</v>
      </c>
      <c r="C8">
        <v>3</v>
      </c>
      <c r="D8">
        <v>42503.06</v>
      </c>
      <c r="E8">
        <v>44444.3</v>
      </c>
      <c r="F8">
        <v>42652.11</v>
      </c>
      <c r="G8">
        <v>149.05000000000001</v>
      </c>
    </row>
    <row r="9" spans="1:8">
      <c r="A9">
        <v>2024</v>
      </c>
      <c r="B9" t="s">
        <v>2018</v>
      </c>
      <c r="C9">
        <v>4</v>
      </c>
      <c r="D9">
        <v>31047.85</v>
      </c>
      <c r="E9">
        <v>32495.4</v>
      </c>
      <c r="F9">
        <v>33408.69</v>
      </c>
      <c r="G9">
        <v>2360.84</v>
      </c>
    </row>
    <row r="10" spans="1:8">
      <c r="A10">
        <v>2024</v>
      </c>
      <c r="B10" t="s">
        <v>2019</v>
      </c>
      <c r="C10">
        <v>1</v>
      </c>
      <c r="D10">
        <v>26040.63</v>
      </c>
      <c r="E10">
        <v>24585.53</v>
      </c>
      <c r="F10">
        <v>22752.02</v>
      </c>
      <c r="G10">
        <v>-3288.61</v>
      </c>
    </row>
    <row r="11" spans="1:8">
      <c r="A11">
        <v>2024</v>
      </c>
      <c r="B11" t="s">
        <v>2019</v>
      </c>
      <c r="C11">
        <v>2</v>
      </c>
      <c r="D11">
        <v>125902.24</v>
      </c>
      <c r="E11">
        <v>121557.94</v>
      </c>
      <c r="F11">
        <v>119490.08</v>
      </c>
      <c r="G11">
        <v>-6412.16</v>
      </c>
    </row>
    <row r="12" spans="1:8">
      <c r="A12">
        <v>2024</v>
      </c>
      <c r="B12" t="s">
        <v>2019</v>
      </c>
      <c r="C12">
        <v>3</v>
      </c>
      <c r="D12">
        <v>100055.73</v>
      </c>
      <c r="E12">
        <v>92809.65</v>
      </c>
      <c r="F12">
        <v>94502.07</v>
      </c>
      <c r="G12">
        <v>-5553.66</v>
      </c>
    </row>
    <row r="13" spans="1:8">
      <c r="A13">
        <v>2024</v>
      </c>
      <c r="B13" t="s">
        <v>2019</v>
      </c>
      <c r="C13">
        <v>4</v>
      </c>
      <c r="D13">
        <v>72786.960000000006</v>
      </c>
      <c r="E13">
        <v>70901.78</v>
      </c>
      <c r="F13">
        <v>72262.039999999994</v>
      </c>
      <c r="G13">
        <v>-524.91999999999996</v>
      </c>
    </row>
    <row r="14" spans="1:8">
      <c r="A14">
        <v>2024</v>
      </c>
      <c r="B14" t="s">
        <v>2017</v>
      </c>
      <c r="C14">
        <v>1</v>
      </c>
      <c r="D14">
        <v>93664.65</v>
      </c>
      <c r="E14">
        <v>99038.18</v>
      </c>
      <c r="F14">
        <v>105900.34</v>
      </c>
      <c r="G14">
        <v>12235.69</v>
      </c>
    </row>
    <row r="15" spans="1:8">
      <c r="A15">
        <v>2024</v>
      </c>
      <c r="B15" t="s">
        <v>2017</v>
      </c>
      <c r="C15">
        <v>2</v>
      </c>
      <c r="D15">
        <v>115140.75</v>
      </c>
      <c r="E15">
        <v>115151.74</v>
      </c>
      <c r="F15">
        <v>124609.39</v>
      </c>
      <c r="G15">
        <v>9468.64</v>
      </c>
    </row>
    <row r="16" spans="1:8">
      <c r="A16">
        <v>2024</v>
      </c>
      <c r="B16" t="s">
        <v>2017</v>
      </c>
      <c r="C16">
        <v>3</v>
      </c>
      <c r="D16">
        <v>73898.42</v>
      </c>
      <c r="E16">
        <v>73799.149999999994</v>
      </c>
      <c r="F16">
        <v>78992.61</v>
      </c>
      <c r="G16">
        <v>5094.1899999999996</v>
      </c>
    </row>
    <row r="17" spans="1:7">
      <c r="A17">
        <v>2024</v>
      </c>
      <c r="B17" t="s">
        <v>2017</v>
      </c>
      <c r="C17">
        <v>4</v>
      </c>
      <c r="D17">
        <v>46637.67</v>
      </c>
      <c r="E17">
        <v>49635.65</v>
      </c>
      <c r="F17">
        <v>46802.25</v>
      </c>
      <c r="G17">
        <v>164.58</v>
      </c>
    </row>
    <row r="18" spans="1:7">
      <c r="A18">
        <v>2024</v>
      </c>
      <c r="B18" t="s">
        <v>2020</v>
      </c>
      <c r="C18">
        <v>1</v>
      </c>
      <c r="D18">
        <v>44332.15</v>
      </c>
      <c r="E18">
        <v>41613.82</v>
      </c>
      <c r="F18">
        <v>38572.49</v>
      </c>
      <c r="G18">
        <v>-5759.66</v>
      </c>
    </row>
    <row r="19" spans="1:7">
      <c r="A19">
        <v>2024</v>
      </c>
      <c r="B19" t="s">
        <v>2020</v>
      </c>
      <c r="C19">
        <v>2</v>
      </c>
      <c r="D19">
        <v>112743.3</v>
      </c>
      <c r="E19">
        <v>119526.72</v>
      </c>
      <c r="F19">
        <v>125960.5</v>
      </c>
      <c r="G19">
        <v>13217.2</v>
      </c>
    </row>
    <row r="20" spans="1:7">
      <c r="A20">
        <v>2024</v>
      </c>
      <c r="B20" t="s">
        <v>2020</v>
      </c>
      <c r="C20">
        <v>3</v>
      </c>
      <c r="D20">
        <v>141475.81</v>
      </c>
      <c r="E20">
        <v>133345.42000000001</v>
      </c>
      <c r="F20">
        <v>140285.03</v>
      </c>
      <c r="G20">
        <v>-1190.78</v>
      </c>
    </row>
    <row r="21" spans="1:7">
      <c r="A21">
        <v>2024</v>
      </c>
      <c r="B21" t="s">
        <v>2020</v>
      </c>
      <c r="C21">
        <v>4</v>
      </c>
      <c r="D21">
        <v>102519.44</v>
      </c>
      <c r="E21">
        <v>107453.3</v>
      </c>
      <c r="F21">
        <v>115251.53</v>
      </c>
      <c r="G21">
        <v>12732.09</v>
      </c>
    </row>
    <row r="22" spans="1:7">
      <c r="A22">
        <v>2024</v>
      </c>
      <c r="B22" t="s">
        <v>2022</v>
      </c>
      <c r="C22">
        <v>1</v>
      </c>
      <c r="D22">
        <v>100318.84</v>
      </c>
      <c r="E22">
        <v>99411.77</v>
      </c>
      <c r="F22">
        <v>102349.27</v>
      </c>
      <c r="G22">
        <v>2030.43</v>
      </c>
    </row>
    <row r="23" spans="1:7">
      <c r="A23">
        <v>2024</v>
      </c>
      <c r="B23" t="s">
        <v>2022</v>
      </c>
      <c r="C23">
        <v>2</v>
      </c>
      <c r="D23">
        <v>51361.43</v>
      </c>
      <c r="E23">
        <v>49600.67</v>
      </c>
      <c r="F23">
        <v>50515.69</v>
      </c>
      <c r="G23">
        <v>-845.74</v>
      </c>
    </row>
    <row r="24" spans="1:7">
      <c r="A24">
        <v>2024</v>
      </c>
      <c r="B24" t="s">
        <v>2022</v>
      </c>
      <c r="C24">
        <v>3</v>
      </c>
      <c r="D24">
        <v>29263.69</v>
      </c>
      <c r="E24">
        <v>28094.51</v>
      </c>
      <c r="F24">
        <v>28496.35</v>
      </c>
      <c r="G24">
        <v>-767.34</v>
      </c>
    </row>
    <row r="25" spans="1:7">
      <c r="A25">
        <v>2024</v>
      </c>
      <c r="B25" t="s">
        <v>2022</v>
      </c>
      <c r="C25">
        <v>4</v>
      </c>
      <c r="D25">
        <v>146937.60999999999</v>
      </c>
      <c r="E25">
        <v>139057.76</v>
      </c>
      <c r="F25">
        <v>147123.70000000001</v>
      </c>
      <c r="G25">
        <v>186.09</v>
      </c>
    </row>
    <row r="26" spans="1:7">
      <c r="A26">
        <v>2025</v>
      </c>
      <c r="B26" t="s">
        <v>2021</v>
      </c>
      <c r="C26">
        <v>1</v>
      </c>
      <c r="D26">
        <v>70700.52</v>
      </c>
      <c r="E26">
        <v>71487.460000000006</v>
      </c>
      <c r="F26">
        <v>70006.17</v>
      </c>
      <c r="G26">
        <v>-694.35</v>
      </c>
    </row>
    <row r="27" spans="1:7">
      <c r="A27">
        <v>2025</v>
      </c>
      <c r="B27" t="s">
        <v>2021</v>
      </c>
      <c r="C27">
        <v>2</v>
      </c>
      <c r="D27">
        <v>61495.92</v>
      </c>
      <c r="E27">
        <v>56931.54</v>
      </c>
      <c r="F27">
        <v>61359.25</v>
      </c>
      <c r="G27">
        <v>-136.66999999999999</v>
      </c>
    </row>
    <row r="28" spans="1:7">
      <c r="A28">
        <v>2025</v>
      </c>
      <c r="B28" t="s">
        <v>2021</v>
      </c>
      <c r="C28">
        <v>3</v>
      </c>
      <c r="D28">
        <v>55254.78</v>
      </c>
      <c r="E28">
        <v>57681.72</v>
      </c>
      <c r="F28">
        <v>57575</v>
      </c>
      <c r="G28">
        <v>2320.2199999999998</v>
      </c>
    </row>
    <row r="29" spans="1:7">
      <c r="A29">
        <v>2025</v>
      </c>
      <c r="B29" t="s">
        <v>2021</v>
      </c>
      <c r="C29">
        <v>4</v>
      </c>
      <c r="D29">
        <v>124523.7</v>
      </c>
      <c r="E29">
        <v>112740.47</v>
      </c>
      <c r="F29">
        <v>118711.72</v>
      </c>
      <c r="G29">
        <v>-5811.98</v>
      </c>
    </row>
    <row r="30" spans="1:7">
      <c r="A30">
        <v>2025</v>
      </c>
      <c r="B30" t="s">
        <v>2018</v>
      </c>
      <c r="C30">
        <v>1</v>
      </c>
      <c r="D30">
        <v>81015.75</v>
      </c>
      <c r="E30">
        <v>81988.100000000006</v>
      </c>
      <c r="F30">
        <v>86451.22</v>
      </c>
      <c r="G30">
        <v>5435.47</v>
      </c>
    </row>
    <row r="31" spans="1:7">
      <c r="A31">
        <v>2025</v>
      </c>
      <c r="B31" t="s">
        <v>2018</v>
      </c>
      <c r="C31">
        <v>2</v>
      </c>
      <c r="D31">
        <v>55099.41</v>
      </c>
      <c r="E31">
        <v>51780.92</v>
      </c>
      <c r="F31">
        <v>56227.09</v>
      </c>
      <c r="G31">
        <v>1127.68</v>
      </c>
    </row>
    <row r="32" spans="1:7">
      <c r="A32">
        <v>2025</v>
      </c>
      <c r="B32" t="s">
        <v>2018</v>
      </c>
      <c r="C32">
        <v>3</v>
      </c>
      <c r="D32">
        <v>120462.05</v>
      </c>
      <c r="E32">
        <v>127306.15</v>
      </c>
      <c r="F32">
        <v>128022.17</v>
      </c>
      <c r="G32">
        <v>7560.12</v>
      </c>
    </row>
    <row r="33" spans="1:7">
      <c r="A33">
        <v>2025</v>
      </c>
      <c r="B33" t="s">
        <v>2018</v>
      </c>
      <c r="C33">
        <v>4</v>
      </c>
      <c r="D33">
        <v>90267.18</v>
      </c>
      <c r="E33">
        <v>85027.32</v>
      </c>
      <c r="F33">
        <v>88147.9</v>
      </c>
      <c r="G33">
        <v>-2119.2800000000002</v>
      </c>
    </row>
    <row r="34" spans="1:7">
      <c r="A34">
        <v>2025</v>
      </c>
      <c r="B34" t="s">
        <v>2019</v>
      </c>
      <c r="C34">
        <v>1</v>
      </c>
      <c r="D34">
        <v>116604.87</v>
      </c>
      <c r="E34">
        <v>125973.73</v>
      </c>
      <c r="F34">
        <v>128463.24</v>
      </c>
      <c r="G34">
        <v>11858.37</v>
      </c>
    </row>
    <row r="35" spans="1:7">
      <c r="A35">
        <v>2025</v>
      </c>
      <c r="B35" t="s">
        <v>2019</v>
      </c>
      <c r="C35">
        <v>2</v>
      </c>
      <c r="D35">
        <v>48595.51</v>
      </c>
      <c r="E35">
        <v>43972.66</v>
      </c>
      <c r="F35">
        <v>42981.29</v>
      </c>
      <c r="G35">
        <v>-5614.22</v>
      </c>
    </row>
    <row r="36" spans="1:7">
      <c r="A36">
        <v>2025</v>
      </c>
      <c r="B36" t="s">
        <v>2019</v>
      </c>
      <c r="C36">
        <v>3</v>
      </c>
      <c r="D36">
        <v>28599.200000000001</v>
      </c>
      <c r="E36">
        <v>28718.48</v>
      </c>
      <c r="F36">
        <v>30923.94</v>
      </c>
      <c r="G36">
        <v>2324.7399999999998</v>
      </c>
    </row>
    <row r="37" spans="1:7">
      <c r="A37">
        <v>2025</v>
      </c>
      <c r="B37" t="s">
        <v>2019</v>
      </c>
      <c r="C37">
        <v>4</v>
      </c>
      <c r="D37">
        <v>42077.120000000003</v>
      </c>
      <c r="E37">
        <v>39403.9</v>
      </c>
      <c r="F37">
        <v>39330.25</v>
      </c>
      <c r="G37">
        <v>-2746.87</v>
      </c>
    </row>
    <row r="38" spans="1:7">
      <c r="A38">
        <v>2025</v>
      </c>
      <c r="B38" t="s">
        <v>2017</v>
      </c>
      <c r="C38">
        <v>1</v>
      </c>
      <c r="D38">
        <v>89482.9</v>
      </c>
      <c r="E38">
        <v>97911.07</v>
      </c>
      <c r="F38">
        <v>98559.24</v>
      </c>
      <c r="G38">
        <v>9076.34</v>
      </c>
    </row>
    <row r="39" spans="1:7">
      <c r="A39">
        <v>2025</v>
      </c>
      <c r="B39" t="s">
        <v>2017</v>
      </c>
      <c r="C39">
        <v>2</v>
      </c>
      <c r="D39">
        <v>66730.62</v>
      </c>
      <c r="E39">
        <v>63717.279999999999</v>
      </c>
      <c r="F39">
        <v>67871.69</v>
      </c>
      <c r="G39">
        <v>1141.07</v>
      </c>
    </row>
    <row r="40" spans="1:7">
      <c r="A40">
        <v>2025</v>
      </c>
      <c r="B40" t="s">
        <v>2017</v>
      </c>
      <c r="C40">
        <v>3</v>
      </c>
      <c r="D40">
        <v>127969.04</v>
      </c>
      <c r="E40">
        <v>117894.18</v>
      </c>
      <c r="F40">
        <v>115938.14</v>
      </c>
      <c r="G40">
        <v>-12030.9</v>
      </c>
    </row>
    <row r="41" spans="1:7">
      <c r="A41">
        <v>2025</v>
      </c>
      <c r="B41" t="s">
        <v>2017</v>
      </c>
      <c r="C41">
        <v>4</v>
      </c>
      <c r="D41">
        <v>98859.83</v>
      </c>
      <c r="E41">
        <v>100730.21</v>
      </c>
      <c r="F41">
        <v>97863.73</v>
      </c>
      <c r="G41">
        <v>-996.1</v>
      </c>
    </row>
    <row r="42" spans="1:7">
      <c r="A42">
        <v>2025</v>
      </c>
      <c r="B42" t="s">
        <v>2020</v>
      </c>
      <c r="C42">
        <v>1</v>
      </c>
      <c r="D42">
        <v>75571.7</v>
      </c>
      <c r="E42">
        <v>80720.77</v>
      </c>
      <c r="F42">
        <v>86587.65</v>
      </c>
      <c r="G42">
        <v>11015.95</v>
      </c>
    </row>
    <row r="43" spans="1:7">
      <c r="A43">
        <v>2025</v>
      </c>
      <c r="B43" t="s">
        <v>2020</v>
      </c>
      <c r="C43">
        <v>2</v>
      </c>
      <c r="D43">
        <v>130984.44</v>
      </c>
      <c r="E43">
        <v>142175.37</v>
      </c>
      <c r="F43">
        <v>145492.07</v>
      </c>
      <c r="G43">
        <v>14507.63</v>
      </c>
    </row>
    <row r="44" spans="1:7">
      <c r="A44">
        <v>2025</v>
      </c>
      <c r="B44" t="s">
        <v>2020</v>
      </c>
      <c r="C44">
        <v>3</v>
      </c>
      <c r="D44">
        <v>89085.04</v>
      </c>
      <c r="E44">
        <v>89296.12</v>
      </c>
      <c r="F44">
        <v>88359.56</v>
      </c>
      <c r="G44">
        <v>-725.48</v>
      </c>
    </row>
    <row r="45" spans="1:7">
      <c r="A45">
        <v>2025</v>
      </c>
      <c r="B45" t="s">
        <v>2020</v>
      </c>
      <c r="C45">
        <v>4</v>
      </c>
      <c r="D45">
        <v>116081.08</v>
      </c>
      <c r="E45">
        <v>119772.47</v>
      </c>
      <c r="F45">
        <v>112381.38</v>
      </c>
      <c r="G45">
        <v>-3699.7</v>
      </c>
    </row>
    <row r="46" spans="1:7">
      <c r="A46">
        <v>2025</v>
      </c>
      <c r="B46" t="s">
        <v>2022</v>
      </c>
      <c r="C46">
        <v>1</v>
      </c>
      <c r="D46">
        <v>64640.45</v>
      </c>
      <c r="E46">
        <v>70051.16</v>
      </c>
      <c r="F46">
        <v>66350.81</v>
      </c>
      <c r="G46">
        <v>1710.36</v>
      </c>
    </row>
    <row r="47" spans="1:7">
      <c r="A47">
        <v>2025</v>
      </c>
      <c r="B47" t="s">
        <v>2022</v>
      </c>
      <c r="C47">
        <v>2</v>
      </c>
      <c r="D47">
        <v>21211.21</v>
      </c>
      <c r="E47">
        <v>22362.69</v>
      </c>
      <c r="F47">
        <v>22368.41</v>
      </c>
      <c r="G47">
        <v>1157.2</v>
      </c>
    </row>
    <row r="48" spans="1:7">
      <c r="A48">
        <v>2025</v>
      </c>
      <c r="B48" t="s">
        <v>2022</v>
      </c>
      <c r="C48">
        <v>3</v>
      </c>
      <c r="D48">
        <v>37532.769999999997</v>
      </c>
      <c r="E48">
        <v>38564.660000000003</v>
      </c>
      <c r="F48">
        <v>37139</v>
      </c>
      <c r="G48">
        <v>-393.77</v>
      </c>
    </row>
    <row r="49" spans="1:7">
      <c r="A49">
        <v>2025</v>
      </c>
      <c r="B49" t="s">
        <v>2022</v>
      </c>
      <c r="C49">
        <v>4</v>
      </c>
      <c r="D49">
        <v>28580.31</v>
      </c>
      <c r="E49">
        <v>29613.63</v>
      </c>
      <c r="F49">
        <v>28551.84</v>
      </c>
      <c r="G49">
        <v>-28.47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5332F-3B62-4C29-928C-7432F92003B2}">
  <dimension ref="A1:C5"/>
  <sheetViews>
    <sheetView workbookViewId="0">
      <selection activeCell="C4" sqref="C4"/>
    </sheetView>
  </sheetViews>
  <sheetFormatPr defaultRowHeight="15"/>
  <cols>
    <col min="1" max="1" width="14" bestFit="1" customWidth="1"/>
    <col min="2" max="2" width="20.5703125" bestFit="1" customWidth="1"/>
    <col min="3" max="3" width="17.85546875" bestFit="1" customWidth="1"/>
  </cols>
  <sheetData>
    <row r="1" spans="1:3" ht="46.5">
      <c r="A1" s="15" t="s">
        <v>4100</v>
      </c>
      <c r="B1" s="16"/>
      <c r="C1" s="16"/>
    </row>
    <row r="2" spans="1:3" ht="46.5">
      <c r="A2" s="14"/>
    </row>
    <row r="3" spans="1:3">
      <c r="A3" s="3" t="s">
        <v>4070</v>
      </c>
      <c r="B3" t="s">
        <v>4073</v>
      </c>
      <c r="C3" t="s">
        <v>4089</v>
      </c>
    </row>
    <row r="4" spans="1:3">
      <c r="A4" s="4" t="s">
        <v>2012</v>
      </c>
      <c r="B4">
        <v>959134.0699999996</v>
      </c>
      <c r="C4">
        <v>605236.97000000009</v>
      </c>
    </row>
    <row r="5" spans="1:3">
      <c r="A5" s="4" t="s">
        <v>4072</v>
      </c>
      <c r="B5">
        <v>959134.0699999996</v>
      </c>
      <c r="C5">
        <v>605236.97000000009</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A3CCE-A9EC-4166-A5F8-8615E7DC1473}">
  <dimension ref="A1:E11"/>
  <sheetViews>
    <sheetView workbookViewId="0">
      <selection activeCell="B7" sqref="B7"/>
    </sheetView>
  </sheetViews>
  <sheetFormatPr defaultRowHeight="15"/>
  <cols>
    <col min="1" max="1" width="13.140625" bestFit="1" customWidth="1"/>
    <col min="2" max="2" width="20.5703125" bestFit="1" customWidth="1"/>
    <col min="3" max="3" width="17.85546875" bestFit="1" customWidth="1"/>
  </cols>
  <sheetData>
    <row r="1" spans="1:5" ht="36">
      <c r="B1" s="17"/>
      <c r="C1" s="17"/>
      <c r="D1" s="16"/>
      <c r="E1" s="16"/>
    </row>
    <row r="2" spans="1:5" ht="36">
      <c r="B2" s="17" t="s">
        <v>4101</v>
      </c>
      <c r="C2" s="17"/>
      <c r="D2" s="16"/>
      <c r="E2" s="16"/>
    </row>
    <row r="3" spans="1:5">
      <c r="A3" s="3" t="s">
        <v>4070</v>
      </c>
      <c r="B3" t="s">
        <v>4073</v>
      </c>
      <c r="C3" t="s">
        <v>4089</v>
      </c>
    </row>
    <row r="4" spans="1:5">
      <c r="A4" s="4" t="s">
        <v>2021</v>
      </c>
      <c r="B4">
        <v>162279.24000000019</v>
      </c>
      <c r="C4">
        <v>511246.83</v>
      </c>
    </row>
    <row r="5" spans="1:5">
      <c r="A5" s="4" t="s">
        <v>2018</v>
      </c>
      <c r="B5">
        <v>93048.339999999924</v>
      </c>
      <c r="C5">
        <v>529572.53</v>
      </c>
    </row>
    <row r="6" spans="1:5">
      <c r="A6" s="4" t="s">
        <v>2019</v>
      </c>
      <c r="B6">
        <v>122080.79</v>
      </c>
      <c r="C6">
        <v>905062.79999999993</v>
      </c>
    </row>
    <row r="7" spans="1:5">
      <c r="A7" s="4" t="s">
        <v>2020</v>
      </c>
      <c r="B7">
        <v>117831.01000000005</v>
      </c>
      <c r="C7">
        <v>520459.03</v>
      </c>
    </row>
    <row r="8" spans="1:5">
      <c r="A8" s="4" t="s">
        <v>2022</v>
      </c>
      <c r="B8">
        <v>145631.91000000009</v>
      </c>
      <c r="C8">
        <v>328498.7</v>
      </c>
    </row>
    <row r="9" spans="1:5">
      <c r="A9" s="4" t="s">
        <v>2017</v>
      </c>
      <c r="B9">
        <v>122170.16999999994</v>
      </c>
      <c r="C9">
        <v>942045.12999999989</v>
      </c>
    </row>
    <row r="10" spans="1:5">
      <c r="A10" s="4" t="s">
        <v>4071</v>
      </c>
    </row>
    <row r="11" spans="1:5">
      <c r="A11" s="4" t="s">
        <v>4072</v>
      </c>
      <c r="B11">
        <v>763041.4600000002</v>
      </c>
      <c r="C11">
        <v>3736885.0200000005</v>
      </c>
    </row>
  </sheetData>
  <autoFilter ref="A2:C11" xr:uid="{690A3CCE-A9EC-4166-A5F8-8615E7DC1473}"/>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493FC-B558-4396-9FDA-6B57CBBE6ADF}">
  <dimension ref="A3:B4"/>
  <sheetViews>
    <sheetView topLeftCell="A2" workbookViewId="0">
      <selection activeCell="B4" sqref="B4"/>
    </sheetView>
  </sheetViews>
  <sheetFormatPr defaultRowHeight="15"/>
  <cols>
    <col min="1" max="1" width="20.5703125" bestFit="1" customWidth="1"/>
    <col min="2" max="2" width="17.85546875" bestFit="1" customWidth="1"/>
  </cols>
  <sheetData>
    <row r="3" spans="1:2">
      <c r="A3" t="s">
        <v>4073</v>
      </c>
      <c r="B3" t="s">
        <v>4089</v>
      </c>
    </row>
    <row r="4" spans="1:2">
      <c r="A4">
        <v>763041.4599999981</v>
      </c>
      <c r="B4">
        <v>3736885.0200000005</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6590D-B953-46A6-8604-2A668763D3A5}">
  <dimension ref="A1:C11"/>
  <sheetViews>
    <sheetView workbookViewId="0">
      <selection activeCell="A3" sqref="A3"/>
    </sheetView>
  </sheetViews>
  <sheetFormatPr defaultRowHeight="15"/>
  <cols>
    <col min="1" max="1" width="13.140625" bestFit="1" customWidth="1"/>
    <col min="2" max="2" width="15.42578125" bestFit="1" customWidth="1"/>
    <col min="3" max="3" width="17.85546875" bestFit="1" customWidth="1"/>
    <col min="4" max="4" width="20.5703125" bestFit="1" customWidth="1"/>
  </cols>
  <sheetData>
    <row r="1" spans="1:3" ht="31.5">
      <c r="B1" s="8" t="s">
        <v>4106</v>
      </c>
      <c r="C1" s="8"/>
    </row>
    <row r="2" spans="1:3" ht="31.5">
      <c r="B2" s="8"/>
      <c r="C2" s="8"/>
    </row>
    <row r="3" spans="1:3">
      <c r="A3" s="3" t="s">
        <v>4070</v>
      </c>
      <c r="B3" t="s">
        <v>4108</v>
      </c>
    </row>
    <row r="4" spans="1:3">
      <c r="A4" s="4" t="s">
        <v>2021</v>
      </c>
      <c r="B4">
        <v>-348967.58999999979</v>
      </c>
    </row>
    <row r="5" spans="1:3">
      <c r="A5" s="4" t="s">
        <v>2018</v>
      </c>
      <c r="B5">
        <v>-436524.19000000012</v>
      </c>
    </row>
    <row r="6" spans="1:3">
      <c r="A6" s="4" t="s">
        <v>2019</v>
      </c>
      <c r="B6">
        <v>-782982.00999999943</v>
      </c>
    </row>
    <row r="7" spans="1:3">
      <c r="A7" s="4" t="s">
        <v>2020</v>
      </c>
      <c r="B7">
        <v>-402628.01999999973</v>
      </c>
    </row>
    <row r="8" spans="1:3">
      <c r="A8" s="4" t="s">
        <v>2022</v>
      </c>
      <c r="B8">
        <v>-182866.79000000024</v>
      </c>
    </row>
    <row r="9" spans="1:3">
      <c r="A9" s="4" t="s">
        <v>2017</v>
      </c>
      <c r="B9">
        <v>-819874.96000000101</v>
      </c>
    </row>
    <row r="10" spans="1:3">
      <c r="A10" s="4" t="s">
        <v>4071</v>
      </c>
    </row>
    <row r="11" spans="1:3">
      <c r="A11" s="4" t="s">
        <v>4072</v>
      </c>
      <c r="B11">
        <v>-2973843.56</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6E379-9DEB-4E28-A714-95BE6346DFC6}">
  <dimension ref="A1:G4"/>
  <sheetViews>
    <sheetView workbookViewId="0">
      <selection activeCell="E13" sqref="E13"/>
    </sheetView>
  </sheetViews>
  <sheetFormatPr defaultRowHeight="15"/>
  <cols>
    <col min="1" max="1" width="17.7109375" bestFit="1" customWidth="1"/>
    <col min="2" max="2" width="20.42578125" bestFit="1" customWidth="1"/>
  </cols>
  <sheetData>
    <row r="1" spans="1:7" ht="33.75">
      <c r="E1" s="7" t="s">
        <v>4107</v>
      </c>
      <c r="F1" s="7"/>
      <c r="G1" s="7"/>
    </row>
    <row r="2" spans="1:7" ht="33.75">
      <c r="E2" s="7"/>
      <c r="F2" s="7"/>
      <c r="G2" s="7"/>
    </row>
    <row r="3" spans="1:7">
      <c r="A3" t="s">
        <v>4108</v>
      </c>
      <c r="B3" t="s">
        <v>4109</v>
      </c>
    </row>
    <row r="4" spans="1:7">
      <c r="A4">
        <v>-2973843.5599999917</v>
      </c>
      <c r="B4">
        <v>2000</v>
      </c>
    </row>
  </sheetData>
  <autoFilter ref="A3:A4" xr:uid="{8E36E379-9DEB-4E28-A714-95BE6346DFC6}"/>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26E04-0F11-400C-AF8D-D42F9EB129F1}">
  <dimension ref="A3:B12"/>
  <sheetViews>
    <sheetView workbookViewId="0">
      <selection activeCell="E31" sqref="E31"/>
    </sheetView>
  </sheetViews>
  <sheetFormatPr defaultRowHeight="15"/>
  <cols>
    <col min="1" max="1" width="17.7109375" bestFit="1" customWidth="1"/>
    <col min="2" max="2" width="31.7109375" bestFit="1" customWidth="1"/>
    <col min="3" max="3" width="12" bestFit="1" customWidth="1"/>
    <col min="4" max="4" width="7.28515625" bestFit="1" customWidth="1"/>
    <col min="5" max="5" width="11.28515625" bestFit="1" customWidth="1"/>
  </cols>
  <sheetData>
    <row r="3" spans="1:2">
      <c r="A3" s="3" t="s">
        <v>4070</v>
      </c>
      <c r="B3" t="s">
        <v>4111</v>
      </c>
    </row>
    <row r="4" spans="1:2">
      <c r="A4" s="4">
        <v>4000</v>
      </c>
      <c r="B4">
        <v>398</v>
      </c>
    </row>
    <row r="5" spans="1:2">
      <c r="A5" s="9" t="s">
        <v>2012</v>
      </c>
      <c r="B5">
        <v>398</v>
      </c>
    </row>
    <row r="6" spans="1:2">
      <c r="A6" s="18" t="s">
        <v>2021</v>
      </c>
      <c r="B6">
        <v>73</v>
      </c>
    </row>
    <row r="7" spans="1:2">
      <c r="A7" s="18" t="s">
        <v>2018</v>
      </c>
      <c r="B7">
        <v>64</v>
      </c>
    </row>
    <row r="8" spans="1:2">
      <c r="A8" s="18" t="s">
        <v>2019</v>
      </c>
      <c r="B8">
        <v>62</v>
      </c>
    </row>
    <row r="9" spans="1:2">
      <c r="A9" s="18" t="s">
        <v>2020</v>
      </c>
      <c r="B9">
        <v>75</v>
      </c>
    </row>
    <row r="10" spans="1:2">
      <c r="A10" s="18" t="s">
        <v>2022</v>
      </c>
      <c r="B10">
        <v>61</v>
      </c>
    </row>
    <row r="11" spans="1:2">
      <c r="A11" s="18" t="s">
        <v>2017</v>
      </c>
      <c r="B11">
        <v>63</v>
      </c>
    </row>
    <row r="12" spans="1:2">
      <c r="A12" s="4" t="s">
        <v>4072</v>
      </c>
      <c r="B12">
        <v>398</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BC2E9-B196-4767-8D84-B1F717501250}">
  <dimension ref="A3:B4"/>
  <sheetViews>
    <sheetView workbookViewId="0">
      <selection activeCell="J16" sqref="J16"/>
    </sheetView>
  </sheetViews>
  <sheetFormatPr defaultRowHeight="15"/>
  <cols>
    <col min="1" max="1" width="20.5703125" bestFit="1" customWidth="1"/>
    <col min="2" max="2" width="17.85546875" bestFit="1" customWidth="1"/>
  </cols>
  <sheetData>
    <row r="3" spans="1:2">
      <c r="A3" t="s">
        <v>4073</v>
      </c>
      <c r="B3" t="s">
        <v>4089</v>
      </c>
    </row>
    <row r="4" spans="1:2">
      <c r="A4">
        <v>763041.4599999981</v>
      </c>
      <c r="B4">
        <v>3736885.0200000005</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FA817-0F2F-465E-9A92-F290E399DB83}">
  <dimension ref="A3:A4"/>
  <sheetViews>
    <sheetView workbookViewId="0">
      <selection activeCell="A3" sqref="A3"/>
    </sheetView>
  </sheetViews>
  <sheetFormatPr defaultRowHeight="15"/>
  <cols>
    <col min="1" max="1" width="20.5703125" bestFit="1" customWidth="1"/>
  </cols>
  <sheetData>
    <row r="3" spans="1:1">
      <c r="A3" t="s">
        <v>4073</v>
      </c>
    </row>
    <row r="4" spans="1:1">
      <c r="A4">
        <v>763041.4599999981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72B6B-ABB8-48B4-A743-50074B2D5E47}">
  <dimension ref="A1:C11"/>
  <sheetViews>
    <sheetView zoomScale="59" zoomScaleNormal="59" workbookViewId="0">
      <selection activeCell="B8" sqref="B8"/>
    </sheetView>
  </sheetViews>
  <sheetFormatPr defaultRowHeight="15"/>
  <cols>
    <col min="1" max="1" width="20" bestFit="1" customWidth="1"/>
    <col min="2" max="2" width="29.85546875" bestFit="1" customWidth="1"/>
    <col min="3" max="3" width="26" bestFit="1" customWidth="1"/>
  </cols>
  <sheetData>
    <row r="1" spans="1:3" ht="33.75">
      <c r="B1" s="7" t="s">
        <v>4116</v>
      </c>
      <c r="C1" s="19"/>
    </row>
    <row r="3" spans="1:3">
      <c r="A3" s="3" t="s">
        <v>4070</v>
      </c>
      <c r="B3" t="s">
        <v>4073</v>
      </c>
      <c r="C3" t="s">
        <v>4089</v>
      </c>
    </row>
    <row r="4" spans="1:3">
      <c r="A4" s="4" t="s">
        <v>2021</v>
      </c>
      <c r="B4">
        <v>162279.24000000019</v>
      </c>
      <c r="C4">
        <v>511246.83</v>
      </c>
    </row>
    <row r="5" spans="1:3">
      <c r="A5" s="4" t="s">
        <v>2018</v>
      </c>
      <c r="B5">
        <v>93048.339999999924</v>
      </c>
      <c r="C5">
        <v>529572.53</v>
      </c>
    </row>
    <row r="6" spans="1:3">
      <c r="A6" s="4" t="s">
        <v>2019</v>
      </c>
      <c r="B6">
        <v>122080.79</v>
      </c>
      <c r="C6">
        <v>905062.79999999993</v>
      </c>
    </row>
    <row r="7" spans="1:3">
      <c r="A7" s="4" t="s">
        <v>2020</v>
      </c>
      <c r="B7">
        <v>117831.01000000005</v>
      </c>
      <c r="C7">
        <v>520459.03</v>
      </c>
    </row>
    <row r="8" spans="1:3">
      <c r="A8" s="4" t="s">
        <v>2022</v>
      </c>
      <c r="B8">
        <v>145631.91000000009</v>
      </c>
      <c r="C8">
        <v>328498.7</v>
      </c>
    </row>
    <row r="9" spans="1:3">
      <c r="A9" s="4" t="s">
        <v>2017</v>
      </c>
      <c r="B9">
        <v>122170.16999999994</v>
      </c>
      <c r="C9">
        <v>942045.12999999989</v>
      </c>
    </row>
    <row r="10" spans="1:3">
      <c r="A10" s="4" t="s">
        <v>4071</v>
      </c>
    </row>
    <row r="11" spans="1:3">
      <c r="A11" s="4" t="s">
        <v>4072</v>
      </c>
      <c r="B11">
        <v>763041.4600000002</v>
      </c>
      <c r="C11">
        <v>3736885.0200000005</v>
      </c>
    </row>
  </sheetData>
  <pageMargins left="0.7" right="0.7" top="0.75" bottom="0.75" header="0.3" footer="0.3"/>
  <pageSetup orientation="portrait" r:id="rId2"/>
  <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D83DA-C1C1-44D0-A012-C2DCCD05BD19}">
  <dimension ref="A2:I11"/>
  <sheetViews>
    <sheetView workbookViewId="0">
      <selection activeCell="B10" sqref="B10"/>
    </sheetView>
  </sheetViews>
  <sheetFormatPr defaultRowHeight="15"/>
  <cols>
    <col min="1" max="1" width="13.140625" bestFit="1" customWidth="1"/>
    <col min="2" max="2" width="15.42578125" bestFit="1" customWidth="1"/>
  </cols>
  <sheetData>
    <row r="2" spans="1:9" ht="33.75">
      <c r="B2" s="20" t="s">
        <v>4117</v>
      </c>
      <c r="C2" s="21"/>
      <c r="D2" s="21"/>
      <c r="E2" s="16"/>
      <c r="F2" s="16"/>
      <c r="G2" s="16"/>
      <c r="H2" s="16"/>
      <c r="I2" s="16"/>
    </row>
    <row r="3" spans="1:9">
      <c r="A3" s="3" t="s">
        <v>4070</v>
      </c>
      <c r="B3" t="s">
        <v>4108</v>
      </c>
    </row>
    <row r="4" spans="1:9">
      <c r="A4" s="4" t="s">
        <v>2021</v>
      </c>
      <c r="B4">
        <v>-348967.58999999979</v>
      </c>
    </row>
    <row r="5" spans="1:9">
      <c r="A5" s="4" t="s">
        <v>2018</v>
      </c>
      <c r="B5">
        <v>-436524.19000000012</v>
      </c>
    </row>
    <row r="6" spans="1:9">
      <c r="A6" s="4" t="s">
        <v>2019</v>
      </c>
      <c r="B6">
        <v>-782982.00999999943</v>
      </c>
    </row>
    <row r="7" spans="1:9">
      <c r="A7" s="4" t="s">
        <v>2020</v>
      </c>
      <c r="B7">
        <v>-402628.01999999973</v>
      </c>
    </row>
    <row r="8" spans="1:9">
      <c r="A8" s="4" t="s">
        <v>2022</v>
      </c>
      <c r="B8">
        <v>-182866.79000000024</v>
      </c>
    </row>
    <row r="9" spans="1:9">
      <c r="A9" s="4" t="s">
        <v>2017</v>
      </c>
      <c r="B9">
        <v>-819874.96000000101</v>
      </c>
    </row>
    <row r="10" spans="1:9">
      <c r="A10" s="4" t="s">
        <v>4071</v>
      </c>
    </row>
    <row r="11" spans="1:9">
      <c r="A11" s="4" t="s">
        <v>4072</v>
      </c>
      <c r="B11">
        <v>-2973843.56</v>
      </c>
    </row>
  </sheetData>
  <autoFilter ref="A2:B41" xr:uid="{AE5D83DA-C1C1-44D0-A012-C2DCCD05BD19}"/>
  <pageMargins left="0.7" right="0.7" top="0.75" bottom="0.75" header="0.3" footer="0.3"/>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89EA6-7403-4EAB-84BF-DA72440529AD}">
  <dimension ref="A1:B35"/>
  <sheetViews>
    <sheetView topLeftCell="A21" workbookViewId="0">
      <selection activeCell="F1" sqref="F1"/>
    </sheetView>
  </sheetViews>
  <sheetFormatPr defaultRowHeight="15"/>
  <cols>
    <col min="1" max="1" width="13.140625" bestFit="1" customWidth="1"/>
    <col min="2" max="2" width="20.5703125" bestFit="1" customWidth="1"/>
    <col min="3" max="3" width="17.85546875" bestFit="1" customWidth="1"/>
    <col min="4" max="4" width="20.5703125" bestFit="1" customWidth="1"/>
    <col min="5" max="5" width="17.85546875" bestFit="1" customWidth="1"/>
    <col min="6" max="6" width="20.5703125" bestFit="1" customWidth="1"/>
    <col min="7" max="7" width="17.85546875" bestFit="1" customWidth="1"/>
    <col min="8" max="8" width="20.5703125" bestFit="1" customWidth="1"/>
    <col min="9" max="9" width="17.85546875" bestFit="1" customWidth="1"/>
    <col min="10" max="10" width="20.5703125" bestFit="1" customWidth="1"/>
    <col min="11" max="11" width="17.85546875" bestFit="1" customWidth="1"/>
    <col min="12" max="12" width="20.5703125" bestFit="1" customWidth="1"/>
    <col min="13" max="13" width="17.85546875" bestFit="1" customWidth="1"/>
    <col min="14" max="14" width="20.5703125" bestFit="1" customWidth="1"/>
    <col min="15" max="15" width="17.85546875" bestFit="1" customWidth="1"/>
    <col min="16" max="16" width="25.7109375" bestFit="1" customWidth="1"/>
    <col min="17" max="17" width="22.85546875" bestFit="1" customWidth="1"/>
    <col min="18" max="18" width="20.5703125" bestFit="1" customWidth="1"/>
    <col min="19" max="19" width="17.85546875" bestFit="1" customWidth="1"/>
    <col min="20" max="20" width="20.5703125" bestFit="1" customWidth="1"/>
    <col min="21" max="21" width="17.85546875" bestFit="1" customWidth="1"/>
    <col min="22" max="22" width="20.5703125" bestFit="1" customWidth="1"/>
    <col min="23" max="23" width="17.85546875" bestFit="1" customWidth="1"/>
    <col min="24" max="24" width="20.5703125" bestFit="1" customWidth="1"/>
    <col min="25" max="25" width="17.85546875" bestFit="1" customWidth="1"/>
    <col min="26" max="26" width="20.5703125" bestFit="1" customWidth="1"/>
    <col min="27" max="27" width="17.85546875" bestFit="1" customWidth="1"/>
    <col min="28" max="28" width="32.42578125" bestFit="1" customWidth="1"/>
    <col min="29" max="29" width="29.7109375" bestFit="1" customWidth="1"/>
    <col min="30" max="30" width="20.5703125" bestFit="1" customWidth="1"/>
    <col min="31" max="31" width="17.85546875" bestFit="1" customWidth="1"/>
    <col min="32" max="32" width="20.5703125" bestFit="1" customWidth="1"/>
    <col min="33" max="33" width="17.85546875" bestFit="1" customWidth="1"/>
    <col min="34" max="34" width="20.5703125" bestFit="1" customWidth="1"/>
    <col min="35" max="35" width="17.85546875" bestFit="1" customWidth="1"/>
    <col min="36" max="36" width="20.5703125" bestFit="1" customWidth="1"/>
    <col min="37" max="37" width="17.85546875" bestFit="1" customWidth="1"/>
    <col min="38" max="38" width="20.5703125" bestFit="1" customWidth="1"/>
    <col min="39" max="39" width="17.85546875" bestFit="1" customWidth="1"/>
    <col min="40" max="40" width="20.5703125" bestFit="1" customWidth="1"/>
    <col min="41" max="41" width="17.85546875" bestFit="1" customWidth="1"/>
    <col min="42" max="42" width="35.5703125" bestFit="1" customWidth="1"/>
    <col min="43" max="43" width="32.7109375" bestFit="1" customWidth="1"/>
    <col min="44" max="44" width="20.5703125" bestFit="1" customWidth="1"/>
    <col min="45" max="45" width="17.85546875" bestFit="1" customWidth="1"/>
    <col min="46" max="46" width="20.5703125" bestFit="1" customWidth="1"/>
    <col min="47" max="47" width="17.85546875" bestFit="1" customWidth="1"/>
    <col min="48" max="48" width="20.5703125" bestFit="1" customWidth="1"/>
    <col min="49" max="49" width="17.85546875" bestFit="1" customWidth="1"/>
    <col min="50" max="50" width="20.5703125" bestFit="1" customWidth="1"/>
    <col min="51" max="51" width="17.85546875" bestFit="1" customWidth="1"/>
    <col min="52" max="52" width="20.5703125" bestFit="1" customWidth="1"/>
    <col min="53" max="53" width="17.85546875" bestFit="1" customWidth="1"/>
    <col min="54" max="54" width="20.5703125" bestFit="1" customWidth="1"/>
    <col min="55" max="55" width="17.85546875" bestFit="1" customWidth="1"/>
    <col min="56" max="56" width="34.42578125" bestFit="1" customWidth="1"/>
    <col min="57" max="57" width="31.5703125" bestFit="1" customWidth="1"/>
    <col min="58" max="58" width="20.5703125" bestFit="1" customWidth="1"/>
    <col min="59" max="59" width="17.85546875" bestFit="1" customWidth="1"/>
    <col min="60" max="60" width="20.5703125" bestFit="1" customWidth="1"/>
    <col min="61" max="61" width="17.85546875" bestFit="1" customWidth="1"/>
    <col min="62" max="62" width="20.5703125" bestFit="1" customWidth="1"/>
    <col min="63" max="63" width="17.85546875" bestFit="1" customWidth="1"/>
    <col min="64" max="64" width="20.5703125" bestFit="1" customWidth="1"/>
    <col min="65" max="65" width="17.85546875" bestFit="1" customWidth="1"/>
    <col min="66" max="66" width="20.5703125" bestFit="1" customWidth="1"/>
    <col min="67" max="67" width="17.85546875" bestFit="1" customWidth="1"/>
    <col min="68" max="68" width="20.5703125" bestFit="1" customWidth="1"/>
    <col min="69" max="69" width="17.85546875" bestFit="1" customWidth="1"/>
    <col min="70" max="70" width="34.85546875" bestFit="1" customWidth="1"/>
    <col min="71" max="71" width="32" bestFit="1" customWidth="1"/>
    <col min="72" max="72" width="20.5703125" bestFit="1" customWidth="1"/>
    <col min="73" max="73" width="17.85546875" bestFit="1" customWidth="1"/>
    <col min="74" max="74" width="27.5703125" bestFit="1" customWidth="1"/>
    <col min="75" max="75" width="24.7109375" bestFit="1" customWidth="1"/>
    <col min="76" max="76" width="25.7109375" bestFit="1" customWidth="1"/>
    <col min="77" max="77" width="22.85546875" bestFit="1" customWidth="1"/>
  </cols>
  <sheetData>
    <row r="1" spans="1:2" ht="46.5">
      <c r="A1" s="22" t="s">
        <v>4118</v>
      </c>
    </row>
    <row r="3" spans="1:2">
      <c r="A3" s="3" t="s">
        <v>4070</v>
      </c>
      <c r="B3" t="s">
        <v>4073</v>
      </c>
    </row>
    <row r="4" spans="1:2">
      <c r="A4" s="4" t="s">
        <v>4047</v>
      </c>
      <c r="B4">
        <v>26757.070000000007</v>
      </c>
    </row>
    <row r="5" spans="1:2">
      <c r="A5" s="4" t="s">
        <v>4057</v>
      </c>
      <c r="B5">
        <v>35857.68</v>
      </c>
    </row>
    <row r="6" spans="1:2">
      <c r="A6" s="4" t="s">
        <v>4051</v>
      </c>
      <c r="B6">
        <v>29296.01</v>
      </c>
    </row>
    <row r="7" spans="1:2">
      <c r="A7" s="4" t="s">
        <v>4041</v>
      </c>
      <c r="B7">
        <v>19230.650000000001</v>
      </c>
    </row>
    <row r="8" spans="1:2">
      <c r="A8" s="4" t="s">
        <v>4062</v>
      </c>
      <c r="B8">
        <v>19307.009999999998</v>
      </c>
    </row>
    <row r="9" spans="1:2">
      <c r="A9" s="4" t="s">
        <v>4055</v>
      </c>
      <c r="B9">
        <v>13928.019999999993</v>
      </c>
    </row>
    <row r="10" spans="1:2">
      <c r="A10" s="4" t="s">
        <v>4050</v>
      </c>
      <c r="B10">
        <v>6660.7500000000009</v>
      </c>
    </row>
    <row r="11" spans="1:2">
      <c r="A11" s="4" t="s">
        <v>4037</v>
      </c>
      <c r="B11">
        <v>34705.420000000013</v>
      </c>
    </row>
    <row r="12" spans="1:2">
      <c r="A12" s="4" t="s">
        <v>4036</v>
      </c>
      <c r="B12">
        <v>13844.769999999999</v>
      </c>
    </row>
    <row r="13" spans="1:2">
      <c r="A13" s="4" t="s">
        <v>4060</v>
      </c>
      <c r="B13">
        <v>37055.769999999982</v>
      </c>
    </row>
    <row r="14" spans="1:2">
      <c r="A14" s="4" t="s">
        <v>4042</v>
      </c>
      <c r="B14">
        <v>47766.410000000011</v>
      </c>
    </row>
    <row r="15" spans="1:2">
      <c r="A15" s="4" t="s">
        <v>4039</v>
      </c>
      <c r="B15">
        <v>44432.500000000007</v>
      </c>
    </row>
    <row r="16" spans="1:2">
      <c r="A16" s="4" t="s">
        <v>4053</v>
      </c>
      <c r="B16">
        <v>33900.860000000022</v>
      </c>
    </row>
    <row r="17" spans="1:2">
      <c r="A17" s="4" t="s">
        <v>4044</v>
      </c>
      <c r="B17">
        <v>23434.010000000002</v>
      </c>
    </row>
    <row r="18" spans="1:2">
      <c r="A18" s="4" t="s">
        <v>4049</v>
      </c>
      <c r="B18">
        <v>46882.010000000017</v>
      </c>
    </row>
    <row r="19" spans="1:2">
      <c r="A19" s="4" t="s">
        <v>4040</v>
      </c>
      <c r="B19">
        <v>25446.869999999995</v>
      </c>
    </row>
    <row r="20" spans="1:2">
      <c r="A20" s="4" t="s">
        <v>4033</v>
      </c>
      <c r="B20">
        <v>37121.229999999996</v>
      </c>
    </row>
    <row r="21" spans="1:2">
      <c r="A21" s="4" t="s">
        <v>4034</v>
      </c>
      <c r="B21">
        <v>33983.860000000008</v>
      </c>
    </row>
    <row r="22" spans="1:2">
      <c r="A22" s="4" t="s">
        <v>4054</v>
      </c>
      <c r="B22">
        <v>27564.959999999992</v>
      </c>
    </row>
    <row r="23" spans="1:2">
      <c r="A23" s="4" t="s">
        <v>4058</v>
      </c>
      <c r="B23">
        <v>5640.7099999999964</v>
      </c>
    </row>
    <row r="24" spans="1:2">
      <c r="A24" s="4" t="s">
        <v>4048</v>
      </c>
      <c r="B24">
        <v>-4386.2900000000018</v>
      </c>
    </row>
    <row r="25" spans="1:2">
      <c r="A25" s="4" t="s">
        <v>4059</v>
      </c>
      <c r="B25">
        <v>16848.449999999997</v>
      </c>
    </row>
    <row r="26" spans="1:2">
      <c r="A26" s="4" t="s">
        <v>4043</v>
      </c>
      <c r="B26">
        <v>31330.440000000002</v>
      </c>
    </row>
    <row r="27" spans="1:2">
      <c r="A27" s="4" t="s">
        <v>4056</v>
      </c>
      <c r="B27">
        <v>37417.929999999986</v>
      </c>
    </row>
    <row r="28" spans="1:2">
      <c r="A28" s="4" t="s">
        <v>4035</v>
      </c>
      <c r="B28">
        <v>17331.819999999996</v>
      </c>
    </row>
    <row r="29" spans="1:2">
      <c r="A29" s="4" t="s">
        <v>4061</v>
      </c>
      <c r="B29">
        <v>5260.46</v>
      </c>
    </row>
    <row r="30" spans="1:2">
      <c r="A30" s="4" t="s">
        <v>4046</v>
      </c>
      <c r="B30">
        <v>33436.959999999999</v>
      </c>
    </row>
    <row r="31" spans="1:2">
      <c r="A31" s="4" t="s">
        <v>4045</v>
      </c>
      <c r="B31">
        <v>10529.060000000001</v>
      </c>
    </row>
    <row r="32" spans="1:2">
      <c r="A32" s="4" t="s">
        <v>4038</v>
      </c>
      <c r="B32">
        <v>35023.53</v>
      </c>
    </row>
    <row r="33" spans="1:2">
      <c r="A33" s="4" t="s">
        <v>4052</v>
      </c>
      <c r="B33">
        <v>17432.529999999995</v>
      </c>
    </row>
    <row r="34" spans="1:2">
      <c r="A34" s="4" t="s">
        <v>4071</v>
      </c>
    </row>
    <row r="35" spans="1:2">
      <c r="A35" s="4" t="s">
        <v>4072</v>
      </c>
      <c r="B35">
        <v>763041.45999999985</v>
      </c>
    </row>
  </sheetData>
  <pageMargins left="0.7" right="0.7" top="0.75" bottom="0.75" header="0.3" footer="0.3"/>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86758-AA9C-4EED-8B8E-0324AF88F4B7}">
  <dimension ref="A1:E12"/>
  <sheetViews>
    <sheetView workbookViewId="0">
      <selection activeCell="B5" sqref="B5"/>
    </sheetView>
  </sheetViews>
  <sheetFormatPr defaultRowHeight="15"/>
  <cols>
    <col min="1" max="1" width="31.7109375" bestFit="1" customWidth="1"/>
    <col min="2" max="2" width="16.28515625" bestFit="1" customWidth="1"/>
    <col min="3" max="3" width="12" bestFit="1" customWidth="1"/>
    <col min="4" max="4" width="7.28515625" bestFit="1" customWidth="1"/>
    <col min="5" max="5" width="11.28515625" bestFit="1" customWidth="1"/>
  </cols>
  <sheetData>
    <row r="1" spans="1:5" ht="33.75">
      <c r="A1" s="7" t="s">
        <v>4119</v>
      </c>
      <c r="B1" s="19"/>
      <c r="C1" s="19"/>
    </row>
    <row r="2" spans="1:5" ht="33.75">
      <c r="A2" s="19"/>
      <c r="B2" s="19"/>
      <c r="C2" s="19"/>
    </row>
    <row r="3" spans="1:5">
      <c r="A3" s="3" t="s">
        <v>4111</v>
      </c>
      <c r="B3" s="3" t="s">
        <v>4098</v>
      </c>
    </row>
    <row r="4" spans="1:5">
      <c r="A4" s="3" t="s">
        <v>4070</v>
      </c>
      <c r="B4" t="s">
        <v>4120</v>
      </c>
      <c r="C4" t="s">
        <v>4121</v>
      </c>
      <c r="D4" t="s">
        <v>4071</v>
      </c>
      <c r="E4" t="s">
        <v>4072</v>
      </c>
    </row>
    <row r="5" spans="1:5">
      <c r="A5" s="4" t="s">
        <v>2021</v>
      </c>
      <c r="B5">
        <v>145</v>
      </c>
      <c r="C5">
        <v>198</v>
      </c>
      <c r="E5">
        <v>343</v>
      </c>
    </row>
    <row r="6" spans="1:5">
      <c r="A6" s="4" t="s">
        <v>2018</v>
      </c>
      <c r="B6">
        <v>128</v>
      </c>
      <c r="C6">
        <v>222</v>
      </c>
      <c r="E6">
        <v>350</v>
      </c>
    </row>
    <row r="7" spans="1:5">
      <c r="A7" s="4" t="s">
        <v>2019</v>
      </c>
      <c r="B7">
        <v>122</v>
      </c>
      <c r="C7">
        <v>195</v>
      </c>
      <c r="E7">
        <v>317</v>
      </c>
    </row>
    <row r="8" spans="1:5">
      <c r="A8" s="4" t="s">
        <v>2020</v>
      </c>
      <c r="B8">
        <v>123</v>
      </c>
      <c r="C8">
        <v>215</v>
      </c>
      <c r="E8">
        <v>338</v>
      </c>
    </row>
    <row r="9" spans="1:5">
      <c r="A9" s="4" t="s">
        <v>2022</v>
      </c>
      <c r="B9">
        <v>132</v>
      </c>
      <c r="C9">
        <v>183</v>
      </c>
      <c r="E9">
        <v>315</v>
      </c>
    </row>
    <row r="10" spans="1:5">
      <c r="A10" s="4" t="s">
        <v>2017</v>
      </c>
      <c r="B10">
        <v>131</v>
      </c>
      <c r="C10">
        <v>202</v>
      </c>
      <c r="E10">
        <v>333</v>
      </c>
    </row>
    <row r="11" spans="1:5">
      <c r="A11" s="4" t="s">
        <v>4071</v>
      </c>
    </row>
    <row r="12" spans="1:5">
      <c r="A12" s="4" t="s">
        <v>4072</v>
      </c>
      <c r="B12">
        <v>781</v>
      </c>
      <c r="C12">
        <v>1215</v>
      </c>
      <c r="E12">
        <v>1996</v>
      </c>
    </row>
  </sheetData>
  <pageMargins left="0.7" right="0.7" top="0.75" bottom="0.75" header="0.3" footer="0.3"/>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3BFD4-35B1-476C-9136-997CBCFB6D23}">
  <dimension ref="C1:M3"/>
  <sheetViews>
    <sheetView showGridLines="0" tabSelected="1" zoomScale="48" zoomScaleNormal="48" workbookViewId="0">
      <selection activeCell="T2" sqref="T2"/>
    </sheetView>
  </sheetViews>
  <sheetFormatPr defaultRowHeight="15"/>
  <cols>
    <col min="1" max="3" width="9.140625" style="29"/>
    <col min="4" max="4" width="33.140625" style="29" bestFit="1" customWidth="1"/>
    <col min="5" max="5" width="29" style="29" bestFit="1" customWidth="1"/>
    <col min="6" max="6" width="30.7109375" style="29" bestFit="1" customWidth="1"/>
    <col min="7" max="7" width="33.85546875" style="29" bestFit="1" customWidth="1"/>
    <col min="8" max="8" width="38.28515625" style="29" bestFit="1" customWidth="1"/>
    <col min="9" max="16384" width="9.140625" style="29"/>
  </cols>
  <sheetData>
    <row r="1" spans="3:13" ht="92.25">
      <c r="C1" s="30" t="s">
        <v>4128</v>
      </c>
      <c r="D1" s="31"/>
      <c r="E1" s="31"/>
      <c r="F1" s="31"/>
      <c r="L1" s="32"/>
      <c r="M1" s="32"/>
    </row>
    <row r="2" spans="3:13" ht="31.5">
      <c r="D2" s="33" t="s">
        <v>4112</v>
      </c>
      <c r="E2" s="33" t="s">
        <v>4113</v>
      </c>
      <c r="F2" s="33" t="s">
        <v>4114</v>
      </c>
      <c r="G2" s="33" t="s">
        <v>4108</v>
      </c>
      <c r="H2" s="33" t="s">
        <v>4115</v>
      </c>
      <c r="I2" s="34"/>
      <c r="J2" s="34"/>
      <c r="K2" s="34"/>
    </row>
    <row r="3" spans="3:13" ht="31.5">
      <c r="D3" s="33">
        <v>3</v>
      </c>
      <c r="E3" s="33">
        <v>1526082.9199999967</v>
      </c>
      <c r="F3" s="33">
        <v>7473770.040000001</v>
      </c>
      <c r="G3" s="33">
        <v>-5947687.1200000029</v>
      </c>
      <c r="H3" s="33">
        <v>1.1015469935630371</v>
      </c>
      <c r="I3" s="34"/>
      <c r="J3" s="34"/>
      <c r="K3" s="34"/>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A06FE-644E-4AED-93D7-CB7BB9BA061D}">
  <dimension ref="A1:O5"/>
  <sheetViews>
    <sheetView workbookViewId="0">
      <selection activeCell="B20" sqref="B20"/>
    </sheetView>
  </sheetViews>
  <sheetFormatPr defaultRowHeight="15"/>
  <cols>
    <col min="1" max="1" width="14" bestFit="1" customWidth="1"/>
    <col min="2" max="2" width="20.5703125" bestFit="1" customWidth="1"/>
    <col min="3" max="3" width="17.85546875" bestFit="1" customWidth="1"/>
    <col min="4" max="4" width="15.42578125" bestFit="1" customWidth="1"/>
  </cols>
  <sheetData>
    <row r="1" spans="1:15" ht="31.5">
      <c r="A1" t="s">
        <v>4124</v>
      </c>
      <c r="C1" s="25" t="s">
        <v>4125</v>
      </c>
      <c r="D1" s="25"/>
      <c r="E1" s="25"/>
      <c r="F1" s="16"/>
      <c r="G1" s="16"/>
      <c r="H1" s="16"/>
      <c r="I1" s="16"/>
      <c r="J1" s="16"/>
      <c r="K1" s="16"/>
      <c r="M1" s="26" t="s">
        <v>4126</v>
      </c>
      <c r="N1" s="26"/>
      <c r="O1" s="26"/>
    </row>
    <row r="3" spans="1:15">
      <c r="A3" s="3" t="s">
        <v>4070</v>
      </c>
      <c r="B3" t="s">
        <v>4073</v>
      </c>
      <c r="C3" t="s">
        <v>4089</v>
      </c>
      <c r="D3" t="s">
        <v>4108</v>
      </c>
      <c r="E3" t="s">
        <v>4125</v>
      </c>
    </row>
    <row r="4" spans="1:15">
      <c r="A4" s="4" t="s">
        <v>2012</v>
      </c>
      <c r="B4">
        <v>959134.0699999996</v>
      </c>
      <c r="C4">
        <v>605236.97000000009</v>
      </c>
      <c r="D4">
        <v>353897.10000000038</v>
      </c>
    </row>
    <row r="5" spans="1:15">
      <c r="A5" s="4" t="s">
        <v>4072</v>
      </c>
      <c r="B5">
        <v>959134.0699999996</v>
      </c>
      <c r="C5">
        <v>605236.97000000009</v>
      </c>
      <c r="D5">
        <v>353897.10000000038</v>
      </c>
    </row>
  </sheetData>
  <pageMargins left="0.7" right="0.7" top="0.75" bottom="0.75" header="0.3" footer="0.3"/>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1D3D5-2D37-4E70-A5EF-3D4BE8E6C42C}">
  <dimension ref="A3:H11"/>
  <sheetViews>
    <sheetView topLeftCell="A5" workbookViewId="0">
      <selection activeCell="G28" sqref="G28"/>
    </sheetView>
  </sheetViews>
  <sheetFormatPr defaultRowHeight="15"/>
  <cols>
    <col min="1" max="1" width="13.140625" bestFit="1" customWidth="1"/>
    <col min="2" max="2" width="20.5703125" bestFit="1" customWidth="1"/>
    <col min="3" max="3" width="17.85546875" bestFit="1" customWidth="1"/>
    <col min="4" max="4" width="15.42578125" bestFit="1" customWidth="1"/>
  </cols>
  <sheetData>
    <row r="3" spans="1:8" ht="28.5">
      <c r="A3" s="3" t="s">
        <v>4070</v>
      </c>
      <c r="B3" t="s">
        <v>4073</v>
      </c>
      <c r="C3" t="s">
        <v>4089</v>
      </c>
      <c r="D3" t="s">
        <v>4108</v>
      </c>
      <c r="F3" s="28" t="s">
        <v>4127</v>
      </c>
      <c r="G3" s="28"/>
      <c r="H3" s="28"/>
    </row>
    <row r="4" spans="1:8" ht="28.5">
      <c r="A4" s="4" t="s">
        <v>2021</v>
      </c>
      <c r="B4">
        <v>162279.24000000019</v>
      </c>
      <c r="C4">
        <v>511246.83</v>
      </c>
      <c r="D4">
        <v>-348967.58999999979</v>
      </c>
      <c r="F4" s="28"/>
      <c r="G4" s="28"/>
      <c r="H4" s="28"/>
    </row>
    <row r="5" spans="1:8">
      <c r="A5" s="4" t="s">
        <v>2018</v>
      </c>
      <c r="B5">
        <v>93048.339999999924</v>
      </c>
      <c r="C5">
        <v>529572.53</v>
      </c>
      <c r="D5">
        <v>-436524.19000000012</v>
      </c>
    </row>
    <row r="6" spans="1:8">
      <c r="A6" s="4" t="s">
        <v>2019</v>
      </c>
      <c r="B6">
        <v>122080.79</v>
      </c>
      <c r="C6">
        <v>905062.79999999993</v>
      </c>
      <c r="D6">
        <v>-782982.00999999943</v>
      </c>
    </row>
    <row r="7" spans="1:8">
      <c r="A7" s="4" t="s">
        <v>2020</v>
      </c>
      <c r="B7">
        <v>117831.01000000005</v>
      </c>
      <c r="C7">
        <v>520459.03</v>
      </c>
      <c r="D7">
        <v>-402628.01999999973</v>
      </c>
    </row>
    <row r="8" spans="1:8">
      <c r="A8" s="4" t="s">
        <v>2022</v>
      </c>
      <c r="B8">
        <v>145631.91000000009</v>
      </c>
      <c r="C8">
        <v>328498.7</v>
      </c>
      <c r="D8">
        <v>-182866.79000000024</v>
      </c>
    </row>
    <row r="9" spans="1:8">
      <c r="A9" s="4" t="s">
        <v>2017</v>
      </c>
      <c r="B9">
        <v>122170.16999999994</v>
      </c>
      <c r="C9">
        <v>942045.12999999989</v>
      </c>
      <c r="D9">
        <v>-819874.96000000101</v>
      </c>
    </row>
    <row r="10" spans="1:8">
      <c r="A10" s="4" t="s">
        <v>4071</v>
      </c>
    </row>
    <row r="11" spans="1:8">
      <c r="A11" s="4" t="s">
        <v>4072</v>
      </c>
      <c r="B11">
        <v>763041.4600000002</v>
      </c>
      <c r="C11">
        <v>3736885.0200000005</v>
      </c>
      <c r="D11">
        <v>-2973843.56</v>
      </c>
    </row>
  </sheetData>
  <pageMargins left="0.7" right="0.7" top="0.75" bottom="0.75" header="0.3" footer="0.3"/>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33BF7-15AB-4BCF-A50B-654E4A2F6979}">
  <dimension ref="A1:S2001"/>
  <sheetViews>
    <sheetView zoomScale="78" workbookViewId="0">
      <selection sqref="A1:XFD1048576"/>
    </sheetView>
  </sheetViews>
  <sheetFormatPr defaultRowHeight="15"/>
  <cols>
    <col min="16" max="16" width="11.85546875" customWidth="1"/>
  </cols>
  <sheetData>
    <row r="1" spans="1:19">
      <c r="A1" s="1" t="s">
        <v>0</v>
      </c>
      <c r="B1" s="1" t="s">
        <v>1</v>
      </c>
      <c r="C1" s="1" t="s">
        <v>2</v>
      </c>
      <c r="D1" s="1" t="s">
        <v>3</v>
      </c>
      <c r="E1" s="1" t="s">
        <v>4</v>
      </c>
      <c r="F1" s="1" t="s">
        <v>5</v>
      </c>
      <c r="G1" s="1" t="s">
        <v>6</v>
      </c>
      <c r="H1" s="1" t="s">
        <v>7</v>
      </c>
      <c r="I1" s="1" t="s">
        <v>8</v>
      </c>
      <c r="J1" s="1" t="s">
        <v>9</v>
      </c>
      <c r="K1" s="1" t="s">
        <v>10</v>
      </c>
      <c r="L1" s="1" t="s">
        <v>11</v>
      </c>
      <c r="M1" s="1" t="s">
        <v>4065</v>
      </c>
      <c r="N1" s="5" t="s">
        <v>4093</v>
      </c>
      <c r="O1" s="5" t="s">
        <v>4103</v>
      </c>
      <c r="P1" s="5" t="s">
        <v>4105</v>
      </c>
      <c r="Q1" s="5" t="s">
        <v>4110</v>
      </c>
      <c r="R1" s="5"/>
      <c r="S1" s="5"/>
    </row>
    <row r="2" spans="1:19">
      <c r="A2" t="s">
        <v>12</v>
      </c>
      <c r="B2" s="2">
        <v>45417</v>
      </c>
      <c r="C2">
        <v>4000</v>
      </c>
      <c r="D2" t="s">
        <v>2012</v>
      </c>
      <c r="E2">
        <v>0</v>
      </c>
      <c r="F2">
        <v>2505.15</v>
      </c>
      <c r="G2" t="s">
        <v>2017</v>
      </c>
      <c r="H2" t="s">
        <v>2023</v>
      </c>
      <c r="I2" t="s">
        <v>2028</v>
      </c>
      <c r="J2" t="s">
        <v>4028</v>
      </c>
      <c r="K2" t="s">
        <v>4033</v>
      </c>
      <c r="L2">
        <v>2505.15</v>
      </c>
      <c r="M2">
        <v>41215.19</v>
      </c>
      <c r="N2">
        <f>L:L-M:M</f>
        <v>-38710.04</v>
      </c>
      <c r="O2">
        <v>-0.93921779809822536</v>
      </c>
      <c r="P2" t="str">
        <f>IF(AND(ABS(N:N)&gt;10000,M:M&lt;&gt;0),"Material", " ")</f>
        <v>Material</v>
      </c>
      <c r="Q2" t="str">
        <f>IF(N:N&gt;0,"Favorable","Unfavorable")</f>
        <v>Unfavorable</v>
      </c>
    </row>
    <row r="3" spans="1:19">
      <c r="A3" t="s">
        <v>13</v>
      </c>
      <c r="B3" s="2">
        <v>45466</v>
      </c>
      <c r="C3">
        <v>5000</v>
      </c>
      <c r="D3" t="s">
        <v>2013</v>
      </c>
      <c r="E3">
        <v>1184.73</v>
      </c>
      <c r="F3">
        <v>0</v>
      </c>
      <c r="G3" t="s">
        <v>2018</v>
      </c>
      <c r="H3" t="s">
        <v>2023</v>
      </c>
      <c r="I3" t="s">
        <v>2029</v>
      </c>
      <c r="J3" t="s">
        <v>4028</v>
      </c>
      <c r="K3" t="s">
        <v>4034</v>
      </c>
      <c r="L3">
        <v>-1184.73</v>
      </c>
      <c r="M3">
        <v>79918.89</v>
      </c>
      <c r="N3">
        <f t="shared" ref="N3:N66" si="0">L:L-M:M</f>
        <v>-81103.62</v>
      </c>
      <c r="O3">
        <v>-1.0148241548399883</v>
      </c>
      <c r="P3" t="str">
        <f t="shared" ref="P3:P66" si="1">IF(AND(ABS(N:N)&gt;10000,M:M&lt;&gt;0),"Material", " ")</f>
        <v>Material</v>
      </c>
      <c r="Q3" t="str">
        <f t="shared" ref="Q3:Q66" si="2">IF(N:N&gt;0,"Favorable","Unfavorable")</f>
        <v>Unfavorable</v>
      </c>
    </row>
    <row r="4" spans="1:19">
      <c r="A4" t="s">
        <v>14</v>
      </c>
      <c r="B4" s="2">
        <v>45666</v>
      </c>
      <c r="C4">
        <v>5000</v>
      </c>
      <c r="D4" t="s">
        <v>2013</v>
      </c>
      <c r="E4">
        <v>748.25</v>
      </c>
      <c r="F4">
        <v>0</v>
      </c>
      <c r="G4" t="s">
        <v>2019</v>
      </c>
      <c r="H4" t="s">
        <v>2024</v>
      </c>
      <c r="I4" t="s">
        <v>2030</v>
      </c>
      <c r="J4" t="s">
        <v>4029</v>
      </c>
      <c r="K4" t="s">
        <v>4035</v>
      </c>
      <c r="L4">
        <v>-748.25</v>
      </c>
      <c r="M4">
        <v>92014.18</v>
      </c>
      <c r="N4">
        <f t="shared" si="0"/>
        <v>-92762.43</v>
      </c>
      <c r="O4">
        <v>-1.0081318988008152</v>
      </c>
      <c r="P4" t="str">
        <f t="shared" si="1"/>
        <v>Material</v>
      </c>
      <c r="Q4" t="str">
        <f t="shared" si="2"/>
        <v>Unfavorable</v>
      </c>
    </row>
    <row r="5" spans="1:19">
      <c r="A5" t="s">
        <v>15</v>
      </c>
      <c r="B5" s="2">
        <v>45199</v>
      </c>
      <c r="C5">
        <v>6000</v>
      </c>
      <c r="D5" t="s">
        <v>2014</v>
      </c>
      <c r="E5">
        <v>1610.64</v>
      </c>
      <c r="F5">
        <v>0</v>
      </c>
      <c r="G5" t="s">
        <v>2017</v>
      </c>
      <c r="H5" t="s">
        <v>2025</v>
      </c>
      <c r="I5" t="s">
        <v>2031</v>
      </c>
      <c r="J5" t="s">
        <v>4030</v>
      </c>
      <c r="K5" t="s">
        <v>4036</v>
      </c>
      <c r="L5">
        <v>-1610.64</v>
      </c>
      <c r="M5">
        <v>117680.6</v>
      </c>
      <c r="N5">
        <f t="shared" si="0"/>
        <v>-119291.24</v>
      </c>
      <c r="O5">
        <v>-1.0136865379680253</v>
      </c>
      <c r="P5" t="str">
        <f t="shared" si="1"/>
        <v>Material</v>
      </c>
      <c r="Q5" t="str">
        <f t="shared" si="2"/>
        <v>Unfavorable</v>
      </c>
    </row>
    <row r="6" spans="1:19">
      <c r="A6" t="s">
        <v>16</v>
      </c>
      <c r="B6" s="2">
        <v>45141</v>
      </c>
      <c r="C6">
        <v>5000</v>
      </c>
      <c r="D6" t="s">
        <v>2013</v>
      </c>
      <c r="E6">
        <v>1053.1199999999999</v>
      </c>
      <c r="F6">
        <v>0</v>
      </c>
      <c r="G6" t="s">
        <v>2018</v>
      </c>
      <c r="H6" t="s">
        <v>2025</v>
      </c>
      <c r="I6" t="s">
        <v>2032</v>
      </c>
      <c r="J6" t="s">
        <v>4031</v>
      </c>
      <c r="K6" t="s">
        <v>4037</v>
      </c>
      <c r="L6">
        <v>-1053.1199999999999</v>
      </c>
      <c r="M6">
        <v>32925.71</v>
      </c>
      <c r="N6">
        <f t="shared" si="0"/>
        <v>-33978.83</v>
      </c>
      <c r="O6">
        <v>-1.0319847316883979</v>
      </c>
      <c r="P6" t="str">
        <f t="shared" si="1"/>
        <v>Material</v>
      </c>
      <c r="Q6" t="str">
        <f t="shared" si="2"/>
        <v>Unfavorable</v>
      </c>
    </row>
    <row r="7" spans="1:19">
      <c r="A7" t="s">
        <v>17</v>
      </c>
      <c r="B7" s="2">
        <v>45788</v>
      </c>
      <c r="C7">
        <v>6000</v>
      </c>
      <c r="D7" t="s">
        <v>2014</v>
      </c>
      <c r="E7">
        <v>1653.64</v>
      </c>
      <c r="F7">
        <v>0</v>
      </c>
      <c r="G7" t="s">
        <v>2020</v>
      </c>
      <c r="H7" t="s">
        <v>2025</v>
      </c>
      <c r="I7" t="s">
        <v>2033</v>
      </c>
      <c r="J7" t="s">
        <v>4031</v>
      </c>
      <c r="K7" t="s">
        <v>4038</v>
      </c>
      <c r="L7">
        <v>-1653.64</v>
      </c>
      <c r="M7">
        <v>75074.820000000007</v>
      </c>
      <c r="N7">
        <f t="shared" si="0"/>
        <v>-76728.460000000006</v>
      </c>
      <c r="O7">
        <v>-1.0220265596374389</v>
      </c>
      <c r="P7" t="str">
        <f t="shared" si="1"/>
        <v>Material</v>
      </c>
      <c r="Q7" t="str">
        <f t="shared" si="2"/>
        <v>Unfavorable</v>
      </c>
    </row>
    <row r="8" spans="1:19">
      <c r="A8" t="s">
        <v>18</v>
      </c>
      <c r="B8" s="2">
        <v>45142</v>
      </c>
      <c r="C8">
        <v>5010</v>
      </c>
      <c r="D8" t="s">
        <v>2015</v>
      </c>
      <c r="E8">
        <v>899.55</v>
      </c>
      <c r="F8">
        <v>0</v>
      </c>
      <c r="G8" t="s">
        <v>2018</v>
      </c>
      <c r="H8" t="s">
        <v>2026</v>
      </c>
      <c r="I8" t="s">
        <v>2034</v>
      </c>
      <c r="J8" t="s">
        <v>4031</v>
      </c>
      <c r="K8" t="s">
        <v>4037</v>
      </c>
      <c r="L8">
        <v>-899.55</v>
      </c>
      <c r="M8">
        <v>42503.06</v>
      </c>
      <c r="N8">
        <f t="shared" si="0"/>
        <v>-43402.61</v>
      </c>
      <c r="O8">
        <v>-1.0211643585191279</v>
      </c>
      <c r="P8" t="str">
        <f t="shared" si="1"/>
        <v>Material</v>
      </c>
      <c r="Q8" t="str">
        <f t="shared" si="2"/>
        <v>Unfavorable</v>
      </c>
    </row>
    <row r="9" spans="1:19">
      <c r="A9" t="s">
        <v>19</v>
      </c>
      <c r="B9" s="2">
        <v>45282</v>
      </c>
      <c r="C9">
        <v>6000</v>
      </c>
      <c r="D9" t="s">
        <v>2014</v>
      </c>
      <c r="E9">
        <v>247.27</v>
      </c>
      <c r="F9">
        <v>0</v>
      </c>
      <c r="G9" t="s">
        <v>2020</v>
      </c>
      <c r="H9" t="s">
        <v>2023</v>
      </c>
      <c r="I9" t="s">
        <v>2035</v>
      </c>
      <c r="J9" t="s">
        <v>4031</v>
      </c>
      <c r="K9" t="s">
        <v>4039</v>
      </c>
      <c r="L9">
        <v>-247.27</v>
      </c>
      <c r="M9">
        <v>31047.85</v>
      </c>
      <c r="N9">
        <f t="shared" si="0"/>
        <v>-31295.119999999999</v>
      </c>
      <c r="O9">
        <v>-1.0079641585488206</v>
      </c>
      <c r="P9" t="str">
        <f t="shared" si="1"/>
        <v>Material</v>
      </c>
      <c r="Q9" t="str">
        <f t="shared" si="2"/>
        <v>Unfavorable</v>
      </c>
    </row>
    <row r="10" spans="1:19">
      <c r="A10" t="s">
        <v>20</v>
      </c>
      <c r="B10" s="2">
        <v>45412</v>
      </c>
      <c r="C10">
        <v>5000</v>
      </c>
      <c r="D10" t="s">
        <v>2013</v>
      </c>
      <c r="E10">
        <v>202.02</v>
      </c>
      <c r="F10">
        <v>0</v>
      </c>
      <c r="G10" t="s">
        <v>2021</v>
      </c>
      <c r="H10" t="s">
        <v>2024</v>
      </c>
      <c r="I10" t="s">
        <v>2036</v>
      </c>
      <c r="J10" t="s">
        <v>4028</v>
      </c>
      <c r="K10" t="s">
        <v>4040</v>
      </c>
      <c r="L10">
        <v>-202.02</v>
      </c>
      <c r="M10">
        <v>26040.63</v>
      </c>
      <c r="N10">
        <f t="shared" si="0"/>
        <v>-26242.65</v>
      </c>
      <c r="O10">
        <v>-1.0077578768255606</v>
      </c>
      <c r="P10" t="str">
        <f t="shared" si="1"/>
        <v>Material</v>
      </c>
      <c r="Q10" t="str">
        <f t="shared" si="2"/>
        <v>Unfavorable</v>
      </c>
    </row>
    <row r="11" spans="1:19">
      <c r="A11" t="s">
        <v>21</v>
      </c>
      <c r="B11" s="2">
        <v>45029</v>
      </c>
      <c r="C11">
        <v>5000</v>
      </c>
      <c r="D11" t="s">
        <v>2013</v>
      </c>
      <c r="E11">
        <v>1093.72</v>
      </c>
      <c r="F11">
        <v>0</v>
      </c>
      <c r="G11" t="s">
        <v>2018</v>
      </c>
      <c r="H11" t="s">
        <v>2025</v>
      </c>
      <c r="I11" t="s">
        <v>2037</v>
      </c>
      <c r="J11" t="s">
        <v>4031</v>
      </c>
      <c r="K11" t="s">
        <v>4041</v>
      </c>
      <c r="L11">
        <v>-1093.72</v>
      </c>
      <c r="M11">
        <v>125902.24</v>
      </c>
      <c r="N11">
        <f t="shared" si="0"/>
        <v>-126995.96</v>
      </c>
      <c r="O11">
        <v>-1.0086870575138298</v>
      </c>
      <c r="P11" t="str">
        <f t="shared" si="1"/>
        <v>Material</v>
      </c>
      <c r="Q11" t="str">
        <f t="shared" si="2"/>
        <v>Unfavorable</v>
      </c>
    </row>
    <row r="12" spans="1:19">
      <c r="A12" t="s">
        <v>22</v>
      </c>
      <c r="B12" s="2">
        <v>45250</v>
      </c>
      <c r="C12">
        <v>4010</v>
      </c>
      <c r="D12" t="s">
        <v>2016</v>
      </c>
      <c r="E12">
        <v>0</v>
      </c>
      <c r="F12">
        <v>3282.35</v>
      </c>
      <c r="G12" t="s">
        <v>2020</v>
      </c>
      <c r="H12" t="s">
        <v>2027</v>
      </c>
      <c r="I12" t="s">
        <v>2038</v>
      </c>
      <c r="J12" t="s">
        <v>4032</v>
      </c>
      <c r="K12" t="s">
        <v>4042</v>
      </c>
      <c r="L12">
        <v>3282.35</v>
      </c>
      <c r="M12">
        <v>100055.73</v>
      </c>
      <c r="N12">
        <f t="shared" si="0"/>
        <v>-96773.37999999999</v>
      </c>
      <c r="O12">
        <v>-0.96719478234779754</v>
      </c>
      <c r="P12" t="str">
        <f t="shared" si="1"/>
        <v>Material</v>
      </c>
      <c r="Q12" t="str">
        <f t="shared" si="2"/>
        <v>Unfavorable</v>
      </c>
    </row>
    <row r="13" spans="1:19">
      <c r="A13" t="s">
        <v>23</v>
      </c>
      <c r="B13" s="2">
        <v>45608</v>
      </c>
      <c r="C13">
        <v>4000</v>
      </c>
      <c r="D13" t="s">
        <v>2012</v>
      </c>
      <c r="E13">
        <v>0</v>
      </c>
      <c r="F13">
        <v>2452.1999999999998</v>
      </c>
      <c r="G13" t="s">
        <v>2020</v>
      </c>
      <c r="H13" t="s">
        <v>2026</v>
      </c>
      <c r="I13" t="s">
        <v>2039</v>
      </c>
      <c r="J13" t="s">
        <v>4029</v>
      </c>
      <c r="K13" t="s">
        <v>4043</v>
      </c>
      <c r="L13">
        <v>2452.1999999999998</v>
      </c>
      <c r="M13">
        <v>72786.960000000006</v>
      </c>
      <c r="N13">
        <f t="shared" si="0"/>
        <v>-70334.760000000009</v>
      </c>
      <c r="O13">
        <v>-0.96630989946550871</v>
      </c>
      <c r="P13" t="str">
        <f t="shared" si="1"/>
        <v>Material</v>
      </c>
      <c r="Q13" t="str">
        <f t="shared" si="2"/>
        <v>Unfavorable</v>
      </c>
    </row>
    <row r="14" spans="1:19">
      <c r="A14" t="s">
        <v>24</v>
      </c>
      <c r="B14" s="2">
        <v>45437</v>
      </c>
      <c r="C14">
        <v>4000</v>
      </c>
      <c r="D14" t="s">
        <v>2012</v>
      </c>
      <c r="E14">
        <v>0</v>
      </c>
      <c r="F14">
        <v>3490.39</v>
      </c>
      <c r="G14" t="s">
        <v>2020</v>
      </c>
      <c r="H14" t="s">
        <v>2023</v>
      </c>
      <c r="I14" t="s">
        <v>2040</v>
      </c>
      <c r="J14" t="s">
        <v>4032</v>
      </c>
      <c r="K14" t="s">
        <v>4033</v>
      </c>
      <c r="L14">
        <v>3490.39</v>
      </c>
      <c r="M14">
        <v>93664.65</v>
      </c>
      <c r="N14">
        <f t="shared" si="0"/>
        <v>-90174.26</v>
      </c>
      <c r="O14">
        <v>-0.96273524750265971</v>
      </c>
      <c r="P14" t="str">
        <f t="shared" si="1"/>
        <v>Material</v>
      </c>
      <c r="Q14" t="str">
        <f t="shared" si="2"/>
        <v>Unfavorable</v>
      </c>
    </row>
    <row r="15" spans="1:19">
      <c r="A15" t="s">
        <v>25</v>
      </c>
      <c r="B15" s="2">
        <v>45344</v>
      </c>
      <c r="C15">
        <v>4000</v>
      </c>
      <c r="D15" t="s">
        <v>2012</v>
      </c>
      <c r="E15">
        <v>0</v>
      </c>
      <c r="F15">
        <v>3379.63</v>
      </c>
      <c r="G15" t="s">
        <v>2017</v>
      </c>
      <c r="H15" t="s">
        <v>2027</v>
      </c>
      <c r="I15" t="s">
        <v>2041</v>
      </c>
      <c r="J15" t="s">
        <v>4032</v>
      </c>
      <c r="K15" t="s">
        <v>4044</v>
      </c>
      <c r="L15">
        <v>3379.63</v>
      </c>
      <c r="M15">
        <v>115140.75</v>
      </c>
      <c r="N15">
        <f t="shared" si="0"/>
        <v>-111761.12</v>
      </c>
      <c r="O15">
        <v>-0.97064783753796979</v>
      </c>
      <c r="P15" t="str">
        <f t="shared" si="1"/>
        <v>Material</v>
      </c>
      <c r="Q15" t="str">
        <f t="shared" si="2"/>
        <v>Unfavorable</v>
      </c>
    </row>
    <row r="16" spans="1:19">
      <c r="A16" t="s">
        <v>26</v>
      </c>
      <c r="B16" s="2">
        <v>45776</v>
      </c>
      <c r="C16">
        <v>4010</v>
      </c>
      <c r="D16" t="s">
        <v>2016</v>
      </c>
      <c r="E16">
        <v>0</v>
      </c>
      <c r="F16">
        <v>1490.43</v>
      </c>
      <c r="G16" t="s">
        <v>2017</v>
      </c>
      <c r="H16" t="s">
        <v>2025</v>
      </c>
      <c r="I16" t="s">
        <v>2042</v>
      </c>
      <c r="J16" t="s">
        <v>4028</v>
      </c>
      <c r="K16" t="s">
        <v>4045</v>
      </c>
      <c r="L16">
        <v>1490.43</v>
      </c>
      <c r="M16">
        <v>73898.42</v>
      </c>
      <c r="N16">
        <f t="shared" si="0"/>
        <v>-72407.990000000005</v>
      </c>
      <c r="O16">
        <v>-0.97983136851911057</v>
      </c>
      <c r="P16" t="str">
        <f t="shared" si="1"/>
        <v>Material</v>
      </c>
      <c r="Q16" t="str">
        <f t="shared" si="2"/>
        <v>Unfavorable</v>
      </c>
    </row>
    <row r="17" spans="1:17">
      <c r="A17" t="s">
        <v>27</v>
      </c>
      <c r="B17" s="2">
        <v>45018</v>
      </c>
      <c r="C17">
        <v>5000</v>
      </c>
      <c r="D17" t="s">
        <v>2013</v>
      </c>
      <c r="E17">
        <v>1119.05</v>
      </c>
      <c r="F17">
        <v>0</v>
      </c>
      <c r="G17" t="s">
        <v>2018</v>
      </c>
      <c r="H17" t="s">
        <v>2027</v>
      </c>
      <c r="I17" t="s">
        <v>2043</v>
      </c>
      <c r="J17" t="s">
        <v>4030</v>
      </c>
      <c r="K17" t="s">
        <v>4041</v>
      </c>
      <c r="L17">
        <v>-1119.05</v>
      </c>
      <c r="M17">
        <v>46637.67</v>
      </c>
      <c r="N17">
        <f t="shared" si="0"/>
        <v>-47756.72</v>
      </c>
      <c r="O17">
        <v>-1.0239945520434448</v>
      </c>
      <c r="P17" t="str">
        <f t="shared" si="1"/>
        <v>Material</v>
      </c>
      <c r="Q17" t="str">
        <f t="shared" si="2"/>
        <v>Unfavorable</v>
      </c>
    </row>
    <row r="18" spans="1:17">
      <c r="A18" t="s">
        <v>28</v>
      </c>
      <c r="B18" s="2">
        <v>45722</v>
      </c>
      <c r="C18">
        <v>4010</v>
      </c>
      <c r="D18" t="s">
        <v>2016</v>
      </c>
      <c r="E18">
        <v>0</v>
      </c>
      <c r="F18">
        <v>4006.73</v>
      </c>
      <c r="G18" t="s">
        <v>2017</v>
      </c>
      <c r="H18" t="s">
        <v>2026</v>
      </c>
      <c r="I18" t="s">
        <v>2044</v>
      </c>
      <c r="J18" t="s">
        <v>4029</v>
      </c>
      <c r="K18" t="s">
        <v>4046</v>
      </c>
      <c r="L18">
        <v>4006.73</v>
      </c>
      <c r="M18">
        <v>44332.15</v>
      </c>
      <c r="N18">
        <f t="shared" si="0"/>
        <v>-40325.42</v>
      </c>
      <c r="O18">
        <v>-0.90962021918630154</v>
      </c>
      <c r="P18" t="str">
        <f t="shared" si="1"/>
        <v>Material</v>
      </c>
      <c r="Q18" t="str">
        <f t="shared" si="2"/>
        <v>Unfavorable</v>
      </c>
    </row>
    <row r="19" spans="1:17">
      <c r="A19" t="s">
        <v>29</v>
      </c>
      <c r="B19" s="2">
        <v>45605</v>
      </c>
      <c r="C19">
        <v>4000</v>
      </c>
      <c r="D19" t="s">
        <v>2012</v>
      </c>
      <c r="E19">
        <v>0</v>
      </c>
      <c r="F19">
        <v>259.83999999999997</v>
      </c>
      <c r="G19" t="s">
        <v>2022</v>
      </c>
      <c r="H19" t="s">
        <v>2027</v>
      </c>
      <c r="I19" t="s">
        <v>2045</v>
      </c>
      <c r="J19" t="s">
        <v>4030</v>
      </c>
      <c r="K19" t="s">
        <v>4043</v>
      </c>
      <c r="L19">
        <v>259.83999999999997</v>
      </c>
      <c r="M19">
        <v>112743.3</v>
      </c>
      <c r="N19">
        <f t="shared" si="0"/>
        <v>-112483.46</v>
      </c>
      <c r="O19">
        <v>-0.99769529541888524</v>
      </c>
      <c r="P19" t="str">
        <f t="shared" si="1"/>
        <v>Material</v>
      </c>
      <c r="Q19" t="str">
        <f t="shared" si="2"/>
        <v>Unfavorable</v>
      </c>
    </row>
    <row r="20" spans="1:17">
      <c r="A20" t="s">
        <v>30</v>
      </c>
      <c r="B20" s="2">
        <v>44953</v>
      </c>
      <c r="C20">
        <v>5010</v>
      </c>
      <c r="D20" t="s">
        <v>2015</v>
      </c>
      <c r="E20">
        <v>735.45</v>
      </c>
      <c r="F20">
        <v>0</v>
      </c>
      <c r="G20" t="s">
        <v>2019</v>
      </c>
      <c r="H20" t="s">
        <v>2027</v>
      </c>
      <c r="I20" t="s">
        <v>2046</v>
      </c>
      <c r="J20" t="s">
        <v>4032</v>
      </c>
      <c r="K20" t="s">
        <v>4047</v>
      </c>
      <c r="L20">
        <v>-735.45</v>
      </c>
      <c r="M20">
        <v>141475.81</v>
      </c>
      <c r="N20">
        <f t="shared" si="0"/>
        <v>-142211.26</v>
      </c>
      <c r="O20">
        <v>-1.0051984151919682</v>
      </c>
      <c r="P20" t="str">
        <f t="shared" si="1"/>
        <v>Material</v>
      </c>
      <c r="Q20" t="str">
        <f t="shared" si="2"/>
        <v>Unfavorable</v>
      </c>
    </row>
    <row r="21" spans="1:17">
      <c r="A21" t="s">
        <v>31</v>
      </c>
      <c r="B21" s="2">
        <v>45537</v>
      </c>
      <c r="C21">
        <v>5000</v>
      </c>
      <c r="D21" t="s">
        <v>2013</v>
      </c>
      <c r="E21">
        <v>154.43</v>
      </c>
      <c r="F21">
        <v>0</v>
      </c>
      <c r="G21" t="s">
        <v>2022</v>
      </c>
      <c r="H21" t="s">
        <v>2024</v>
      </c>
      <c r="I21" t="s">
        <v>2047</v>
      </c>
      <c r="J21" t="s">
        <v>4032</v>
      </c>
      <c r="K21" t="s">
        <v>4048</v>
      </c>
      <c r="L21">
        <v>-154.43</v>
      </c>
      <c r="M21">
        <v>102519.44</v>
      </c>
      <c r="N21">
        <f t="shared" si="0"/>
        <v>-102673.87</v>
      </c>
      <c r="O21">
        <v>-1.0015063484544979</v>
      </c>
      <c r="P21" t="str">
        <f t="shared" si="1"/>
        <v>Material</v>
      </c>
      <c r="Q21" t="str">
        <f t="shared" si="2"/>
        <v>Unfavorable</v>
      </c>
    </row>
    <row r="22" spans="1:17">
      <c r="A22" t="s">
        <v>32</v>
      </c>
      <c r="B22" s="2">
        <v>45379</v>
      </c>
      <c r="C22">
        <v>6000</v>
      </c>
      <c r="D22" t="s">
        <v>2014</v>
      </c>
      <c r="E22">
        <v>359.1</v>
      </c>
      <c r="F22">
        <v>0</v>
      </c>
      <c r="G22" t="s">
        <v>2019</v>
      </c>
      <c r="H22" t="s">
        <v>2024</v>
      </c>
      <c r="I22" t="s">
        <v>2048</v>
      </c>
      <c r="J22" t="s">
        <v>4032</v>
      </c>
      <c r="K22" t="s">
        <v>4049</v>
      </c>
      <c r="L22">
        <v>-359.1</v>
      </c>
      <c r="M22">
        <v>100318.84</v>
      </c>
      <c r="N22">
        <f t="shared" si="0"/>
        <v>-100677.94</v>
      </c>
      <c r="O22">
        <v>-1.0035795868453026</v>
      </c>
      <c r="P22" t="str">
        <f t="shared" si="1"/>
        <v>Material</v>
      </c>
      <c r="Q22" t="str">
        <f t="shared" si="2"/>
        <v>Unfavorable</v>
      </c>
    </row>
    <row r="23" spans="1:17">
      <c r="A23" t="s">
        <v>33</v>
      </c>
      <c r="B23" s="2">
        <v>45108</v>
      </c>
      <c r="C23">
        <v>4010</v>
      </c>
      <c r="D23" t="s">
        <v>2016</v>
      </c>
      <c r="E23">
        <v>0</v>
      </c>
      <c r="F23">
        <v>1632.86</v>
      </c>
      <c r="G23" t="s">
        <v>2019</v>
      </c>
      <c r="H23" t="s">
        <v>2023</v>
      </c>
      <c r="I23" t="s">
        <v>2049</v>
      </c>
      <c r="J23" t="s">
        <v>4032</v>
      </c>
      <c r="K23" t="s">
        <v>4050</v>
      </c>
      <c r="L23">
        <v>1632.86</v>
      </c>
      <c r="M23">
        <v>51361.43</v>
      </c>
      <c r="N23">
        <f t="shared" si="0"/>
        <v>-49728.57</v>
      </c>
      <c r="O23">
        <v>-0.96820843967934689</v>
      </c>
      <c r="P23" t="str">
        <f t="shared" si="1"/>
        <v>Material</v>
      </c>
      <c r="Q23" t="str">
        <f t="shared" si="2"/>
        <v>Unfavorable</v>
      </c>
    </row>
    <row r="24" spans="1:17">
      <c r="A24" t="s">
        <v>34</v>
      </c>
      <c r="B24" s="2">
        <v>45441</v>
      </c>
      <c r="C24">
        <v>5000</v>
      </c>
      <c r="D24" t="s">
        <v>2013</v>
      </c>
      <c r="E24">
        <v>319.7</v>
      </c>
      <c r="F24">
        <v>0</v>
      </c>
      <c r="G24" t="s">
        <v>2019</v>
      </c>
      <c r="H24" t="s">
        <v>2023</v>
      </c>
      <c r="I24" t="s">
        <v>2050</v>
      </c>
      <c r="J24" t="s">
        <v>4031</v>
      </c>
      <c r="K24" t="s">
        <v>4033</v>
      </c>
      <c r="L24">
        <v>-319.7</v>
      </c>
      <c r="M24">
        <v>29263.69</v>
      </c>
      <c r="N24">
        <f t="shared" si="0"/>
        <v>-29583.39</v>
      </c>
      <c r="O24">
        <v>-1.0109248013493857</v>
      </c>
      <c r="P24" t="str">
        <f t="shared" si="1"/>
        <v>Material</v>
      </c>
      <c r="Q24" t="str">
        <f t="shared" si="2"/>
        <v>Unfavorable</v>
      </c>
    </row>
    <row r="25" spans="1:17">
      <c r="A25" t="s">
        <v>35</v>
      </c>
      <c r="B25" s="2">
        <v>45007</v>
      </c>
      <c r="C25">
        <v>5000</v>
      </c>
      <c r="D25" t="s">
        <v>2013</v>
      </c>
      <c r="E25">
        <v>546.02</v>
      </c>
      <c r="F25">
        <v>0</v>
      </c>
      <c r="G25" t="s">
        <v>2019</v>
      </c>
      <c r="H25" t="s">
        <v>2026</v>
      </c>
      <c r="I25" t="s">
        <v>2051</v>
      </c>
      <c r="J25" t="s">
        <v>4032</v>
      </c>
      <c r="K25" t="s">
        <v>4051</v>
      </c>
      <c r="L25">
        <v>-546.02</v>
      </c>
      <c r="M25">
        <v>146937.60999999999</v>
      </c>
      <c r="N25">
        <f t="shared" si="0"/>
        <v>-147483.62999999998</v>
      </c>
      <c r="O25">
        <v>-1.0037159989195414</v>
      </c>
      <c r="P25" t="str">
        <f t="shared" si="1"/>
        <v>Material</v>
      </c>
      <c r="Q25" t="str">
        <f t="shared" si="2"/>
        <v>Unfavorable</v>
      </c>
    </row>
    <row r="26" spans="1:17">
      <c r="A26" t="s">
        <v>36</v>
      </c>
      <c r="B26" s="2">
        <v>45025</v>
      </c>
      <c r="C26">
        <v>5010</v>
      </c>
      <c r="D26" t="s">
        <v>2015</v>
      </c>
      <c r="E26">
        <v>267.04000000000002</v>
      </c>
      <c r="F26">
        <v>0</v>
      </c>
      <c r="G26" t="s">
        <v>2018</v>
      </c>
      <c r="H26" t="s">
        <v>2026</v>
      </c>
      <c r="I26" t="s">
        <v>2052</v>
      </c>
      <c r="J26" t="s">
        <v>4030</v>
      </c>
      <c r="K26" t="s">
        <v>4041</v>
      </c>
      <c r="L26">
        <v>-267.04000000000002</v>
      </c>
      <c r="M26">
        <v>70700.52</v>
      </c>
      <c r="N26">
        <f t="shared" si="0"/>
        <v>-70967.56</v>
      </c>
      <c r="O26">
        <v>-1.003777058499711</v>
      </c>
      <c r="P26" t="str">
        <f t="shared" si="1"/>
        <v>Material</v>
      </c>
      <c r="Q26" t="str">
        <f t="shared" si="2"/>
        <v>Unfavorable</v>
      </c>
    </row>
    <row r="27" spans="1:17">
      <c r="A27" t="s">
        <v>37</v>
      </c>
      <c r="B27" s="2">
        <v>45802</v>
      </c>
      <c r="C27">
        <v>4000</v>
      </c>
      <c r="D27" t="s">
        <v>2012</v>
      </c>
      <c r="E27">
        <v>0</v>
      </c>
      <c r="F27">
        <v>1650.08</v>
      </c>
      <c r="G27" t="s">
        <v>2019</v>
      </c>
      <c r="H27" t="s">
        <v>2026</v>
      </c>
      <c r="I27" t="s">
        <v>2053</v>
      </c>
      <c r="J27" t="s">
        <v>4031</v>
      </c>
      <c r="K27" t="s">
        <v>4038</v>
      </c>
      <c r="L27">
        <v>1650.08</v>
      </c>
      <c r="M27">
        <v>61495.92</v>
      </c>
      <c r="N27">
        <f t="shared" si="0"/>
        <v>-59845.84</v>
      </c>
      <c r="O27">
        <v>-0.97316765079699596</v>
      </c>
      <c r="P27" t="str">
        <f t="shared" si="1"/>
        <v>Material</v>
      </c>
      <c r="Q27" t="str">
        <f t="shared" si="2"/>
        <v>Unfavorable</v>
      </c>
    </row>
    <row r="28" spans="1:17">
      <c r="A28" t="s">
        <v>38</v>
      </c>
      <c r="B28" s="2">
        <v>45610</v>
      </c>
      <c r="C28">
        <v>5000</v>
      </c>
      <c r="D28" t="s">
        <v>2013</v>
      </c>
      <c r="E28">
        <v>115</v>
      </c>
      <c r="F28">
        <v>0</v>
      </c>
      <c r="G28" t="s">
        <v>2017</v>
      </c>
      <c r="H28" t="s">
        <v>2027</v>
      </c>
      <c r="I28" t="s">
        <v>2054</v>
      </c>
      <c r="J28" t="s">
        <v>4030</v>
      </c>
      <c r="K28" t="s">
        <v>4043</v>
      </c>
      <c r="L28">
        <v>-115</v>
      </c>
      <c r="M28">
        <v>55254.78</v>
      </c>
      <c r="N28">
        <f t="shared" si="0"/>
        <v>-55369.78</v>
      </c>
      <c r="O28">
        <v>-1.0020812679011661</v>
      </c>
      <c r="P28" t="str">
        <f t="shared" si="1"/>
        <v>Material</v>
      </c>
      <c r="Q28" t="str">
        <f t="shared" si="2"/>
        <v>Unfavorable</v>
      </c>
    </row>
    <row r="29" spans="1:17">
      <c r="A29" t="s">
        <v>39</v>
      </c>
      <c r="B29" s="2">
        <v>45820</v>
      </c>
      <c r="C29">
        <v>4010</v>
      </c>
      <c r="D29" t="s">
        <v>2016</v>
      </c>
      <c r="E29">
        <v>0</v>
      </c>
      <c r="F29">
        <v>1073.4100000000001</v>
      </c>
      <c r="G29" t="s">
        <v>2017</v>
      </c>
      <c r="H29" t="s">
        <v>2025</v>
      </c>
      <c r="I29" t="s">
        <v>2055</v>
      </c>
      <c r="J29" t="s">
        <v>4030</v>
      </c>
      <c r="K29" t="s">
        <v>4052</v>
      </c>
      <c r="L29">
        <v>1073.4100000000001</v>
      </c>
      <c r="M29">
        <v>124523.7</v>
      </c>
      <c r="N29">
        <f t="shared" si="0"/>
        <v>-123450.29</v>
      </c>
      <c r="O29">
        <v>-0.99137987387139959</v>
      </c>
      <c r="P29" t="str">
        <f t="shared" si="1"/>
        <v>Material</v>
      </c>
      <c r="Q29" t="str">
        <f t="shared" si="2"/>
        <v>Unfavorable</v>
      </c>
    </row>
    <row r="30" spans="1:17">
      <c r="A30" t="s">
        <v>40</v>
      </c>
      <c r="B30" s="2">
        <v>45735</v>
      </c>
      <c r="C30">
        <v>4010</v>
      </c>
      <c r="D30" t="s">
        <v>2016</v>
      </c>
      <c r="E30">
        <v>0</v>
      </c>
      <c r="F30">
        <v>3466</v>
      </c>
      <c r="G30" t="s">
        <v>2021</v>
      </c>
      <c r="H30" t="s">
        <v>2025</v>
      </c>
      <c r="I30" t="s">
        <v>2056</v>
      </c>
      <c r="J30" t="s">
        <v>4028</v>
      </c>
      <c r="K30" t="s">
        <v>4046</v>
      </c>
      <c r="L30">
        <v>3466</v>
      </c>
      <c r="M30">
        <v>81015.75</v>
      </c>
      <c r="N30">
        <f t="shared" si="0"/>
        <v>-77549.75</v>
      </c>
      <c r="O30">
        <v>-0.9572181952274712</v>
      </c>
      <c r="P30" t="str">
        <f t="shared" si="1"/>
        <v>Material</v>
      </c>
      <c r="Q30" t="str">
        <f t="shared" si="2"/>
        <v>Unfavorable</v>
      </c>
    </row>
    <row r="31" spans="1:17">
      <c r="A31" t="s">
        <v>41</v>
      </c>
      <c r="B31" s="2">
        <v>45377</v>
      </c>
      <c r="C31">
        <v>5010</v>
      </c>
      <c r="D31" t="s">
        <v>2015</v>
      </c>
      <c r="E31">
        <v>947.43</v>
      </c>
      <c r="F31">
        <v>0</v>
      </c>
      <c r="G31" t="s">
        <v>2017</v>
      </c>
      <c r="H31" t="s">
        <v>2024</v>
      </c>
      <c r="I31" t="s">
        <v>2057</v>
      </c>
      <c r="J31" t="s">
        <v>4032</v>
      </c>
      <c r="K31" t="s">
        <v>4049</v>
      </c>
      <c r="L31">
        <v>-947.43</v>
      </c>
      <c r="M31">
        <v>55099.41</v>
      </c>
      <c r="N31">
        <f t="shared" si="0"/>
        <v>-56046.840000000004</v>
      </c>
      <c r="O31">
        <v>-1.0171949209619486</v>
      </c>
      <c r="P31" t="str">
        <f t="shared" si="1"/>
        <v>Material</v>
      </c>
      <c r="Q31" t="str">
        <f t="shared" si="2"/>
        <v>Unfavorable</v>
      </c>
    </row>
    <row r="32" spans="1:17">
      <c r="A32" t="s">
        <v>42</v>
      </c>
      <c r="B32" s="2">
        <v>45298</v>
      </c>
      <c r="C32">
        <v>4010</v>
      </c>
      <c r="D32" t="s">
        <v>2016</v>
      </c>
      <c r="E32">
        <v>0</v>
      </c>
      <c r="F32">
        <v>4495.8900000000003</v>
      </c>
      <c r="G32" t="s">
        <v>2017</v>
      </c>
      <c r="H32" t="s">
        <v>2025</v>
      </c>
      <c r="I32" t="s">
        <v>2058</v>
      </c>
      <c r="J32" t="s">
        <v>4028</v>
      </c>
      <c r="K32" t="s">
        <v>4053</v>
      </c>
      <c r="L32">
        <v>4495.8900000000003</v>
      </c>
      <c r="M32">
        <v>120462.05</v>
      </c>
      <c r="N32">
        <f t="shared" si="0"/>
        <v>-115966.16</v>
      </c>
      <c r="O32">
        <v>-0.96267795542247536</v>
      </c>
      <c r="P32" t="str">
        <f t="shared" si="1"/>
        <v>Material</v>
      </c>
      <c r="Q32" t="str">
        <f t="shared" si="2"/>
        <v>Unfavorable</v>
      </c>
    </row>
    <row r="33" spans="1:17">
      <c r="A33" t="s">
        <v>43</v>
      </c>
      <c r="B33" s="2">
        <v>45416</v>
      </c>
      <c r="C33">
        <v>5000</v>
      </c>
      <c r="D33" t="s">
        <v>2013</v>
      </c>
      <c r="E33">
        <v>72.88</v>
      </c>
      <c r="F33">
        <v>0</v>
      </c>
      <c r="G33" t="s">
        <v>2017</v>
      </c>
      <c r="H33" t="s">
        <v>2023</v>
      </c>
      <c r="I33" t="s">
        <v>2059</v>
      </c>
      <c r="J33" t="s">
        <v>4032</v>
      </c>
      <c r="K33" t="s">
        <v>4033</v>
      </c>
      <c r="L33">
        <v>-72.88</v>
      </c>
      <c r="M33">
        <v>90267.18</v>
      </c>
      <c r="N33">
        <f t="shared" si="0"/>
        <v>-90340.06</v>
      </c>
      <c r="O33">
        <v>-1.000807380932915</v>
      </c>
      <c r="P33" t="str">
        <f t="shared" si="1"/>
        <v>Material</v>
      </c>
      <c r="Q33" t="str">
        <f t="shared" si="2"/>
        <v>Unfavorable</v>
      </c>
    </row>
    <row r="34" spans="1:17">
      <c r="A34" t="s">
        <v>44</v>
      </c>
      <c r="B34" s="2">
        <v>44941</v>
      </c>
      <c r="C34">
        <v>4010</v>
      </c>
      <c r="D34" t="s">
        <v>2016</v>
      </c>
      <c r="E34">
        <v>0</v>
      </c>
      <c r="F34">
        <v>867.61</v>
      </c>
      <c r="G34" t="s">
        <v>2019</v>
      </c>
      <c r="H34" t="s">
        <v>2023</v>
      </c>
      <c r="I34" t="s">
        <v>2060</v>
      </c>
      <c r="J34" t="s">
        <v>4030</v>
      </c>
      <c r="K34" t="s">
        <v>4047</v>
      </c>
      <c r="L34">
        <v>867.61</v>
      </c>
      <c r="M34">
        <v>116604.87</v>
      </c>
      <c r="N34">
        <f t="shared" si="0"/>
        <v>-115737.26</v>
      </c>
      <c r="O34">
        <v>-0.9925594016785062</v>
      </c>
      <c r="P34" t="str">
        <f t="shared" si="1"/>
        <v>Material</v>
      </c>
      <c r="Q34" t="str">
        <f t="shared" si="2"/>
        <v>Unfavorable</v>
      </c>
    </row>
    <row r="35" spans="1:17">
      <c r="A35" t="s">
        <v>45</v>
      </c>
      <c r="B35" s="2">
        <v>45247</v>
      </c>
      <c r="C35">
        <v>5010</v>
      </c>
      <c r="D35" t="s">
        <v>2015</v>
      </c>
      <c r="E35">
        <v>1416.83</v>
      </c>
      <c r="F35">
        <v>0</v>
      </c>
      <c r="G35" t="s">
        <v>2022</v>
      </c>
      <c r="H35" t="s">
        <v>2023</v>
      </c>
      <c r="I35" t="s">
        <v>2061</v>
      </c>
      <c r="J35" t="s">
        <v>4031</v>
      </c>
      <c r="K35" t="s">
        <v>4042</v>
      </c>
      <c r="L35">
        <v>-1416.83</v>
      </c>
      <c r="M35">
        <v>48595.51</v>
      </c>
      <c r="N35">
        <f t="shared" si="0"/>
        <v>-50012.340000000004</v>
      </c>
      <c r="O35">
        <v>-1.0291555742495553</v>
      </c>
      <c r="P35" t="str">
        <f t="shared" si="1"/>
        <v>Material</v>
      </c>
      <c r="Q35" t="str">
        <f t="shared" si="2"/>
        <v>Unfavorable</v>
      </c>
    </row>
    <row r="36" spans="1:17">
      <c r="A36" t="s">
        <v>46</v>
      </c>
      <c r="B36" s="2">
        <v>45501</v>
      </c>
      <c r="C36">
        <v>5010</v>
      </c>
      <c r="D36" t="s">
        <v>2015</v>
      </c>
      <c r="E36">
        <v>806.72</v>
      </c>
      <c r="F36">
        <v>0</v>
      </c>
      <c r="G36" t="s">
        <v>2017</v>
      </c>
      <c r="H36" t="s">
        <v>2027</v>
      </c>
      <c r="I36" t="s">
        <v>2062</v>
      </c>
      <c r="J36" t="s">
        <v>4030</v>
      </c>
      <c r="K36" t="s">
        <v>4054</v>
      </c>
      <c r="L36">
        <v>-806.72</v>
      </c>
      <c r="M36">
        <v>28599.200000000001</v>
      </c>
      <c r="N36">
        <f t="shared" si="0"/>
        <v>-29405.920000000002</v>
      </c>
      <c r="O36">
        <v>-1.0282077820358613</v>
      </c>
      <c r="P36" t="str">
        <f t="shared" si="1"/>
        <v>Material</v>
      </c>
      <c r="Q36" t="str">
        <f t="shared" si="2"/>
        <v>Unfavorable</v>
      </c>
    </row>
    <row r="37" spans="1:17">
      <c r="A37" t="s">
        <v>47</v>
      </c>
      <c r="B37" s="2">
        <v>45425</v>
      </c>
      <c r="C37">
        <v>4000</v>
      </c>
      <c r="D37" t="s">
        <v>2012</v>
      </c>
      <c r="E37">
        <v>0</v>
      </c>
      <c r="F37">
        <v>391.57</v>
      </c>
      <c r="G37" t="s">
        <v>2021</v>
      </c>
      <c r="H37" t="s">
        <v>2026</v>
      </c>
      <c r="I37" t="s">
        <v>2063</v>
      </c>
      <c r="J37" t="s">
        <v>4029</v>
      </c>
      <c r="K37" t="s">
        <v>4033</v>
      </c>
      <c r="L37">
        <v>391.57</v>
      </c>
      <c r="M37">
        <v>42077.120000000003</v>
      </c>
      <c r="N37">
        <f t="shared" si="0"/>
        <v>-41685.550000000003</v>
      </c>
      <c r="O37">
        <v>-0.9906939923644964</v>
      </c>
      <c r="P37" t="str">
        <f t="shared" si="1"/>
        <v>Material</v>
      </c>
      <c r="Q37" t="str">
        <f t="shared" si="2"/>
        <v>Unfavorable</v>
      </c>
    </row>
    <row r="38" spans="1:17">
      <c r="A38" t="s">
        <v>48</v>
      </c>
      <c r="B38" s="2">
        <v>45767</v>
      </c>
      <c r="C38">
        <v>5000</v>
      </c>
      <c r="D38" t="s">
        <v>2013</v>
      </c>
      <c r="E38">
        <v>248.09</v>
      </c>
      <c r="F38">
        <v>0</v>
      </c>
      <c r="G38" t="s">
        <v>2021</v>
      </c>
      <c r="H38" t="s">
        <v>2023</v>
      </c>
      <c r="I38" t="s">
        <v>2064</v>
      </c>
      <c r="J38" t="s">
        <v>4029</v>
      </c>
      <c r="K38" t="s">
        <v>4045</v>
      </c>
      <c r="L38">
        <v>-248.09</v>
      </c>
      <c r="M38">
        <v>89482.9</v>
      </c>
      <c r="N38">
        <f t="shared" si="0"/>
        <v>-89730.989999999991</v>
      </c>
      <c r="O38">
        <v>-1.0027724850222779</v>
      </c>
      <c r="P38" t="str">
        <f t="shared" si="1"/>
        <v>Material</v>
      </c>
      <c r="Q38" t="str">
        <f t="shared" si="2"/>
        <v>Unfavorable</v>
      </c>
    </row>
    <row r="39" spans="1:17">
      <c r="A39" t="s">
        <v>49</v>
      </c>
      <c r="B39" s="2">
        <v>45096</v>
      </c>
      <c r="C39">
        <v>5010</v>
      </c>
      <c r="D39" t="s">
        <v>2015</v>
      </c>
      <c r="E39">
        <v>1469.2</v>
      </c>
      <c r="F39">
        <v>0</v>
      </c>
      <c r="G39" t="s">
        <v>2019</v>
      </c>
      <c r="H39" t="s">
        <v>2023</v>
      </c>
      <c r="I39" t="s">
        <v>2065</v>
      </c>
      <c r="J39" t="s">
        <v>4031</v>
      </c>
      <c r="K39" t="s">
        <v>4055</v>
      </c>
      <c r="L39">
        <v>-1469.2</v>
      </c>
      <c r="M39">
        <v>66730.62</v>
      </c>
      <c r="N39">
        <f t="shared" si="0"/>
        <v>-68199.819999999992</v>
      </c>
      <c r="O39">
        <v>-1.022016879207776</v>
      </c>
      <c r="P39" t="str">
        <f t="shared" si="1"/>
        <v>Material</v>
      </c>
      <c r="Q39" t="str">
        <f t="shared" si="2"/>
        <v>Unfavorable</v>
      </c>
    </row>
    <row r="40" spans="1:17">
      <c r="A40" t="s">
        <v>50</v>
      </c>
      <c r="B40" s="2">
        <v>45660</v>
      </c>
      <c r="C40">
        <v>6000</v>
      </c>
      <c r="D40" t="s">
        <v>2014</v>
      </c>
      <c r="E40">
        <v>1924.85</v>
      </c>
      <c r="F40">
        <v>0</v>
      </c>
      <c r="G40" t="s">
        <v>2021</v>
      </c>
      <c r="H40" t="s">
        <v>2027</v>
      </c>
      <c r="I40" t="s">
        <v>2066</v>
      </c>
      <c r="J40" t="s">
        <v>4029</v>
      </c>
      <c r="K40" t="s">
        <v>4035</v>
      </c>
      <c r="L40">
        <v>-1924.85</v>
      </c>
      <c r="M40">
        <v>127969.04</v>
      </c>
      <c r="N40">
        <f t="shared" si="0"/>
        <v>-129893.89</v>
      </c>
      <c r="O40">
        <v>-1.0150415287947774</v>
      </c>
      <c r="P40" t="str">
        <f t="shared" si="1"/>
        <v>Material</v>
      </c>
      <c r="Q40" t="str">
        <f t="shared" si="2"/>
        <v>Unfavorable</v>
      </c>
    </row>
    <row r="41" spans="1:17">
      <c r="A41" t="s">
        <v>51</v>
      </c>
      <c r="B41" s="2">
        <v>45325</v>
      </c>
      <c r="C41">
        <v>5010</v>
      </c>
      <c r="D41" t="s">
        <v>2015</v>
      </c>
      <c r="E41">
        <v>1416.63</v>
      </c>
      <c r="F41">
        <v>0</v>
      </c>
      <c r="G41" t="s">
        <v>2019</v>
      </c>
      <c r="H41" t="s">
        <v>2025</v>
      </c>
      <c r="I41" t="s">
        <v>2067</v>
      </c>
      <c r="J41" t="s">
        <v>4032</v>
      </c>
      <c r="K41" t="s">
        <v>4044</v>
      </c>
      <c r="L41">
        <v>-1416.63</v>
      </c>
      <c r="M41">
        <v>98859.83</v>
      </c>
      <c r="N41">
        <f t="shared" si="0"/>
        <v>-100276.46</v>
      </c>
      <c r="O41">
        <v>-1.0143296827437394</v>
      </c>
      <c r="P41" t="str">
        <f t="shared" si="1"/>
        <v>Material</v>
      </c>
      <c r="Q41" t="str">
        <f t="shared" si="2"/>
        <v>Unfavorable</v>
      </c>
    </row>
    <row r="42" spans="1:17">
      <c r="A42" t="s">
        <v>52</v>
      </c>
      <c r="B42" s="2">
        <v>45648</v>
      </c>
      <c r="C42">
        <v>6000</v>
      </c>
      <c r="D42" t="s">
        <v>2014</v>
      </c>
      <c r="E42">
        <v>358.23</v>
      </c>
      <c r="F42">
        <v>0</v>
      </c>
      <c r="G42" t="s">
        <v>2017</v>
      </c>
      <c r="H42" t="s">
        <v>2025</v>
      </c>
      <c r="I42" t="s">
        <v>2068</v>
      </c>
      <c r="J42" t="s">
        <v>4030</v>
      </c>
      <c r="K42" t="s">
        <v>4056</v>
      </c>
      <c r="L42">
        <v>-358.23</v>
      </c>
      <c r="M42">
        <v>75571.7</v>
      </c>
      <c r="N42">
        <f t="shared" si="0"/>
        <v>-75929.929999999993</v>
      </c>
      <c r="O42">
        <v>-1.0047402665283431</v>
      </c>
      <c r="P42" t="str">
        <f t="shared" si="1"/>
        <v>Material</v>
      </c>
      <c r="Q42" t="str">
        <f t="shared" si="2"/>
        <v>Unfavorable</v>
      </c>
    </row>
    <row r="43" spans="1:17">
      <c r="A43" t="s">
        <v>53</v>
      </c>
      <c r="B43" s="2">
        <v>45196</v>
      </c>
      <c r="C43">
        <v>5010</v>
      </c>
      <c r="D43" t="s">
        <v>2015</v>
      </c>
      <c r="E43">
        <v>1647.4</v>
      </c>
      <c r="F43">
        <v>0</v>
      </c>
      <c r="G43" t="s">
        <v>2018</v>
      </c>
      <c r="H43" t="s">
        <v>2027</v>
      </c>
      <c r="I43" t="s">
        <v>2069</v>
      </c>
      <c r="J43" t="s">
        <v>4029</v>
      </c>
      <c r="K43" t="s">
        <v>4036</v>
      </c>
      <c r="L43">
        <v>-1647.4</v>
      </c>
      <c r="M43">
        <v>130984.44</v>
      </c>
      <c r="N43">
        <f t="shared" si="0"/>
        <v>-132631.84</v>
      </c>
      <c r="O43">
        <v>-1.0125770664057501</v>
      </c>
      <c r="P43" t="str">
        <f t="shared" si="1"/>
        <v>Material</v>
      </c>
      <c r="Q43" t="str">
        <f t="shared" si="2"/>
        <v>Unfavorable</v>
      </c>
    </row>
    <row r="44" spans="1:17">
      <c r="A44" t="s">
        <v>54</v>
      </c>
      <c r="B44" s="2">
        <v>44965</v>
      </c>
      <c r="C44">
        <v>5000</v>
      </c>
      <c r="D44" t="s">
        <v>2013</v>
      </c>
      <c r="E44">
        <v>945.76</v>
      </c>
      <c r="F44">
        <v>0</v>
      </c>
      <c r="G44" t="s">
        <v>2020</v>
      </c>
      <c r="H44" t="s">
        <v>2024</v>
      </c>
      <c r="I44" t="s">
        <v>2070</v>
      </c>
      <c r="J44" t="s">
        <v>4030</v>
      </c>
      <c r="K44" t="s">
        <v>4057</v>
      </c>
      <c r="L44">
        <v>-945.76</v>
      </c>
      <c r="M44">
        <v>89085.04</v>
      </c>
      <c r="N44">
        <f t="shared" si="0"/>
        <v>-90030.799999999988</v>
      </c>
      <c r="O44">
        <v>-1.0106163728500317</v>
      </c>
      <c r="P44" t="str">
        <f t="shared" si="1"/>
        <v>Material</v>
      </c>
      <c r="Q44" t="str">
        <f t="shared" si="2"/>
        <v>Unfavorable</v>
      </c>
    </row>
    <row r="45" spans="1:17">
      <c r="A45" t="s">
        <v>55</v>
      </c>
      <c r="B45" s="2">
        <v>45000</v>
      </c>
      <c r="C45">
        <v>6000</v>
      </c>
      <c r="D45" t="s">
        <v>2014</v>
      </c>
      <c r="E45">
        <v>941.14</v>
      </c>
      <c r="F45">
        <v>0</v>
      </c>
      <c r="G45" t="s">
        <v>2021</v>
      </c>
      <c r="H45" t="s">
        <v>2025</v>
      </c>
      <c r="I45" t="s">
        <v>2071</v>
      </c>
      <c r="J45" t="s">
        <v>4029</v>
      </c>
      <c r="K45" t="s">
        <v>4051</v>
      </c>
      <c r="L45">
        <v>-941.14</v>
      </c>
      <c r="M45">
        <v>116081.08</v>
      </c>
      <c r="N45">
        <f t="shared" si="0"/>
        <v>-117022.22</v>
      </c>
      <c r="O45">
        <v>-1.0081076089230046</v>
      </c>
      <c r="P45" t="str">
        <f t="shared" si="1"/>
        <v>Material</v>
      </c>
      <c r="Q45" t="str">
        <f t="shared" si="2"/>
        <v>Unfavorable</v>
      </c>
    </row>
    <row r="46" spans="1:17">
      <c r="A46" t="s">
        <v>56</v>
      </c>
      <c r="B46" s="2">
        <v>45532</v>
      </c>
      <c r="C46">
        <v>6000</v>
      </c>
      <c r="D46" t="s">
        <v>2014</v>
      </c>
      <c r="E46">
        <v>142.16</v>
      </c>
      <c r="F46">
        <v>0</v>
      </c>
      <c r="G46" t="s">
        <v>2022</v>
      </c>
      <c r="H46" t="s">
        <v>2026</v>
      </c>
      <c r="I46" t="s">
        <v>2072</v>
      </c>
      <c r="J46" t="s">
        <v>4029</v>
      </c>
      <c r="K46" t="s">
        <v>4058</v>
      </c>
      <c r="L46">
        <v>-142.16</v>
      </c>
      <c r="M46">
        <v>64640.45</v>
      </c>
      <c r="N46">
        <f t="shared" si="0"/>
        <v>-64782.61</v>
      </c>
      <c r="O46">
        <v>-1.0021992421154247</v>
      </c>
      <c r="P46" t="str">
        <f t="shared" si="1"/>
        <v>Material</v>
      </c>
      <c r="Q46" t="str">
        <f t="shared" si="2"/>
        <v>Unfavorable</v>
      </c>
    </row>
    <row r="47" spans="1:17">
      <c r="A47" t="s">
        <v>57</v>
      </c>
      <c r="B47" s="2">
        <v>45370</v>
      </c>
      <c r="C47">
        <v>4010</v>
      </c>
      <c r="D47" t="s">
        <v>2016</v>
      </c>
      <c r="E47">
        <v>0</v>
      </c>
      <c r="F47">
        <v>1368.77</v>
      </c>
      <c r="G47" t="s">
        <v>2020</v>
      </c>
      <c r="H47" t="s">
        <v>2023</v>
      </c>
      <c r="I47" t="s">
        <v>2073</v>
      </c>
      <c r="J47" t="s">
        <v>4029</v>
      </c>
      <c r="K47" t="s">
        <v>4049</v>
      </c>
      <c r="L47">
        <v>1368.77</v>
      </c>
      <c r="M47">
        <v>21211.21</v>
      </c>
      <c r="N47">
        <f t="shared" si="0"/>
        <v>-19842.439999999999</v>
      </c>
      <c r="O47">
        <v>-0.93546949938263779</v>
      </c>
      <c r="P47" t="str">
        <f t="shared" si="1"/>
        <v>Material</v>
      </c>
      <c r="Q47" t="str">
        <f t="shared" si="2"/>
        <v>Unfavorable</v>
      </c>
    </row>
    <row r="48" spans="1:17">
      <c r="A48" t="s">
        <v>58</v>
      </c>
      <c r="B48" s="2">
        <v>44951</v>
      </c>
      <c r="C48">
        <v>4000</v>
      </c>
      <c r="D48" t="s">
        <v>2012</v>
      </c>
      <c r="E48">
        <v>0</v>
      </c>
      <c r="F48">
        <v>2507.52</v>
      </c>
      <c r="G48" t="s">
        <v>2020</v>
      </c>
      <c r="H48" t="s">
        <v>2025</v>
      </c>
      <c r="I48" t="s">
        <v>2074</v>
      </c>
      <c r="J48" t="s">
        <v>4029</v>
      </c>
      <c r="K48" t="s">
        <v>4047</v>
      </c>
      <c r="L48">
        <v>2507.52</v>
      </c>
      <c r="M48">
        <v>37532.769999999997</v>
      </c>
      <c r="N48">
        <f t="shared" si="0"/>
        <v>-35025.25</v>
      </c>
      <c r="O48">
        <v>-0.93319118199909046</v>
      </c>
      <c r="P48" t="str">
        <f t="shared" si="1"/>
        <v>Material</v>
      </c>
      <c r="Q48" t="str">
        <f t="shared" si="2"/>
        <v>Unfavorable</v>
      </c>
    </row>
    <row r="49" spans="1:17">
      <c r="A49" t="s">
        <v>59</v>
      </c>
      <c r="B49" s="2">
        <v>45359</v>
      </c>
      <c r="C49">
        <v>4000</v>
      </c>
      <c r="D49" t="s">
        <v>2012</v>
      </c>
      <c r="E49">
        <v>0</v>
      </c>
      <c r="F49">
        <v>1744.89</v>
      </c>
      <c r="G49" t="s">
        <v>2021</v>
      </c>
      <c r="H49" t="s">
        <v>2025</v>
      </c>
      <c r="I49" t="s">
        <v>2075</v>
      </c>
      <c r="J49" t="s">
        <v>4031</v>
      </c>
      <c r="K49" t="s">
        <v>4049</v>
      </c>
      <c r="L49">
        <v>1744.89</v>
      </c>
      <c r="M49">
        <v>28580.31</v>
      </c>
      <c r="N49">
        <f t="shared" si="0"/>
        <v>-26835.420000000002</v>
      </c>
      <c r="O49">
        <v>-0.93894782806764521</v>
      </c>
      <c r="P49" t="str">
        <f t="shared" si="1"/>
        <v>Material</v>
      </c>
      <c r="Q49" t="str">
        <f t="shared" si="2"/>
        <v>Unfavorable</v>
      </c>
    </row>
    <row r="50" spans="1:17">
      <c r="A50" t="s">
        <v>60</v>
      </c>
      <c r="B50" s="2">
        <v>45788</v>
      </c>
      <c r="C50">
        <v>6000</v>
      </c>
      <c r="D50" t="s">
        <v>2014</v>
      </c>
      <c r="E50">
        <v>1408.09</v>
      </c>
      <c r="F50">
        <v>0</v>
      </c>
      <c r="G50" t="s">
        <v>2019</v>
      </c>
      <c r="H50" t="s">
        <v>2025</v>
      </c>
      <c r="I50" t="s">
        <v>2076</v>
      </c>
      <c r="J50" t="s">
        <v>4032</v>
      </c>
      <c r="K50" t="s">
        <v>4038</v>
      </c>
      <c r="L50">
        <v>-1408.09</v>
      </c>
      <c r="N50">
        <f t="shared" si="0"/>
        <v>-1408.09</v>
      </c>
      <c r="O50" t="s">
        <v>4104</v>
      </c>
      <c r="P50" t="str">
        <f t="shared" si="1"/>
        <v xml:space="preserve"> </v>
      </c>
      <c r="Q50" t="str">
        <f t="shared" si="2"/>
        <v>Unfavorable</v>
      </c>
    </row>
    <row r="51" spans="1:17">
      <c r="A51" t="s">
        <v>61</v>
      </c>
      <c r="B51" s="2">
        <v>44999</v>
      </c>
      <c r="C51">
        <v>6000</v>
      </c>
      <c r="D51" t="s">
        <v>2014</v>
      </c>
      <c r="E51">
        <v>480.19</v>
      </c>
      <c r="F51">
        <v>0</v>
      </c>
      <c r="G51" t="s">
        <v>2020</v>
      </c>
      <c r="H51" t="s">
        <v>2027</v>
      </c>
      <c r="I51" t="s">
        <v>2077</v>
      </c>
      <c r="J51" t="s">
        <v>4029</v>
      </c>
      <c r="K51" t="s">
        <v>4051</v>
      </c>
      <c r="L51">
        <v>-480.19</v>
      </c>
      <c r="N51">
        <f t="shared" si="0"/>
        <v>-480.19</v>
      </c>
      <c r="O51" t="s">
        <v>4104</v>
      </c>
      <c r="P51" t="str">
        <f t="shared" si="1"/>
        <v xml:space="preserve"> </v>
      </c>
      <c r="Q51" t="str">
        <f t="shared" si="2"/>
        <v>Unfavorable</v>
      </c>
    </row>
    <row r="52" spans="1:17">
      <c r="A52" t="s">
        <v>62</v>
      </c>
      <c r="B52" s="2">
        <v>45553</v>
      </c>
      <c r="C52">
        <v>5000</v>
      </c>
      <c r="D52" t="s">
        <v>2013</v>
      </c>
      <c r="E52">
        <v>1444.62</v>
      </c>
      <c r="F52">
        <v>0</v>
      </c>
      <c r="G52" t="s">
        <v>2020</v>
      </c>
      <c r="H52" t="s">
        <v>2027</v>
      </c>
      <c r="I52" t="s">
        <v>2078</v>
      </c>
      <c r="J52" t="s">
        <v>4032</v>
      </c>
      <c r="K52" t="s">
        <v>4048</v>
      </c>
      <c r="L52">
        <v>-1444.62</v>
      </c>
      <c r="N52">
        <f t="shared" si="0"/>
        <v>-1444.62</v>
      </c>
      <c r="O52" t="s">
        <v>4104</v>
      </c>
      <c r="P52" t="str">
        <f t="shared" si="1"/>
        <v xml:space="preserve"> </v>
      </c>
      <c r="Q52" t="str">
        <f t="shared" si="2"/>
        <v>Unfavorable</v>
      </c>
    </row>
    <row r="53" spans="1:17">
      <c r="A53" t="s">
        <v>63</v>
      </c>
      <c r="B53" s="2">
        <v>45591</v>
      </c>
      <c r="C53">
        <v>4000</v>
      </c>
      <c r="D53" t="s">
        <v>2012</v>
      </c>
      <c r="E53">
        <v>0</v>
      </c>
      <c r="F53">
        <v>4456.24</v>
      </c>
      <c r="G53" t="s">
        <v>2018</v>
      </c>
      <c r="H53" t="s">
        <v>2025</v>
      </c>
      <c r="I53" t="s">
        <v>2079</v>
      </c>
      <c r="J53" t="s">
        <v>4032</v>
      </c>
      <c r="K53" t="s">
        <v>4059</v>
      </c>
      <c r="L53">
        <v>4456.24</v>
      </c>
      <c r="N53">
        <f t="shared" si="0"/>
        <v>4456.24</v>
      </c>
      <c r="O53" t="s">
        <v>4104</v>
      </c>
      <c r="P53" t="str">
        <f t="shared" si="1"/>
        <v xml:space="preserve"> </v>
      </c>
      <c r="Q53" t="str">
        <f t="shared" si="2"/>
        <v>Favorable</v>
      </c>
    </row>
    <row r="54" spans="1:17">
      <c r="A54" t="s">
        <v>64</v>
      </c>
      <c r="B54" s="2">
        <v>45817</v>
      </c>
      <c r="C54">
        <v>4000</v>
      </c>
      <c r="D54" t="s">
        <v>2012</v>
      </c>
      <c r="E54">
        <v>0</v>
      </c>
      <c r="F54">
        <v>4800.28</v>
      </c>
      <c r="G54" t="s">
        <v>2022</v>
      </c>
      <c r="H54" t="s">
        <v>2025</v>
      </c>
      <c r="I54" t="s">
        <v>2080</v>
      </c>
      <c r="J54" t="s">
        <v>4032</v>
      </c>
      <c r="K54" t="s">
        <v>4052</v>
      </c>
      <c r="L54">
        <v>4800.28</v>
      </c>
      <c r="N54">
        <f t="shared" si="0"/>
        <v>4800.28</v>
      </c>
      <c r="O54" t="s">
        <v>4104</v>
      </c>
      <c r="P54" t="str">
        <f t="shared" si="1"/>
        <v xml:space="preserve"> </v>
      </c>
      <c r="Q54" t="str">
        <f t="shared" si="2"/>
        <v>Favorable</v>
      </c>
    </row>
    <row r="55" spans="1:17">
      <c r="A55" t="s">
        <v>65</v>
      </c>
      <c r="B55" s="2">
        <v>45249</v>
      </c>
      <c r="C55">
        <v>5000</v>
      </c>
      <c r="D55" t="s">
        <v>2013</v>
      </c>
      <c r="E55">
        <v>425.12</v>
      </c>
      <c r="F55">
        <v>0</v>
      </c>
      <c r="G55" t="s">
        <v>2020</v>
      </c>
      <c r="H55" t="s">
        <v>2023</v>
      </c>
      <c r="I55" t="s">
        <v>2081</v>
      </c>
      <c r="J55" t="s">
        <v>4030</v>
      </c>
      <c r="K55" t="s">
        <v>4042</v>
      </c>
      <c r="L55">
        <v>-425.12</v>
      </c>
      <c r="N55">
        <f t="shared" si="0"/>
        <v>-425.12</v>
      </c>
      <c r="O55" t="s">
        <v>4104</v>
      </c>
      <c r="P55" t="str">
        <f t="shared" si="1"/>
        <v xml:space="preserve"> </v>
      </c>
      <c r="Q55" t="str">
        <f t="shared" si="2"/>
        <v>Unfavorable</v>
      </c>
    </row>
    <row r="56" spans="1:17">
      <c r="A56" t="s">
        <v>66</v>
      </c>
      <c r="B56" s="2">
        <v>45408</v>
      </c>
      <c r="C56">
        <v>6000</v>
      </c>
      <c r="D56" t="s">
        <v>2014</v>
      </c>
      <c r="E56">
        <v>1830.18</v>
      </c>
      <c r="F56">
        <v>0</v>
      </c>
      <c r="G56" t="s">
        <v>2021</v>
      </c>
      <c r="H56" t="s">
        <v>2023</v>
      </c>
      <c r="I56" t="s">
        <v>2082</v>
      </c>
      <c r="J56" t="s">
        <v>4029</v>
      </c>
      <c r="K56" t="s">
        <v>4040</v>
      </c>
      <c r="L56">
        <v>-1830.18</v>
      </c>
      <c r="N56">
        <f t="shared" si="0"/>
        <v>-1830.18</v>
      </c>
      <c r="O56" t="s">
        <v>4104</v>
      </c>
      <c r="P56" t="str">
        <f t="shared" si="1"/>
        <v xml:space="preserve"> </v>
      </c>
      <c r="Q56" t="str">
        <f t="shared" si="2"/>
        <v>Unfavorable</v>
      </c>
    </row>
    <row r="57" spans="1:17">
      <c r="A57" t="s">
        <v>67</v>
      </c>
      <c r="B57" s="2">
        <v>45598</v>
      </c>
      <c r="C57">
        <v>4000</v>
      </c>
      <c r="D57" t="s">
        <v>2012</v>
      </c>
      <c r="E57">
        <v>0</v>
      </c>
      <c r="F57">
        <v>4128.6400000000003</v>
      </c>
      <c r="G57" t="s">
        <v>2017</v>
      </c>
      <c r="H57" t="s">
        <v>2027</v>
      </c>
      <c r="I57" t="s">
        <v>2083</v>
      </c>
      <c r="J57" t="s">
        <v>4030</v>
      </c>
      <c r="K57" t="s">
        <v>4043</v>
      </c>
      <c r="L57">
        <v>4128.6400000000003</v>
      </c>
      <c r="N57">
        <f t="shared" si="0"/>
        <v>4128.6400000000003</v>
      </c>
      <c r="O57" t="s">
        <v>4104</v>
      </c>
      <c r="P57" t="str">
        <f t="shared" si="1"/>
        <v xml:space="preserve"> </v>
      </c>
      <c r="Q57" t="str">
        <f t="shared" si="2"/>
        <v>Favorable</v>
      </c>
    </row>
    <row r="58" spans="1:17">
      <c r="A58" t="s">
        <v>68</v>
      </c>
      <c r="B58" s="2">
        <v>45041</v>
      </c>
      <c r="C58">
        <v>5000</v>
      </c>
      <c r="D58" t="s">
        <v>2013</v>
      </c>
      <c r="E58">
        <v>609.79999999999995</v>
      </c>
      <c r="F58">
        <v>0</v>
      </c>
      <c r="G58" t="s">
        <v>2018</v>
      </c>
      <c r="H58" t="s">
        <v>2024</v>
      </c>
      <c r="I58" t="s">
        <v>2084</v>
      </c>
      <c r="J58" t="s">
        <v>4032</v>
      </c>
      <c r="K58" t="s">
        <v>4041</v>
      </c>
      <c r="L58">
        <v>-609.79999999999995</v>
      </c>
      <c r="N58">
        <f t="shared" si="0"/>
        <v>-609.79999999999995</v>
      </c>
      <c r="O58" t="s">
        <v>4104</v>
      </c>
      <c r="P58" t="str">
        <f t="shared" si="1"/>
        <v xml:space="preserve"> </v>
      </c>
      <c r="Q58" t="str">
        <f t="shared" si="2"/>
        <v>Unfavorable</v>
      </c>
    </row>
    <row r="59" spans="1:17">
      <c r="A59" t="s">
        <v>69</v>
      </c>
      <c r="B59" s="2">
        <v>45279</v>
      </c>
      <c r="C59">
        <v>5010</v>
      </c>
      <c r="D59" t="s">
        <v>2015</v>
      </c>
      <c r="E59">
        <v>279.32</v>
      </c>
      <c r="F59">
        <v>0</v>
      </c>
      <c r="G59" t="s">
        <v>2020</v>
      </c>
      <c r="H59" t="s">
        <v>2025</v>
      </c>
      <c r="I59" t="s">
        <v>2085</v>
      </c>
      <c r="J59" t="s">
        <v>4031</v>
      </c>
      <c r="K59" t="s">
        <v>4039</v>
      </c>
      <c r="L59">
        <v>-279.32</v>
      </c>
      <c r="N59">
        <f t="shared" si="0"/>
        <v>-279.32</v>
      </c>
      <c r="O59" t="s">
        <v>4104</v>
      </c>
      <c r="P59" t="str">
        <f t="shared" si="1"/>
        <v xml:space="preserve"> </v>
      </c>
      <c r="Q59" t="str">
        <f t="shared" si="2"/>
        <v>Unfavorable</v>
      </c>
    </row>
    <row r="60" spans="1:17">
      <c r="A60" t="s">
        <v>70</v>
      </c>
      <c r="B60" s="2">
        <v>45546</v>
      </c>
      <c r="C60">
        <v>4010</v>
      </c>
      <c r="D60" t="s">
        <v>2016</v>
      </c>
      <c r="E60">
        <v>0</v>
      </c>
      <c r="F60">
        <v>1790.31</v>
      </c>
      <c r="G60" t="s">
        <v>2021</v>
      </c>
      <c r="H60" t="s">
        <v>2023</v>
      </c>
      <c r="I60" t="s">
        <v>2086</v>
      </c>
      <c r="J60" t="s">
        <v>4032</v>
      </c>
      <c r="K60" t="s">
        <v>4048</v>
      </c>
      <c r="L60">
        <v>1790.31</v>
      </c>
      <c r="N60">
        <f t="shared" si="0"/>
        <v>1790.31</v>
      </c>
      <c r="O60" t="s">
        <v>4104</v>
      </c>
      <c r="P60" t="str">
        <f t="shared" si="1"/>
        <v xml:space="preserve"> </v>
      </c>
      <c r="Q60" t="str">
        <f t="shared" si="2"/>
        <v>Favorable</v>
      </c>
    </row>
    <row r="61" spans="1:17">
      <c r="A61" t="s">
        <v>71</v>
      </c>
      <c r="B61" s="2">
        <v>45324</v>
      </c>
      <c r="C61">
        <v>5010</v>
      </c>
      <c r="D61" t="s">
        <v>2015</v>
      </c>
      <c r="E61">
        <v>1635.65</v>
      </c>
      <c r="F61">
        <v>0</v>
      </c>
      <c r="G61" t="s">
        <v>2018</v>
      </c>
      <c r="H61" t="s">
        <v>2025</v>
      </c>
      <c r="I61" t="s">
        <v>2087</v>
      </c>
      <c r="J61" t="s">
        <v>4032</v>
      </c>
      <c r="K61" t="s">
        <v>4044</v>
      </c>
      <c r="L61">
        <v>-1635.65</v>
      </c>
      <c r="N61">
        <f t="shared" si="0"/>
        <v>-1635.65</v>
      </c>
      <c r="O61" t="s">
        <v>4104</v>
      </c>
      <c r="P61" t="str">
        <f t="shared" si="1"/>
        <v xml:space="preserve"> </v>
      </c>
      <c r="Q61" t="str">
        <f t="shared" si="2"/>
        <v>Unfavorable</v>
      </c>
    </row>
    <row r="62" spans="1:17">
      <c r="A62" t="s">
        <v>72</v>
      </c>
      <c r="B62" s="2">
        <v>45412</v>
      </c>
      <c r="C62">
        <v>4000</v>
      </c>
      <c r="D62" t="s">
        <v>2012</v>
      </c>
      <c r="E62">
        <v>0</v>
      </c>
      <c r="F62">
        <v>3300.5</v>
      </c>
      <c r="G62" t="s">
        <v>2021</v>
      </c>
      <c r="H62" t="s">
        <v>2025</v>
      </c>
      <c r="I62" t="s">
        <v>2088</v>
      </c>
      <c r="J62" t="s">
        <v>4031</v>
      </c>
      <c r="K62" t="s">
        <v>4040</v>
      </c>
      <c r="L62">
        <v>3300.5</v>
      </c>
      <c r="N62">
        <f t="shared" si="0"/>
        <v>3300.5</v>
      </c>
      <c r="O62" t="s">
        <v>4104</v>
      </c>
      <c r="P62" t="str">
        <f t="shared" si="1"/>
        <v xml:space="preserve"> </v>
      </c>
      <c r="Q62" t="str">
        <f t="shared" si="2"/>
        <v>Favorable</v>
      </c>
    </row>
    <row r="63" spans="1:17">
      <c r="A63" t="s">
        <v>73</v>
      </c>
      <c r="B63" s="2">
        <v>45465</v>
      </c>
      <c r="C63">
        <v>6000</v>
      </c>
      <c r="D63" t="s">
        <v>2014</v>
      </c>
      <c r="E63">
        <v>1704.76</v>
      </c>
      <c r="F63">
        <v>0</v>
      </c>
      <c r="G63" t="s">
        <v>2020</v>
      </c>
      <c r="H63" t="s">
        <v>2024</v>
      </c>
      <c r="I63" t="s">
        <v>2089</v>
      </c>
      <c r="J63" t="s">
        <v>4030</v>
      </c>
      <c r="K63" t="s">
        <v>4034</v>
      </c>
      <c r="L63">
        <v>-1704.76</v>
      </c>
      <c r="N63">
        <f t="shared" si="0"/>
        <v>-1704.76</v>
      </c>
      <c r="O63" t="s">
        <v>4104</v>
      </c>
      <c r="P63" t="str">
        <f t="shared" si="1"/>
        <v xml:space="preserve"> </v>
      </c>
      <c r="Q63" t="str">
        <f t="shared" si="2"/>
        <v>Unfavorable</v>
      </c>
    </row>
    <row r="64" spans="1:17">
      <c r="A64" t="s">
        <v>74</v>
      </c>
      <c r="B64" s="2">
        <v>45185</v>
      </c>
      <c r="C64">
        <v>5010</v>
      </c>
      <c r="D64" t="s">
        <v>2015</v>
      </c>
      <c r="E64">
        <v>145.25</v>
      </c>
      <c r="F64">
        <v>0</v>
      </c>
      <c r="G64" t="s">
        <v>2019</v>
      </c>
      <c r="H64" t="s">
        <v>2024</v>
      </c>
      <c r="I64" t="s">
        <v>2090</v>
      </c>
      <c r="J64" t="s">
        <v>4029</v>
      </c>
      <c r="K64" t="s">
        <v>4036</v>
      </c>
      <c r="L64">
        <v>-145.25</v>
      </c>
      <c r="N64">
        <f t="shared" si="0"/>
        <v>-145.25</v>
      </c>
      <c r="O64" t="s">
        <v>4104</v>
      </c>
      <c r="P64" t="str">
        <f t="shared" si="1"/>
        <v xml:space="preserve"> </v>
      </c>
      <c r="Q64" t="str">
        <f t="shared" si="2"/>
        <v>Unfavorable</v>
      </c>
    </row>
    <row r="65" spans="1:17">
      <c r="A65" t="s">
        <v>75</v>
      </c>
      <c r="B65" s="2">
        <v>45529</v>
      </c>
      <c r="C65">
        <v>6000</v>
      </c>
      <c r="D65" t="s">
        <v>2014</v>
      </c>
      <c r="E65">
        <v>1423.44</v>
      </c>
      <c r="F65">
        <v>0</v>
      </c>
      <c r="G65" t="s">
        <v>2020</v>
      </c>
      <c r="H65" t="s">
        <v>2024</v>
      </c>
      <c r="I65" t="s">
        <v>2091</v>
      </c>
      <c r="J65" t="s">
        <v>4029</v>
      </c>
      <c r="K65" t="s">
        <v>4058</v>
      </c>
      <c r="L65">
        <v>-1423.44</v>
      </c>
      <c r="N65">
        <f t="shared" si="0"/>
        <v>-1423.44</v>
      </c>
      <c r="O65" t="s">
        <v>4104</v>
      </c>
      <c r="P65" t="str">
        <f t="shared" si="1"/>
        <v xml:space="preserve"> </v>
      </c>
      <c r="Q65" t="str">
        <f t="shared" si="2"/>
        <v>Unfavorable</v>
      </c>
    </row>
    <row r="66" spans="1:17">
      <c r="A66" t="s">
        <v>76</v>
      </c>
      <c r="B66" s="2">
        <v>45172</v>
      </c>
      <c r="C66">
        <v>5010</v>
      </c>
      <c r="D66" t="s">
        <v>2015</v>
      </c>
      <c r="E66">
        <v>793.01</v>
      </c>
      <c r="F66">
        <v>0</v>
      </c>
      <c r="G66" t="s">
        <v>2019</v>
      </c>
      <c r="H66" t="s">
        <v>2027</v>
      </c>
      <c r="I66" t="s">
        <v>2092</v>
      </c>
      <c r="J66" t="s">
        <v>4032</v>
      </c>
      <c r="K66" t="s">
        <v>4036</v>
      </c>
      <c r="L66">
        <v>-793.01</v>
      </c>
      <c r="N66">
        <f t="shared" si="0"/>
        <v>-793.01</v>
      </c>
      <c r="O66" t="s">
        <v>4104</v>
      </c>
      <c r="P66" t="str">
        <f t="shared" si="1"/>
        <v xml:space="preserve"> </v>
      </c>
      <c r="Q66" t="str">
        <f t="shared" si="2"/>
        <v>Unfavorable</v>
      </c>
    </row>
    <row r="67" spans="1:17">
      <c r="A67" t="s">
        <v>77</v>
      </c>
      <c r="B67" s="2">
        <v>44984</v>
      </c>
      <c r="C67">
        <v>4010</v>
      </c>
      <c r="D67" t="s">
        <v>2016</v>
      </c>
      <c r="E67">
        <v>0</v>
      </c>
      <c r="F67">
        <v>2977.78</v>
      </c>
      <c r="G67" t="s">
        <v>2020</v>
      </c>
      <c r="H67" t="s">
        <v>2024</v>
      </c>
      <c r="I67" t="s">
        <v>2093</v>
      </c>
      <c r="J67" t="s">
        <v>4031</v>
      </c>
      <c r="K67" t="s">
        <v>4057</v>
      </c>
      <c r="L67">
        <v>2977.78</v>
      </c>
      <c r="N67">
        <f t="shared" ref="N67:N130" si="3">L:L-M:M</f>
        <v>2977.78</v>
      </c>
      <c r="O67" t="s">
        <v>4104</v>
      </c>
      <c r="P67" t="str">
        <f t="shared" ref="P67:P130" si="4">IF(AND(ABS(N:N)&gt;10000,M:M&lt;&gt;0),"Material", " ")</f>
        <v xml:space="preserve"> </v>
      </c>
      <c r="Q67" t="str">
        <f t="shared" ref="Q67:Q130" si="5">IF(N:N&gt;0,"Favorable","Unfavorable")</f>
        <v>Favorable</v>
      </c>
    </row>
    <row r="68" spans="1:17">
      <c r="A68" t="s">
        <v>78</v>
      </c>
      <c r="B68" s="2">
        <v>45214</v>
      </c>
      <c r="C68">
        <v>5010</v>
      </c>
      <c r="D68" t="s">
        <v>2015</v>
      </c>
      <c r="E68">
        <v>1212.6500000000001</v>
      </c>
      <c r="F68">
        <v>0</v>
      </c>
      <c r="G68" t="s">
        <v>2022</v>
      </c>
      <c r="H68" t="s">
        <v>2023</v>
      </c>
      <c r="I68" t="s">
        <v>2094</v>
      </c>
      <c r="J68" t="s">
        <v>4029</v>
      </c>
      <c r="K68" t="s">
        <v>4060</v>
      </c>
      <c r="L68">
        <v>-1212.6500000000001</v>
      </c>
      <c r="N68">
        <f t="shared" si="3"/>
        <v>-1212.6500000000001</v>
      </c>
      <c r="O68" t="s">
        <v>4104</v>
      </c>
      <c r="P68" t="str">
        <f t="shared" si="4"/>
        <v xml:space="preserve"> </v>
      </c>
      <c r="Q68" t="str">
        <f t="shared" si="5"/>
        <v>Unfavorable</v>
      </c>
    </row>
    <row r="69" spans="1:17">
      <c r="A69" t="s">
        <v>79</v>
      </c>
      <c r="B69" s="2">
        <v>45778</v>
      </c>
      <c r="C69">
        <v>4000</v>
      </c>
      <c r="D69" t="s">
        <v>2012</v>
      </c>
      <c r="E69">
        <v>0</v>
      </c>
      <c r="F69">
        <v>1204.96</v>
      </c>
      <c r="G69" t="s">
        <v>2022</v>
      </c>
      <c r="H69" t="s">
        <v>2024</v>
      </c>
      <c r="I69" t="s">
        <v>2095</v>
      </c>
      <c r="J69" t="s">
        <v>4028</v>
      </c>
      <c r="K69" t="s">
        <v>4038</v>
      </c>
      <c r="L69">
        <v>1204.96</v>
      </c>
      <c r="N69">
        <f t="shared" si="3"/>
        <v>1204.96</v>
      </c>
      <c r="O69" t="s">
        <v>4104</v>
      </c>
      <c r="P69" t="str">
        <f t="shared" si="4"/>
        <v xml:space="preserve"> </v>
      </c>
      <c r="Q69" t="str">
        <f t="shared" si="5"/>
        <v>Favorable</v>
      </c>
    </row>
    <row r="70" spans="1:17">
      <c r="A70" t="s">
        <v>80</v>
      </c>
      <c r="B70" s="2">
        <v>45831</v>
      </c>
      <c r="C70">
        <v>5010</v>
      </c>
      <c r="D70" t="s">
        <v>2015</v>
      </c>
      <c r="E70">
        <v>1735.7</v>
      </c>
      <c r="F70">
        <v>0</v>
      </c>
      <c r="G70" t="s">
        <v>2020</v>
      </c>
      <c r="H70" t="s">
        <v>2027</v>
      </c>
      <c r="I70" t="s">
        <v>2096</v>
      </c>
      <c r="J70" t="s">
        <v>4031</v>
      </c>
      <c r="K70" t="s">
        <v>4052</v>
      </c>
      <c r="L70">
        <v>-1735.7</v>
      </c>
      <c r="N70">
        <f t="shared" si="3"/>
        <v>-1735.7</v>
      </c>
      <c r="O70" t="s">
        <v>4104</v>
      </c>
      <c r="P70" t="str">
        <f t="shared" si="4"/>
        <v xml:space="preserve"> </v>
      </c>
      <c r="Q70" t="str">
        <f t="shared" si="5"/>
        <v>Unfavorable</v>
      </c>
    </row>
    <row r="71" spans="1:17">
      <c r="A71" t="s">
        <v>81</v>
      </c>
      <c r="B71" s="2">
        <v>45826</v>
      </c>
      <c r="C71">
        <v>6000</v>
      </c>
      <c r="D71" t="s">
        <v>2014</v>
      </c>
      <c r="E71">
        <v>1095.32</v>
      </c>
      <c r="F71">
        <v>0</v>
      </c>
      <c r="G71" t="s">
        <v>2021</v>
      </c>
      <c r="H71" t="s">
        <v>2023</v>
      </c>
      <c r="I71" t="s">
        <v>2097</v>
      </c>
      <c r="J71" t="s">
        <v>4030</v>
      </c>
      <c r="K71" t="s">
        <v>4052</v>
      </c>
      <c r="L71">
        <v>-1095.32</v>
      </c>
      <c r="N71">
        <f t="shared" si="3"/>
        <v>-1095.32</v>
      </c>
      <c r="O71" t="s">
        <v>4104</v>
      </c>
      <c r="P71" t="str">
        <f t="shared" si="4"/>
        <v xml:space="preserve"> </v>
      </c>
      <c r="Q71" t="str">
        <f t="shared" si="5"/>
        <v>Unfavorable</v>
      </c>
    </row>
    <row r="72" spans="1:17">
      <c r="A72" t="s">
        <v>82</v>
      </c>
      <c r="B72" s="2">
        <v>45430</v>
      </c>
      <c r="C72">
        <v>6000</v>
      </c>
      <c r="D72" t="s">
        <v>2014</v>
      </c>
      <c r="E72">
        <v>553.17999999999995</v>
      </c>
      <c r="F72">
        <v>0</v>
      </c>
      <c r="G72" t="s">
        <v>2019</v>
      </c>
      <c r="H72" t="s">
        <v>2024</v>
      </c>
      <c r="I72" t="s">
        <v>2098</v>
      </c>
      <c r="J72" t="s">
        <v>4031</v>
      </c>
      <c r="K72" t="s">
        <v>4033</v>
      </c>
      <c r="L72">
        <v>-553.17999999999995</v>
      </c>
      <c r="N72">
        <f t="shared" si="3"/>
        <v>-553.17999999999995</v>
      </c>
      <c r="O72" t="s">
        <v>4104</v>
      </c>
      <c r="P72" t="str">
        <f t="shared" si="4"/>
        <v xml:space="preserve"> </v>
      </c>
      <c r="Q72" t="str">
        <f t="shared" si="5"/>
        <v>Unfavorable</v>
      </c>
    </row>
    <row r="73" spans="1:17">
      <c r="A73" t="s">
        <v>83</v>
      </c>
      <c r="B73" s="2">
        <v>45781</v>
      </c>
      <c r="C73">
        <v>4000</v>
      </c>
      <c r="D73" t="s">
        <v>2012</v>
      </c>
      <c r="E73">
        <v>0</v>
      </c>
      <c r="F73">
        <v>2434.5500000000002</v>
      </c>
      <c r="G73" t="s">
        <v>2021</v>
      </c>
      <c r="H73" t="s">
        <v>2024</v>
      </c>
      <c r="I73" t="s">
        <v>2099</v>
      </c>
      <c r="J73" t="s">
        <v>4032</v>
      </c>
      <c r="K73" t="s">
        <v>4038</v>
      </c>
      <c r="L73">
        <v>2434.5500000000002</v>
      </c>
      <c r="N73">
        <f t="shared" si="3"/>
        <v>2434.5500000000002</v>
      </c>
      <c r="O73" t="s">
        <v>4104</v>
      </c>
      <c r="P73" t="str">
        <f t="shared" si="4"/>
        <v xml:space="preserve"> </v>
      </c>
      <c r="Q73" t="str">
        <f t="shared" si="5"/>
        <v>Favorable</v>
      </c>
    </row>
    <row r="74" spans="1:17">
      <c r="A74" t="s">
        <v>84</v>
      </c>
      <c r="B74" s="2">
        <v>45343</v>
      </c>
      <c r="C74">
        <v>5000</v>
      </c>
      <c r="D74" t="s">
        <v>2013</v>
      </c>
      <c r="E74">
        <v>156.53</v>
      </c>
      <c r="F74">
        <v>0</v>
      </c>
      <c r="G74" t="s">
        <v>2021</v>
      </c>
      <c r="H74" t="s">
        <v>2023</v>
      </c>
      <c r="I74" t="s">
        <v>2100</v>
      </c>
      <c r="J74" t="s">
        <v>4031</v>
      </c>
      <c r="K74" t="s">
        <v>4044</v>
      </c>
      <c r="L74">
        <v>-156.53</v>
      </c>
      <c r="N74">
        <f t="shared" si="3"/>
        <v>-156.53</v>
      </c>
      <c r="O74" t="s">
        <v>4104</v>
      </c>
      <c r="P74" t="str">
        <f t="shared" si="4"/>
        <v xml:space="preserve"> </v>
      </c>
      <c r="Q74" t="str">
        <f t="shared" si="5"/>
        <v>Unfavorable</v>
      </c>
    </row>
    <row r="75" spans="1:17">
      <c r="A75" t="s">
        <v>85</v>
      </c>
      <c r="B75" s="2">
        <v>45690</v>
      </c>
      <c r="C75">
        <v>6000</v>
      </c>
      <c r="D75" t="s">
        <v>2014</v>
      </c>
      <c r="E75">
        <v>1231.32</v>
      </c>
      <c r="F75">
        <v>0</v>
      </c>
      <c r="G75" t="s">
        <v>2018</v>
      </c>
      <c r="H75" t="s">
        <v>2026</v>
      </c>
      <c r="I75" t="s">
        <v>2101</v>
      </c>
      <c r="J75" t="s">
        <v>4028</v>
      </c>
      <c r="K75" t="s">
        <v>4061</v>
      </c>
      <c r="L75">
        <v>-1231.32</v>
      </c>
      <c r="N75">
        <f t="shared" si="3"/>
        <v>-1231.32</v>
      </c>
      <c r="O75" t="s">
        <v>4104</v>
      </c>
      <c r="P75" t="str">
        <f t="shared" si="4"/>
        <v xml:space="preserve"> </v>
      </c>
      <c r="Q75" t="str">
        <f t="shared" si="5"/>
        <v>Unfavorable</v>
      </c>
    </row>
    <row r="76" spans="1:17">
      <c r="A76" t="s">
        <v>86</v>
      </c>
      <c r="B76" s="2">
        <v>45551</v>
      </c>
      <c r="C76">
        <v>5010</v>
      </c>
      <c r="D76" t="s">
        <v>2015</v>
      </c>
      <c r="E76">
        <v>1844.88</v>
      </c>
      <c r="F76">
        <v>0</v>
      </c>
      <c r="G76" t="s">
        <v>2017</v>
      </c>
      <c r="H76" t="s">
        <v>2027</v>
      </c>
      <c r="I76" t="s">
        <v>2102</v>
      </c>
      <c r="J76" t="s">
        <v>4030</v>
      </c>
      <c r="K76" t="s">
        <v>4048</v>
      </c>
      <c r="L76">
        <v>-1844.88</v>
      </c>
      <c r="N76">
        <f t="shared" si="3"/>
        <v>-1844.88</v>
      </c>
      <c r="O76" t="s">
        <v>4104</v>
      </c>
      <c r="P76" t="str">
        <f t="shared" si="4"/>
        <v xml:space="preserve"> </v>
      </c>
      <c r="Q76" t="str">
        <f t="shared" si="5"/>
        <v>Unfavorable</v>
      </c>
    </row>
    <row r="77" spans="1:17">
      <c r="A77" t="s">
        <v>87</v>
      </c>
      <c r="B77" s="2">
        <v>45751</v>
      </c>
      <c r="C77">
        <v>5010</v>
      </c>
      <c r="D77" t="s">
        <v>2015</v>
      </c>
      <c r="E77">
        <v>1368.26</v>
      </c>
      <c r="F77">
        <v>0</v>
      </c>
      <c r="G77" t="s">
        <v>2021</v>
      </c>
      <c r="H77" t="s">
        <v>2023</v>
      </c>
      <c r="I77" t="s">
        <v>2103</v>
      </c>
      <c r="J77" t="s">
        <v>4028</v>
      </c>
      <c r="K77" t="s">
        <v>4045</v>
      </c>
      <c r="L77">
        <v>-1368.26</v>
      </c>
      <c r="N77">
        <f t="shared" si="3"/>
        <v>-1368.26</v>
      </c>
      <c r="O77" t="s">
        <v>4104</v>
      </c>
      <c r="P77" t="str">
        <f t="shared" si="4"/>
        <v xml:space="preserve"> </v>
      </c>
      <c r="Q77" t="str">
        <f t="shared" si="5"/>
        <v>Unfavorable</v>
      </c>
    </row>
    <row r="78" spans="1:17">
      <c r="A78" t="s">
        <v>88</v>
      </c>
      <c r="B78" s="2">
        <v>45437</v>
      </c>
      <c r="C78">
        <v>4000</v>
      </c>
      <c r="D78" t="s">
        <v>2012</v>
      </c>
      <c r="E78">
        <v>0</v>
      </c>
      <c r="F78">
        <v>2609.56</v>
      </c>
      <c r="G78" t="s">
        <v>2017</v>
      </c>
      <c r="H78" t="s">
        <v>2025</v>
      </c>
      <c r="I78" t="s">
        <v>2104</v>
      </c>
      <c r="J78" t="s">
        <v>4028</v>
      </c>
      <c r="K78" t="s">
        <v>4033</v>
      </c>
      <c r="L78">
        <v>2609.56</v>
      </c>
      <c r="N78">
        <f t="shared" si="3"/>
        <v>2609.56</v>
      </c>
      <c r="O78" t="s">
        <v>4104</v>
      </c>
      <c r="P78" t="str">
        <f t="shared" si="4"/>
        <v xml:space="preserve"> </v>
      </c>
      <c r="Q78" t="str">
        <f t="shared" si="5"/>
        <v>Favorable</v>
      </c>
    </row>
    <row r="79" spans="1:17">
      <c r="A79" t="s">
        <v>89</v>
      </c>
      <c r="B79" s="2">
        <v>45012</v>
      </c>
      <c r="C79">
        <v>6000</v>
      </c>
      <c r="D79" t="s">
        <v>2014</v>
      </c>
      <c r="E79">
        <v>1420.84</v>
      </c>
      <c r="F79">
        <v>0</v>
      </c>
      <c r="G79" t="s">
        <v>2019</v>
      </c>
      <c r="H79" t="s">
        <v>2025</v>
      </c>
      <c r="I79" t="s">
        <v>2105</v>
      </c>
      <c r="J79" t="s">
        <v>4030</v>
      </c>
      <c r="K79" t="s">
        <v>4051</v>
      </c>
      <c r="L79">
        <v>-1420.84</v>
      </c>
      <c r="N79">
        <f t="shared" si="3"/>
        <v>-1420.84</v>
      </c>
      <c r="O79" t="s">
        <v>4104</v>
      </c>
      <c r="P79" t="str">
        <f t="shared" si="4"/>
        <v xml:space="preserve"> </v>
      </c>
      <c r="Q79" t="str">
        <f t="shared" si="5"/>
        <v>Unfavorable</v>
      </c>
    </row>
    <row r="80" spans="1:17">
      <c r="A80" t="s">
        <v>90</v>
      </c>
      <c r="B80" s="2">
        <v>45742</v>
      </c>
      <c r="C80">
        <v>5000</v>
      </c>
      <c r="D80" t="s">
        <v>2013</v>
      </c>
      <c r="E80">
        <v>1671.57</v>
      </c>
      <c r="F80">
        <v>0</v>
      </c>
      <c r="G80" t="s">
        <v>2021</v>
      </c>
      <c r="H80" t="s">
        <v>2024</v>
      </c>
      <c r="I80" t="s">
        <v>2106</v>
      </c>
      <c r="J80" t="s">
        <v>4028</v>
      </c>
      <c r="K80" t="s">
        <v>4046</v>
      </c>
      <c r="L80">
        <v>-1671.57</v>
      </c>
      <c r="N80">
        <f t="shared" si="3"/>
        <v>-1671.57</v>
      </c>
      <c r="O80" t="s">
        <v>4104</v>
      </c>
      <c r="P80" t="str">
        <f t="shared" si="4"/>
        <v xml:space="preserve"> </v>
      </c>
      <c r="Q80" t="str">
        <f t="shared" si="5"/>
        <v>Unfavorable</v>
      </c>
    </row>
    <row r="81" spans="1:17">
      <c r="A81" t="s">
        <v>91</v>
      </c>
      <c r="B81" s="2">
        <v>45001</v>
      </c>
      <c r="C81">
        <v>6000</v>
      </c>
      <c r="D81" t="s">
        <v>2014</v>
      </c>
      <c r="E81">
        <v>498.83</v>
      </c>
      <c r="F81">
        <v>0</v>
      </c>
      <c r="G81" t="s">
        <v>2022</v>
      </c>
      <c r="H81" t="s">
        <v>2024</v>
      </c>
      <c r="I81" t="s">
        <v>2107</v>
      </c>
      <c r="J81" t="s">
        <v>4030</v>
      </c>
      <c r="K81" t="s">
        <v>4051</v>
      </c>
      <c r="L81">
        <v>-498.83</v>
      </c>
      <c r="N81">
        <f t="shared" si="3"/>
        <v>-498.83</v>
      </c>
      <c r="O81" t="s">
        <v>4104</v>
      </c>
      <c r="P81" t="str">
        <f t="shared" si="4"/>
        <v xml:space="preserve"> </v>
      </c>
      <c r="Q81" t="str">
        <f t="shared" si="5"/>
        <v>Unfavorable</v>
      </c>
    </row>
    <row r="82" spans="1:17">
      <c r="A82" t="s">
        <v>92</v>
      </c>
      <c r="B82" s="2">
        <v>45799</v>
      </c>
      <c r="C82">
        <v>5010</v>
      </c>
      <c r="D82" t="s">
        <v>2015</v>
      </c>
      <c r="E82">
        <v>1528.9</v>
      </c>
      <c r="F82">
        <v>0</v>
      </c>
      <c r="G82" t="s">
        <v>2017</v>
      </c>
      <c r="H82" t="s">
        <v>2026</v>
      </c>
      <c r="I82" t="s">
        <v>2108</v>
      </c>
      <c r="J82" t="s">
        <v>4031</v>
      </c>
      <c r="K82" t="s">
        <v>4038</v>
      </c>
      <c r="L82">
        <v>-1528.9</v>
      </c>
      <c r="N82">
        <f t="shared" si="3"/>
        <v>-1528.9</v>
      </c>
      <c r="O82" t="s">
        <v>4104</v>
      </c>
      <c r="P82" t="str">
        <f t="shared" si="4"/>
        <v xml:space="preserve"> </v>
      </c>
      <c r="Q82" t="str">
        <f t="shared" si="5"/>
        <v>Unfavorable</v>
      </c>
    </row>
    <row r="83" spans="1:17">
      <c r="A83" t="s">
        <v>93</v>
      </c>
      <c r="B83" s="2">
        <v>45172</v>
      </c>
      <c r="C83">
        <v>4000</v>
      </c>
      <c r="D83" t="s">
        <v>2012</v>
      </c>
      <c r="E83">
        <v>0</v>
      </c>
      <c r="F83">
        <v>4706.6099999999997</v>
      </c>
      <c r="G83" t="s">
        <v>2019</v>
      </c>
      <c r="H83" t="s">
        <v>2024</v>
      </c>
      <c r="I83" t="s">
        <v>2109</v>
      </c>
      <c r="J83" t="s">
        <v>4029</v>
      </c>
      <c r="K83" t="s">
        <v>4036</v>
      </c>
      <c r="L83">
        <v>4706.6099999999997</v>
      </c>
      <c r="N83">
        <f t="shared" si="3"/>
        <v>4706.6099999999997</v>
      </c>
      <c r="O83" t="s">
        <v>4104</v>
      </c>
      <c r="P83" t="str">
        <f t="shared" si="4"/>
        <v xml:space="preserve"> </v>
      </c>
      <c r="Q83" t="str">
        <f t="shared" si="5"/>
        <v>Favorable</v>
      </c>
    </row>
    <row r="84" spans="1:17">
      <c r="A84" t="s">
        <v>94</v>
      </c>
      <c r="B84" s="2">
        <v>45284</v>
      </c>
      <c r="C84">
        <v>5010</v>
      </c>
      <c r="D84" t="s">
        <v>2015</v>
      </c>
      <c r="E84">
        <v>1105.6300000000001</v>
      </c>
      <c r="F84">
        <v>0</v>
      </c>
      <c r="G84" t="s">
        <v>2017</v>
      </c>
      <c r="H84" t="s">
        <v>2024</v>
      </c>
      <c r="I84" t="s">
        <v>2110</v>
      </c>
      <c r="J84" t="s">
        <v>4030</v>
      </c>
      <c r="K84" t="s">
        <v>4039</v>
      </c>
      <c r="L84">
        <v>-1105.6300000000001</v>
      </c>
      <c r="N84">
        <f t="shared" si="3"/>
        <v>-1105.6300000000001</v>
      </c>
      <c r="O84" t="s">
        <v>4104</v>
      </c>
      <c r="P84" t="str">
        <f t="shared" si="4"/>
        <v xml:space="preserve"> </v>
      </c>
      <c r="Q84" t="str">
        <f t="shared" si="5"/>
        <v>Unfavorable</v>
      </c>
    </row>
    <row r="85" spans="1:17">
      <c r="A85" t="s">
        <v>95</v>
      </c>
      <c r="B85" s="2">
        <v>45222</v>
      </c>
      <c r="C85">
        <v>4010</v>
      </c>
      <c r="D85" t="s">
        <v>2016</v>
      </c>
      <c r="E85">
        <v>0</v>
      </c>
      <c r="F85">
        <v>3399.04</v>
      </c>
      <c r="G85" t="s">
        <v>2019</v>
      </c>
      <c r="H85" t="s">
        <v>2026</v>
      </c>
      <c r="I85" t="s">
        <v>2111</v>
      </c>
      <c r="J85" t="s">
        <v>4030</v>
      </c>
      <c r="K85" t="s">
        <v>4060</v>
      </c>
      <c r="L85">
        <v>3399.04</v>
      </c>
      <c r="N85">
        <f t="shared" si="3"/>
        <v>3399.04</v>
      </c>
      <c r="O85" t="s">
        <v>4104</v>
      </c>
      <c r="P85" t="str">
        <f t="shared" si="4"/>
        <v xml:space="preserve"> </v>
      </c>
      <c r="Q85" t="str">
        <f t="shared" si="5"/>
        <v>Favorable</v>
      </c>
    </row>
    <row r="86" spans="1:17">
      <c r="A86" t="s">
        <v>96</v>
      </c>
      <c r="B86" s="2">
        <v>45291</v>
      </c>
      <c r="C86">
        <v>5010</v>
      </c>
      <c r="D86" t="s">
        <v>2015</v>
      </c>
      <c r="E86">
        <v>1163.98</v>
      </c>
      <c r="F86">
        <v>0</v>
      </c>
      <c r="G86" t="s">
        <v>2017</v>
      </c>
      <c r="H86" t="s">
        <v>2027</v>
      </c>
      <c r="I86" t="s">
        <v>2112</v>
      </c>
      <c r="J86" t="s">
        <v>4028</v>
      </c>
      <c r="K86" t="s">
        <v>4039</v>
      </c>
      <c r="L86">
        <v>-1163.98</v>
      </c>
      <c r="N86">
        <f t="shared" si="3"/>
        <v>-1163.98</v>
      </c>
      <c r="O86" t="s">
        <v>4104</v>
      </c>
      <c r="P86" t="str">
        <f t="shared" si="4"/>
        <v xml:space="preserve"> </v>
      </c>
      <c r="Q86" t="str">
        <f t="shared" si="5"/>
        <v>Unfavorable</v>
      </c>
    </row>
    <row r="87" spans="1:17">
      <c r="A87" t="s">
        <v>97</v>
      </c>
      <c r="B87" s="2">
        <v>45221</v>
      </c>
      <c r="C87">
        <v>4000</v>
      </c>
      <c r="D87" t="s">
        <v>2012</v>
      </c>
      <c r="E87">
        <v>0</v>
      </c>
      <c r="F87">
        <v>3532.66</v>
      </c>
      <c r="G87" t="s">
        <v>2019</v>
      </c>
      <c r="H87" t="s">
        <v>2024</v>
      </c>
      <c r="I87" t="s">
        <v>2113</v>
      </c>
      <c r="J87" t="s">
        <v>4031</v>
      </c>
      <c r="K87" t="s">
        <v>4060</v>
      </c>
      <c r="L87">
        <v>3532.66</v>
      </c>
      <c r="N87">
        <f t="shared" si="3"/>
        <v>3532.66</v>
      </c>
      <c r="O87" t="s">
        <v>4104</v>
      </c>
      <c r="P87" t="str">
        <f t="shared" si="4"/>
        <v xml:space="preserve"> </v>
      </c>
      <c r="Q87" t="str">
        <f t="shared" si="5"/>
        <v>Favorable</v>
      </c>
    </row>
    <row r="88" spans="1:17">
      <c r="A88" t="s">
        <v>98</v>
      </c>
      <c r="B88" s="2">
        <v>45709</v>
      </c>
      <c r="C88">
        <v>5010</v>
      </c>
      <c r="D88" t="s">
        <v>2015</v>
      </c>
      <c r="E88">
        <v>1395.59</v>
      </c>
      <c r="F88">
        <v>0</v>
      </c>
      <c r="G88" t="s">
        <v>2018</v>
      </c>
      <c r="H88" t="s">
        <v>2027</v>
      </c>
      <c r="I88" t="s">
        <v>2114</v>
      </c>
      <c r="J88" t="s">
        <v>4031</v>
      </c>
      <c r="K88" t="s">
        <v>4061</v>
      </c>
      <c r="L88">
        <v>-1395.59</v>
      </c>
      <c r="N88">
        <f t="shared" si="3"/>
        <v>-1395.59</v>
      </c>
      <c r="O88" t="s">
        <v>4104</v>
      </c>
      <c r="P88" t="str">
        <f t="shared" si="4"/>
        <v xml:space="preserve"> </v>
      </c>
      <c r="Q88" t="str">
        <f t="shared" si="5"/>
        <v>Unfavorable</v>
      </c>
    </row>
    <row r="89" spans="1:17">
      <c r="A89" t="s">
        <v>99</v>
      </c>
      <c r="B89" s="2">
        <v>45618</v>
      </c>
      <c r="C89">
        <v>5000</v>
      </c>
      <c r="D89" t="s">
        <v>2013</v>
      </c>
      <c r="E89">
        <v>1441.07</v>
      </c>
      <c r="F89">
        <v>0</v>
      </c>
      <c r="G89" t="s">
        <v>2021</v>
      </c>
      <c r="H89" t="s">
        <v>2027</v>
      </c>
      <c r="I89" t="s">
        <v>2115</v>
      </c>
      <c r="J89" t="s">
        <v>4032</v>
      </c>
      <c r="K89" t="s">
        <v>4043</v>
      </c>
      <c r="L89">
        <v>-1441.07</v>
      </c>
      <c r="N89">
        <f t="shared" si="3"/>
        <v>-1441.07</v>
      </c>
      <c r="O89" t="s">
        <v>4104</v>
      </c>
      <c r="P89" t="str">
        <f t="shared" si="4"/>
        <v xml:space="preserve"> </v>
      </c>
      <c r="Q89" t="str">
        <f t="shared" si="5"/>
        <v>Unfavorable</v>
      </c>
    </row>
    <row r="90" spans="1:17">
      <c r="A90" t="s">
        <v>100</v>
      </c>
      <c r="B90" s="2">
        <v>45275</v>
      </c>
      <c r="C90">
        <v>4010</v>
      </c>
      <c r="D90" t="s">
        <v>2016</v>
      </c>
      <c r="E90">
        <v>0</v>
      </c>
      <c r="F90">
        <v>3845.76</v>
      </c>
      <c r="G90" t="s">
        <v>2017</v>
      </c>
      <c r="H90" t="s">
        <v>2023</v>
      </c>
      <c r="I90" t="s">
        <v>2116</v>
      </c>
      <c r="J90" t="s">
        <v>4031</v>
      </c>
      <c r="K90" t="s">
        <v>4039</v>
      </c>
      <c r="L90">
        <v>3845.76</v>
      </c>
      <c r="N90">
        <f t="shared" si="3"/>
        <v>3845.76</v>
      </c>
      <c r="O90" t="s">
        <v>4104</v>
      </c>
      <c r="P90" t="str">
        <f t="shared" si="4"/>
        <v xml:space="preserve"> </v>
      </c>
      <c r="Q90" t="str">
        <f t="shared" si="5"/>
        <v>Favorable</v>
      </c>
    </row>
    <row r="91" spans="1:17">
      <c r="A91" t="s">
        <v>101</v>
      </c>
      <c r="B91" s="2">
        <v>45135</v>
      </c>
      <c r="C91">
        <v>6000</v>
      </c>
      <c r="D91" t="s">
        <v>2014</v>
      </c>
      <c r="E91">
        <v>1448.69</v>
      </c>
      <c r="F91">
        <v>0</v>
      </c>
      <c r="G91" t="s">
        <v>2020</v>
      </c>
      <c r="H91" t="s">
        <v>2024</v>
      </c>
      <c r="I91" t="s">
        <v>2117</v>
      </c>
      <c r="J91" t="s">
        <v>4032</v>
      </c>
      <c r="K91" t="s">
        <v>4050</v>
      </c>
      <c r="L91">
        <v>-1448.69</v>
      </c>
      <c r="N91">
        <f t="shared" si="3"/>
        <v>-1448.69</v>
      </c>
      <c r="O91" t="s">
        <v>4104</v>
      </c>
      <c r="P91" t="str">
        <f t="shared" si="4"/>
        <v xml:space="preserve"> </v>
      </c>
      <c r="Q91" t="str">
        <f t="shared" si="5"/>
        <v>Unfavorable</v>
      </c>
    </row>
    <row r="92" spans="1:17">
      <c r="A92" t="s">
        <v>102</v>
      </c>
      <c r="B92" s="2">
        <v>45396</v>
      </c>
      <c r="C92">
        <v>5000</v>
      </c>
      <c r="D92" t="s">
        <v>2013</v>
      </c>
      <c r="E92">
        <v>74.5</v>
      </c>
      <c r="F92">
        <v>0</v>
      </c>
      <c r="G92" t="s">
        <v>2019</v>
      </c>
      <c r="H92" t="s">
        <v>2023</v>
      </c>
      <c r="I92" t="s">
        <v>2118</v>
      </c>
      <c r="J92" t="s">
        <v>4028</v>
      </c>
      <c r="K92" t="s">
        <v>4040</v>
      </c>
      <c r="L92">
        <v>-74.5</v>
      </c>
      <c r="N92">
        <f t="shared" si="3"/>
        <v>-74.5</v>
      </c>
      <c r="O92" t="s">
        <v>4104</v>
      </c>
      <c r="P92" t="str">
        <f t="shared" si="4"/>
        <v xml:space="preserve"> </v>
      </c>
      <c r="Q92" t="str">
        <f t="shared" si="5"/>
        <v>Unfavorable</v>
      </c>
    </row>
    <row r="93" spans="1:17">
      <c r="A93" t="s">
        <v>103</v>
      </c>
      <c r="B93" s="2">
        <v>45620</v>
      </c>
      <c r="C93">
        <v>4000</v>
      </c>
      <c r="D93" t="s">
        <v>2012</v>
      </c>
      <c r="E93">
        <v>0</v>
      </c>
      <c r="F93">
        <v>1071.73</v>
      </c>
      <c r="G93" t="s">
        <v>2022</v>
      </c>
      <c r="H93" t="s">
        <v>2025</v>
      </c>
      <c r="I93" t="s">
        <v>2119</v>
      </c>
      <c r="J93" t="s">
        <v>4031</v>
      </c>
      <c r="K93" t="s">
        <v>4043</v>
      </c>
      <c r="L93">
        <v>1071.73</v>
      </c>
      <c r="N93">
        <f t="shared" si="3"/>
        <v>1071.73</v>
      </c>
      <c r="O93" t="s">
        <v>4104</v>
      </c>
      <c r="P93" t="str">
        <f t="shared" si="4"/>
        <v xml:space="preserve"> </v>
      </c>
      <c r="Q93" t="str">
        <f t="shared" si="5"/>
        <v>Favorable</v>
      </c>
    </row>
    <row r="94" spans="1:17">
      <c r="A94" t="s">
        <v>104</v>
      </c>
      <c r="B94" s="2">
        <v>45709</v>
      </c>
      <c r="C94">
        <v>5000</v>
      </c>
      <c r="D94" t="s">
        <v>2013</v>
      </c>
      <c r="E94">
        <v>1875.56</v>
      </c>
      <c r="F94">
        <v>0</v>
      </c>
      <c r="G94" t="s">
        <v>2021</v>
      </c>
      <c r="H94" t="s">
        <v>2024</v>
      </c>
      <c r="I94" t="s">
        <v>2120</v>
      </c>
      <c r="J94" t="s">
        <v>4028</v>
      </c>
      <c r="K94" t="s">
        <v>4061</v>
      </c>
      <c r="L94">
        <v>-1875.56</v>
      </c>
      <c r="N94">
        <f t="shared" si="3"/>
        <v>-1875.56</v>
      </c>
      <c r="O94" t="s">
        <v>4104</v>
      </c>
      <c r="P94" t="str">
        <f t="shared" si="4"/>
        <v xml:space="preserve"> </v>
      </c>
      <c r="Q94" t="str">
        <f t="shared" si="5"/>
        <v>Unfavorable</v>
      </c>
    </row>
    <row r="95" spans="1:17">
      <c r="A95" t="s">
        <v>105</v>
      </c>
      <c r="B95" s="2">
        <v>45424</v>
      </c>
      <c r="C95">
        <v>6000</v>
      </c>
      <c r="D95" t="s">
        <v>2014</v>
      </c>
      <c r="E95">
        <v>1449.67</v>
      </c>
      <c r="F95">
        <v>0</v>
      </c>
      <c r="G95" t="s">
        <v>2017</v>
      </c>
      <c r="H95" t="s">
        <v>2026</v>
      </c>
      <c r="I95" t="s">
        <v>2121</v>
      </c>
      <c r="J95" t="s">
        <v>4031</v>
      </c>
      <c r="K95" t="s">
        <v>4033</v>
      </c>
      <c r="L95">
        <v>-1449.67</v>
      </c>
      <c r="N95">
        <f t="shared" si="3"/>
        <v>-1449.67</v>
      </c>
      <c r="O95" t="s">
        <v>4104</v>
      </c>
      <c r="P95" t="str">
        <f t="shared" si="4"/>
        <v xml:space="preserve"> </v>
      </c>
      <c r="Q95" t="str">
        <f t="shared" si="5"/>
        <v>Unfavorable</v>
      </c>
    </row>
    <row r="96" spans="1:17">
      <c r="A96" t="s">
        <v>106</v>
      </c>
      <c r="B96" s="2">
        <v>45215</v>
      </c>
      <c r="C96">
        <v>5000</v>
      </c>
      <c r="D96" t="s">
        <v>2013</v>
      </c>
      <c r="E96">
        <v>1782.21</v>
      </c>
      <c r="F96">
        <v>0</v>
      </c>
      <c r="G96" t="s">
        <v>2022</v>
      </c>
      <c r="H96" t="s">
        <v>2023</v>
      </c>
      <c r="I96" t="s">
        <v>2122</v>
      </c>
      <c r="J96" t="s">
        <v>4030</v>
      </c>
      <c r="K96" t="s">
        <v>4060</v>
      </c>
      <c r="L96">
        <v>-1782.21</v>
      </c>
      <c r="N96">
        <f t="shared" si="3"/>
        <v>-1782.21</v>
      </c>
      <c r="O96" t="s">
        <v>4104</v>
      </c>
      <c r="P96" t="str">
        <f t="shared" si="4"/>
        <v xml:space="preserve"> </v>
      </c>
      <c r="Q96" t="str">
        <f t="shared" si="5"/>
        <v>Unfavorable</v>
      </c>
    </row>
    <row r="97" spans="1:17">
      <c r="A97" t="s">
        <v>107</v>
      </c>
      <c r="B97" s="2">
        <v>45041</v>
      </c>
      <c r="C97">
        <v>4010</v>
      </c>
      <c r="D97" t="s">
        <v>2016</v>
      </c>
      <c r="E97">
        <v>0</v>
      </c>
      <c r="F97">
        <v>4889.25</v>
      </c>
      <c r="G97" t="s">
        <v>2022</v>
      </c>
      <c r="H97" t="s">
        <v>2024</v>
      </c>
      <c r="I97" t="s">
        <v>2123</v>
      </c>
      <c r="J97" t="s">
        <v>4030</v>
      </c>
      <c r="K97" t="s">
        <v>4041</v>
      </c>
      <c r="L97">
        <v>4889.25</v>
      </c>
      <c r="N97">
        <f t="shared" si="3"/>
        <v>4889.25</v>
      </c>
      <c r="O97" t="s">
        <v>4104</v>
      </c>
      <c r="P97" t="str">
        <f t="shared" si="4"/>
        <v xml:space="preserve"> </v>
      </c>
      <c r="Q97" t="str">
        <f t="shared" si="5"/>
        <v>Favorable</v>
      </c>
    </row>
    <row r="98" spans="1:17">
      <c r="A98" t="s">
        <v>108</v>
      </c>
      <c r="B98" s="2">
        <v>45211</v>
      </c>
      <c r="C98">
        <v>6000</v>
      </c>
      <c r="D98" t="s">
        <v>2014</v>
      </c>
      <c r="E98">
        <v>1101.33</v>
      </c>
      <c r="F98">
        <v>0</v>
      </c>
      <c r="G98" t="s">
        <v>2017</v>
      </c>
      <c r="H98" t="s">
        <v>2023</v>
      </c>
      <c r="I98" t="s">
        <v>2124</v>
      </c>
      <c r="J98" t="s">
        <v>4028</v>
      </c>
      <c r="K98" t="s">
        <v>4060</v>
      </c>
      <c r="L98">
        <v>-1101.33</v>
      </c>
      <c r="N98">
        <f t="shared" si="3"/>
        <v>-1101.33</v>
      </c>
      <c r="O98" t="s">
        <v>4104</v>
      </c>
      <c r="P98" t="str">
        <f t="shared" si="4"/>
        <v xml:space="preserve"> </v>
      </c>
      <c r="Q98" t="str">
        <f t="shared" si="5"/>
        <v>Unfavorable</v>
      </c>
    </row>
    <row r="99" spans="1:17">
      <c r="A99" t="s">
        <v>109</v>
      </c>
      <c r="B99" s="2">
        <v>45789</v>
      </c>
      <c r="C99">
        <v>5010</v>
      </c>
      <c r="D99" t="s">
        <v>2015</v>
      </c>
      <c r="E99">
        <v>121.65</v>
      </c>
      <c r="F99">
        <v>0</v>
      </c>
      <c r="G99" t="s">
        <v>2018</v>
      </c>
      <c r="H99" t="s">
        <v>2026</v>
      </c>
      <c r="I99" t="s">
        <v>2125</v>
      </c>
      <c r="J99" t="s">
        <v>4031</v>
      </c>
      <c r="K99" t="s">
        <v>4038</v>
      </c>
      <c r="L99">
        <v>-121.65</v>
      </c>
      <c r="N99">
        <f t="shared" si="3"/>
        <v>-121.65</v>
      </c>
      <c r="O99" t="s">
        <v>4104</v>
      </c>
      <c r="P99" t="str">
        <f t="shared" si="4"/>
        <v xml:space="preserve"> </v>
      </c>
      <c r="Q99" t="str">
        <f t="shared" si="5"/>
        <v>Unfavorable</v>
      </c>
    </row>
    <row r="100" spans="1:17">
      <c r="A100" t="s">
        <v>110</v>
      </c>
      <c r="B100" s="2">
        <v>44972</v>
      </c>
      <c r="C100">
        <v>5010</v>
      </c>
      <c r="D100" t="s">
        <v>2015</v>
      </c>
      <c r="E100">
        <v>137.87</v>
      </c>
      <c r="F100">
        <v>0</v>
      </c>
      <c r="G100" t="s">
        <v>2017</v>
      </c>
      <c r="H100" t="s">
        <v>2023</v>
      </c>
      <c r="I100" t="s">
        <v>2126</v>
      </c>
      <c r="J100" t="s">
        <v>4030</v>
      </c>
      <c r="K100" t="s">
        <v>4057</v>
      </c>
      <c r="L100">
        <v>-137.87</v>
      </c>
      <c r="N100">
        <f t="shared" si="3"/>
        <v>-137.87</v>
      </c>
      <c r="O100" t="s">
        <v>4104</v>
      </c>
      <c r="P100" t="str">
        <f t="shared" si="4"/>
        <v xml:space="preserve"> </v>
      </c>
      <c r="Q100" t="str">
        <f t="shared" si="5"/>
        <v>Unfavorable</v>
      </c>
    </row>
    <row r="101" spans="1:17">
      <c r="A101" t="s">
        <v>111</v>
      </c>
      <c r="B101" s="2">
        <v>44935</v>
      </c>
      <c r="C101">
        <v>4000</v>
      </c>
      <c r="D101" t="s">
        <v>2012</v>
      </c>
      <c r="E101">
        <v>0</v>
      </c>
      <c r="F101">
        <v>792.94</v>
      </c>
      <c r="G101" t="s">
        <v>2021</v>
      </c>
      <c r="H101" t="s">
        <v>2025</v>
      </c>
      <c r="I101" t="s">
        <v>2127</v>
      </c>
      <c r="J101" t="s">
        <v>4032</v>
      </c>
      <c r="K101" t="s">
        <v>4047</v>
      </c>
      <c r="L101">
        <v>792.94</v>
      </c>
      <c r="N101">
        <f t="shared" si="3"/>
        <v>792.94</v>
      </c>
      <c r="O101" t="s">
        <v>4104</v>
      </c>
      <c r="P101" t="str">
        <f t="shared" si="4"/>
        <v xml:space="preserve"> </v>
      </c>
      <c r="Q101" t="str">
        <f t="shared" si="5"/>
        <v>Favorable</v>
      </c>
    </row>
    <row r="102" spans="1:17">
      <c r="A102" t="s">
        <v>112</v>
      </c>
      <c r="B102" s="2">
        <v>45667</v>
      </c>
      <c r="C102">
        <v>4010</v>
      </c>
      <c r="D102" t="s">
        <v>2016</v>
      </c>
      <c r="E102">
        <v>0</v>
      </c>
      <c r="F102">
        <v>1346.1</v>
      </c>
      <c r="G102" t="s">
        <v>2018</v>
      </c>
      <c r="H102" t="s">
        <v>2024</v>
      </c>
      <c r="I102" t="s">
        <v>2128</v>
      </c>
      <c r="J102" t="s">
        <v>4031</v>
      </c>
      <c r="K102" t="s">
        <v>4035</v>
      </c>
      <c r="L102">
        <v>1346.1</v>
      </c>
      <c r="N102">
        <f t="shared" si="3"/>
        <v>1346.1</v>
      </c>
      <c r="O102" t="s">
        <v>4104</v>
      </c>
      <c r="P102" t="str">
        <f t="shared" si="4"/>
        <v xml:space="preserve"> </v>
      </c>
      <c r="Q102" t="str">
        <f t="shared" si="5"/>
        <v>Favorable</v>
      </c>
    </row>
    <row r="103" spans="1:17">
      <c r="A103" t="s">
        <v>113</v>
      </c>
      <c r="B103" s="2">
        <v>45478</v>
      </c>
      <c r="C103">
        <v>4010</v>
      </c>
      <c r="D103" t="s">
        <v>2016</v>
      </c>
      <c r="E103">
        <v>0</v>
      </c>
      <c r="F103">
        <v>961.26</v>
      </c>
      <c r="G103" t="s">
        <v>2022</v>
      </c>
      <c r="H103" t="s">
        <v>2024</v>
      </c>
      <c r="I103" t="s">
        <v>2129</v>
      </c>
      <c r="J103" t="s">
        <v>4032</v>
      </c>
      <c r="K103" t="s">
        <v>4054</v>
      </c>
      <c r="L103">
        <v>961.26</v>
      </c>
      <c r="N103">
        <f t="shared" si="3"/>
        <v>961.26</v>
      </c>
      <c r="O103" t="s">
        <v>4104</v>
      </c>
      <c r="P103" t="str">
        <f t="shared" si="4"/>
        <v xml:space="preserve"> </v>
      </c>
      <c r="Q103" t="str">
        <f t="shared" si="5"/>
        <v>Favorable</v>
      </c>
    </row>
    <row r="104" spans="1:17">
      <c r="A104" t="s">
        <v>114</v>
      </c>
      <c r="B104" s="2">
        <v>45572</v>
      </c>
      <c r="C104">
        <v>5000</v>
      </c>
      <c r="D104" t="s">
        <v>2013</v>
      </c>
      <c r="E104">
        <v>421.91</v>
      </c>
      <c r="F104">
        <v>0</v>
      </c>
      <c r="G104" t="s">
        <v>2022</v>
      </c>
      <c r="H104" t="s">
        <v>2024</v>
      </c>
      <c r="I104" t="s">
        <v>2130</v>
      </c>
      <c r="J104" t="s">
        <v>4029</v>
      </c>
      <c r="K104" t="s">
        <v>4059</v>
      </c>
      <c r="L104">
        <v>-421.91</v>
      </c>
      <c r="N104">
        <f t="shared" si="3"/>
        <v>-421.91</v>
      </c>
      <c r="O104" t="s">
        <v>4104</v>
      </c>
      <c r="P104" t="str">
        <f t="shared" si="4"/>
        <v xml:space="preserve"> </v>
      </c>
      <c r="Q104" t="str">
        <f t="shared" si="5"/>
        <v>Unfavorable</v>
      </c>
    </row>
    <row r="105" spans="1:17">
      <c r="A105" t="s">
        <v>115</v>
      </c>
      <c r="B105" s="2">
        <v>45799</v>
      </c>
      <c r="C105">
        <v>4000</v>
      </c>
      <c r="D105" t="s">
        <v>2012</v>
      </c>
      <c r="E105">
        <v>0</v>
      </c>
      <c r="F105">
        <v>1902.45</v>
      </c>
      <c r="G105" t="s">
        <v>2019</v>
      </c>
      <c r="H105" t="s">
        <v>2023</v>
      </c>
      <c r="I105" t="s">
        <v>2131</v>
      </c>
      <c r="J105" t="s">
        <v>4028</v>
      </c>
      <c r="K105" t="s">
        <v>4038</v>
      </c>
      <c r="L105">
        <v>1902.45</v>
      </c>
      <c r="N105">
        <f t="shared" si="3"/>
        <v>1902.45</v>
      </c>
      <c r="O105" t="s">
        <v>4104</v>
      </c>
      <c r="P105" t="str">
        <f t="shared" si="4"/>
        <v xml:space="preserve"> </v>
      </c>
      <c r="Q105" t="str">
        <f t="shared" si="5"/>
        <v>Favorable</v>
      </c>
    </row>
    <row r="106" spans="1:17">
      <c r="A106" t="s">
        <v>116</v>
      </c>
      <c r="B106" s="2">
        <v>45170</v>
      </c>
      <c r="C106">
        <v>6000</v>
      </c>
      <c r="D106" t="s">
        <v>2014</v>
      </c>
      <c r="E106">
        <v>764.96</v>
      </c>
      <c r="F106">
        <v>0</v>
      </c>
      <c r="G106" t="s">
        <v>2021</v>
      </c>
      <c r="H106" t="s">
        <v>2026</v>
      </c>
      <c r="I106" t="s">
        <v>2132</v>
      </c>
      <c r="J106" t="s">
        <v>4031</v>
      </c>
      <c r="K106" t="s">
        <v>4036</v>
      </c>
      <c r="L106">
        <v>-764.96</v>
      </c>
      <c r="N106">
        <f t="shared" si="3"/>
        <v>-764.96</v>
      </c>
      <c r="O106" t="s">
        <v>4104</v>
      </c>
      <c r="P106" t="str">
        <f t="shared" si="4"/>
        <v xml:space="preserve"> </v>
      </c>
      <c r="Q106" t="str">
        <f t="shared" si="5"/>
        <v>Unfavorable</v>
      </c>
    </row>
    <row r="107" spans="1:17">
      <c r="A107" t="s">
        <v>117</v>
      </c>
      <c r="B107" s="2">
        <v>45162</v>
      </c>
      <c r="C107">
        <v>4000</v>
      </c>
      <c r="D107" t="s">
        <v>2012</v>
      </c>
      <c r="E107">
        <v>0</v>
      </c>
      <c r="F107">
        <v>734.03</v>
      </c>
      <c r="G107" t="s">
        <v>2017</v>
      </c>
      <c r="H107" t="s">
        <v>2027</v>
      </c>
      <c r="I107" t="s">
        <v>2133</v>
      </c>
      <c r="J107" t="s">
        <v>4029</v>
      </c>
      <c r="K107" t="s">
        <v>4037</v>
      </c>
      <c r="L107">
        <v>734.03</v>
      </c>
      <c r="N107">
        <f t="shared" si="3"/>
        <v>734.03</v>
      </c>
      <c r="O107" t="s">
        <v>4104</v>
      </c>
      <c r="P107" t="str">
        <f t="shared" si="4"/>
        <v xml:space="preserve"> </v>
      </c>
      <c r="Q107" t="str">
        <f t="shared" si="5"/>
        <v>Favorable</v>
      </c>
    </row>
    <row r="108" spans="1:17">
      <c r="A108" t="s">
        <v>118</v>
      </c>
      <c r="B108" s="2">
        <v>45107</v>
      </c>
      <c r="C108">
        <v>5000</v>
      </c>
      <c r="D108" t="s">
        <v>2013</v>
      </c>
      <c r="E108">
        <v>1157.81</v>
      </c>
      <c r="F108">
        <v>0</v>
      </c>
      <c r="G108" t="s">
        <v>2020</v>
      </c>
      <c r="H108" t="s">
        <v>2025</v>
      </c>
      <c r="I108" t="s">
        <v>2134</v>
      </c>
      <c r="J108" t="s">
        <v>4030</v>
      </c>
      <c r="K108" t="s">
        <v>4055</v>
      </c>
      <c r="L108">
        <v>-1157.81</v>
      </c>
      <c r="N108">
        <f t="shared" si="3"/>
        <v>-1157.81</v>
      </c>
      <c r="O108" t="s">
        <v>4104</v>
      </c>
      <c r="P108" t="str">
        <f t="shared" si="4"/>
        <v xml:space="preserve"> </v>
      </c>
      <c r="Q108" t="str">
        <f t="shared" si="5"/>
        <v>Unfavorable</v>
      </c>
    </row>
    <row r="109" spans="1:17">
      <c r="A109" t="s">
        <v>119</v>
      </c>
      <c r="B109" s="2">
        <v>45823</v>
      </c>
      <c r="C109">
        <v>5010</v>
      </c>
      <c r="D109" t="s">
        <v>2015</v>
      </c>
      <c r="E109">
        <v>1552.29</v>
      </c>
      <c r="F109">
        <v>0</v>
      </c>
      <c r="G109" t="s">
        <v>2021</v>
      </c>
      <c r="H109" t="s">
        <v>2025</v>
      </c>
      <c r="I109" t="s">
        <v>2135</v>
      </c>
      <c r="J109" t="s">
        <v>4028</v>
      </c>
      <c r="K109" t="s">
        <v>4052</v>
      </c>
      <c r="L109">
        <v>-1552.29</v>
      </c>
      <c r="N109">
        <f t="shared" si="3"/>
        <v>-1552.29</v>
      </c>
      <c r="O109" t="s">
        <v>4104</v>
      </c>
      <c r="P109" t="str">
        <f t="shared" si="4"/>
        <v xml:space="preserve"> </v>
      </c>
      <c r="Q109" t="str">
        <f t="shared" si="5"/>
        <v>Unfavorable</v>
      </c>
    </row>
    <row r="110" spans="1:17">
      <c r="A110" t="s">
        <v>120</v>
      </c>
      <c r="B110" s="2">
        <v>45319</v>
      </c>
      <c r="C110">
        <v>6000</v>
      </c>
      <c r="D110" t="s">
        <v>2014</v>
      </c>
      <c r="E110">
        <v>1400.69</v>
      </c>
      <c r="F110">
        <v>0</v>
      </c>
      <c r="G110" t="s">
        <v>2018</v>
      </c>
      <c r="H110" t="s">
        <v>2025</v>
      </c>
      <c r="I110" t="s">
        <v>2136</v>
      </c>
      <c r="J110" t="s">
        <v>4028</v>
      </c>
      <c r="K110" t="s">
        <v>4053</v>
      </c>
      <c r="L110">
        <v>-1400.69</v>
      </c>
      <c r="N110">
        <f t="shared" si="3"/>
        <v>-1400.69</v>
      </c>
      <c r="O110" t="s">
        <v>4104</v>
      </c>
      <c r="P110" t="str">
        <f t="shared" si="4"/>
        <v xml:space="preserve"> </v>
      </c>
      <c r="Q110" t="str">
        <f t="shared" si="5"/>
        <v>Unfavorable</v>
      </c>
    </row>
    <row r="111" spans="1:17">
      <c r="A111" t="s">
        <v>121</v>
      </c>
      <c r="B111" s="2">
        <v>45355</v>
      </c>
      <c r="C111">
        <v>5010</v>
      </c>
      <c r="D111" t="s">
        <v>2015</v>
      </c>
      <c r="E111">
        <v>1548.81</v>
      </c>
      <c r="F111">
        <v>0</v>
      </c>
      <c r="G111" t="s">
        <v>2022</v>
      </c>
      <c r="H111" t="s">
        <v>2027</v>
      </c>
      <c r="I111" t="s">
        <v>2137</v>
      </c>
      <c r="J111" t="s">
        <v>4030</v>
      </c>
      <c r="K111" t="s">
        <v>4049</v>
      </c>
      <c r="L111">
        <v>-1548.81</v>
      </c>
      <c r="N111">
        <f t="shared" si="3"/>
        <v>-1548.81</v>
      </c>
      <c r="O111" t="s">
        <v>4104</v>
      </c>
      <c r="P111" t="str">
        <f t="shared" si="4"/>
        <v xml:space="preserve"> </v>
      </c>
      <c r="Q111" t="str">
        <f t="shared" si="5"/>
        <v>Unfavorable</v>
      </c>
    </row>
    <row r="112" spans="1:17">
      <c r="A112" t="s">
        <v>122</v>
      </c>
      <c r="B112" s="2">
        <v>45702</v>
      </c>
      <c r="C112">
        <v>6000</v>
      </c>
      <c r="D112" t="s">
        <v>2014</v>
      </c>
      <c r="E112">
        <v>1166.95</v>
      </c>
      <c r="F112">
        <v>0</v>
      </c>
      <c r="G112" t="s">
        <v>2017</v>
      </c>
      <c r="H112" t="s">
        <v>2027</v>
      </c>
      <c r="I112" t="s">
        <v>2138</v>
      </c>
      <c r="J112" t="s">
        <v>4028</v>
      </c>
      <c r="K112" t="s">
        <v>4061</v>
      </c>
      <c r="L112">
        <v>-1166.95</v>
      </c>
      <c r="N112">
        <f t="shared" si="3"/>
        <v>-1166.95</v>
      </c>
      <c r="O112" t="s">
        <v>4104</v>
      </c>
      <c r="P112" t="str">
        <f t="shared" si="4"/>
        <v xml:space="preserve"> </v>
      </c>
      <c r="Q112" t="str">
        <f t="shared" si="5"/>
        <v>Unfavorable</v>
      </c>
    </row>
    <row r="113" spans="1:17">
      <c r="A113" t="s">
        <v>123</v>
      </c>
      <c r="B113" s="2">
        <v>45102</v>
      </c>
      <c r="C113">
        <v>4000</v>
      </c>
      <c r="D113" t="s">
        <v>2012</v>
      </c>
      <c r="E113">
        <v>0</v>
      </c>
      <c r="F113">
        <v>3630.78</v>
      </c>
      <c r="G113" t="s">
        <v>2021</v>
      </c>
      <c r="H113" t="s">
        <v>2024</v>
      </c>
      <c r="I113" t="s">
        <v>2139</v>
      </c>
      <c r="J113" t="s">
        <v>4032</v>
      </c>
      <c r="K113" t="s">
        <v>4055</v>
      </c>
      <c r="L113">
        <v>3630.78</v>
      </c>
      <c r="N113">
        <f t="shared" si="3"/>
        <v>3630.78</v>
      </c>
      <c r="O113" t="s">
        <v>4104</v>
      </c>
      <c r="P113" t="str">
        <f t="shared" si="4"/>
        <v xml:space="preserve"> </v>
      </c>
      <c r="Q113" t="str">
        <f t="shared" si="5"/>
        <v>Favorable</v>
      </c>
    </row>
    <row r="114" spans="1:17">
      <c r="A114" t="s">
        <v>124</v>
      </c>
      <c r="B114" s="2">
        <v>45381</v>
      </c>
      <c r="C114">
        <v>4000</v>
      </c>
      <c r="D114" t="s">
        <v>2012</v>
      </c>
      <c r="E114">
        <v>0</v>
      </c>
      <c r="F114">
        <v>1148.97</v>
      </c>
      <c r="G114" t="s">
        <v>2018</v>
      </c>
      <c r="H114" t="s">
        <v>2027</v>
      </c>
      <c r="I114" t="s">
        <v>2140</v>
      </c>
      <c r="J114" t="s">
        <v>4032</v>
      </c>
      <c r="K114" t="s">
        <v>4049</v>
      </c>
      <c r="L114">
        <v>1148.97</v>
      </c>
      <c r="N114">
        <f t="shared" si="3"/>
        <v>1148.97</v>
      </c>
      <c r="O114" t="s">
        <v>4104</v>
      </c>
      <c r="P114" t="str">
        <f t="shared" si="4"/>
        <v xml:space="preserve"> </v>
      </c>
      <c r="Q114" t="str">
        <f t="shared" si="5"/>
        <v>Favorable</v>
      </c>
    </row>
    <row r="115" spans="1:17">
      <c r="A115" t="s">
        <v>125</v>
      </c>
      <c r="B115" s="2">
        <v>45545</v>
      </c>
      <c r="C115">
        <v>4000</v>
      </c>
      <c r="D115" t="s">
        <v>2012</v>
      </c>
      <c r="E115">
        <v>0</v>
      </c>
      <c r="F115">
        <v>1826.98</v>
      </c>
      <c r="G115" t="s">
        <v>2021</v>
      </c>
      <c r="H115" t="s">
        <v>2026</v>
      </c>
      <c r="I115" t="s">
        <v>2141</v>
      </c>
      <c r="J115" t="s">
        <v>4030</v>
      </c>
      <c r="K115" t="s">
        <v>4048</v>
      </c>
      <c r="L115">
        <v>1826.98</v>
      </c>
      <c r="N115">
        <f t="shared" si="3"/>
        <v>1826.98</v>
      </c>
      <c r="O115" t="s">
        <v>4104</v>
      </c>
      <c r="P115" t="str">
        <f t="shared" si="4"/>
        <v xml:space="preserve"> </v>
      </c>
      <c r="Q115" t="str">
        <f t="shared" si="5"/>
        <v>Favorable</v>
      </c>
    </row>
    <row r="116" spans="1:17">
      <c r="A116" t="s">
        <v>126</v>
      </c>
      <c r="B116" s="2">
        <v>45227</v>
      </c>
      <c r="C116">
        <v>5010</v>
      </c>
      <c r="D116" t="s">
        <v>2015</v>
      </c>
      <c r="E116">
        <v>464.27</v>
      </c>
      <c r="F116">
        <v>0</v>
      </c>
      <c r="G116" t="s">
        <v>2021</v>
      </c>
      <c r="H116" t="s">
        <v>2023</v>
      </c>
      <c r="I116" t="s">
        <v>2142</v>
      </c>
      <c r="J116" t="s">
        <v>4031</v>
      </c>
      <c r="K116" t="s">
        <v>4060</v>
      </c>
      <c r="L116">
        <v>-464.27</v>
      </c>
      <c r="N116">
        <f t="shared" si="3"/>
        <v>-464.27</v>
      </c>
      <c r="O116" t="s">
        <v>4104</v>
      </c>
      <c r="P116" t="str">
        <f t="shared" si="4"/>
        <v xml:space="preserve"> </v>
      </c>
      <c r="Q116" t="str">
        <f t="shared" si="5"/>
        <v>Unfavorable</v>
      </c>
    </row>
    <row r="117" spans="1:17">
      <c r="A117" t="s">
        <v>127</v>
      </c>
      <c r="B117" s="2">
        <v>45762</v>
      </c>
      <c r="C117">
        <v>5010</v>
      </c>
      <c r="D117" t="s">
        <v>2015</v>
      </c>
      <c r="E117">
        <v>325.08999999999997</v>
      </c>
      <c r="F117">
        <v>0</v>
      </c>
      <c r="G117" t="s">
        <v>2021</v>
      </c>
      <c r="H117" t="s">
        <v>2025</v>
      </c>
      <c r="I117" t="s">
        <v>2143</v>
      </c>
      <c r="J117" t="s">
        <v>4031</v>
      </c>
      <c r="K117" t="s">
        <v>4045</v>
      </c>
      <c r="L117">
        <v>-325.08999999999997</v>
      </c>
      <c r="N117">
        <f t="shared" si="3"/>
        <v>-325.08999999999997</v>
      </c>
      <c r="O117" t="s">
        <v>4104</v>
      </c>
      <c r="P117" t="str">
        <f t="shared" si="4"/>
        <v xml:space="preserve"> </v>
      </c>
      <c r="Q117" t="str">
        <f t="shared" si="5"/>
        <v>Unfavorable</v>
      </c>
    </row>
    <row r="118" spans="1:17">
      <c r="A118" t="s">
        <v>128</v>
      </c>
      <c r="B118" s="2">
        <v>45029</v>
      </c>
      <c r="C118">
        <v>4000</v>
      </c>
      <c r="D118" t="s">
        <v>2012</v>
      </c>
      <c r="E118">
        <v>0</v>
      </c>
      <c r="F118">
        <v>3674.13</v>
      </c>
      <c r="G118" t="s">
        <v>2018</v>
      </c>
      <c r="H118" t="s">
        <v>2027</v>
      </c>
      <c r="I118" t="s">
        <v>2144</v>
      </c>
      <c r="J118" t="s">
        <v>4032</v>
      </c>
      <c r="K118" t="s">
        <v>4041</v>
      </c>
      <c r="L118">
        <v>3674.13</v>
      </c>
      <c r="N118">
        <f t="shared" si="3"/>
        <v>3674.13</v>
      </c>
      <c r="O118" t="s">
        <v>4104</v>
      </c>
      <c r="P118" t="str">
        <f t="shared" si="4"/>
        <v xml:space="preserve"> </v>
      </c>
      <c r="Q118" t="str">
        <f t="shared" si="5"/>
        <v>Favorable</v>
      </c>
    </row>
    <row r="119" spans="1:17">
      <c r="A119" t="s">
        <v>129</v>
      </c>
      <c r="B119" s="2">
        <v>45170</v>
      </c>
      <c r="C119">
        <v>4010</v>
      </c>
      <c r="D119" t="s">
        <v>2016</v>
      </c>
      <c r="E119">
        <v>0</v>
      </c>
      <c r="F119">
        <v>2578.4299999999998</v>
      </c>
      <c r="G119" t="s">
        <v>2021</v>
      </c>
      <c r="H119" t="s">
        <v>2024</v>
      </c>
      <c r="I119" t="s">
        <v>2145</v>
      </c>
      <c r="J119" t="s">
        <v>4028</v>
      </c>
      <c r="K119" t="s">
        <v>4036</v>
      </c>
      <c r="L119">
        <v>2578.4299999999998</v>
      </c>
      <c r="N119">
        <f t="shared" si="3"/>
        <v>2578.4299999999998</v>
      </c>
      <c r="O119" t="s">
        <v>4104</v>
      </c>
      <c r="P119" t="str">
        <f t="shared" si="4"/>
        <v xml:space="preserve"> </v>
      </c>
      <c r="Q119" t="str">
        <f t="shared" si="5"/>
        <v>Favorable</v>
      </c>
    </row>
    <row r="120" spans="1:17">
      <c r="A120" t="s">
        <v>130</v>
      </c>
      <c r="B120" s="2">
        <v>45669</v>
      </c>
      <c r="C120">
        <v>6000</v>
      </c>
      <c r="D120" t="s">
        <v>2014</v>
      </c>
      <c r="E120">
        <v>523.80999999999995</v>
      </c>
      <c r="F120">
        <v>0</v>
      </c>
      <c r="G120" t="s">
        <v>2020</v>
      </c>
      <c r="H120" t="s">
        <v>2023</v>
      </c>
      <c r="I120" t="s">
        <v>2146</v>
      </c>
      <c r="J120" t="s">
        <v>4030</v>
      </c>
      <c r="K120" t="s">
        <v>4035</v>
      </c>
      <c r="L120">
        <v>-523.80999999999995</v>
      </c>
      <c r="N120">
        <f t="shared" si="3"/>
        <v>-523.80999999999995</v>
      </c>
      <c r="O120" t="s">
        <v>4104</v>
      </c>
      <c r="P120" t="str">
        <f t="shared" si="4"/>
        <v xml:space="preserve"> </v>
      </c>
      <c r="Q120" t="str">
        <f t="shared" si="5"/>
        <v>Unfavorable</v>
      </c>
    </row>
    <row r="121" spans="1:17">
      <c r="A121" t="s">
        <v>131</v>
      </c>
      <c r="B121" s="2">
        <v>45626</v>
      </c>
      <c r="C121">
        <v>5010</v>
      </c>
      <c r="D121" t="s">
        <v>2015</v>
      </c>
      <c r="E121">
        <v>1120.46</v>
      </c>
      <c r="F121">
        <v>0</v>
      </c>
      <c r="G121" t="s">
        <v>2021</v>
      </c>
      <c r="H121" t="s">
        <v>2024</v>
      </c>
      <c r="I121" t="s">
        <v>2147</v>
      </c>
      <c r="J121" t="s">
        <v>4030</v>
      </c>
      <c r="K121" t="s">
        <v>4043</v>
      </c>
      <c r="L121">
        <v>-1120.46</v>
      </c>
      <c r="N121">
        <f t="shared" si="3"/>
        <v>-1120.46</v>
      </c>
      <c r="O121" t="s">
        <v>4104</v>
      </c>
      <c r="P121" t="str">
        <f t="shared" si="4"/>
        <v xml:space="preserve"> </v>
      </c>
      <c r="Q121" t="str">
        <f t="shared" si="5"/>
        <v>Unfavorable</v>
      </c>
    </row>
    <row r="122" spans="1:17">
      <c r="A122" t="s">
        <v>132</v>
      </c>
      <c r="B122" s="2">
        <v>45000</v>
      </c>
      <c r="C122">
        <v>5000</v>
      </c>
      <c r="D122" t="s">
        <v>2013</v>
      </c>
      <c r="E122">
        <v>547.59</v>
      </c>
      <c r="F122">
        <v>0</v>
      </c>
      <c r="G122" t="s">
        <v>2019</v>
      </c>
      <c r="H122" t="s">
        <v>2023</v>
      </c>
      <c r="I122" t="s">
        <v>2148</v>
      </c>
      <c r="J122" t="s">
        <v>4030</v>
      </c>
      <c r="K122" t="s">
        <v>4051</v>
      </c>
      <c r="L122">
        <v>-547.59</v>
      </c>
      <c r="N122">
        <f t="shared" si="3"/>
        <v>-547.59</v>
      </c>
      <c r="O122" t="s">
        <v>4104</v>
      </c>
      <c r="P122" t="str">
        <f t="shared" si="4"/>
        <v xml:space="preserve"> </v>
      </c>
      <c r="Q122" t="str">
        <f t="shared" si="5"/>
        <v>Unfavorable</v>
      </c>
    </row>
    <row r="123" spans="1:17">
      <c r="A123" t="s">
        <v>133</v>
      </c>
      <c r="B123" s="2">
        <v>45681</v>
      </c>
      <c r="C123">
        <v>4010</v>
      </c>
      <c r="D123" t="s">
        <v>2016</v>
      </c>
      <c r="E123">
        <v>0</v>
      </c>
      <c r="F123">
        <v>2032.52</v>
      </c>
      <c r="G123" t="s">
        <v>2022</v>
      </c>
      <c r="H123" t="s">
        <v>2025</v>
      </c>
      <c r="I123" t="s">
        <v>2149</v>
      </c>
      <c r="J123" t="s">
        <v>4032</v>
      </c>
      <c r="K123" t="s">
        <v>4035</v>
      </c>
      <c r="L123">
        <v>2032.52</v>
      </c>
      <c r="N123">
        <f t="shared" si="3"/>
        <v>2032.52</v>
      </c>
      <c r="O123" t="s">
        <v>4104</v>
      </c>
      <c r="P123" t="str">
        <f t="shared" si="4"/>
        <v xml:space="preserve"> </v>
      </c>
      <c r="Q123" t="str">
        <f t="shared" si="5"/>
        <v>Favorable</v>
      </c>
    </row>
    <row r="124" spans="1:17">
      <c r="A124" t="s">
        <v>134</v>
      </c>
      <c r="B124" s="2">
        <v>45128</v>
      </c>
      <c r="C124">
        <v>6000</v>
      </c>
      <c r="D124" t="s">
        <v>2014</v>
      </c>
      <c r="E124">
        <v>1405.18</v>
      </c>
      <c r="F124">
        <v>0</v>
      </c>
      <c r="G124" t="s">
        <v>2022</v>
      </c>
      <c r="H124" t="s">
        <v>2024</v>
      </c>
      <c r="I124" t="s">
        <v>2150</v>
      </c>
      <c r="J124" t="s">
        <v>4028</v>
      </c>
      <c r="K124" t="s">
        <v>4050</v>
      </c>
      <c r="L124">
        <v>-1405.18</v>
      </c>
      <c r="N124">
        <f t="shared" si="3"/>
        <v>-1405.18</v>
      </c>
      <c r="O124" t="s">
        <v>4104</v>
      </c>
      <c r="P124" t="str">
        <f t="shared" si="4"/>
        <v xml:space="preserve"> </v>
      </c>
      <c r="Q124" t="str">
        <f t="shared" si="5"/>
        <v>Unfavorable</v>
      </c>
    </row>
    <row r="125" spans="1:17">
      <c r="A125" t="s">
        <v>135</v>
      </c>
      <c r="B125" s="2">
        <v>45345</v>
      </c>
      <c r="C125">
        <v>5000</v>
      </c>
      <c r="D125" t="s">
        <v>2013</v>
      </c>
      <c r="E125">
        <v>150.66999999999999</v>
      </c>
      <c r="F125">
        <v>0</v>
      </c>
      <c r="G125" t="s">
        <v>2020</v>
      </c>
      <c r="H125" t="s">
        <v>2023</v>
      </c>
      <c r="I125" t="s">
        <v>2151</v>
      </c>
      <c r="J125" t="s">
        <v>4032</v>
      </c>
      <c r="K125" t="s">
        <v>4044</v>
      </c>
      <c r="L125">
        <v>-150.66999999999999</v>
      </c>
      <c r="N125">
        <f t="shared" si="3"/>
        <v>-150.66999999999999</v>
      </c>
      <c r="O125" t="s">
        <v>4104</v>
      </c>
      <c r="P125" t="str">
        <f t="shared" si="4"/>
        <v xml:space="preserve"> </v>
      </c>
      <c r="Q125" t="str">
        <f t="shared" si="5"/>
        <v>Unfavorable</v>
      </c>
    </row>
    <row r="126" spans="1:17">
      <c r="A126" t="s">
        <v>136</v>
      </c>
      <c r="B126" s="2">
        <v>45510</v>
      </c>
      <c r="C126">
        <v>4010</v>
      </c>
      <c r="D126" t="s">
        <v>2016</v>
      </c>
      <c r="E126">
        <v>0</v>
      </c>
      <c r="F126">
        <v>902.67</v>
      </c>
      <c r="G126" t="s">
        <v>2019</v>
      </c>
      <c r="H126" t="s">
        <v>2024</v>
      </c>
      <c r="I126" t="s">
        <v>2152</v>
      </c>
      <c r="J126" t="s">
        <v>4032</v>
      </c>
      <c r="K126" t="s">
        <v>4058</v>
      </c>
      <c r="L126">
        <v>902.67</v>
      </c>
      <c r="N126">
        <f t="shared" si="3"/>
        <v>902.67</v>
      </c>
      <c r="O126" t="s">
        <v>4104</v>
      </c>
      <c r="P126" t="str">
        <f t="shared" si="4"/>
        <v xml:space="preserve"> </v>
      </c>
      <c r="Q126" t="str">
        <f t="shared" si="5"/>
        <v>Favorable</v>
      </c>
    </row>
    <row r="127" spans="1:17">
      <c r="A127" t="s">
        <v>137</v>
      </c>
      <c r="B127" s="2">
        <v>45260</v>
      </c>
      <c r="C127">
        <v>4000</v>
      </c>
      <c r="D127" t="s">
        <v>2012</v>
      </c>
      <c r="E127">
        <v>0</v>
      </c>
      <c r="F127">
        <v>160.09</v>
      </c>
      <c r="G127" t="s">
        <v>2021</v>
      </c>
      <c r="H127" t="s">
        <v>2023</v>
      </c>
      <c r="I127" t="s">
        <v>2153</v>
      </c>
      <c r="J127" t="s">
        <v>4032</v>
      </c>
      <c r="K127" t="s">
        <v>4042</v>
      </c>
      <c r="L127">
        <v>160.09</v>
      </c>
      <c r="N127">
        <f t="shared" si="3"/>
        <v>160.09</v>
      </c>
      <c r="O127" t="s">
        <v>4104</v>
      </c>
      <c r="P127" t="str">
        <f t="shared" si="4"/>
        <v xml:space="preserve"> </v>
      </c>
      <c r="Q127" t="str">
        <f t="shared" si="5"/>
        <v>Favorable</v>
      </c>
    </row>
    <row r="128" spans="1:17">
      <c r="A128" t="s">
        <v>138</v>
      </c>
      <c r="B128" s="2">
        <v>45276</v>
      </c>
      <c r="C128">
        <v>5010</v>
      </c>
      <c r="D128" t="s">
        <v>2015</v>
      </c>
      <c r="E128">
        <v>367.4</v>
      </c>
      <c r="F128">
        <v>0</v>
      </c>
      <c r="G128" t="s">
        <v>2019</v>
      </c>
      <c r="H128" t="s">
        <v>2023</v>
      </c>
      <c r="I128" t="s">
        <v>2154</v>
      </c>
      <c r="J128" t="s">
        <v>4030</v>
      </c>
      <c r="K128" t="s">
        <v>4039</v>
      </c>
      <c r="L128">
        <v>-367.4</v>
      </c>
      <c r="N128">
        <f t="shared" si="3"/>
        <v>-367.4</v>
      </c>
      <c r="O128" t="s">
        <v>4104</v>
      </c>
      <c r="P128" t="str">
        <f t="shared" si="4"/>
        <v xml:space="preserve"> </v>
      </c>
      <c r="Q128" t="str">
        <f t="shared" si="5"/>
        <v>Unfavorable</v>
      </c>
    </row>
    <row r="129" spans="1:17">
      <c r="A129" t="s">
        <v>139</v>
      </c>
      <c r="B129" s="2">
        <v>44962</v>
      </c>
      <c r="C129">
        <v>4000</v>
      </c>
      <c r="D129" t="s">
        <v>2012</v>
      </c>
      <c r="E129">
        <v>0</v>
      </c>
      <c r="F129">
        <v>4964.84</v>
      </c>
      <c r="G129" t="s">
        <v>2018</v>
      </c>
      <c r="H129" t="s">
        <v>2023</v>
      </c>
      <c r="I129" t="s">
        <v>2155</v>
      </c>
      <c r="J129" t="s">
        <v>4028</v>
      </c>
      <c r="K129" t="s">
        <v>4057</v>
      </c>
      <c r="L129">
        <v>4964.84</v>
      </c>
      <c r="N129">
        <f t="shared" si="3"/>
        <v>4964.84</v>
      </c>
      <c r="O129" t="s">
        <v>4104</v>
      </c>
      <c r="P129" t="str">
        <f t="shared" si="4"/>
        <v xml:space="preserve"> </v>
      </c>
      <c r="Q129" t="str">
        <f t="shared" si="5"/>
        <v>Favorable</v>
      </c>
    </row>
    <row r="130" spans="1:17">
      <c r="A130" t="s">
        <v>140</v>
      </c>
      <c r="B130" s="2">
        <v>45762</v>
      </c>
      <c r="C130">
        <v>5010</v>
      </c>
      <c r="D130" t="s">
        <v>2015</v>
      </c>
      <c r="E130">
        <v>925</v>
      </c>
      <c r="F130">
        <v>0</v>
      </c>
      <c r="G130" t="s">
        <v>2017</v>
      </c>
      <c r="H130" t="s">
        <v>2023</v>
      </c>
      <c r="I130" t="s">
        <v>2156</v>
      </c>
      <c r="J130" t="s">
        <v>4029</v>
      </c>
      <c r="K130" t="s">
        <v>4045</v>
      </c>
      <c r="L130">
        <v>-925</v>
      </c>
      <c r="N130">
        <f t="shared" si="3"/>
        <v>-925</v>
      </c>
      <c r="O130" t="s">
        <v>4104</v>
      </c>
      <c r="P130" t="str">
        <f t="shared" si="4"/>
        <v xml:space="preserve"> </v>
      </c>
      <c r="Q130" t="str">
        <f t="shared" si="5"/>
        <v>Unfavorable</v>
      </c>
    </row>
    <row r="131" spans="1:17">
      <c r="A131" t="s">
        <v>141</v>
      </c>
      <c r="B131" s="2">
        <v>45671</v>
      </c>
      <c r="C131">
        <v>5000</v>
      </c>
      <c r="D131" t="s">
        <v>2013</v>
      </c>
      <c r="E131">
        <v>1697.34</v>
      </c>
      <c r="F131">
        <v>0</v>
      </c>
      <c r="G131" t="s">
        <v>2019</v>
      </c>
      <c r="H131" t="s">
        <v>2023</v>
      </c>
      <c r="I131" t="s">
        <v>2157</v>
      </c>
      <c r="J131" t="s">
        <v>4029</v>
      </c>
      <c r="K131" t="s">
        <v>4035</v>
      </c>
      <c r="L131">
        <v>-1697.34</v>
      </c>
      <c r="N131">
        <f t="shared" ref="N131:N194" si="6">L:L-M:M</f>
        <v>-1697.34</v>
      </c>
      <c r="O131" t="s">
        <v>4104</v>
      </c>
      <c r="P131" t="str">
        <f t="shared" ref="P131:P194" si="7">IF(AND(ABS(N:N)&gt;10000,M:M&lt;&gt;0),"Material", " ")</f>
        <v xml:space="preserve"> </v>
      </c>
      <c r="Q131" t="str">
        <f t="shared" ref="Q131:Q194" si="8">IF(N:N&gt;0,"Favorable","Unfavorable")</f>
        <v>Unfavorable</v>
      </c>
    </row>
    <row r="132" spans="1:17">
      <c r="A132" t="s">
        <v>142</v>
      </c>
      <c r="B132" s="2">
        <v>45174</v>
      </c>
      <c r="C132">
        <v>5000</v>
      </c>
      <c r="D132" t="s">
        <v>2013</v>
      </c>
      <c r="E132">
        <v>308.37</v>
      </c>
      <c r="F132">
        <v>0</v>
      </c>
      <c r="G132" t="s">
        <v>2022</v>
      </c>
      <c r="H132" t="s">
        <v>2023</v>
      </c>
      <c r="I132" t="s">
        <v>2158</v>
      </c>
      <c r="J132" t="s">
        <v>4032</v>
      </c>
      <c r="K132" t="s">
        <v>4036</v>
      </c>
      <c r="L132">
        <v>-308.37</v>
      </c>
      <c r="N132">
        <f t="shared" si="6"/>
        <v>-308.37</v>
      </c>
      <c r="O132" t="s">
        <v>4104</v>
      </c>
      <c r="P132" t="str">
        <f t="shared" si="7"/>
        <v xml:space="preserve"> </v>
      </c>
      <c r="Q132" t="str">
        <f t="shared" si="8"/>
        <v>Unfavorable</v>
      </c>
    </row>
    <row r="133" spans="1:17">
      <c r="A133" t="s">
        <v>143</v>
      </c>
      <c r="B133" s="2">
        <v>45478</v>
      </c>
      <c r="C133">
        <v>5000</v>
      </c>
      <c r="D133" t="s">
        <v>2013</v>
      </c>
      <c r="E133">
        <v>1304.32</v>
      </c>
      <c r="F133">
        <v>0</v>
      </c>
      <c r="G133" t="s">
        <v>2022</v>
      </c>
      <c r="H133" t="s">
        <v>2025</v>
      </c>
      <c r="I133" t="s">
        <v>2159</v>
      </c>
      <c r="J133" t="s">
        <v>4031</v>
      </c>
      <c r="K133" t="s">
        <v>4054</v>
      </c>
      <c r="L133">
        <v>-1304.32</v>
      </c>
      <c r="N133">
        <f t="shared" si="6"/>
        <v>-1304.32</v>
      </c>
      <c r="O133" t="s">
        <v>4104</v>
      </c>
      <c r="P133" t="str">
        <f t="shared" si="7"/>
        <v xml:space="preserve"> </v>
      </c>
      <c r="Q133" t="str">
        <f t="shared" si="8"/>
        <v>Unfavorable</v>
      </c>
    </row>
    <row r="134" spans="1:17">
      <c r="A134" t="s">
        <v>144</v>
      </c>
      <c r="B134" s="2">
        <v>45355</v>
      </c>
      <c r="C134">
        <v>4010</v>
      </c>
      <c r="D134" t="s">
        <v>2016</v>
      </c>
      <c r="E134">
        <v>0</v>
      </c>
      <c r="F134">
        <v>3993.88</v>
      </c>
      <c r="G134" t="s">
        <v>2019</v>
      </c>
      <c r="H134" t="s">
        <v>2027</v>
      </c>
      <c r="I134" t="s">
        <v>2160</v>
      </c>
      <c r="J134" t="s">
        <v>4030</v>
      </c>
      <c r="K134" t="s">
        <v>4049</v>
      </c>
      <c r="L134">
        <v>3993.88</v>
      </c>
      <c r="N134">
        <f t="shared" si="6"/>
        <v>3993.88</v>
      </c>
      <c r="O134" t="s">
        <v>4104</v>
      </c>
      <c r="P134" t="str">
        <f t="shared" si="7"/>
        <v xml:space="preserve"> </v>
      </c>
      <c r="Q134" t="str">
        <f t="shared" si="8"/>
        <v>Favorable</v>
      </c>
    </row>
    <row r="135" spans="1:17">
      <c r="A135" t="s">
        <v>145</v>
      </c>
      <c r="B135" s="2">
        <v>45710</v>
      </c>
      <c r="C135">
        <v>4000</v>
      </c>
      <c r="D135" t="s">
        <v>2012</v>
      </c>
      <c r="E135">
        <v>0</v>
      </c>
      <c r="F135">
        <v>703.6</v>
      </c>
      <c r="G135" t="s">
        <v>2020</v>
      </c>
      <c r="H135" t="s">
        <v>2027</v>
      </c>
      <c r="I135" t="s">
        <v>2161</v>
      </c>
      <c r="J135" t="s">
        <v>4028</v>
      </c>
      <c r="K135" t="s">
        <v>4061</v>
      </c>
      <c r="L135">
        <v>703.6</v>
      </c>
      <c r="N135">
        <f t="shared" si="6"/>
        <v>703.6</v>
      </c>
      <c r="O135" t="s">
        <v>4104</v>
      </c>
      <c r="P135" t="str">
        <f t="shared" si="7"/>
        <v xml:space="preserve"> </v>
      </c>
      <c r="Q135" t="str">
        <f t="shared" si="8"/>
        <v>Favorable</v>
      </c>
    </row>
    <row r="136" spans="1:17">
      <c r="A136" t="s">
        <v>146</v>
      </c>
      <c r="B136" s="2">
        <v>45535</v>
      </c>
      <c r="C136">
        <v>5010</v>
      </c>
      <c r="D136" t="s">
        <v>2015</v>
      </c>
      <c r="E136">
        <v>355.53</v>
      </c>
      <c r="F136">
        <v>0</v>
      </c>
      <c r="G136" t="s">
        <v>2020</v>
      </c>
      <c r="H136" t="s">
        <v>2025</v>
      </c>
      <c r="I136" t="s">
        <v>2162</v>
      </c>
      <c r="J136" t="s">
        <v>4029</v>
      </c>
      <c r="K136" t="s">
        <v>4058</v>
      </c>
      <c r="L136">
        <v>-355.53</v>
      </c>
      <c r="N136">
        <f t="shared" si="6"/>
        <v>-355.53</v>
      </c>
      <c r="O136" t="s">
        <v>4104</v>
      </c>
      <c r="P136" t="str">
        <f t="shared" si="7"/>
        <v xml:space="preserve"> </v>
      </c>
      <c r="Q136" t="str">
        <f t="shared" si="8"/>
        <v>Unfavorable</v>
      </c>
    </row>
    <row r="137" spans="1:17">
      <c r="A137" t="s">
        <v>147</v>
      </c>
      <c r="B137" s="2">
        <v>45537</v>
      </c>
      <c r="C137">
        <v>5000</v>
      </c>
      <c r="D137" t="s">
        <v>2013</v>
      </c>
      <c r="E137">
        <v>1915.19</v>
      </c>
      <c r="F137">
        <v>0</v>
      </c>
      <c r="G137" t="s">
        <v>2018</v>
      </c>
      <c r="H137" t="s">
        <v>2024</v>
      </c>
      <c r="I137" t="s">
        <v>2163</v>
      </c>
      <c r="J137" t="s">
        <v>4031</v>
      </c>
      <c r="K137" t="s">
        <v>4048</v>
      </c>
      <c r="L137">
        <v>-1915.19</v>
      </c>
      <c r="N137">
        <f t="shared" si="6"/>
        <v>-1915.19</v>
      </c>
      <c r="O137" t="s">
        <v>4104</v>
      </c>
      <c r="P137" t="str">
        <f t="shared" si="7"/>
        <v xml:space="preserve"> </v>
      </c>
      <c r="Q137" t="str">
        <f t="shared" si="8"/>
        <v>Unfavorable</v>
      </c>
    </row>
    <row r="138" spans="1:17">
      <c r="A138" t="s">
        <v>148</v>
      </c>
      <c r="B138" s="2">
        <v>45177</v>
      </c>
      <c r="C138">
        <v>4010</v>
      </c>
      <c r="D138" t="s">
        <v>2016</v>
      </c>
      <c r="E138">
        <v>0</v>
      </c>
      <c r="F138">
        <v>877.66</v>
      </c>
      <c r="G138" t="s">
        <v>2018</v>
      </c>
      <c r="H138" t="s">
        <v>2024</v>
      </c>
      <c r="I138" t="s">
        <v>2164</v>
      </c>
      <c r="J138" t="s">
        <v>4030</v>
      </c>
      <c r="K138" t="s">
        <v>4036</v>
      </c>
      <c r="L138">
        <v>877.66</v>
      </c>
      <c r="N138">
        <f t="shared" si="6"/>
        <v>877.66</v>
      </c>
      <c r="O138" t="s">
        <v>4104</v>
      </c>
      <c r="P138" t="str">
        <f t="shared" si="7"/>
        <v xml:space="preserve"> </v>
      </c>
      <c r="Q138" t="str">
        <f t="shared" si="8"/>
        <v>Favorable</v>
      </c>
    </row>
    <row r="139" spans="1:17">
      <c r="A139" t="s">
        <v>149</v>
      </c>
      <c r="B139" s="2">
        <v>45582</v>
      </c>
      <c r="C139">
        <v>4010</v>
      </c>
      <c r="D139" t="s">
        <v>2016</v>
      </c>
      <c r="E139">
        <v>0</v>
      </c>
      <c r="F139">
        <v>2719.49</v>
      </c>
      <c r="G139" t="s">
        <v>2020</v>
      </c>
      <c r="H139" t="s">
        <v>2024</v>
      </c>
      <c r="I139" t="s">
        <v>2165</v>
      </c>
      <c r="J139" t="s">
        <v>4031</v>
      </c>
      <c r="K139" t="s">
        <v>4059</v>
      </c>
      <c r="L139">
        <v>2719.49</v>
      </c>
      <c r="N139">
        <f t="shared" si="6"/>
        <v>2719.49</v>
      </c>
      <c r="O139" t="s">
        <v>4104</v>
      </c>
      <c r="P139" t="str">
        <f t="shared" si="7"/>
        <v xml:space="preserve"> </v>
      </c>
      <c r="Q139" t="str">
        <f t="shared" si="8"/>
        <v>Favorable</v>
      </c>
    </row>
    <row r="140" spans="1:17">
      <c r="A140" t="s">
        <v>150</v>
      </c>
      <c r="B140" s="2">
        <v>45661</v>
      </c>
      <c r="C140">
        <v>5010</v>
      </c>
      <c r="D140" t="s">
        <v>2015</v>
      </c>
      <c r="E140">
        <v>1695.8</v>
      </c>
      <c r="F140">
        <v>0</v>
      </c>
      <c r="G140" t="s">
        <v>2018</v>
      </c>
      <c r="H140" t="s">
        <v>2027</v>
      </c>
      <c r="I140" t="s">
        <v>2166</v>
      </c>
      <c r="J140" t="s">
        <v>4029</v>
      </c>
      <c r="K140" t="s">
        <v>4035</v>
      </c>
      <c r="L140">
        <v>-1695.8</v>
      </c>
      <c r="N140">
        <f t="shared" si="6"/>
        <v>-1695.8</v>
      </c>
      <c r="O140" t="s">
        <v>4104</v>
      </c>
      <c r="P140" t="str">
        <f t="shared" si="7"/>
        <v xml:space="preserve"> </v>
      </c>
      <c r="Q140" t="str">
        <f t="shared" si="8"/>
        <v>Unfavorable</v>
      </c>
    </row>
    <row r="141" spans="1:17">
      <c r="A141" t="s">
        <v>151</v>
      </c>
      <c r="B141" s="2">
        <v>45558</v>
      </c>
      <c r="C141">
        <v>6000</v>
      </c>
      <c r="D141" t="s">
        <v>2014</v>
      </c>
      <c r="E141">
        <v>1304.8399999999999</v>
      </c>
      <c r="F141">
        <v>0</v>
      </c>
      <c r="G141" t="s">
        <v>2018</v>
      </c>
      <c r="H141" t="s">
        <v>2027</v>
      </c>
      <c r="I141" t="s">
        <v>2167</v>
      </c>
      <c r="J141" t="s">
        <v>4030</v>
      </c>
      <c r="K141" t="s">
        <v>4048</v>
      </c>
      <c r="L141">
        <v>-1304.8399999999999</v>
      </c>
      <c r="N141">
        <f t="shared" si="6"/>
        <v>-1304.8399999999999</v>
      </c>
      <c r="O141" t="s">
        <v>4104</v>
      </c>
      <c r="P141" t="str">
        <f t="shared" si="7"/>
        <v xml:space="preserve"> </v>
      </c>
      <c r="Q141" t="str">
        <f t="shared" si="8"/>
        <v>Unfavorable</v>
      </c>
    </row>
    <row r="142" spans="1:17">
      <c r="A142" t="s">
        <v>152</v>
      </c>
      <c r="B142" s="2">
        <v>45832</v>
      </c>
      <c r="C142">
        <v>4000</v>
      </c>
      <c r="D142" t="s">
        <v>2012</v>
      </c>
      <c r="E142">
        <v>0</v>
      </c>
      <c r="F142">
        <v>708.58</v>
      </c>
      <c r="G142" t="s">
        <v>2019</v>
      </c>
      <c r="H142" t="s">
        <v>2026</v>
      </c>
      <c r="I142" t="s">
        <v>2168</v>
      </c>
      <c r="J142" t="s">
        <v>4028</v>
      </c>
      <c r="K142" t="s">
        <v>4052</v>
      </c>
      <c r="L142">
        <v>708.58</v>
      </c>
      <c r="N142">
        <f t="shared" si="6"/>
        <v>708.58</v>
      </c>
      <c r="O142" t="s">
        <v>4104</v>
      </c>
      <c r="P142" t="str">
        <f t="shared" si="7"/>
        <v xml:space="preserve"> </v>
      </c>
      <c r="Q142" t="str">
        <f t="shared" si="8"/>
        <v>Favorable</v>
      </c>
    </row>
    <row r="143" spans="1:17">
      <c r="A143" t="s">
        <v>153</v>
      </c>
      <c r="B143" s="2">
        <v>45285</v>
      </c>
      <c r="C143">
        <v>5010</v>
      </c>
      <c r="D143" t="s">
        <v>2015</v>
      </c>
      <c r="E143">
        <v>1650.46</v>
      </c>
      <c r="F143">
        <v>0</v>
      </c>
      <c r="G143" t="s">
        <v>2020</v>
      </c>
      <c r="H143" t="s">
        <v>2027</v>
      </c>
      <c r="I143" t="s">
        <v>2169</v>
      </c>
      <c r="J143" t="s">
        <v>4032</v>
      </c>
      <c r="K143" t="s">
        <v>4039</v>
      </c>
      <c r="L143">
        <v>-1650.46</v>
      </c>
      <c r="N143">
        <f t="shared" si="6"/>
        <v>-1650.46</v>
      </c>
      <c r="O143" t="s">
        <v>4104</v>
      </c>
      <c r="P143" t="str">
        <f t="shared" si="7"/>
        <v xml:space="preserve"> </v>
      </c>
      <c r="Q143" t="str">
        <f t="shared" si="8"/>
        <v>Unfavorable</v>
      </c>
    </row>
    <row r="144" spans="1:17">
      <c r="A144" t="s">
        <v>154</v>
      </c>
      <c r="B144" s="2">
        <v>45147</v>
      </c>
      <c r="C144">
        <v>4010</v>
      </c>
      <c r="D144" t="s">
        <v>2016</v>
      </c>
      <c r="E144">
        <v>0</v>
      </c>
      <c r="F144">
        <v>1112.1600000000001</v>
      </c>
      <c r="G144" t="s">
        <v>2021</v>
      </c>
      <c r="H144" t="s">
        <v>2026</v>
      </c>
      <c r="I144" t="s">
        <v>2170</v>
      </c>
      <c r="J144" t="s">
        <v>4032</v>
      </c>
      <c r="K144" t="s">
        <v>4037</v>
      </c>
      <c r="L144">
        <v>1112.1600000000001</v>
      </c>
      <c r="N144">
        <f t="shared" si="6"/>
        <v>1112.1600000000001</v>
      </c>
      <c r="O144" t="s">
        <v>4104</v>
      </c>
      <c r="P144" t="str">
        <f t="shared" si="7"/>
        <v xml:space="preserve"> </v>
      </c>
      <c r="Q144" t="str">
        <f t="shared" si="8"/>
        <v>Favorable</v>
      </c>
    </row>
    <row r="145" spans="1:17">
      <c r="A145" t="s">
        <v>155</v>
      </c>
      <c r="B145" s="2">
        <v>45461</v>
      </c>
      <c r="C145">
        <v>4000</v>
      </c>
      <c r="D145" t="s">
        <v>2012</v>
      </c>
      <c r="E145">
        <v>0</v>
      </c>
      <c r="F145">
        <v>3711.83</v>
      </c>
      <c r="G145" t="s">
        <v>2017</v>
      </c>
      <c r="H145" t="s">
        <v>2025</v>
      </c>
      <c r="I145" t="s">
        <v>2171</v>
      </c>
      <c r="J145" t="s">
        <v>4032</v>
      </c>
      <c r="K145" t="s">
        <v>4034</v>
      </c>
      <c r="L145">
        <v>3711.83</v>
      </c>
      <c r="N145">
        <f t="shared" si="6"/>
        <v>3711.83</v>
      </c>
      <c r="O145" t="s">
        <v>4104</v>
      </c>
      <c r="P145" t="str">
        <f t="shared" si="7"/>
        <v xml:space="preserve"> </v>
      </c>
      <c r="Q145" t="str">
        <f t="shared" si="8"/>
        <v>Favorable</v>
      </c>
    </row>
    <row r="146" spans="1:17">
      <c r="A146" t="s">
        <v>156</v>
      </c>
      <c r="B146" s="2">
        <v>45046</v>
      </c>
      <c r="C146">
        <v>5000</v>
      </c>
      <c r="D146" t="s">
        <v>2013</v>
      </c>
      <c r="E146">
        <v>715.32</v>
      </c>
      <c r="F146">
        <v>0</v>
      </c>
      <c r="G146" t="s">
        <v>2020</v>
      </c>
      <c r="H146" t="s">
        <v>2024</v>
      </c>
      <c r="I146" t="s">
        <v>2172</v>
      </c>
      <c r="J146" t="s">
        <v>4028</v>
      </c>
      <c r="K146" t="s">
        <v>4041</v>
      </c>
      <c r="L146">
        <v>-715.32</v>
      </c>
      <c r="N146">
        <f t="shared" si="6"/>
        <v>-715.32</v>
      </c>
      <c r="O146" t="s">
        <v>4104</v>
      </c>
      <c r="P146" t="str">
        <f t="shared" si="7"/>
        <v xml:space="preserve"> </v>
      </c>
      <c r="Q146" t="str">
        <f t="shared" si="8"/>
        <v>Unfavorable</v>
      </c>
    </row>
    <row r="147" spans="1:17">
      <c r="A147" t="s">
        <v>157</v>
      </c>
      <c r="B147" s="2">
        <v>45080</v>
      </c>
      <c r="C147">
        <v>6000</v>
      </c>
      <c r="D147" t="s">
        <v>2014</v>
      </c>
      <c r="E147">
        <v>1366.61</v>
      </c>
      <c r="F147">
        <v>0</v>
      </c>
      <c r="G147" t="s">
        <v>2018</v>
      </c>
      <c r="H147" t="s">
        <v>2026</v>
      </c>
      <c r="I147" t="s">
        <v>2173</v>
      </c>
      <c r="J147" t="s">
        <v>4031</v>
      </c>
      <c r="K147" t="s">
        <v>4055</v>
      </c>
      <c r="L147">
        <v>-1366.61</v>
      </c>
      <c r="N147">
        <f t="shared" si="6"/>
        <v>-1366.61</v>
      </c>
      <c r="O147" t="s">
        <v>4104</v>
      </c>
      <c r="P147" t="str">
        <f t="shared" si="7"/>
        <v xml:space="preserve"> </v>
      </c>
      <c r="Q147" t="str">
        <f t="shared" si="8"/>
        <v>Unfavorable</v>
      </c>
    </row>
    <row r="148" spans="1:17">
      <c r="A148" t="s">
        <v>158</v>
      </c>
      <c r="B148" s="2">
        <v>45068</v>
      </c>
      <c r="C148">
        <v>5000</v>
      </c>
      <c r="D148" t="s">
        <v>2013</v>
      </c>
      <c r="E148">
        <v>1091.43</v>
      </c>
      <c r="F148">
        <v>0</v>
      </c>
      <c r="G148" t="s">
        <v>2019</v>
      </c>
      <c r="H148" t="s">
        <v>2026</v>
      </c>
      <c r="I148" t="s">
        <v>2174</v>
      </c>
      <c r="J148" t="s">
        <v>4032</v>
      </c>
      <c r="K148" t="s">
        <v>4062</v>
      </c>
      <c r="L148">
        <v>-1091.43</v>
      </c>
      <c r="N148">
        <f t="shared" si="6"/>
        <v>-1091.43</v>
      </c>
      <c r="O148" t="s">
        <v>4104</v>
      </c>
      <c r="P148" t="str">
        <f t="shared" si="7"/>
        <v xml:space="preserve"> </v>
      </c>
      <c r="Q148" t="str">
        <f t="shared" si="8"/>
        <v>Unfavorable</v>
      </c>
    </row>
    <row r="149" spans="1:17">
      <c r="A149" t="s">
        <v>159</v>
      </c>
      <c r="B149" s="2">
        <v>45468</v>
      </c>
      <c r="C149">
        <v>4000</v>
      </c>
      <c r="D149" t="s">
        <v>2012</v>
      </c>
      <c r="E149">
        <v>0</v>
      </c>
      <c r="F149">
        <v>1164.3499999999999</v>
      </c>
      <c r="G149" t="s">
        <v>2022</v>
      </c>
      <c r="H149" t="s">
        <v>2026</v>
      </c>
      <c r="I149" t="s">
        <v>2175</v>
      </c>
      <c r="J149" t="s">
        <v>4028</v>
      </c>
      <c r="K149" t="s">
        <v>4034</v>
      </c>
      <c r="L149">
        <v>1164.3499999999999</v>
      </c>
      <c r="N149">
        <f t="shared" si="6"/>
        <v>1164.3499999999999</v>
      </c>
      <c r="O149" t="s">
        <v>4104</v>
      </c>
      <c r="P149" t="str">
        <f t="shared" si="7"/>
        <v xml:space="preserve"> </v>
      </c>
      <c r="Q149" t="str">
        <f t="shared" si="8"/>
        <v>Favorable</v>
      </c>
    </row>
    <row r="150" spans="1:17">
      <c r="A150" t="s">
        <v>160</v>
      </c>
      <c r="B150" s="2">
        <v>45352</v>
      </c>
      <c r="C150">
        <v>5010</v>
      </c>
      <c r="D150" t="s">
        <v>2015</v>
      </c>
      <c r="E150">
        <v>1139.5</v>
      </c>
      <c r="F150">
        <v>0</v>
      </c>
      <c r="G150" t="s">
        <v>2022</v>
      </c>
      <c r="H150" t="s">
        <v>2026</v>
      </c>
      <c r="I150" t="s">
        <v>2176</v>
      </c>
      <c r="J150" t="s">
        <v>4030</v>
      </c>
      <c r="K150" t="s">
        <v>4049</v>
      </c>
      <c r="L150">
        <v>-1139.5</v>
      </c>
      <c r="N150">
        <f t="shared" si="6"/>
        <v>-1139.5</v>
      </c>
      <c r="O150" t="s">
        <v>4104</v>
      </c>
      <c r="P150" t="str">
        <f t="shared" si="7"/>
        <v xml:space="preserve"> </v>
      </c>
      <c r="Q150" t="str">
        <f t="shared" si="8"/>
        <v>Unfavorable</v>
      </c>
    </row>
    <row r="151" spans="1:17">
      <c r="A151" t="s">
        <v>161</v>
      </c>
      <c r="B151" s="2">
        <v>45668</v>
      </c>
      <c r="C151">
        <v>4000</v>
      </c>
      <c r="D151" t="s">
        <v>2012</v>
      </c>
      <c r="E151">
        <v>0</v>
      </c>
      <c r="F151">
        <v>338.86</v>
      </c>
      <c r="G151" t="s">
        <v>2021</v>
      </c>
      <c r="H151" t="s">
        <v>2025</v>
      </c>
      <c r="I151" t="s">
        <v>2177</v>
      </c>
      <c r="J151" t="s">
        <v>4031</v>
      </c>
      <c r="K151" t="s">
        <v>4035</v>
      </c>
      <c r="L151">
        <v>338.86</v>
      </c>
      <c r="N151">
        <f t="shared" si="6"/>
        <v>338.86</v>
      </c>
      <c r="O151" t="s">
        <v>4104</v>
      </c>
      <c r="P151" t="str">
        <f t="shared" si="7"/>
        <v xml:space="preserve"> </v>
      </c>
      <c r="Q151" t="str">
        <f t="shared" si="8"/>
        <v>Favorable</v>
      </c>
    </row>
    <row r="152" spans="1:17">
      <c r="A152" t="s">
        <v>162</v>
      </c>
      <c r="B152" s="2">
        <v>45706</v>
      </c>
      <c r="C152">
        <v>5000</v>
      </c>
      <c r="D152" t="s">
        <v>2013</v>
      </c>
      <c r="E152">
        <v>1379.51</v>
      </c>
      <c r="F152">
        <v>0</v>
      </c>
      <c r="G152" t="s">
        <v>2018</v>
      </c>
      <c r="H152" t="s">
        <v>2025</v>
      </c>
      <c r="I152" t="s">
        <v>2178</v>
      </c>
      <c r="J152" t="s">
        <v>4031</v>
      </c>
      <c r="K152" t="s">
        <v>4061</v>
      </c>
      <c r="L152">
        <v>-1379.51</v>
      </c>
      <c r="N152">
        <f t="shared" si="6"/>
        <v>-1379.51</v>
      </c>
      <c r="O152" t="s">
        <v>4104</v>
      </c>
      <c r="P152" t="str">
        <f t="shared" si="7"/>
        <v xml:space="preserve"> </v>
      </c>
      <c r="Q152" t="str">
        <f t="shared" si="8"/>
        <v>Unfavorable</v>
      </c>
    </row>
    <row r="153" spans="1:17">
      <c r="A153" t="s">
        <v>163</v>
      </c>
      <c r="B153" s="2">
        <v>45368</v>
      </c>
      <c r="C153">
        <v>4010</v>
      </c>
      <c r="D153" t="s">
        <v>2016</v>
      </c>
      <c r="E153">
        <v>0</v>
      </c>
      <c r="F153">
        <v>978.34</v>
      </c>
      <c r="G153" t="s">
        <v>2020</v>
      </c>
      <c r="H153" t="s">
        <v>2024</v>
      </c>
      <c r="I153" t="s">
        <v>2179</v>
      </c>
      <c r="J153" t="s">
        <v>4030</v>
      </c>
      <c r="K153" t="s">
        <v>4049</v>
      </c>
      <c r="L153">
        <v>978.34</v>
      </c>
      <c r="N153">
        <f t="shared" si="6"/>
        <v>978.34</v>
      </c>
      <c r="O153" t="s">
        <v>4104</v>
      </c>
      <c r="P153" t="str">
        <f t="shared" si="7"/>
        <v xml:space="preserve"> </v>
      </c>
      <c r="Q153" t="str">
        <f t="shared" si="8"/>
        <v>Favorable</v>
      </c>
    </row>
    <row r="154" spans="1:17">
      <c r="A154" t="s">
        <v>164</v>
      </c>
      <c r="B154" s="2">
        <v>45811</v>
      </c>
      <c r="C154">
        <v>6000</v>
      </c>
      <c r="D154" t="s">
        <v>2014</v>
      </c>
      <c r="E154">
        <v>1490.29</v>
      </c>
      <c r="F154">
        <v>0</v>
      </c>
      <c r="G154" t="s">
        <v>2017</v>
      </c>
      <c r="H154" t="s">
        <v>2024</v>
      </c>
      <c r="I154" t="s">
        <v>2180</v>
      </c>
      <c r="J154" t="s">
        <v>4029</v>
      </c>
      <c r="K154" t="s">
        <v>4052</v>
      </c>
      <c r="L154">
        <v>-1490.29</v>
      </c>
      <c r="N154">
        <f t="shared" si="6"/>
        <v>-1490.29</v>
      </c>
      <c r="O154" t="s">
        <v>4104</v>
      </c>
      <c r="P154" t="str">
        <f t="shared" si="7"/>
        <v xml:space="preserve"> </v>
      </c>
      <c r="Q154" t="str">
        <f t="shared" si="8"/>
        <v>Unfavorable</v>
      </c>
    </row>
    <row r="155" spans="1:17">
      <c r="A155" t="s">
        <v>165</v>
      </c>
      <c r="B155" s="2">
        <v>45576</v>
      </c>
      <c r="C155">
        <v>5010</v>
      </c>
      <c r="D155" t="s">
        <v>2015</v>
      </c>
      <c r="E155">
        <v>1515.7</v>
      </c>
      <c r="F155">
        <v>0</v>
      </c>
      <c r="G155" t="s">
        <v>2022</v>
      </c>
      <c r="H155" t="s">
        <v>2025</v>
      </c>
      <c r="I155" t="s">
        <v>2181</v>
      </c>
      <c r="J155" t="s">
        <v>4031</v>
      </c>
      <c r="K155" t="s">
        <v>4059</v>
      </c>
      <c r="L155">
        <v>-1515.7</v>
      </c>
      <c r="N155">
        <f t="shared" si="6"/>
        <v>-1515.7</v>
      </c>
      <c r="O155" t="s">
        <v>4104</v>
      </c>
      <c r="P155" t="str">
        <f t="shared" si="7"/>
        <v xml:space="preserve"> </v>
      </c>
      <c r="Q155" t="str">
        <f t="shared" si="8"/>
        <v>Unfavorable</v>
      </c>
    </row>
    <row r="156" spans="1:17">
      <c r="A156" t="s">
        <v>166</v>
      </c>
      <c r="B156" s="2">
        <v>45822</v>
      </c>
      <c r="C156">
        <v>4000</v>
      </c>
      <c r="D156" t="s">
        <v>2012</v>
      </c>
      <c r="E156">
        <v>0</v>
      </c>
      <c r="F156">
        <v>1736.2</v>
      </c>
      <c r="G156" t="s">
        <v>2022</v>
      </c>
      <c r="H156" t="s">
        <v>2025</v>
      </c>
      <c r="I156" t="s">
        <v>2182</v>
      </c>
      <c r="J156" t="s">
        <v>4028</v>
      </c>
      <c r="K156" t="s">
        <v>4052</v>
      </c>
      <c r="L156">
        <v>1736.2</v>
      </c>
      <c r="N156">
        <f t="shared" si="6"/>
        <v>1736.2</v>
      </c>
      <c r="O156" t="s">
        <v>4104</v>
      </c>
      <c r="P156" t="str">
        <f t="shared" si="7"/>
        <v xml:space="preserve"> </v>
      </c>
      <c r="Q156" t="str">
        <f t="shared" si="8"/>
        <v>Favorable</v>
      </c>
    </row>
    <row r="157" spans="1:17">
      <c r="A157" t="s">
        <v>167</v>
      </c>
      <c r="B157" s="2">
        <v>45116</v>
      </c>
      <c r="C157">
        <v>6000</v>
      </c>
      <c r="D157" t="s">
        <v>2014</v>
      </c>
      <c r="E157">
        <v>1711.43</v>
      </c>
      <c r="F157">
        <v>0</v>
      </c>
      <c r="G157" t="s">
        <v>2021</v>
      </c>
      <c r="H157" t="s">
        <v>2025</v>
      </c>
      <c r="I157" t="s">
        <v>2183</v>
      </c>
      <c r="J157" t="s">
        <v>4032</v>
      </c>
      <c r="K157" t="s">
        <v>4050</v>
      </c>
      <c r="L157">
        <v>-1711.43</v>
      </c>
      <c r="N157">
        <f t="shared" si="6"/>
        <v>-1711.43</v>
      </c>
      <c r="O157" t="s">
        <v>4104</v>
      </c>
      <c r="P157" t="str">
        <f t="shared" si="7"/>
        <v xml:space="preserve"> </v>
      </c>
      <c r="Q157" t="str">
        <f t="shared" si="8"/>
        <v>Unfavorable</v>
      </c>
    </row>
    <row r="158" spans="1:17">
      <c r="A158" t="s">
        <v>168</v>
      </c>
      <c r="B158" s="2">
        <v>45035</v>
      </c>
      <c r="C158">
        <v>6000</v>
      </c>
      <c r="D158" t="s">
        <v>2014</v>
      </c>
      <c r="E158">
        <v>511.34</v>
      </c>
      <c r="F158">
        <v>0</v>
      </c>
      <c r="G158" t="s">
        <v>2020</v>
      </c>
      <c r="H158" t="s">
        <v>2026</v>
      </c>
      <c r="I158" t="s">
        <v>2184</v>
      </c>
      <c r="J158" t="s">
        <v>4028</v>
      </c>
      <c r="K158" t="s">
        <v>4041</v>
      </c>
      <c r="L158">
        <v>-511.34</v>
      </c>
      <c r="N158">
        <f t="shared" si="6"/>
        <v>-511.34</v>
      </c>
      <c r="O158" t="s">
        <v>4104</v>
      </c>
      <c r="P158" t="str">
        <f t="shared" si="7"/>
        <v xml:space="preserve"> </v>
      </c>
      <c r="Q158" t="str">
        <f t="shared" si="8"/>
        <v>Unfavorable</v>
      </c>
    </row>
    <row r="159" spans="1:17">
      <c r="A159" t="s">
        <v>169</v>
      </c>
      <c r="B159" s="2">
        <v>45037</v>
      </c>
      <c r="C159">
        <v>4000</v>
      </c>
      <c r="D159" t="s">
        <v>2012</v>
      </c>
      <c r="E159">
        <v>0</v>
      </c>
      <c r="F159">
        <v>4520.9799999999996</v>
      </c>
      <c r="G159" t="s">
        <v>2017</v>
      </c>
      <c r="H159" t="s">
        <v>2025</v>
      </c>
      <c r="I159" t="s">
        <v>2185</v>
      </c>
      <c r="J159" t="s">
        <v>4030</v>
      </c>
      <c r="K159" t="s">
        <v>4041</v>
      </c>
      <c r="L159">
        <v>4520.9799999999996</v>
      </c>
      <c r="N159">
        <f t="shared" si="6"/>
        <v>4520.9799999999996</v>
      </c>
      <c r="O159" t="s">
        <v>4104</v>
      </c>
      <c r="P159" t="str">
        <f t="shared" si="7"/>
        <v xml:space="preserve"> </v>
      </c>
      <c r="Q159" t="str">
        <f t="shared" si="8"/>
        <v>Favorable</v>
      </c>
    </row>
    <row r="160" spans="1:17">
      <c r="A160" t="s">
        <v>170</v>
      </c>
      <c r="B160" s="2">
        <v>44955</v>
      </c>
      <c r="C160">
        <v>5000</v>
      </c>
      <c r="D160" t="s">
        <v>2013</v>
      </c>
      <c r="E160">
        <v>1483.66</v>
      </c>
      <c r="F160">
        <v>0</v>
      </c>
      <c r="G160" t="s">
        <v>2019</v>
      </c>
      <c r="H160" t="s">
        <v>2026</v>
      </c>
      <c r="I160" t="s">
        <v>2186</v>
      </c>
      <c r="J160" t="s">
        <v>4030</v>
      </c>
      <c r="K160" t="s">
        <v>4047</v>
      </c>
      <c r="L160">
        <v>-1483.66</v>
      </c>
      <c r="N160">
        <f t="shared" si="6"/>
        <v>-1483.66</v>
      </c>
      <c r="O160" t="s">
        <v>4104</v>
      </c>
      <c r="P160" t="str">
        <f t="shared" si="7"/>
        <v xml:space="preserve"> </v>
      </c>
      <c r="Q160" t="str">
        <f t="shared" si="8"/>
        <v>Unfavorable</v>
      </c>
    </row>
    <row r="161" spans="1:17">
      <c r="A161" t="s">
        <v>171</v>
      </c>
      <c r="B161" s="2">
        <v>45828</v>
      </c>
      <c r="C161">
        <v>5010</v>
      </c>
      <c r="D161" t="s">
        <v>2015</v>
      </c>
      <c r="E161">
        <v>571.01</v>
      </c>
      <c r="F161">
        <v>0</v>
      </c>
      <c r="G161" t="s">
        <v>2021</v>
      </c>
      <c r="H161" t="s">
        <v>2024</v>
      </c>
      <c r="I161" t="s">
        <v>2187</v>
      </c>
      <c r="J161" t="s">
        <v>4029</v>
      </c>
      <c r="K161" t="s">
        <v>4052</v>
      </c>
      <c r="L161">
        <v>-571.01</v>
      </c>
      <c r="N161">
        <f t="shared" si="6"/>
        <v>-571.01</v>
      </c>
      <c r="O161" t="s">
        <v>4104</v>
      </c>
      <c r="P161" t="str">
        <f t="shared" si="7"/>
        <v xml:space="preserve"> </v>
      </c>
      <c r="Q161" t="str">
        <f t="shared" si="8"/>
        <v>Unfavorable</v>
      </c>
    </row>
    <row r="162" spans="1:17">
      <c r="A162" t="s">
        <v>172</v>
      </c>
      <c r="B162" s="2">
        <v>45269</v>
      </c>
      <c r="C162">
        <v>6000</v>
      </c>
      <c r="D162" t="s">
        <v>2014</v>
      </c>
      <c r="E162">
        <v>1556.44</v>
      </c>
      <c r="F162">
        <v>0</v>
      </c>
      <c r="G162" t="s">
        <v>2022</v>
      </c>
      <c r="H162" t="s">
        <v>2025</v>
      </c>
      <c r="I162" t="s">
        <v>2188</v>
      </c>
      <c r="J162" t="s">
        <v>4031</v>
      </c>
      <c r="K162" t="s">
        <v>4039</v>
      </c>
      <c r="L162">
        <v>-1556.44</v>
      </c>
      <c r="N162">
        <f t="shared" si="6"/>
        <v>-1556.44</v>
      </c>
      <c r="O162" t="s">
        <v>4104</v>
      </c>
      <c r="P162" t="str">
        <f t="shared" si="7"/>
        <v xml:space="preserve"> </v>
      </c>
      <c r="Q162" t="str">
        <f t="shared" si="8"/>
        <v>Unfavorable</v>
      </c>
    </row>
    <row r="163" spans="1:17">
      <c r="A163" t="s">
        <v>173</v>
      </c>
      <c r="B163" s="2">
        <v>45705</v>
      </c>
      <c r="C163">
        <v>4000</v>
      </c>
      <c r="D163" t="s">
        <v>2012</v>
      </c>
      <c r="E163">
        <v>0</v>
      </c>
      <c r="F163">
        <v>2614.6799999999998</v>
      </c>
      <c r="G163" t="s">
        <v>2018</v>
      </c>
      <c r="H163" t="s">
        <v>2027</v>
      </c>
      <c r="I163" t="s">
        <v>2189</v>
      </c>
      <c r="J163" t="s">
        <v>4030</v>
      </c>
      <c r="K163" t="s">
        <v>4061</v>
      </c>
      <c r="L163">
        <v>2614.6799999999998</v>
      </c>
      <c r="N163">
        <f t="shared" si="6"/>
        <v>2614.6799999999998</v>
      </c>
      <c r="O163" t="s">
        <v>4104</v>
      </c>
      <c r="P163" t="str">
        <f t="shared" si="7"/>
        <v xml:space="preserve"> </v>
      </c>
      <c r="Q163" t="str">
        <f t="shared" si="8"/>
        <v>Favorable</v>
      </c>
    </row>
    <row r="164" spans="1:17">
      <c r="A164" t="s">
        <v>174</v>
      </c>
      <c r="B164" s="2">
        <v>45647</v>
      </c>
      <c r="C164">
        <v>4000</v>
      </c>
      <c r="D164" t="s">
        <v>2012</v>
      </c>
      <c r="E164">
        <v>0</v>
      </c>
      <c r="F164">
        <v>3901.69</v>
      </c>
      <c r="G164" t="s">
        <v>2022</v>
      </c>
      <c r="H164" t="s">
        <v>2027</v>
      </c>
      <c r="I164" t="s">
        <v>2190</v>
      </c>
      <c r="J164" t="s">
        <v>4029</v>
      </c>
      <c r="K164" t="s">
        <v>4056</v>
      </c>
      <c r="L164">
        <v>3901.69</v>
      </c>
      <c r="N164">
        <f t="shared" si="6"/>
        <v>3901.69</v>
      </c>
      <c r="O164" t="s">
        <v>4104</v>
      </c>
      <c r="P164" t="str">
        <f t="shared" si="7"/>
        <v xml:space="preserve"> </v>
      </c>
      <c r="Q164" t="str">
        <f t="shared" si="8"/>
        <v>Favorable</v>
      </c>
    </row>
    <row r="165" spans="1:17">
      <c r="A165" t="s">
        <v>175</v>
      </c>
      <c r="B165" s="2">
        <v>45714</v>
      </c>
      <c r="C165">
        <v>4010</v>
      </c>
      <c r="D165" t="s">
        <v>2016</v>
      </c>
      <c r="E165">
        <v>0</v>
      </c>
      <c r="F165">
        <v>1890.76</v>
      </c>
      <c r="G165" t="s">
        <v>2018</v>
      </c>
      <c r="H165" t="s">
        <v>2026</v>
      </c>
      <c r="I165" t="s">
        <v>2191</v>
      </c>
      <c r="J165" t="s">
        <v>4032</v>
      </c>
      <c r="K165" t="s">
        <v>4061</v>
      </c>
      <c r="L165">
        <v>1890.76</v>
      </c>
      <c r="N165">
        <f t="shared" si="6"/>
        <v>1890.76</v>
      </c>
      <c r="O165" t="s">
        <v>4104</v>
      </c>
      <c r="P165" t="str">
        <f t="shared" si="7"/>
        <v xml:space="preserve"> </v>
      </c>
      <c r="Q165" t="str">
        <f t="shared" si="8"/>
        <v>Favorable</v>
      </c>
    </row>
    <row r="166" spans="1:17">
      <c r="A166" t="s">
        <v>176</v>
      </c>
      <c r="B166" s="2">
        <v>45490</v>
      </c>
      <c r="C166">
        <v>4010</v>
      </c>
      <c r="D166" t="s">
        <v>2016</v>
      </c>
      <c r="E166">
        <v>0</v>
      </c>
      <c r="F166">
        <v>1829.98</v>
      </c>
      <c r="G166" t="s">
        <v>2018</v>
      </c>
      <c r="H166" t="s">
        <v>2027</v>
      </c>
      <c r="I166" t="s">
        <v>2192</v>
      </c>
      <c r="J166" t="s">
        <v>4032</v>
      </c>
      <c r="K166" t="s">
        <v>4054</v>
      </c>
      <c r="L166">
        <v>1829.98</v>
      </c>
      <c r="N166">
        <f t="shared" si="6"/>
        <v>1829.98</v>
      </c>
      <c r="O166" t="s">
        <v>4104</v>
      </c>
      <c r="P166" t="str">
        <f t="shared" si="7"/>
        <v xml:space="preserve"> </v>
      </c>
      <c r="Q166" t="str">
        <f t="shared" si="8"/>
        <v>Favorable</v>
      </c>
    </row>
    <row r="167" spans="1:17">
      <c r="A167" t="s">
        <v>177</v>
      </c>
      <c r="B167" s="2">
        <v>45447</v>
      </c>
      <c r="C167">
        <v>4000</v>
      </c>
      <c r="D167" t="s">
        <v>2012</v>
      </c>
      <c r="E167">
        <v>0</v>
      </c>
      <c r="F167">
        <v>1161.94</v>
      </c>
      <c r="G167" t="s">
        <v>2021</v>
      </c>
      <c r="H167" t="s">
        <v>2024</v>
      </c>
      <c r="I167" t="s">
        <v>2193</v>
      </c>
      <c r="J167" t="s">
        <v>4029</v>
      </c>
      <c r="K167" t="s">
        <v>4034</v>
      </c>
      <c r="L167">
        <v>1161.94</v>
      </c>
      <c r="N167">
        <f t="shared" si="6"/>
        <v>1161.94</v>
      </c>
      <c r="O167" t="s">
        <v>4104</v>
      </c>
      <c r="P167" t="str">
        <f t="shared" si="7"/>
        <v xml:space="preserve"> </v>
      </c>
      <c r="Q167" t="str">
        <f t="shared" si="8"/>
        <v>Favorable</v>
      </c>
    </row>
    <row r="168" spans="1:17">
      <c r="A168" t="s">
        <v>178</v>
      </c>
      <c r="B168" s="2">
        <v>45252</v>
      </c>
      <c r="C168">
        <v>6000</v>
      </c>
      <c r="D168" t="s">
        <v>2014</v>
      </c>
      <c r="E168">
        <v>1114.08</v>
      </c>
      <c r="F168">
        <v>0</v>
      </c>
      <c r="G168" t="s">
        <v>2017</v>
      </c>
      <c r="H168" t="s">
        <v>2027</v>
      </c>
      <c r="I168" t="s">
        <v>2194</v>
      </c>
      <c r="J168" t="s">
        <v>4029</v>
      </c>
      <c r="K168" t="s">
        <v>4042</v>
      </c>
      <c r="L168">
        <v>-1114.08</v>
      </c>
      <c r="N168">
        <f t="shared" si="6"/>
        <v>-1114.08</v>
      </c>
      <c r="O168" t="s">
        <v>4104</v>
      </c>
      <c r="P168" t="str">
        <f t="shared" si="7"/>
        <v xml:space="preserve"> </v>
      </c>
      <c r="Q168" t="str">
        <f t="shared" si="8"/>
        <v>Unfavorable</v>
      </c>
    </row>
    <row r="169" spans="1:17">
      <c r="A169" t="s">
        <v>179</v>
      </c>
      <c r="B169" s="2">
        <v>45418</v>
      </c>
      <c r="C169">
        <v>4010</v>
      </c>
      <c r="D169" t="s">
        <v>2016</v>
      </c>
      <c r="E169">
        <v>0</v>
      </c>
      <c r="F169">
        <v>859.97</v>
      </c>
      <c r="G169" t="s">
        <v>2017</v>
      </c>
      <c r="H169" t="s">
        <v>2027</v>
      </c>
      <c r="I169" t="s">
        <v>2195</v>
      </c>
      <c r="J169" t="s">
        <v>4029</v>
      </c>
      <c r="K169" t="s">
        <v>4033</v>
      </c>
      <c r="L169">
        <v>859.97</v>
      </c>
      <c r="N169">
        <f t="shared" si="6"/>
        <v>859.97</v>
      </c>
      <c r="O169" t="s">
        <v>4104</v>
      </c>
      <c r="P169" t="str">
        <f t="shared" si="7"/>
        <v xml:space="preserve"> </v>
      </c>
      <c r="Q169" t="str">
        <f t="shared" si="8"/>
        <v>Favorable</v>
      </c>
    </row>
    <row r="170" spans="1:17">
      <c r="A170" t="s">
        <v>180</v>
      </c>
      <c r="B170" s="2">
        <v>45182</v>
      </c>
      <c r="C170">
        <v>5000</v>
      </c>
      <c r="D170" t="s">
        <v>2013</v>
      </c>
      <c r="E170">
        <v>1369.63</v>
      </c>
      <c r="F170">
        <v>0</v>
      </c>
      <c r="G170" t="s">
        <v>2017</v>
      </c>
      <c r="H170" t="s">
        <v>2027</v>
      </c>
      <c r="I170" t="s">
        <v>2196</v>
      </c>
      <c r="J170" t="s">
        <v>4031</v>
      </c>
      <c r="K170" t="s">
        <v>4036</v>
      </c>
      <c r="L170">
        <v>-1369.63</v>
      </c>
      <c r="N170">
        <f t="shared" si="6"/>
        <v>-1369.63</v>
      </c>
      <c r="O170" t="s">
        <v>4104</v>
      </c>
      <c r="P170" t="str">
        <f t="shared" si="7"/>
        <v xml:space="preserve"> </v>
      </c>
      <c r="Q170" t="str">
        <f t="shared" si="8"/>
        <v>Unfavorable</v>
      </c>
    </row>
    <row r="171" spans="1:17">
      <c r="A171" t="s">
        <v>181</v>
      </c>
      <c r="B171" s="2">
        <v>44943</v>
      </c>
      <c r="C171">
        <v>6000</v>
      </c>
      <c r="D171" t="s">
        <v>2014</v>
      </c>
      <c r="E171">
        <v>1174.4100000000001</v>
      </c>
      <c r="F171">
        <v>0</v>
      </c>
      <c r="G171" t="s">
        <v>2017</v>
      </c>
      <c r="H171" t="s">
        <v>2023</v>
      </c>
      <c r="I171" t="s">
        <v>2197</v>
      </c>
      <c r="J171" t="s">
        <v>4030</v>
      </c>
      <c r="K171" t="s">
        <v>4047</v>
      </c>
      <c r="L171">
        <v>-1174.4100000000001</v>
      </c>
      <c r="N171">
        <f t="shared" si="6"/>
        <v>-1174.4100000000001</v>
      </c>
      <c r="O171" t="s">
        <v>4104</v>
      </c>
      <c r="P171" t="str">
        <f t="shared" si="7"/>
        <v xml:space="preserve"> </v>
      </c>
      <c r="Q171" t="str">
        <f t="shared" si="8"/>
        <v>Unfavorable</v>
      </c>
    </row>
    <row r="172" spans="1:17">
      <c r="A172" t="s">
        <v>182</v>
      </c>
      <c r="B172" s="2">
        <v>45564</v>
      </c>
      <c r="C172">
        <v>5010</v>
      </c>
      <c r="D172" t="s">
        <v>2015</v>
      </c>
      <c r="E172">
        <v>605.78</v>
      </c>
      <c r="F172">
        <v>0</v>
      </c>
      <c r="G172" t="s">
        <v>2020</v>
      </c>
      <c r="H172" t="s">
        <v>2026</v>
      </c>
      <c r="I172" t="s">
        <v>2198</v>
      </c>
      <c r="J172" t="s">
        <v>4029</v>
      </c>
      <c r="K172" t="s">
        <v>4048</v>
      </c>
      <c r="L172">
        <v>-605.78</v>
      </c>
      <c r="N172">
        <f t="shared" si="6"/>
        <v>-605.78</v>
      </c>
      <c r="O172" t="s">
        <v>4104</v>
      </c>
      <c r="P172" t="str">
        <f t="shared" si="7"/>
        <v xml:space="preserve"> </v>
      </c>
      <c r="Q172" t="str">
        <f t="shared" si="8"/>
        <v>Unfavorable</v>
      </c>
    </row>
    <row r="173" spans="1:17">
      <c r="A173" t="s">
        <v>183</v>
      </c>
      <c r="B173" s="2">
        <v>45384</v>
      </c>
      <c r="C173">
        <v>5000</v>
      </c>
      <c r="D173" t="s">
        <v>2013</v>
      </c>
      <c r="E173">
        <v>60.93</v>
      </c>
      <c r="F173">
        <v>0</v>
      </c>
      <c r="G173" t="s">
        <v>2021</v>
      </c>
      <c r="H173" t="s">
        <v>2025</v>
      </c>
      <c r="I173" t="s">
        <v>2199</v>
      </c>
      <c r="J173" t="s">
        <v>4030</v>
      </c>
      <c r="K173" t="s">
        <v>4040</v>
      </c>
      <c r="L173">
        <v>-60.93</v>
      </c>
      <c r="N173">
        <f t="shared" si="6"/>
        <v>-60.93</v>
      </c>
      <c r="O173" t="s">
        <v>4104</v>
      </c>
      <c r="P173" t="str">
        <f t="shared" si="7"/>
        <v xml:space="preserve"> </v>
      </c>
      <c r="Q173" t="str">
        <f t="shared" si="8"/>
        <v>Unfavorable</v>
      </c>
    </row>
    <row r="174" spans="1:17">
      <c r="A174" t="s">
        <v>184</v>
      </c>
      <c r="B174" s="2">
        <v>45489</v>
      </c>
      <c r="C174">
        <v>5010</v>
      </c>
      <c r="D174" t="s">
        <v>2015</v>
      </c>
      <c r="E174">
        <v>210.91</v>
      </c>
      <c r="F174">
        <v>0</v>
      </c>
      <c r="G174" t="s">
        <v>2019</v>
      </c>
      <c r="H174" t="s">
        <v>2025</v>
      </c>
      <c r="I174" t="s">
        <v>2200</v>
      </c>
      <c r="J174" t="s">
        <v>4029</v>
      </c>
      <c r="K174" t="s">
        <v>4054</v>
      </c>
      <c r="L174">
        <v>-210.91</v>
      </c>
      <c r="N174">
        <f t="shared" si="6"/>
        <v>-210.91</v>
      </c>
      <c r="O174" t="s">
        <v>4104</v>
      </c>
      <c r="P174" t="str">
        <f t="shared" si="7"/>
        <v xml:space="preserve"> </v>
      </c>
      <c r="Q174" t="str">
        <f t="shared" si="8"/>
        <v>Unfavorable</v>
      </c>
    </row>
    <row r="175" spans="1:17">
      <c r="A175" t="s">
        <v>185</v>
      </c>
      <c r="B175" s="2">
        <v>45729</v>
      </c>
      <c r="C175">
        <v>5010</v>
      </c>
      <c r="D175" t="s">
        <v>2015</v>
      </c>
      <c r="E175">
        <v>763.11</v>
      </c>
      <c r="F175">
        <v>0</v>
      </c>
      <c r="G175" t="s">
        <v>2021</v>
      </c>
      <c r="H175" t="s">
        <v>2027</v>
      </c>
      <c r="I175" t="s">
        <v>2201</v>
      </c>
      <c r="J175" t="s">
        <v>4029</v>
      </c>
      <c r="K175" t="s">
        <v>4046</v>
      </c>
      <c r="L175">
        <v>-763.11</v>
      </c>
      <c r="N175">
        <f t="shared" si="6"/>
        <v>-763.11</v>
      </c>
      <c r="O175" t="s">
        <v>4104</v>
      </c>
      <c r="P175" t="str">
        <f t="shared" si="7"/>
        <v xml:space="preserve"> </v>
      </c>
      <c r="Q175" t="str">
        <f t="shared" si="8"/>
        <v>Unfavorable</v>
      </c>
    </row>
    <row r="176" spans="1:17">
      <c r="A176" t="s">
        <v>186</v>
      </c>
      <c r="B176" s="2">
        <v>45526</v>
      </c>
      <c r="C176">
        <v>5000</v>
      </c>
      <c r="D176" t="s">
        <v>2013</v>
      </c>
      <c r="E176">
        <v>858.91</v>
      </c>
      <c r="F176">
        <v>0</v>
      </c>
      <c r="G176" t="s">
        <v>2020</v>
      </c>
      <c r="H176" t="s">
        <v>2025</v>
      </c>
      <c r="I176" t="s">
        <v>2202</v>
      </c>
      <c r="J176" t="s">
        <v>4029</v>
      </c>
      <c r="K176" t="s">
        <v>4058</v>
      </c>
      <c r="L176">
        <v>-858.91</v>
      </c>
      <c r="N176">
        <f t="shared" si="6"/>
        <v>-858.91</v>
      </c>
      <c r="O176" t="s">
        <v>4104</v>
      </c>
      <c r="P176" t="str">
        <f t="shared" si="7"/>
        <v xml:space="preserve"> </v>
      </c>
      <c r="Q176" t="str">
        <f t="shared" si="8"/>
        <v>Unfavorable</v>
      </c>
    </row>
    <row r="177" spans="1:17">
      <c r="A177" t="s">
        <v>187</v>
      </c>
      <c r="B177" s="2">
        <v>45330</v>
      </c>
      <c r="C177">
        <v>5010</v>
      </c>
      <c r="D177" t="s">
        <v>2015</v>
      </c>
      <c r="E177">
        <v>1330.42</v>
      </c>
      <c r="F177">
        <v>0</v>
      </c>
      <c r="G177" t="s">
        <v>2017</v>
      </c>
      <c r="H177" t="s">
        <v>2024</v>
      </c>
      <c r="I177" t="s">
        <v>2203</v>
      </c>
      <c r="J177" t="s">
        <v>4031</v>
      </c>
      <c r="K177" t="s">
        <v>4044</v>
      </c>
      <c r="L177">
        <v>-1330.42</v>
      </c>
      <c r="N177">
        <f t="shared" si="6"/>
        <v>-1330.42</v>
      </c>
      <c r="O177" t="s">
        <v>4104</v>
      </c>
      <c r="P177" t="str">
        <f t="shared" si="7"/>
        <v xml:space="preserve"> </v>
      </c>
      <c r="Q177" t="str">
        <f t="shared" si="8"/>
        <v>Unfavorable</v>
      </c>
    </row>
    <row r="178" spans="1:17">
      <c r="A178" t="s">
        <v>188</v>
      </c>
      <c r="B178" s="2">
        <v>45511</v>
      </c>
      <c r="C178">
        <v>4000</v>
      </c>
      <c r="D178" t="s">
        <v>2012</v>
      </c>
      <c r="E178">
        <v>0</v>
      </c>
      <c r="F178">
        <v>1750.45</v>
      </c>
      <c r="G178" t="s">
        <v>2018</v>
      </c>
      <c r="H178" t="s">
        <v>2025</v>
      </c>
      <c r="I178" t="s">
        <v>2204</v>
      </c>
      <c r="J178" t="s">
        <v>4031</v>
      </c>
      <c r="K178" t="s">
        <v>4058</v>
      </c>
      <c r="L178">
        <v>1750.45</v>
      </c>
      <c r="N178">
        <f t="shared" si="6"/>
        <v>1750.45</v>
      </c>
      <c r="O178" t="s">
        <v>4104</v>
      </c>
      <c r="P178" t="str">
        <f t="shared" si="7"/>
        <v xml:space="preserve"> </v>
      </c>
      <c r="Q178" t="str">
        <f t="shared" si="8"/>
        <v>Favorable</v>
      </c>
    </row>
    <row r="179" spans="1:17">
      <c r="A179" t="s">
        <v>189</v>
      </c>
      <c r="B179" s="2">
        <v>45269</v>
      </c>
      <c r="C179">
        <v>4000</v>
      </c>
      <c r="D179" t="s">
        <v>2012</v>
      </c>
      <c r="E179">
        <v>0</v>
      </c>
      <c r="F179">
        <v>335.99</v>
      </c>
      <c r="G179" t="s">
        <v>2019</v>
      </c>
      <c r="H179" t="s">
        <v>2023</v>
      </c>
      <c r="I179" t="s">
        <v>2205</v>
      </c>
      <c r="J179" t="s">
        <v>4028</v>
      </c>
      <c r="K179" t="s">
        <v>4039</v>
      </c>
      <c r="L179">
        <v>335.99</v>
      </c>
      <c r="N179">
        <f t="shared" si="6"/>
        <v>335.99</v>
      </c>
      <c r="O179" t="s">
        <v>4104</v>
      </c>
      <c r="P179" t="str">
        <f t="shared" si="7"/>
        <v xml:space="preserve"> </v>
      </c>
      <c r="Q179" t="str">
        <f t="shared" si="8"/>
        <v>Favorable</v>
      </c>
    </row>
    <row r="180" spans="1:17">
      <c r="A180" t="s">
        <v>190</v>
      </c>
      <c r="B180" s="2">
        <v>45816</v>
      </c>
      <c r="C180">
        <v>6000</v>
      </c>
      <c r="D180" t="s">
        <v>2014</v>
      </c>
      <c r="E180">
        <v>1783.05</v>
      </c>
      <c r="F180">
        <v>0</v>
      </c>
      <c r="G180" t="s">
        <v>2019</v>
      </c>
      <c r="H180" t="s">
        <v>2026</v>
      </c>
      <c r="I180" t="s">
        <v>2206</v>
      </c>
      <c r="J180" t="s">
        <v>4031</v>
      </c>
      <c r="K180" t="s">
        <v>4052</v>
      </c>
      <c r="L180">
        <v>-1783.05</v>
      </c>
      <c r="N180">
        <f t="shared" si="6"/>
        <v>-1783.05</v>
      </c>
      <c r="O180" t="s">
        <v>4104</v>
      </c>
      <c r="P180" t="str">
        <f t="shared" si="7"/>
        <v xml:space="preserve"> </v>
      </c>
      <c r="Q180" t="str">
        <f t="shared" si="8"/>
        <v>Unfavorable</v>
      </c>
    </row>
    <row r="181" spans="1:17">
      <c r="A181" t="s">
        <v>191</v>
      </c>
      <c r="B181" s="2">
        <v>45036</v>
      </c>
      <c r="C181">
        <v>5010</v>
      </c>
      <c r="D181" t="s">
        <v>2015</v>
      </c>
      <c r="E181">
        <v>278.89</v>
      </c>
      <c r="F181">
        <v>0</v>
      </c>
      <c r="G181" t="s">
        <v>2017</v>
      </c>
      <c r="H181" t="s">
        <v>2025</v>
      </c>
      <c r="I181" t="s">
        <v>2207</v>
      </c>
      <c r="J181" t="s">
        <v>4032</v>
      </c>
      <c r="K181" t="s">
        <v>4041</v>
      </c>
      <c r="L181">
        <v>-278.89</v>
      </c>
      <c r="N181">
        <f t="shared" si="6"/>
        <v>-278.89</v>
      </c>
      <c r="O181" t="s">
        <v>4104</v>
      </c>
      <c r="P181" t="str">
        <f t="shared" si="7"/>
        <v xml:space="preserve"> </v>
      </c>
      <c r="Q181" t="str">
        <f t="shared" si="8"/>
        <v>Unfavorable</v>
      </c>
    </row>
    <row r="182" spans="1:17">
      <c r="A182" t="s">
        <v>192</v>
      </c>
      <c r="B182" s="2">
        <v>45770</v>
      </c>
      <c r="C182">
        <v>4010</v>
      </c>
      <c r="D182" t="s">
        <v>2016</v>
      </c>
      <c r="E182">
        <v>0</v>
      </c>
      <c r="F182">
        <v>4714.1099999999997</v>
      </c>
      <c r="G182" t="s">
        <v>2017</v>
      </c>
      <c r="H182" t="s">
        <v>2023</v>
      </c>
      <c r="I182" t="s">
        <v>2208</v>
      </c>
      <c r="J182" t="s">
        <v>4028</v>
      </c>
      <c r="K182" t="s">
        <v>4045</v>
      </c>
      <c r="L182">
        <v>4714.1099999999997</v>
      </c>
      <c r="N182">
        <f t="shared" si="6"/>
        <v>4714.1099999999997</v>
      </c>
      <c r="O182" t="s">
        <v>4104</v>
      </c>
      <c r="P182" t="str">
        <f t="shared" si="7"/>
        <v xml:space="preserve"> </v>
      </c>
      <c r="Q182" t="str">
        <f t="shared" si="8"/>
        <v>Favorable</v>
      </c>
    </row>
    <row r="183" spans="1:17">
      <c r="A183" t="s">
        <v>193</v>
      </c>
      <c r="B183" s="2">
        <v>44936</v>
      </c>
      <c r="C183">
        <v>5010</v>
      </c>
      <c r="D183" t="s">
        <v>2015</v>
      </c>
      <c r="E183">
        <v>782.32</v>
      </c>
      <c r="F183">
        <v>0</v>
      </c>
      <c r="G183" t="s">
        <v>2020</v>
      </c>
      <c r="H183" t="s">
        <v>2027</v>
      </c>
      <c r="I183" t="s">
        <v>2209</v>
      </c>
      <c r="J183" t="s">
        <v>4031</v>
      </c>
      <c r="K183" t="s">
        <v>4047</v>
      </c>
      <c r="L183">
        <v>-782.32</v>
      </c>
      <c r="N183">
        <f t="shared" si="6"/>
        <v>-782.32</v>
      </c>
      <c r="O183" t="s">
        <v>4104</v>
      </c>
      <c r="P183" t="str">
        <f t="shared" si="7"/>
        <v xml:space="preserve"> </v>
      </c>
      <c r="Q183" t="str">
        <f t="shared" si="8"/>
        <v>Unfavorable</v>
      </c>
    </row>
    <row r="184" spans="1:17">
      <c r="A184" t="s">
        <v>194</v>
      </c>
      <c r="B184" s="2">
        <v>45545</v>
      </c>
      <c r="C184">
        <v>5000</v>
      </c>
      <c r="D184" t="s">
        <v>2013</v>
      </c>
      <c r="E184">
        <v>209.01</v>
      </c>
      <c r="F184">
        <v>0</v>
      </c>
      <c r="G184" t="s">
        <v>2020</v>
      </c>
      <c r="H184" t="s">
        <v>2026</v>
      </c>
      <c r="I184" t="s">
        <v>2210</v>
      </c>
      <c r="J184" t="s">
        <v>4028</v>
      </c>
      <c r="K184" t="s">
        <v>4048</v>
      </c>
      <c r="L184">
        <v>-209.01</v>
      </c>
      <c r="N184">
        <f t="shared" si="6"/>
        <v>-209.01</v>
      </c>
      <c r="O184" t="s">
        <v>4104</v>
      </c>
      <c r="P184" t="str">
        <f t="shared" si="7"/>
        <v xml:space="preserve"> </v>
      </c>
      <c r="Q184" t="str">
        <f t="shared" si="8"/>
        <v>Unfavorable</v>
      </c>
    </row>
    <row r="185" spans="1:17">
      <c r="A185" t="s">
        <v>195</v>
      </c>
      <c r="B185" s="2">
        <v>45352</v>
      </c>
      <c r="C185">
        <v>5000</v>
      </c>
      <c r="D185" t="s">
        <v>2013</v>
      </c>
      <c r="E185">
        <v>449.54</v>
      </c>
      <c r="F185">
        <v>0</v>
      </c>
      <c r="G185" t="s">
        <v>2022</v>
      </c>
      <c r="H185" t="s">
        <v>2027</v>
      </c>
      <c r="I185" t="s">
        <v>2211</v>
      </c>
      <c r="J185" t="s">
        <v>4029</v>
      </c>
      <c r="K185" t="s">
        <v>4049</v>
      </c>
      <c r="L185">
        <v>-449.54</v>
      </c>
      <c r="N185">
        <f t="shared" si="6"/>
        <v>-449.54</v>
      </c>
      <c r="O185" t="s">
        <v>4104</v>
      </c>
      <c r="P185" t="str">
        <f t="shared" si="7"/>
        <v xml:space="preserve"> </v>
      </c>
      <c r="Q185" t="str">
        <f t="shared" si="8"/>
        <v>Unfavorable</v>
      </c>
    </row>
    <row r="186" spans="1:17">
      <c r="A186" t="s">
        <v>196</v>
      </c>
      <c r="B186" s="2">
        <v>45187</v>
      </c>
      <c r="C186">
        <v>6000</v>
      </c>
      <c r="D186" t="s">
        <v>2014</v>
      </c>
      <c r="E186">
        <v>1740.12</v>
      </c>
      <c r="F186">
        <v>0</v>
      </c>
      <c r="G186" t="s">
        <v>2020</v>
      </c>
      <c r="H186" t="s">
        <v>2027</v>
      </c>
      <c r="I186" t="s">
        <v>2212</v>
      </c>
      <c r="J186" t="s">
        <v>4030</v>
      </c>
      <c r="K186" t="s">
        <v>4036</v>
      </c>
      <c r="L186">
        <v>-1740.12</v>
      </c>
      <c r="N186">
        <f t="shared" si="6"/>
        <v>-1740.12</v>
      </c>
      <c r="O186" t="s">
        <v>4104</v>
      </c>
      <c r="P186" t="str">
        <f t="shared" si="7"/>
        <v xml:space="preserve"> </v>
      </c>
      <c r="Q186" t="str">
        <f t="shared" si="8"/>
        <v>Unfavorable</v>
      </c>
    </row>
    <row r="187" spans="1:17">
      <c r="A187" t="s">
        <v>197</v>
      </c>
      <c r="B187" s="2">
        <v>45069</v>
      </c>
      <c r="C187">
        <v>5000</v>
      </c>
      <c r="D187" t="s">
        <v>2013</v>
      </c>
      <c r="E187">
        <v>1625.69</v>
      </c>
      <c r="F187">
        <v>0</v>
      </c>
      <c r="G187" t="s">
        <v>2020</v>
      </c>
      <c r="H187" t="s">
        <v>2024</v>
      </c>
      <c r="I187" t="s">
        <v>2213</v>
      </c>
      <c r="J187" t="s">
        <v>4028</v>
      </c>
      <c r="K187" t="s">
        <v>4062</v>
      </c>
      <c r="L187">
        <v>-1625.69</v>
      </c>
      <c r="N187">
        <f t="shared" si="6"/>
        <v>-1625.69</v>
      </c>
      <c r="O187" t="s">
        <v>4104</v>
      </c>
      <c r="P187" t="str">
        <f t="shared" si="7"/>
        <v xml:space="preserve"> </v>
      </c>
      <c r="Q187" t="str">
        <f t="shared" si="8"/>
        <v>Unfavorable</v>
      </c>
    </row>
    <row r="188" spans="1:17">
      <c r="A188" t="s">
        <v>198</v>
      </c>
      <c r="B188" s="2">
        <v>45635</v>
      </c>
      <c r="C188">
        <v>5000</v>
      </c>
      <c r="D188" t="s">
        <v>2013</v>
      </c>
      <c r="E188">
        <v>586.76</v>
      </c>
      <c r="F188">
        <v>0</v>
      </c>
      <c r="G188" t="s">
        <v>2021</v>
      </c>
      <c r="H188" t="s">
        <v>2025</v>
      </c>
      <c r="I188" t="s">
        <v>2214</v>
      </c>
      <c r="J188" t="s">
        <v>4030</v>
      </c>
      <c r="K188" t="s">
        <v>4056</v>
      </c>
      <c r="L188">
        <v>-586.76</v>
      </c>
      <c r="N188">
        <f t="shared" si="6"/>
        <v>-586.76</v>
      </c>
      <c r="O188" t="s">
        <v>4104</v>
      </c>
      <c r="P188" t="str">
        <f t="shared" si="7"/>
        <v xml:space="preserve"> </v>
      </c>
      <c r="Q188" t="str">
        <f t="shared" si="8"/>
        <v>Unfavorable</v>
      </c>
    </row>
    <row r="189" spans="1:17">
      <c r="A189" t="s">
        <v>199</v>
      </c>
      <c r="B189" s="2">
        <v>45005</v>
      </c>
      <c r="C189">
        <v>4000</v>
      </c>
      <c r="D189" t="s">
        <v>2012</v>
      </c>
      <c r="E189">
        <v>0</v>
      </c>
      <c r="F189">
        <v>2824.84</v>
      </c>
      <c r="G189" t="s">
        <v>2020</v>
      </c>
      <c r="H189" t="s">
        <v>2027</v>
      </c>
      <c r="I189" t="s">
        <v>2215</v>
      </c>
      <c r="J189" t="s">
        <v>4028</v>
      </c>
      <c r="K189" t="s">
        <v>4051</v>
      </c>
      <c r="L189">
        <v>2824.84</v>
      </c>
      <c r="N189">
        <f t="shared" si="6"/>
        <v>2824.84</v>
      </c>
      <c r="O189" t="s">
        <v>4104</v>
      </c>
      <c r="P189" t="str">
        <f t="shared" si="7"/>
        <v xml:space="preserve"> </v>
      </c>
      <c r="Q189" t="str">
        <f t="shared" si="8"/>
        <v>Favorable</v>
      </c>
    </row>
    <row r="190" spans="1:17">
      <c r="A190" t="s">
        <v>200</v>
      </c>
      <c r="B190" s="2">
        <v>45597</v>
      </c>
      <c r="C190">
        <v>4000</v>
      </c>
      <c r="D190" t="s">
        <v>2012</v>
      </c>
      <c r="E190">
        <v>0</v>
      </c>
      <c r="F190">
        <v>1046.78</v>
      </c>
      <c r="G190" t="s">
        <v>2020</v>
      </c>
      <c r="H190" t="s">
        <v>2023</v>
      </c>
      <c r="I190" t="s">
        <v>2216</v>
      </c>
      <c r="J190" t="s">
        <v>4030</v>
      </c>
      <c r="K190" t="s">
        <v>4043</v>
      </c>
      <c r="L190">
        <v>1046.78</v>
      </c>
      <c r="N190">
        <f t="shared" si="6"/>
        <v>1046.78</v>
      </c>
      <c r="O190" t="s">
        <v>4104</v>
      </c>
      <c r="P190" t="str">
        <f t="shared" si="7"/>
        <v xml:space="preserve"> </v>
      </c>
      <c r="Q190" t="str">
        <f t="shared" si="8"/>
        <v>Favorable</v>
      </c>
    </row>
    <row r="191" spans="1:17">
      <c r="A191" t="s">
        <v>201</v>
      </c>
      <c r="B191" s="2">
        <v>44963</v>
      </c>
      <c r="C191">
        <v>4010</v>
      </c>
      <c r="D191" t="s">
        <v>2016</v>
      </c>
      <c r="E191">
        <v>0</v>
      </c>
      <c r="F191">
        <v>3930.36</v>
      </c>
      <c r="G191" t="s">
        <v>2017</v>
      </c>
      <c r="H191" t="s">
        <v>2024</v>
      </c>
      <c r="I191" t="s">
        <v>2217</v>
      </c>
      <c r="J191" t="s">
        <v>4028</v>
      </c>
      <c r="K191" t="s">
        <v>4057</v>
      </c>
      <c r="L191">
        <v>3930.36</v>
      </c>
      <c r="N191">
        <f t="shared" si="6"/>
        <v>3930.36</v>
      </c>
      <c r="O191" t="s">
        <v>4104</v>
      </c>
      <c r="P191" t="str">
        <f t="shared" si="7"/>
        <v xml:space="preserve"> </v>
      </c>
      <c r="Q191" t="str">
        <f t="shared" si="8"/>
        <v>Favorable</v>
      </c>
    </row>
    <row r="192" spans="1:17">
      <c r="A192" t="s">
        <v>202</v>
      </c>
      <c r="B192" s="2">
        <v>45546</v>
      </c>
      <c r="C192">
        <v>4000</v>
      </c>
      <c r="D192" t="s">
        <v>2012</v>
      </c>
      <c r="E192">
        <v>0</v>
      </c>
      <c r="F192">
        <v>2772.6</v>
      </c>
      <c r="G192" t="s">
        <v>2021</v>
      </c>
      <c r="H192" t="s">
        <v>2026</v>
      </c>
      <c r="I192" t="s">
        <v>2218</v>
      </c>
      <c r="J192" t="s">
        <v>4030</v>
      </c>
      <c r="K192" t="s">
        <v>4048</v>
      </c>
      <c r="L192">
        <v>2772.6</v>
      </c>
      <c r="N192">
        <f t="shared" si="6"/>
        <v>2772.6</v>
      </c>
      <c r="O192" t="s">
        <v>4104</v>
      </c>
      <c r="P192" t="str">
        <f t="shared" si="7"/>
        <v xml:space="preserve"> </v>
      </c>
      <c r="Q192" t="str">
        <f t="shared" si="8"/>
        <v>Favorable</v>
      </c>
    </row>
    <row r="193" spans="1:17">
      <c r="A193" t="s">
        <v>203</v>
      </c>
      <c r="B193" s="2">
        <v>45838</v>
      </c>
      <c r="C193">
        <v>5000</v>
      </c>
      <c r="D193" t="s">
        <v>2013</v>
      </c>
      <c r="E193">
        <v>1409.16</v>
      </c>
      <c r="F193">
        <v>0</v>
      </c>
      <c r="G193" t="s">
        <v>2019</v>
      </c>
      <c r="H193" t="s">
        <v>2023</v>
      </c>
      <c r="I193" t="s">
        <v>2219</v>
      </c>
      <c r="J193" t="s">
        <v>4029</v>
      </c>
      <c r="K193" t="s">
        <v>4052</v>
      </c>
      <c r="L193">
        <v>-1409.16</v>
      </c>
      <c r="N193">
        <f t="shared" si="6"/>
        <v>-1409.16</v>
      </c>
      <c r="O193" t="s">
        <v>4104</v>
      </c>
      <c r="P193" t="str">
        <f t="shared" si="7"/>
        <v xml:space="preserve"> </v>
      </c>
      <c r="Q193" t="str">
        <f t="shared" si="8"/>
        <v>Unfavorable</v>
      </c>
    </row>
    <row r="194" spans="1:17">
      <c r="A194" t="s">
        <v>204</v>
      </c>
      <c r="B194" s="2">
        <v>45276</v>
      </c>
      <c r="C194">
        <v>4000</v>
      </c>
      <c r="D194" t="s">
        <v>2012</v>
      </c>
      <c r="E194">
        <v>0</v>
      </c>
      <c r="F194">
        <v>1470.69</v>
      </c>
      <c r="G194" t="s">
        <v>2019</v>
      </c>
      <c r="H194" t="s">
        <v>2024</v>
      </c>
      <c r="I194" t="s">
        <v>2220</v>
      </c>
      <c r="J194" t="s">
        <v>4028</v>
      </c>
      <c r="K194" t="s">
        <v>4039</v>
      </c>
      <c r="L194">
        <v>1470.69</v>
      </c>
      <c r="N194">
        <f t="shared" si="6"/>
        <v>1470.69</v>
      </c>
      <c r="O194" t="s">
        <v>4104</v>
      </c>
      <c r="P194" t="str">
        <f t="shared" si="7"/>
        <v xml:space="preserve"> </v>
      </c>
      <c r="Q194" t="str">
        <f t="shared" si="8"/>
        <v>Favorable</v>
      </c>
    </row>
    <row r="195" spans="1:17">
      <c r="A195" t="s">
        <v>205</v>
      </c>
      <c r="B195" s="2">
        <v>45522</v>
      </c>
      <c r="C195">
        <v>4010</v>
      </c>
      <c r="D195" t="s">
        <v>2016</v>
      </c>
      <c r="E195">
        <v>0</v>
      </c>
      <c r="F195">
        <v>3549.99</v>
      </c>
      <c r="G195" t="s">
        <v>2017</v>
      </c>
      <c r="H195" t="s">
        <v>2027</v>
      </c>
      <c r="I195" t="s">
        <v>2221</v>
      </c>
      <c r="J195" t="s">
        <v>4029</v>
      </c>
      <c r="K195" t="s">
        <v>4058</v>
      </c>
      <c r="L195">
        <v>3549.99</v>
      </c>
      <c r="N195">
        <f t="shared" ref="N195:N258" si="9">L:L-M:M</f>
        <v>3549.99</v>
      </c>
      <c r="O195" t="s">
        <v>4104</v>
      </c>
      <c r="P195" t="str">
        <f t="shared" ref="P195:P258" si="10">IF(AND(ABS(N:N)&gt;10000,M:M&lt;&gt;0),"Material", " ")</f>
        <v xml:space="preserve"> </v>
      </c>
      <c r="Q195" t="str">
        <f t="shared" ref="Q195:Q258" si="11">IF(N:N&gt;0,"Favorable","Unfavorable")</f>
        <v>Favorable</v>
      </c>
    </row>
    <row r="196" spans="1:17">
      <c r="A196" t="s">
        <v>206</v>
      </c>
      <c r="B196" s="2">
        <v>44955</v>
      </c>
      <c r="C196">
        <v>4000</v>
      </c>
      <c r="D196" t="s">
        <v>2012</v>
      </c>
      <c r="E196">
        <v>0</v>
      </c>
      <c r="F196">
        <v>2371.4</v>
      </c>
      <c r="G196" t="s">
        <v>2020</v>
      </c>
      <c r="H196" t="s">
        <v>2026</v>
      </c>
      <c r="I196" t="s">
        <v>2222</v>
      </c>
      <c r="J196" t="s">
        <v>4032</v>
      </c>
      <c r="K196" t="s">
        <v>4047</v>
      </c>
      <c r="L196">
        <v>2371.4</v>
      </c>
      <c r="N196">
        <f t="shared" si="9"/>
        <v>2371.4</v>
      </c>
      <c r="O196" t="s">
        <v>4104</v>
      </c>
      <c r="P196" t="str">
        <f t="shared" si="10"/>
        <v xml:space="preserve"> </v>
      </c>
      <c r="Q196" t="str">
        <f t="shared" si="11"/>
        <v>Favorable</v>
      </c>
    </row>
    <row r="197" spans="1:17">
      <c r="A197" t="s">
        <v>207</v>
      </c>
      <c r="B197" s="2">
        <v>44970</v>
      </c>
      <c r="C197">
        <v>6000</v>
      </c>
      <c r="D197" t="s">
        <v>2014</v>
      </c>
      <c r="E197">
        <v>1869.71</v>
      </c>
      <c r="F197">
        <v>0</v>
      </c>
      <c r="G197" t="s">
        <v>2018</v>
      </c>
      <c r="H197" t="s">
        <v>2025</v>
      </c>
      <c r="I197" t="s">
        <v>2223</v>
      </c>
      <c r="J197" t="s">
        <v>4030</v>
      </c>
      <c r="K197" t="s">
        <v>4057</v>
      </c>
      <c r="L197">
        <v>-1869.71</v>
      </c>
      <c r="N197">
        <f t="shared" si="9"/>
        <v>-1869.71</v>
      </c>
      <c r="O197" t="s">
        <v>4104</v>
      </c>
      <c r="P197" t="str">
        <f t="shared" si="10"/>
        <v xml:space="preserve"> </v>
      </c>
      <c r="Q197" t="str">
        <f t="shared" si="11"/>
        <v>Unfavorable</v>
      </c>
    </row>
    <row r="198" spans="1:17">
      <c r="A198" t="s">
        <v>208</v>
      </c>
      <c r="B198" s="2">
        <v>45306</v>
      </c>
      <c r="C198">
        <v>5000</v>
      </c>
      <c r="D198" t="s">
        <v>2013</v>
      </c>
      <c r="E198">
        <v>1812.22</v>
      </c>
      <c r="F198">
        <v>0</v>
      </c>
      <c r="G198" t="s">
        <v>2020</v>
      </c>
      <c r="H198" t="s">
        <v>2026</v>
      </c>
      <c r="I198" t="s">
        <v>2224</v>
      </c>
      <c r="J198" t="s">
        <v>4032</v>
      </c>
      <c r="K198" t="s">
        <v>4053</v>
      </c>
      <c r="L198">
        <v>-1812.22</v>
      </c>
      <c r="N198">
        <f t="shared" si="9"/>
        <v>-1812.22</v>
      </c>
      <c r="O198" t="s">
        <v>4104</v>
      </c>
      <c r="P198" t="str">
        <f t="shared" si="10"/>
        <v xml:space="preserve"> </v>
      </c>
      <c r="Q198" t="str">
        <f t="shared" si="11"/>
        <v>Unfavorable</v>
      </c>
    </row>
    <row r="199" spans="1:17">
      <c r="A199" t="s">
        <v>209</v>
      </c>
      <c r="B199" s="2">
        <v>44969</v>
      </c>
      <c r="C199">
        <v>5000</v>
      </c>
      <c r="D199" t="s">
        <v>2013</v>
      </c>
      <c r="E199">
        <v>218.2</v>
      </c>
      <c r="F199">
        <v>0</v>
      </c>
      <c r="G199" t="s">
        <v>2022</v>
      </c>
      <c r="H199" t="s">
        <v>2023</v>
      </c>
      <c r="I199" t="s">
        <v>2225</v>
      </c>
      <c r="J199" t="s">
        <v>4028</v>
      </c>
      <c r="K199" t="s">
        <v>4057</v>
      </c>
      <c r="L199">
        <v>-218.2</v>
      </c>
      <c r="N199">
        <f t="shared" si="9"/>
        <v>-218.2</v>
      </c>
      <c r="O199" t="s">
        <v>4104</v>
      </c>
      <c r="P199" t="str">
        <f t="shared" si="10"/>
        <v xml:space="preserve"> </v>
      </c>
      <c r="Q199" t="str">
        <f t="shared" si="11"/>
        <v>Unfavorable</v>
      </c>
    </row>
    <row r="200" spans="1:17">
      <c r="A200" t="s">
        <v>210</v>
      </c>
      <c r="B200" s="2">
        <v>44997</v>
      </c>
      <c r="C200">
        <v>4010</v>
      </c>
      <c r="D200" t="s">
        <v>2016</v>
      </c>
      <c r="E200">
        <v>0</v>
      </c>
      <c r="F200">
        <v>965.46</v>
      </c>
      <c r="G200" t="s">
        <v>2019</v>
      </c>
      <c r="H200" t="s">
        <v>2027</v>
      </c>
      <c r="I200" t="s">
        <v>2226</v>
      </c>
      <c r="J200" t="s">
        <v>4030</v>
      </c>
      <c r="K200" t="s">
        <v>4051</v>
      </c>
      <c r="L200">
        <v>965.46</v>
      </c>
      <c r="N200">
        <f t="shared" si="9"/>
        <v>965.46</v>
      </c>
      <c r="O200" t="s">
        <v>4104</v>
      </c>
      <c r="P200" t="str">
        <f t="shared" si="10"/>
        <v xml:space="preserve"> </v>
      </c>
      <c r="Q200" t="str">
        <f t="shared" si="11"/>
        <v>Favorable</v>
      </c>
    </row>
    <row r="201" spans="1:17">
      <c r="A201" t="s">
        <v>211</v>
      </c>
      <c r="B201" s="2">
        <v>45549</v>
      </c>
      <c r="C201">
        <v>4000</v>
      </c>
      <c r="D201" t="s">
        <v>2012</v>
      </c>
      <c r="E201">
        <v>0</v>
      </c>
      <c r="F201">
        <v>321.5</v>
      </c>
      <c r="G201" t="s">
        <v>2019</v>
      </c>
      <c r="H201" t="s">
        <v>2027</v>
      </c>
      <c r="I201" t="s">
        <v>2227</v>
      </c>
      <c r="J201" t="s">
        <v>4030</v>
      </c>
      <c r="K201" t="s">
        <v>4048</v>
      </c>
      <c r="L201">
        <v>321.5</v>
      </c>
      <c r="N201">
        <f t="shared" si="9"/>
        <v>321.5</v>
      </c>
      <c r="O201" t="s">
        <v>4104</v>
      </c>
      <c r="P201" t="str">
        <f t="shared" si="10"/>
        <v xml:space="preserve"> </v>
      </c>
      <c r="Q201" t="str">
        <f t="shared" si="11"/>
        <v>Favorable</v>
      </c>
    </row>
    <row r="202" spans="1:17">
      <c r="A202" t="s">
        <v>212</v>
      </c>
      <c r="B202" s="2">
        <v>45347</v>
      </c>
      <c r="C202">
        <v>6000</v>
      </c>
      <c r="D202" t="s">
        <v>2014</v>
      </c>
      <c r="E202">
        <v>763.01</v>
      </c>
      <c r="F202">
        <v>0</v>
      </c>
      <c r="G202" t="s">
        <v>2018</v>
      </c>
      <c r="H202" t="s">
        <v>2027</v>
      </c>
      <c r="I202" t="s">
        <v>2228</v>
      </c>
      <c r="J202" t="s">
        <v>4028</v>
      </c>
      <c r="K202" t="s">
        <v>4044</v>
      </c>
      <c r="L202">
        <v>-763.01</v>
      </c>
      <c r="N202">
        <f t="shared" si="9"/>
        <v>-763.01</v>
      </c>
      <c r="O202" t="s">
        <v>4104</v>
      </c>
      <c r="P202" t="str">
        <f t="shared" si="10"/>
        <v xml:space="preserve"> </v>
      </c>
      <c r="Q202" t="str">
        <f t="shared" si="11"/>
        <v>Unfavorable</v>
      </c>
    </row>
    <row r="203" spans="1:17">
      <c r="A203" t="s">
        <v>213</v>
      </c>
      <c r="B203" s="2">
        <v>44954</v>
      </c>
      <c r="C203">
        <v>4010</v>
      </c>
      <c r="D203" t="s">
        <v>2016</v>
      </c>
      <c r="E203">
        <v>0</v>
      </c>
      <c r="F203">
        <v>2497.61</v>
      </c>
      <c r="G203" t="s">
        <v>2019</v>
      </c>
      <c r="H203" t="s">
        <v>2025</v>
      </c>
      <c r="I203" t="s">
        <v>2229</v>
      </c>
      <c r="J203" t="s">
        <v>4031</v>
      </c>
      <c r="K203" t="s">
        <v>4047</v>
      </c>
      <c r="L203">
        <v>2497.61</v>
      </c>
      <c r="N203">
        <f t="shared" si="9"/>
        <v>2497.61</v>
      </c>
      <c r="O203" t="s">
        <v>4104</v>
      </c>
      <c r="P203" t="str">
        <f t="shared" si="10"/>
        <v xml:space="preserve"> </v>
      </c>
      <c r="Q203" t="str">
        <f t="shared" si="11"/>
        <v>Favorable</v>
      </c>
    </row>
    <row r="204" spans="1:17">
      <c r="A204" t="s">
        <v>214</v>
      </c>
      <c r="B204" s="2">
        <v>45538</v>
      </c>
      <c r="C204">
        <v>4000</v>
      </c>
      <c r="D204" t="s">
        <v>2012</v>
      </c>
      <c r="E204">
        <v>0</v>
      </c>
      <c r="F204">
        <v>4299.82</v>
      </c>
      <c r="G204" t="s">
        <v>2017</v>
      </c>
      <c r="H204" t="s">
        <v>2026</v>
      </c>
      <c r="I204" t="s">
        <v>2230</v>
      </c>
      <c r="J204" t="s">
        <v>4032</v>
      </c>
      <c r="K204" t="s">
        <v>4048</v>
      </c>
      <c r="L204">
        <v>4299.82</v>
      </c>
      <c r="N204">
        <f t="shared" si="9"/>
        <v>4299.82</v>
      </c>
      <c r="O204" t="s">
        <v>4104</v>
      </c>
      <c r="P204" t="str">
        <f t="shared" si="10"/>
        <v xml:space="preserve"> </v>
      </c>
      <c r="Q204" t="str">
        <f t="shared" si="11"/>
        <v>Favorable</v>
      </c>
    </row>
    <row r="205" spans="1:17">
      <c r="A205" t="s">
        <v>215</v>
      </c>
      <c r="B205" s="2">
        <v>45591</v>
      </c>
      <c r="C205">
        <v>6000</v>
      </c>
      <c r="D205" t="s">
        <v>2014</v>
      </c>
      <c r="E205">
        <v>492.26</v>
      </c>
      <c r="F205">
        <v>0</v>
      </c>
      <c r="G205" t="s">
        <v>2017</v>
      </c>
      <c r="H205" t="s">
        <v>2025</v>
      </c>
      <c r="I205" t="s">
        <v>2231</v>
      </c>
      <c r="J205" t="s">
        <v>4031</v>
      </c>
      <c r="K205" t="s">
        <v>4059</v>
      </c>
      <c r="L205">
        <v>-492.26</v>
      </c>
      <c r="N205">
        <f t="shared" si="9"/>
        <v>-492.26</v>
      </c>
      <c r="O205" t="s">
        <v>4104</v>
      </c>
      <c r="P205" t="str">
        <f t="shared" si="10"/>
        <v xml:space="preserve"> </v>
      </c>
      <c r="Q205" t="str">
        <f t="shared" si="11"/>
        <v>Unfavorable</v>
      </c>
    </row>
    <row r="206" spans="1:17">
      <c r="A206" t="s">
        <v>216</v>
      </c>
      <c r="B206" s="2">
        <v>45156</v>
      </c>
      <c r="C206">
        <v>4000</v>
      </c>
      <c r="D206" t="s">
        <v>2012</v>
      </c>
      <c r="E206">
        <v>0</v>
      </c>
      <c r="F206">
        <v>4036.79</v>
      </c>
      <c r="G206" t="s">
        <v>2019</v>
      </c>
      <c r="H206" t="s">
        <v>2023</v>
      </c>
      <c r="I206" t="s">
        <v>2232</v>
      </c>
      <c r="J206" t="s">
        <v>4029</v>
      </c>
      <c r="K206" t="s">
        <v>4037</v>
      </c>
      <c r="L206">
        <v>4036.79</v>
      </c>
      <c r="N206">
        <f t="shared" si="9"/>
        <v>4036.79</v>
      </c>
      <c r="O206" t="s">
        <v>4104</v>
      </c>
      <c r="P206" t="str">
        <f t="shared" si="10"/>
        <v xml:space="preserve"> </v>
      </c>
      <c r="Q206" t="str">
        <f t="shared" si="11"/>
        <v>Favorable</v>
      </c>
    </row>
    <row r="207" spans="1:17">
      <c r="A207" t="s">
        <v>217</v>
      </c>
      <c r="B207" s="2">
        <v>45548</v>
      </c>
      <c r="C207">
        <v>4010</v>
      </c>
      <c r="D207" t="s">
        <v>2016</v>
      </c>
      <c r="E207">
        <v>0</v>
      </c>
      <c r="F207">
        <v>3885.84</v>
      </c>
      <c r="G207" t="s">
        <v>2019</v>
      </c>
      <c r="H207" t="s">
        <v>2024</v>
      </c>
      <c r="I207" t="s">
        <v>2233</v>
      </c>
      <c r="J207" t="s">
        <v>4028</v>
      </c>
      <c r="K207" t="s">
        <v>4048</v>
      </c>
      <c r="L207">
        <v>3885.84</v>
      </c>
      <c r="N207">
        <f t="shared" si="9"/>
        <v>3885.84</v>
      </c>
      <c r="O207" t="s">
        <v>4104</v>
      </c>
      <c r="P207" t="str">
        <f t="shared" si="10"/>
        <v xml:space="preserve"> </v>
      </c>
      <c r="Q207" t="str">
        <f t="shared" si="11"/>
        <v>Favorable</v>
      </c>
    </row>
    <row r="208" spans="1:17">
      <c r="A208" t="s">
        <v>218</v>
      </c>
      <c r="B208" s="2">
        <v>44965</v>
      </c>
      <c r="C208">
        <v>6000</v>
      </c>
      <c r="D208" t="s">
        <v>2014</v>
      </c>
      <c r="E208">
        <v>1161.43</v>
      </c>
      <c r="F208">
        <v>0</v>
      </c>
      <c r="G208" t="s">
        <v>2019</v>
      </c>
      <c r="H208" t="s">
        <v>2023</v>
      </c>
      <c r="I208" t="s">
        <v>2234</v>
      </c>
      <c r="J208" t="s">
        <v>4028</v>
      </c>
      <c r="K208" t="s">
        <v>4057</v>
      </c>
      <c r="L208">
        <v>-1161.43</v>
      </c>
      <c r="N208">
        <f t="shared" si="9"/>
        <v>-1161.43</v>
      </c>
      <c r="O208" t="s">
        <v>4104</v>
      </c>
      <c r="P208" t="str">
        <f t="shared" si="10"/>
        <v xml:space="preserve"> </v>
      </c>
      <c r="Q208" t="str">
        <f t="shared" si="11"/>
        <v>Unfavorable</v>
      </c>
    </row>
    <row r="209" spans="1:17">
      <c r="A209" t="s">
        <v>219</v>
      </c>
      <c r="B209" s="2">
        <v>45751</v>
      </c>
      <c r="C209">
        <v>4000</v>
      </c>
      <c r="D209" t="s">
        <v>2012</v>
      </c>
      <c r="E209">
        <v>0</v>
      </c>
      <c r="F209">
        <v>4478.0600000000004</v>
      </c>
      <c r="G209" t="s">
        <v>2018</v>
      </c>
      <c r="H209" t="s">
        <v>2026</v>
      </c>
      <c r="I209" t="s">
        <v>2235</v>
      </c>
      <c r="J209" t="s">
        <v>4030</v>
      </c>
      <c r="K209" t="s">
        <v>4045</v>
      </c>
      <c r="L209">
        <v>4478.0600000000004</v>
      </c>
      <c r="N209">
        <f t="shared" si="9"/>
        <v>4478.0600000000004</v>
      </c>
      <c r="O209" t="s">
        <v>4104</v>
      </c>
      <c r="P209" t="str">
        <f t="shared" si="10"/>
        <v xml:space="preserve"> </v>
      </c>
      <c r="Q209" t="str">
        <f t="shared" si="11"/>
        <v>Favorable</v>
      </c>
    </row>
    <row r="210" spans="1:17">
      <c r="A210" t="s">
        <v>220</v>
      </c>
      <c r="B210" s="2">
        <v>45739</v>
      </c>
      <c r="C210">
        <v>6000</v>
      </c>
      <c r="D210" t="s">
        <v>2014</v>
      </c>
      <c r="E210">
        <v>169.1</v>
      </c>
      <c r="F210">
        <v>0</v>
      </c>
      <c r="G210" t="s">
        <v>2022</v>
      </c>
      <c r="H210" t="s">
        <v>2023</v>
      </c>
      <c r="I210" t="s">
        <v>2236</v>
      </c>
      <c r="J210" t="s">
        <v>4032</v>
      </c>
      <c r="K210" t="s">
        <v>4046</v>
      </c>
      <c r="L210">
        <v>-169.1</v>
      </c>
      <c r="N210">
        <f t="shared" si="9"/>
        <v>-169.1</v>
      </c>
      <c r="O210" t="s">
        <v>4104</v>
      </c>
      <c r="P210" t="str">
        <f t="shared" si="10"/>
        <v xml:space="preserve"> </v>
      </c>
      <c r="Q210" t="str">
        <f t="shared" si="11"/>
        <v>Unfavorable</v>
      </c>
    </row>
    <row r="211" spans="1:17">
      <c r="A211" t="s">
        <v>221</v>
      </c>
      <c r="B211" s="2">
        <v>45182</v>
      </c>
      <c r="C211">
        <v>5000</v>
      </c>
      <c r="D211" t="s">
        <v>2013</v>
      </c>
      <c r="E211">
        <v>1138.92</v>
      </c>
      <c r="F211">
        <v>0</v>
      </c>
      <c r="G211" t="s">
        <v>2018</v>
      </c>
      <c r="H211" t="s">
        <v>2027</v>
      </c>
      <c r="I211" t="s">
        <v>2237</v>
      </c>
      <c r="J211" t="s">
        <v>4030</v>
      </c>
      <c r="K211" t="s">
        <v>4036</v>
      </c>
      <c r="L211">
        <v>-1138.92</v>
      </c>
      <c r="N211">
        <f t="shared" si="9"/>
        <v>-1138.92</v>
      </c>
      <c r="O211" t="s">
        <v>4104</v>
      </c>
      <c r="P211" t="str">
        <f t="shared" si="10"/>
        <v xml:space="preserve"> </v>
      </c>
      <c r="Q211" t="str">
        <f t="shared" si="11"/>
        <v>Unfavorable</v>
      </c>
    </row>
    <row r="212" spans="1:17">
      <c r="A212" t="s">
        <v>222</v>
      </c>
      <c r="B212" s="2">
        <v>45159</v>
      </c>
      <c r="C212">
        <v>4010</v>
      </c>
      <c r="D212" t="s">
        <v>2016</v>
      </c>
      <c r="E212">
        <v>0</v>
      </c>
      <c r="F212">
        <v>3750.39</v>
      </c>
      <c r="G212" t="s">
        <v>2021</v>
      </c>
      <c r="H212" t="s">
        <v>2024</v>
      </c>
      <c r="I212" t="s">
        <v>2238</v>
      </c>
      <c r="J212" t="s">
        <v>4032</v>
      </c>
      <c r="K212" t="s">
        <v>4037</v>
      </c>
      <c r="L212">
        <v>3750.39</v>
      </c>
      <c r="N212">
        <f t="shared" si="9"/>
        <v>3750.39</v>
      </c>
      <c r="O212" t="s">
        <v>4104</v>
      </c>
      <c r="P212" t="str">
        <f t="shared" si="10"/>
        <v xml:space="preserve"> </v>
      </c>
      <c r="Q212" t="str">
        <f t="shared" si="11"/>
        <v>Favorable</v>
      </c>
    </row>
    <row r="213" spans="1:17">
      <c r="A213" t="s">
        <v>223</v>
      </c>
      <c r="B213" s="2">
        <v>45259</v>
      </c>
      <c r="C213">
        <v>5010</v>
      </c>
      <c r="D213" t="s">
        <v>2015</v>
      </c>
      <c r="E213">
        <v>1619.58</v>
      </c>
      <c r="F213">
        <v>0</v>
      </c>
      <c r="G213" t="s">
        <v>2017</v>
      </c>
      <c r="H213" t="s">
        <v>2025</v>
      </c>
      <c r="I213" t="s">
        <v>2239</v>
      </c>
      <c r="J213" t="s">
        <v>4031</v>
      </c>
      <c r="K213" t="s">
        <v>4042</v>
      </c>
      <c r="L213">
        <v>-1619.58</v>
      </c>
      <c r="N213">
        <f t="shared" si="9"/>
        <v>-1619.58</v>
      </c>
      <c r="O213" t="s">
        <v>4104</v>
      </c>
      <c r="P213" t="str">
        <f t="shared" si="10"/>
        <v xml:space="preserve"> </v>
      </c>
      <c r="Q213" t="str">
        <f t="shared" si="11"/>
        <v>Unfavorable</v>
      </c>
    </row>
    <row r="214" spans="1:17">
      <c r="A214" t="s">
        <v>224</v>
      </c>
      <c r="B214" s="2">
        <v>45608</v>
      </c>
      <c r="C214">
        <v>4010</v>
      </c>
      <c r="D214" t="s">
        <v>2016</v>
      </c>
      <c r="E214">
        <v>0</v>
      </c>
      <c r="F214">
        <v>668.17</v>
      </c>
      <c r="G214" t="s">
        <v>2017</v>
      </c>
      <c r="H214" t="s">
        <v>2025</v>
      </c>
      <c r="I214" t="s">
        <v>2240</v>
      </c>
      <c r="J214" t="s">
        <v>4032</v>
      </c>
      <c r="K214" t="s">
        <v>4043</v>
      </c>
      <c r="L214">
        <v>668.17</v>
      </c>
      <c r="N214">
        <f t="shared" si="9"/>
        <v>668.17</v>
      </c>
      <c r="O214" t="s">
        <v>4104</v>
      </c>
      <c r="P214" t="str">
        <f t="shared" si="10"/>
        <v xml:space="preserve"> </v>
      </c>
      <c r="Q214" t="str">
        <f t="shared" si="11"/>
        <v>Favorable</v>
      </c>
    </row>
    <row r="215" spans="1:17">
      <c r="A215" t="s">
        <v>225</v>
      </c>
      <c r="B215" s="2">
        <v>45707</v>
      </c>
      <c r="C215">
        <v>5000</v>
      </c>
      <c r="D215" t="s">
        <v>2013</v>
      </c>
      <c r="E215">
        <v>1003.8</v>
      </c>
      <c r="F215">
        <v>0</v>
      </c>
      <c r="G215" t="s">
        <v>2020</v>
      </c>
      <c r="H215" t="s">
        <v>2027</v>
      </c>
      <c r="I215" t="s">
        <v>2241</v>
      </c>
      <c r="J215" t="s">
        <v>4030</v>
      </c>
      <c r="K215" t="s">
        <v>4061</v>
      </c>
      <c r="L215">
        <v>-1003.8</v>
      </c>
      <c r="N215">
        <f t="shared" si="9"/>
        <v>-1003.8</v>
      </c>
      <c r="O215" t="s">
        <v>4104</v>
      </c>
      <c r="P215" t="str">
        <f t="shared" si="10"/>
        <v xml:space="preserve"> </v>
      </c>
      <c r="Q215" t="str">
        <f t="shared" si="11"/>
        <v>Unfavorable</v>
      </c>
    </row>
    <row r="216" spans="1:17">
      <c r="A216" t="s">
        <v>226</v>
      </c>
      <c r="B216" s="2">
        <v>45152</v>
      </c>
      <c r="C216">
        <v>4010</v>
      </c>
      <c r="D216" t="s">
        <v>2016</v>
      </c>
      <c r="E216">
        <v>0</v>
      </c>
      <c r="F216">
        <v>1941.69</v>
      </c>
      <c r="G216" t="s">
        <v>2017</v>
      </c>
      <c r="H216" t="s">
        <v>2026</v>
      </c>
      <c r="I216" t="s">
        <v>2242</v>
      </c>
      <c r="J216" t="s">
        <v>4029</v>
      </c>
      <c r="K216" t="s">
        <v>4037</v>
      </c>
      <c r="L216">
        <v>1941.69</v>
      </c>
      <c r="N216">
        <f t="shared" si="9"/>
        <v>1941.69</v>
      </c>
      <c r="O216" t="s">
        <v>4104</v>
      </c>
      <c r="P216" t="str">
        <f t="shared" si="10"/>
        <v xml:space="preserve"> </v>
      </c>
      <c r="Q216" t="str">
        <f t="shared" si="11"/>
        <v>Favorable</v>
      </c>
    </row>
    <row r="217" spans="1:17">
      <c r="A217" t="s">
        <v>227</v>
      </c>
      <c r="B217" s="2">
        <v>45309</v>
      </c>
      <c r="C217">
        <v>5010</v>
      </c>
      <c r="D217" t="s">
        <v>2015</v>
      </c>
      <c r="E217">
        <v>521.33000000000004</v>
      </c>
      <c r="F217">
        <v>0</v>
      </c>
      <c r="G217" t="s">
        <v>2021</v>
      </c>
      <c r="H217" t="s">
        <v>2027</v>
      </c>
      <c r="I217" t="s">
        <v>2243</v>
      </c>
      <c r="J217" t="s">
        <v>4030</v>
      </c>
      <c r="K217" t="s">
        <v>4053</v>
      </c>
      <c r="L217">
        <v>-521.33000000000004</v>
      </c>
      <c r="N217">
        <f t="shared" si="9"/>
        <v>-521.33000000000004</v>
      </c>
      <c r="O217" t="s">
        <v>4104</v>
      </c>
      <c r="P217" t="str">
        <f t="shared" si="10"/>
        <v xml:space="preserve"> </v>
      </c>
      <c r="Q217" t="str">
        <f t="shared" si="11"/>
        <v>Unfavorable</v>
      </c>
    </row>
    <row r="218" spans="1:17">
      <c r="A218" t="s">
        <v>228</v>
      </c>
      <c r="B218" s="2">
        <v>45418</v>
      </c>
      <c r="C218">
        <v>5010</v>
      </c>
      <c r="D218" t="s">
        <v>2015</v>
      </c>
      <c r="E218">
        <v>1612.68</v>
      </c>
      <c r="F218">
        <v>0</v>
      </c>
      <c r="G218" t="s">
        <v>2017</v>
      </c>
      <c r="H218" t="s">
        <v>2023</v>
      </c>
      <c r="I218" t="s">
        <v>2244</v>
      </c>
      <c r="J218" t="s">
        <v>4030</v>
      </c>
      <c r="K218" t="s">
        <v>4033</v>
      </c>
      <c r="L218">
        <v>-1612.68</v>
      </c>
      <c r="N218">
        <f t="shared" si="9"/>
        <v>-1612.68</v>
      </c>
      <c r="O218" t="s">
        <v>4104</v>
      </c>
      <c r="P218" t="str">
        <f t="shared" si="10"/>
        <v xml:space="preserve"> </v>
      </c>
      <c r="Q218" t="str">
        <f t="shared" si="11"/>
        <v>Unfavorable</v>
      </c>
    </row>
    <row r="219" spans="1:17">
      <c r="A219" t="s">
        <v>229</v>
      </c>
      <c r="B219" s="2">
        <v>45231</v>
      </c>
      <c r="C219">
        <v>5000</v>
      </c>
      <c r="D219" t="s">
        <v>2013</v>
      </c>
      <c r="E219">
        <v>1386.6</v>
      </c>
      <c r="F219">
        <v>0</v>
      </c>
      <c r="G219" t="s">
        <v>2019</v>
      </c>
      <c r="H219" t="s">
        <v>2027</v>
      </c>
      <c r="I219" t="s">
        <v>2245</v>
      </c>
      <c r="J219" t="s">
        <v>4031</v>
      </c>
      <c r="K219" t="s">
        <v>4042</v>
      </c>
      <c r="L219">
        <v>-1386.6</v>
      </c>
      <c r="N219">
        <f t="shared" si="9"/>
        <v>-1386.6</v>
      </c>
      <c r="O219" t="s">
        <v>4104</v>
      </c>
      <c r="P219" t="str">
        <f t="shared" si="10"/>
        <v xml:space="preserve"> </v>
      </c>
      <c r="Q219" t="str">
        <f t="shared" si="11"/>
        <v>Unfavorable</v>
      </c>
    </row>
    <row r="220" spans="1:17">
      <c r="A220" t="s">
        <v>230</v>
      </c>
      <c r="B220" s="2">
        <v>45334</v>
      </c>
      <c r="C220">
        <v>5010</v>
      </c>
      <c r="D220" t="s">
        <v>2015</v>
      </c>
      <c r="E220">
        <v>1060.0999999999999</v>
      </c>
      <c r="F220">
        <v>0</v>
      </c>
      <c r="G220" t="s">
        <v>2022</v>
      </c>
      <c r="H220" t="s">
        <v>2027</v>
      </c>
      <c r="I220" t="s">
        <v>2246</v>
      </c>
      <c r="J220" t="s">
        <v>4029</v>
      </c>
      <c r="K220" t="s">
        <v>4044</v>
      </c>
      <c r="L220">
        <v>-1060.0999999999999</v>
      </c>
      <c r="N220">
        <f t="shared" si="9"/>
        <v>-1060.0999999999999</v>
      </c>
      <c r="O220" t="s">
        <v>4104</v>
      </c>
      <c r="P220" t="str">
        <f t="shared" si="10"/>
        <v xml:space="preserve"> </v>
      </c>
      <c r="Q220" t="str">
        <f t="shared" si="11"/>
        <v>Unfavorable</v>
      </c>
    </row>
    <row r="221" spans="1:17">
      <c r="A221" t="s">
        <v>231</v>
      </c>
      <c r="B221" s="2">
        <v>45723</v>
      </c>
      <c r="C221">
        <v>5000</v>
      </c>
      <c r="D221" t="s">
        <v>2013</v>
      </c>
      <c r="E221">
        <v>558.04</v>
      </c>
      <c r="F221">
        <v>0</v>
      </c>
      <c r="G221" t="s">
        <v>2019</v>
      </c>
      <c r="H221" t="s">
        <v>2024</v>
      </c>
      <c r="I221" t="s">
        <v>2247</v>
      </c>
      <c r="J221" t="s">
        <v>4030</v>
      </c>
      <c r="K221" t="s">
        <v>4046</v>
      </c>
      <c r="L221">
        <v>-558.04</v>
      </c>
      <c r="N221">
        <f t="shared" si="9"/>
        <v>-558.04</v>
      </c>
      <c r="O221" t="s">
        <v>4104</v>
      </c>
      <c r="P221" t="str">
        <f t="shared" si="10"/>
        <v xml:space="preserve"> </v>
      </c>
      <c r="Q221" t="str">
        <f t="shared" si="11"/>
        <v>Unfavorable</v>
      </c>
    </row>
    <row r="222" spans="1:17">
      <c r="A222" t="s">
        <v>232</v>
      </c>
      <c r="B222" s="2">
        <v>45636</v>
      </c>
      <c r="C222">
        <v>4000</v>
      </c>
      <c r="D222" t="s">
        <v>2012</v>
      </c>
      <c r="E222">
        <v>0</v>
      </c>
      <c r="F222">
        <v>345.31</v>
      </c>
      <c r="G222" t="s">
        <v>2017</v>
      </c>
      <c r="H222" t="s">
        <v>2026</v>
      </c>
      <c r="I222" t="s">
        <v>2248</v>
      </c>
      <c r="J222" t="s">
        <v>4030</v>
      </c>
      <c r="K222" t="s">
        <v>4056</v>
      </c>
      <c r="L222">
        <v>345.31</v>
      </c>
      <c r="N222">
        <f t="shared" si="9"/>
        <v>345.31</v>
      </c>
      <c r="O222" t="s">
        <v>4104</v>
      </c>
      <c r="P222" t="str">
        <f t="shared" si="10"/>
        <v xml:space="preserve"> </v>
      </c>
      <c r="Q222" t="str">
        <f t="shared" si="11"/>
        <v>Favorable</v>
      </c>
    </row>
    <row r="223" spans="1:17">
      <c r="A223" t="s">
        <v>233</v>
      </c>
      <c r="B223" s="2">
        <v>45429</v>
      </c>
      <c r="C223">
        <v>4010</v>
      </c>
      <c r="D223" t="s">
        <v>2016</v>
      </c>
      <c r="E223">
        <v>0</v>
      </c>
      <c r="F223">
        <v>1449.49</v>
      </c>
      <c r="G223" t="s">
        <v>2017</v>
      </c>
      <c r="H223" t="s">
        <v>2026</v>
      </c>
      <c r="I223" t="s">
        <v>2249</v>
      </c>
      <c r="J223" t="s">
        <v>4029</v>
      </c>
      <c r="K223" t="s">
        <v>4033</v>
      </c>
      <c r="L223">
        <v>1449.49</v>
      </c>
      <c r="N223">
        <f t="shared" si="9"/>
        <v>1449.49</v>
      </c>
      <c r="O223" t="s">
        <v>4104</v>
      </c>
      <c r="P223" t="str">
        <f t="shared" si="10"/>
        <v xml:space="preserve"> </v>
      </c>
      <c r="Q223" t="str">
        <f t="shared" si="11"/>
        <v>Favorable</v>
      </c>
    </row>
    <row r="224" spans="1:17">
      <c r="A224" t="s">
        <v>234</v>
      </c>
      <c r="B224" s="2">
        <v>45251</v>
      </c>
      <c r="C224">
        <v>6000</v>
      </c>
      <c r="D224" t="s">
        <v>2014</v>
      </c>
      <c r="E224">
        <v>491.91</v>
      </c>
      <c r="F224">
        <v>0</v>
      </c>
      <c r="G224" t="s">
        <v>2017</v>
      </c>
      <c r="H224" t="s">
        <v>2023</v>
      </c>
      <c r="I224" t="s">
        <v>2250</v>
      </c>
      <c r="J224" t="s">
        <v>4031</v>
      </c>
      <c r="K224" t="s">
        <v>4042</v>
      </c>
      <c r="L224">
        <v>-491.91</v>
      </c>
      <c r="N224">
        <f t="shared" si="9"/>
        <v>-491.91</v>
      </c>
      <c r="O224" t="s">
        <v>4104</v>
      </c>
      <c r="P224" t="str">
        <f t="shared" si="10"/>
        <v xml:space="preserve"> </v>
      </c>
      <c r="Q224" t="str">
        <f t="shared" si="11"/>
        <v>Unfavorable</v>
      </c>
    </row>
    <row r="225" spans="1:17">
      <c r="A225" t="s">
        <v>235</v>
      </c>
      <c r="B225" s="2">
        <v>45367</v>
      </c>
      <c r="C225">
        <v>5000</v>
      </c>
      <c r="D225" t="s">
        <v>2013</v>
      </c>
      <c r="E225">
        <v>1439</v>
      </c>
      <c r="F225">
        <v>0</v>
      </c>
      <c r="G225" t="s">
        <v>2022</v>
      </c>
      <c r="H225" t="s">
        <v>2024</v>
      </c>
      <c r="I225" t="s">
        <v>2251</v>
      </c>
      <c r="J225" t="s">
        <v>4030</v>
      </c>
      <c r="K225" t="s">
        <v>4049</v>
      </c>
      <c r="L225">
        <v>-1439</v>
      </c>
      <c r="N225">
        <f t="shared" si="9"/>
        <v>-1439</v>
      </c>
      <c r="O225" t="s">
        <v>4104</v>
      </c>
      <c r="P225" t="str">
        <f t="shared" si="10"/>
        <v xml:space="preserve"> </v>
      </c>
      <c r="Q225" t="str">
        <f t="shared" si="11"/>
        <v>Unfavorable</v>
      </c>
    </row>
    <row r="226" spans="1:17">
      <c r="A226" t="s">
        <v>236</v>
      </c>
      <c r="B226" s="2">
        <v>45027</v>
      </c>
      <c r="C226">
        <v>6000</v>
      </c>
      <c r="D226" t="s">
        <v>2014</v>
      </c>
      <c r="E226">
        <v>858.22</v>
      </c>
      <c r="F226">
        <v>0</v>
      </c>
      <c r="G226" t="s">
        <v>2017</v>
      </c>
      <c r="H226" t="s">
        <v>2024</v>
      </c>
      <c r="I226" t="s">
        <v>2252</v>
      </c>
      <c r="J226" t="s">
        <v>4028</v>
      </c>
      <c r="K226" t="s">
        <v>4041</v>
      </c>
      <c r="L226">
        <v>-858.22</v>
      </c>
      <c r="N226">
        <f t="shared" si="9"/>
        <v>-858.22</v>
      </c>
      <c r="O226" t="s">
        <v>4104</v>
      </c>
      <c r="P226" t="str">
        <f t="shared" si="10"/>
        <v xml:space="preserve"> </v>
      </c>
      <c r="Q226" t="str">
        <f t="shared" si="11"/>
        <v>Unfavorable</v>
      </c>
    </row>
    <row r="227" spans="1:17">
      <c r="A227" t="s">
        <v>237</v>
      </c>
      <c r="B227" s="2">
        <v>45280</v>
      </c>
      <c r="C227">
        <v>4010</v>
      </c>
      <c r="D227" t="s">
        <v>2016</v>
      </c>
      <c r="E227">
        <v>0</v>
      </c>
      <c r="F227">
        <v>4850.6400000000003</v>
      </c>
      <c r="G227" t="s">
        <v>2022</v>
      </c>
      <c r="H227" t="s">
        <v>2024</v>
      </c>
      <c r="I227" t="s">
        <v>2253</v>
      </c>
      <c r="J227" t="s">
        <v>4028</v>
      </c>
      <c r="K227" t="s">
        <v>4039</v>
      </c>
      <c r="L227">
        <v>4850.6400000000003</v>
      </c>
      <c r="N227">
        <f t="shared" si="9"/>
        <v>4850.6400000000003</v>
      </c>
      <c r="O227" t="s">
        <v>4104</v>
      </c>
      <c r="P227" t="str">
        <f t="shared" si="10"/>
        <v xml:space="preserve"> </v>
      </c>
      <c r="Q227" t="str">
        <f t="shared" si="11"/>
        <v>Favorable</v>
      </c>
    </row>
    <row r="228" spans="1:17">
      <c r="A228" t="s">
        <v>238</v>
      </c>
      <c r="B228" s="2">
        <v>45607</v>
      </c>
      <c r="C228">
        <v>6000</v>
      </c>
      <c r="D228" t="s">
        <v>2014</v>
      </c>
      <c r="E228">
        <v>103.53</v>
      </c>
      <c r="F228">
        <v>0</v>
      </c>
      <c r="G228" t="s">
        <v>2019</v>
      </c>
      <c r="H228" t="s">
        <v>2025</v>
      </c>
      <c r="I228" t="s">
        <v>2254</v>
      </c>
      <c r="J228" t="s">
        <v>4032</v>
      </c>
      <c r="K228" t="s">
        <v>4043</v>
      </c>
      <c r="L228">
        <v>-103.53</v>
      </c>
      <c r="N228">
        <f t="shared" si="9"/>
        <v>-103.53</v>
      </c>
      <c r="O228" t="s">
        <v>4104</v>
      </c>
      <c r="P228" t="str">
        <f t="shared" si="10"/>
        <v xml:space="preserve"> </v>
      </c>
      <c r="Q228" t="str">
        <f t="shared" si="11"/>
        <v>Unfavorable</v>
      </c>
    </row>
    <row r="229" spans="1:17">
      <c r="A229" t="s">
        <v>239</v>
      </c>
      <c r="B229" s="2">
        <v>45779</v>
      </c>
      <c r="C229">
        <v>4010</v>
      </c>
      <c r="D229" t="s">
        <v>2016</v>
      </c>
      <c r="E229">
        <v>0</v>
      </c>
      <c r="F229">
        <v>4048.34</v>
      </c>
      <c r="G229" t="s">
        <v>2021</v>
      </c>
      <c r="H229" t="s">
        <v>2024</v>
      </c>
      <c r="I229" t="s">
        <v>2255</v>
      </c>
      <c r="J229" t="s">
        <v>4028</v>
      </c>
      <c r="K229" t="s">
        <v>4038</v>
      </c>
      <c r="L229">
        <v>4048.34</v>
      </c>
      <c r="N229">
        <f t="shared" si="9"/>
        <v>4048.34</v>
      </c>
      <c r="O229" t="s">
        <v>4104</v>
      </c>
      <c r="P229" t="str">
        <f t="shared" si="10"/>
        <v xml:space="preserve"> </v>
      </c>
      <c r="Q229" t="str">
        <f t="shared" si="11"/>
        <v>Favorable</v>
      </c>
    </row>
    <row r="230" spans="1:17">
      <c r="A230" t="s">
        <v>240</v>
      </c>
      <c r="B230" s="2">
        <v>45822</v>
      </c>
      <c r="C230">
        <v>5010</v>
      </c>
      <c r="D230" t="s">
        <v>2015</v>
      </c>
      <c r="E230">
        <v>581.82000000000005</v>
      </c>
      <c r="F230">
        <v>0</v>
      </c>
      <c r="G230" t="s">
        <v>2020</v>
      </c>
      <c r="H230" t="s">
        <v>2026</v>
      </c>
      <c r="I230" t="s">
        <v>2256</v>
      </c>
      <c r="J230" t="s">
        <v>4031</v>
      </c>
      <c r="K230" t="s">
        <v>4052</v>
      </c>
      <c r="L230">
        <v>-581.82000000000005</v>
      </c>
      <c r="N230">
        <f t="shared" si="9"/>
        <v>-581.82000000000005</v>
      </c>
      <c r="O230" t="s">
        <v>4104</v>
      </c>
      <c r="P230" t="str">
        <f t="shared" si="10"/>
        <v xml:space="preserve"> </v>
      </c>
      <c r="Q230" t="str">
        <f t="shared" si="11"/>
        <v>Unfavorable</v>
      </c>
    </row>
    <row r="231" spans="1:17">
      <c r="A231" t="s">
        <v>241</v>
      </c>
      <c r="B231" s="2">
        <v>45148</v>
      </c>
      <c r="C231">
        <v>6000</v>
      </c>
      <c r="D231" t="s">
        <v>2014</v>
      </c>
      <c r="E231">
        <v>539.15</v>
      </c>
      <c r="F231">
        <v>0</v>
      </c>
      <c r="G231" t="s">
        <v>2019</v>
      </c>
      <c r="H231" t="s">
        <v>2023</v>
      </c>
      <c r="I231" t="s">
        <v>2257</v>
      </c>
      <c r="J231" t="s">
        <v>4031</v>
      </c>
      <c r="K231" t="s">
        <v>4037</v>
      </c>
      <c r="L231">
        <v>-539.15</v>
      </c>
      <c r="N231">
        <f t="shared" si="9"/>
        <v>-539.15</v>
      </c>
      <c r="O231" t="s">
        <v>4104</v>
      </c>
      <c r="P231" t="str">
        <f t="shared" si="10"/>
        <v xml:space="preserve"> </v>
      </c>
      <c r="Q231" t="str">
        <f t="shared" si="11"/>
        <v>Unfavorable</v>
      </c>
    </row>
    <row r="232" spans="1:17">
      <c r="A232" t="s">
        <v>242</v>
      </c>
      <c r="B232" s="2">
        <v>45704</v>
      </c>
      <c r="C232">
        <v>4000</v>
      </c>
      <c r="D232" t="s">
        <v>2012</v>
      </c>
      <c r="E232">
        <v>0</v>
      </c>
      <c r="F232">
        <v>2862.93</v>
      </c>
      <c r="G232" t="s">
        <v>2018</v>
      </c>
      <c r="H232" t="s">
        <v>2023</v>
      </c>
      <c r="I232" t="s">
        <v>2258</v>
      </c>
      <c r="J232" t="s">
        <v>4029</v>
      </c>
      <c r="K232" t="s">
        <v>4061</v>
      </c>
      <c r="L232">
        <v>2862.93</v>
      </c>
      <c r="N232">
        <f t="shared" si="9"/>
        <v>2862.93</v>
      </c>
      <c r="O232" t="s">
        <v>4104</v>
      </c>
      <c r="P232" t="str">
        <f t="shared" si="10"/>
        <v xml:space="preserve"> </v>
      </c>
      <c r="Q232" t="str">
        <f t="shared" si="11"/>
        <v>Favorable</v>
      </c>
    </row>
    <row r="233" spans="1:17">
      <c r="A233" t="s">
        <v>243</v>
      </c>
      <c r="B233" s="2">
        <v>45294</v>
      </c>
      <c r="C233">
        <v>4010</v>
      </c>
      <c r="D233" t="s">
        <v>2016</v>
      </c>
      <c r="E233">
        <v>0</v>
      </c>
      <c r="F233">
        <v>3938.51</v>
      </c>
      <c r="G233" t="s">
        <v>2020</v>
      </c>
      <c r="H233" t="s">
        <v>2026</v>
      </c>
      <c r="I233" t="s">
        <v>2259</v>
      </c>
      <c r="J233" t="s">
        <v>4028</v>
      </c>
      <c r="K233" t="s">
        <v>4053</v>
      </c>
      <c r="L233">
        <v>3938.51</v>
      </c>
      <c r="N233">
        <f t="shared" si="9"/>
        <v>3938.51</v>
      </c>
      <c r="O233" t="s">
        <v>4104</v>
      </c>
      <c r="P233" t="str">
        <f t="shared" si="10"/>
        <v xml:space="preserve"> </v>
      </c>
      <c r="Q233" t="str">
        <f t="shared" si="11"/>
        <v>Favorable</v>
      </c>
    </row>
    <row r="234" spans="1:17">
      <c r="A234" t="s">
        <v>244</v>
      </c>
      <c r="B234" s="2">
        <v>45150</v>
      </c>
      <c r="C234">
        <v>5010</v>
      </c>
      <c r="D234" t="s">
        <v>2015</v>
      </c>
      <c r="E234">
        <v>871.28</v>
      </c>
      <c r="F234">
        <v>0</v>
      </c>
      <c r="G234" t="s">
        <v>2019</v>
      </c>
      <c r="H234" t="s">
        <v>2024</v>
      </c>
      <c r="I234" t="s">
        <v>2260</v>
      </c>
      <c r="J234" t="s">
        <v>4032</v>
      </c>
      <c r="K234" t="s">
        <v>4037</v>
      </c>
      <c r="L234">
        <v>-871.28</v>
      </c>
      <c r="N234">
        <f t="shared" si="9"/>
        <v>-871.28</v>
      </c>
      <c r="O234" t="s">
        <v>4104</v>
      </c>
      <c r="P234" t="str">
        <f t="shared" si="10"/>
        <v xml:space="preserve"> </v>
      </c>
      <c r="Q234" t="str">
        <f t="shared" si="11"/>
        <v>Unfavorable</v>
      </c>
    </row>
    <row r="235" spans="1:17">
      <c r="A235" t="s">
        <v>245</v>
      </c>
      <c r="B235" s="2">
        <v>45121</v>
      </c>
      <c r="C235">
        <v>5000</v>
      </c>
      <c r="D235" t="s">
        <v>2013</v>
      </c>
      <c r="E235">
        <v>1527.74</v>
      </c>
      <c r="F235">
        <v>0</v>
      </c>
      <c r="G235" t="s">
        <v>2022</v>
      </c>
      <c r="H235" t="s">
        <v>2023</v>
      </c>
      <c r="I235" t="s">
        <v>2261</v>
      </c>
      <c r="J235" t="s">
        <v>4028</v>
      </c>
      <c r="K235" t="s">
        <v>4050</v>
      </c>
      <c r="L235">
        <v>-1527.74</v>
      </c>
      <c r="N235">
        <f t="shared" si="9"/>
        <v>-1527.74</v>
      </c>
      <c r="O235" t="s">
        <v>4104</v>
      </c>
      <c r="P235" t="str">
        <f t="shared" si="10"/>
        <v xml:space="preserve"> </v>
      </c>
      <c r="Q235" t="str">
        <f t="shared" si="11"/>
        <v>Unfavorable</v>
      </c>
    </row>
    <row r="236" spans="1:17">
      <c r="A236" t="s">
        <v>246</v>
      </c>
      <c r="B236" s="2">
        <v>45275</v>
      </c>
      <c r="C236">
        <v>4000</v>
      </c>
      <c r="D236" t="s">
        <v>2012</v>
      </c>
      <c r="E236">
        <v>0</v>
      </c>
      <c r="F236">
        <v>1075.51</v>
      </c>
      <c r="G236" t="s">
        <v>2019</v>
      </c>
      <c r="H236" t="s">
        <v>2027</v>
      </c>
      <c r="I236" t="s">
        <v>2262</v>
      </c>
      <c r="J236" t="s">
        <v>4031</v>
      </c>
      <c r="K236" t="s">
        <v>4039</v>
      </c>
      <c r="L236">
        <v>1075.51</v>
      </c>
      <c r="N236">
        <f t="shared" si="9"/>
        <v>1075.51</v>
      </c>
      <c r="O236" t="s">
        <v>4104</v>
      </c>
      <c r="P236" t="str">
        <f t="shared" si="10"/>
        <v xml:space="preserve"> </v>
      </c>
      <c r="Q236" t="str">
        <f t="shared" si="11"/>
        <v>Favorable</v>
      </c>
    </row>
    <row r="237" spans="1:17">
      <c r="A237" t="s">
        <v>247</v>
      </c>
      <c r="B237" s="2">
        <v>45397</v>
      </c>
      <c r="C237">
        <v>4000</v>
      </c>
      <c r="D237" t="s">
        <v>2012</v>
      </c>
      <c r="E237">
        <v>0</v>
      </c>
      <c r="F237">
        <v>2361.1799999999998</v>
      </c>
      <c r="G237" t="s">
        <v>2019</v>
      </c>
      <c r="H237" t="s">
        <v>2027</v>
      </c>
      <c r="I237" t="s">
        <v>2263</v>
      </c>
      <c r="J237" t="s">
        <v>4031</v>
      </c>
      <c r="K237" t="s">
        <v>4040</v>
      </c>
      <c r="L237">
        <v>2361.1799999999998</v>
      </c>
      <c r="N237">
        <f t="shared" si="9"/>
        <v>2361.1799999999998</v>
      </c>
      <c r="O237" t="s">
        <v>4104</v>
      </c>
      <c r="P237" t="str">
        <f t="shared" si="10"/>
        <v xml:space="preserve"> </v>
      </c>
      <c r="Q237" t="str">
        <f t="shared" si="11"/>
        <v>Favorable</v>
      </c>
    </row>
    <row r="238" spans="1:17">
      <c r="A238" t="s">
        <v>248</v>
      </c>
      <c r="B238" s="2">
        <v>45586</v>
      </c>
      <c r="C238">
        <v>5010</v>
      </c>
      <c r="D238" t="s">
        <v>2015</v>
      </c>
      <c r="E238">
        <v>151.34</v>
      </c>
      <c r="F238">
        <v>0</v>
      </c>
      <c r="G238" t="s">
        <v>2020</v>
      </c>
      <c r="H238" t="s">
        <v>2023</v>
      </c>
      <c r="I238" t="s">
        <v>2264</v>
      </c>
      <c r="J238" t="s">
        <v>4030</v>
      </c>
      <c r="K238" t="s">
        <v>4059</v>
      </c>
      <c r="L238">
        <v>-151.34</v>
      </c>
      <c r="N238">
        <f t="shared" si="9"/>
        <v>-151.34</v>
      </c>
      <c r="O238" t="s">
        <v>4104</v>
      </c>
      <c r="P238" t="str">
        <f t="shared" si="10"/>
        <v xml:space="preserve"> </v>
      </c>
      <c r="Q238" t="str">
        <f t="shared" si="11"/>
        <v>Unfavorable</v>
      </c>
    </row>
    <row r="239" spans="1:17">
      <c r="A239" t="s">
        <v>249</v>
      </c>
      <c r="B239" s="2">
        <v>44950</v>
      </c>
      <c r="C239">
        <v>4010</v>
      </c>
      <c r="D239" t="s">
        <v>2016</v>
      </c>
      <c r="E239">
        <v>0</v>
      </c>
      <c r="F239">
        <v>1299.3699999999999</v>
      </c>
      <c r="G239" t="s">
        <v>2020</v>
      </c>
      <c r="H239" t="s">
        <v>2024</v>
      </c>
      <c r="I239" t="s">
        <v>2265</v>
      </c>
      <c r="J239" t="s">
        <v>4031</v>
      </c>
      <c r="K239" t="s">
        <v>4047</v>
      </c>
      <c r="L239">
        <v>1299.3699999999999</v>
      </c>
      <c r="N239">
        <f t="shared" si="9"/>
        <v>1299.3699999999999</v>
      </c>
      <c r="O239" t="s">
        <v>4104</v>
      </c>
      <c r="P239" t="str">
        <f t="shared" si="10"/>
        <v xml:space="preserve"> </v>
      </c>
      <c r="Q239" t="str">
        <f t="shared" si="11"/>
        <v>Favorable</v>
      </c>
    </row>
    <row r="240" spans="1:17">
      <c r="A240" t="s">
        <v>250</v>
      </c>
      <c r="B240" s="2">
        <v>45534</v>
      </c>
      <c r="C240">
        <v>5000</v>
      </c>
      <c r="D240" t="s">
        <v>2013</v>
      </c>
      <c r="E240">
        <v>118.21</v>
      </c>
      <c r="F240">
        <v>0</v>
      </c>
      <c r="G240" t="s">
        <v>2019</v>
      </c>
      <c r="H240" t="s">
        <v>2024</v>
      </c>
      <c r="I240" t="s">
        <v>2266</v>
      </c>
      <c r="J240" t="s">
        <v>4029</v>
      </c>
      <c r="K240" t="s">
        <v>4058</v>
      </c>
      <c r="L240">
        <v>-118.21</v>
      </c>
      <c r="N240">
        <f t="shared" si="9"/>
        <v>-118.21</v>
      </c>
      <c r="O240" t="s">
        <v>4104</v>
      </c>
      <c r="P240" t="str">
        <f t="shared" si="10"/>
        <v xml:space="preserve"> </v>
      </c>
      <c r="Q240" t="str">
        <f t="shared" si="11"/>
        <v>Unfavorable</v>
      </c>
    </row>
    <row r="241" spans="1:17">
      <c r="A241" t="s">
        <v>251</v>
      </c>
      <c r="B241" s="2">
        <v>45113</v>
      </c>
      <c r="C241">
        <v>4000</v>
      </c>
      <c r="D241" t="s">
        <v>2012</v>
      </c>
      <c r="E241">
        <v>0</v>
      </c>
      <c r="F241">
        <v>4864.04</v>
      </c>
      <c r="G241" t="s">
        <v>2018</v>
      </c>
      <c r="H241" t="s">
        <v>2023</v>
      </c>
      <c r="I241" t="s">
        <v>2267</v>
      </c>
      <c r="J241" t="s">
        <v>4028</v>
      </c>
      <c r="K241" t="s">
        <v>4050</v>
      </c>
      <c r="L241">
        <v>4864.04</v>
      </c>
      <c r="N241">
        <f t="shared" si="9"/>
        <v>4864.04</v>
      </c>
      <c r="O241" t="s">
        <v>4104</v>
      </c>
      <c r="P241" t="str">
        <f t="shared" si="10"/>
        <v xml:space="preserve"> </v>
      </c>
      <c r="Q241" t="str">
        <f t="shared" si="11"/>
        <v>Favorable</v>
      </c>
    </row>
    <row r="242" spans="1:17">
      <c r="A242" t="s">
        <v>252</v>
      </c>
      <c r="B242" s="2">
        <v>45712</v>
      </c>
      <c r="C242">
        <v>4000</v>
      </c>
      <c r="D242" t="s">
        <v>2012</v>
      </c>
      <c r="E242">
        <v>0</v>
      </c>
      <c r="F242">
        <v>4495.32</v>
      </c>
      <c r="G242" t="s">
        <v>2021</v>
      </c>
      <c r="H242" t="s">
        <v>2026</v>
      </c>
      <c r="I242" t="s">
        <v>2268</v>
      </c>
      <c r="J242" t="s">
        <v>4028</v>
      </c>
      <c r="K242" t="s">
        <v>4061</v>
      </c>
      <c r="L242">
        <v>4495.32</v>
      </c>
      <c r="N242">
        <f t="shared" si="9"/>
        <v>4495.32</v>
      </c>
      <c r="O242" t="s">
        <v>4104</v>
      </c>
      <c r="P242" t="str">
        <f t="shared" si="10"/>
        <v xml:space="preserve"> </v>
      </c>
      <c r="Q242" t="str">
        <f t="shared" si="11"/>
        <v>Favorable</v>
      </c>
    </row>
    <row r="243" spans="1:17">
      <c r="A243" t="s">
        <v>253</v>
      </c>
      <c r="B243" s="2">
        <v>45011</v>
      </c>
      <c r="C243">
        <v>6000</v>
      </c>
      <c r="D243" t="s">
        <v>2014</v>
      </c>
      <c r="E243">
        <v>1121.29</v>
      </c>
      <c r="F243">
        <v>0</v>
      </c>
      <c r="G243" t="s">
        <v>2019</v>
      </c>
      <c r="H243" t="s">
        <v>2027</v>
      </c>
      <c r="I243" t="s">
        <v>2269</v>
      </c>
      <c r="J243" t="s">
        <v>4029</v>
      </c>
      <c r="K243" t="s">
        <v>4051</v>
      </c>
      <c r="L243">
        <v>-1121.29</v>
      </c>
      <c r="N243">
        <f t="shared" si="9"/>
        <v>-1121.29</v>
      </c>
      <c r="O243" t="s">
        <v>4104</v>
      </c>
      <c r="P243" t="str">
        <f t="shared" si="10"/>
        <v xml:space="preserve"> </v>
      </c>
      <c r="Q243" t="str">
        <f t="shared" si="11"/>
        <v>Unfavorable</v>
      </c>
    </row>
    <row r="244" spans="1:17">
      <c r="A244" t="s">
        <v>254</v>
      </c>
      <c r="B244" s="2">
        <v>44940</v>
      </c>
      <c r="C244">
        <v>6000</v>
      </c>
      <c r="D244" t="s">
        <v>2014</v>
      </c>
      <c r="E244">
        <v>908.7</v>
      </c>
      <c r="F244">
        <v>0</v>
      </c>
      <c r="G244" t="s">
        <v>2018</v>
      </c>
      <c r="H244" t="s">
        <v>2027</v>
      </c>
      <c r="I244" t="s">
        <v>2270</v>
      </c>
      <c r="J244" t="s">
        <v>4029</v>
      </c>
      <c r="K244" t="s">
        <v>4047</v>
      </c>
      <c r="L244">
        <v>-908.7</v>
      </c>
      <c r="N244">
        <f t="shared" si="9"/>
        <v>-908.7</v>
      </c>
      <c r="O244" t="s">
        <v>4104</v>
      </c>
      <c r="P244" t="str">
        <f t="shared" si="10"/>
        <v xml:space="preserve"> </v>
      </c>
      <c r="Q244" t="str">
        <f t="shared" si="11"/>
        <v>Unfavorable</v>
      </c>
    </row>
    <row r="245" spans="1:17">
      <c r="A245" t="s">
        <v>255</v>
      </c>
      <c r="B245" s="2">
        <v>45060</v>
      </c>
      <c r="C245">
        <v>4010</v>
      </c>
      <c r="D245" t="s">
        <v>2016</v>
      </c>
      <c r="E245">
        <v>0</v>
      </c>
      <c r="F245">
        <v>3760.55</v>
      </c>
      <c r="G245" t="s">
        <v>2019</v>
      </c>
      <c r="H245" t="s">
        <v>2024</v>
      </c>
      <c r="I245" t="s">
        <v>2271</v>
      </c>
      <c r="J245" t="s">
        <v>4030</v>
      </c>
      <c r="K245" t="s">
        <v>4062</v>
      </c>
      <c r="L245">
        <v>3760.55</v>
      </c>
      <c r="N245">
        <f t="shared" si="9"/>
        <v>3760.55</v>
      </c>
      <c r="O245" t="s">
        <v>4104</v>
      </c>
      <c r="P245" t="str">
        <f t="shared" si="10"/>
        <v xml:space="preserve"> </v>
      </c>
      <c r="Q245" t="str">
        <f t="shared" si="11"/>
        <v>Favorable</v>
      </c>
    </row>
    <row r="246" spans="1:17">
      <c r="A246" t="s">
        <v>256</v>
      </c>
      <c r="B246" s="2">
        <v>45725</v>
      </c>
      <c r="C246">
        <v>5000</v>
      </c>
      <c r="D246" t="s">
        <v>2013</v>
      </c>
      <c r="E246">
        <v>86.6</v>
      </c>
      <c r="F246">
        <v>0</v>
      </c>
      <c r="G246" t="s">
        <v>2017</v>
      </c>
      <c r="H246" t="s">
        <v>2024</v>
      </c>
      <c r="I246" t="s">
        <v>2272</v>
      </c>
      <c r="J246" t="s">
        <v>4028</v>
      </c>
      <c r="K246" t="s">
        <v>4046</v>
      </c>
      <c r="L246">
        <v>-86.6</v>
      </c>
      <c r="N246">
        <f t="shared" si="9"/>
        <v>-86.6</v>
      </c>
      <c r="O246" t="s">
        <v>4104</v>
      </c>
      <c r="P246" t="str">
        <f t="shared" si="10"/>
        <v xml:space="preserve"> </v>
      </c>
      <c r="Q246" t="str">
        <f t="shared" si="11"/>
        <v>Unfavorable</v>
      </c>
    </row>
    <row r="247" spans="1:17">
      <c r="A247" t="s">
        <v>257</v>
      </c>
      <c r="B247" s="2">
        <v>45495</v>
      </c>
      <c r="C247">
        <v>4010</v>
      </c>
      <c r="D247" t="s">
        <v>2016</v>
      </c>
      <c r="E247">
        <v>0</v>
      </c>
      <c r="F247">
        <v>4264.16</v>
      </c>
      <c r="G247" t="s">
        <v>2018</v>
      </c>
      <c r="H247" t="s">
        <v>2024</v>
      </c>
      <c r="I247" t="s">
        <v>2273</v>
      </c>
      <c r="J247" t="s">
        <v>4028</v>
      </c>
      <c r="K247" t="s">
        <v>4054</v>
      </c>
      <c r="L247">
        <v>4264.16</v>
      </c>
      <c r="N247">
        <f t="shared" si="9"/>
        <v>4264.16</v>
      </c>
      <c r="O247" t="s">
        <v>4104</v>
      </c>
      <c r="P247" t="str">
        <f t="shared" si="10"/>
        <v xml:space="preserve"> </v>
      </c>
      <c r="Q247" t="str">
        <f t="shared" si="11"/>
        <v>Favorable</v>
      </c>
    </row>
    <row r="248" spans="1:17">
      <c r="A248" t="s">
        <v>258</v>
      </c>
      <c r="B248" s="2">
        <v>45234</v>
      </c>
      <c r="C248">
        <v>4010</v>
      </c>
      <c r="D248" t="s">
        <v>2016</v>
      </c>
      <c r="E248">
        <v>0</v>
      </c>
      <c r="F248">
        <v>4005.6</v>
      </c>
      <c r="G248" t="s">
        <v>2017</v>
      </c>
      <c r="H248" t="s">
        <v>2026</v>
      </c>
      <c r="I248" t="s">
        <v>2274</v>
      </c>
      <c r="J248" t="s">
        <v>4031</v>
      </c>
      <c r="K248" t="s">
        <v>4042</v>
      </c>
      <c r="L248">
        <v>4005.6</v>
      </c>
      <c r="N248">
        <f t="shared" si="9"/>
        <v>4005.6</v>
      </c>
      <c r="O248" t="s">
        <v>4104</v>
      </c>
      <c r="P248" t="str">
        <f t="shared" si="10"/>
        <v xml:space="preserve"> </v>
      </c>
      <c r="Q248" t="str">
        <f t="shared" si="11"/>
        <v>Favorable</v>
      </c>
    </row>
    <row r="249" spans="1:17">
      <c r="A249" t="s">
        <v>259</v>
      </c>
      <c r="B249" s="2">
        <v>45824</v>
      </c>
      <c r="C249">
        <v>5000</v>
      </c>
      <c r="D249" t="s">
        <v>2013</v>
      </c>
      <c r="E249">
        <v>736.75</v>
      </c>
      <c r="F249">
        <v>0</v>
      </c>
      <c r="G249" t="s">
        <v>2020</v>
      </c>
      <c r="H249" t="s">
        <v>2026</v>
      </c>
      <c r="I249" t="s">
        <v>2275</v>
      </c>
      <c r="J249" t="s">
        <v>4029</v>
      </c>
      <c r="K249" t="s">
        <v>4052</v>
      </c>
      <c r="L249">
        <v>-736.75</v>
      </c>
      <c r="N249">
        <f t="shared" si="9"/>
        <v>-736.75</v>
      </c>
      <c r="O249" t="s">
        <v>4104</v>
      </c>
      <c r="P249" t="str">
        <f t="shared" si="10"/>
        <v xml:space="preserve"> </v>
      </c>
      <c r="Q249" t="str">
        <f t="shared" si="11"/>
        <v>Unfavorable</v>
      </c>
    </row>
    <row r="250" spans="1:17">
      <c r="A250" t="s">
        <v>260</v>
      </c>
      <c r="B250" s="2">
        <v>45455</v>
      </c>
      <c r="C250">
        <v>4010</v>
      </c>
      <c r="D250" t="s">
        <v>2016</v>
      </c>
      <c r="E250">
        <v>0</v>
      </c>
      <c r="F250">
        <v>4679.5</v>
      </c>
      <c r="G250" t="s">
        <v>2018</v>
      </c>
      <c r="H250" t="s">
        <v>2023</v>
      </c>
      <c r="I250" t="s">
        <v>2276</v>
      </c>
      <c r="J250" t="s">
        <v>4030</v>
      </c>
      <c r="K250" t="s">
        <v>4034</v>
      </c>
      <c r="L250">
        <v>4679.5</v>
      </c>
      <c r="N250">
        <f t="shared" si="9"/>
        <v>4679.5</v>
      </c>
      <c r="O250" t="s">
        <v>4104</v>
      </c>
      <c r="P250" t="str">
        <f t="shared" si="10"/>
        <v xml:space="preserve"> </v>
      </c>
      <c r="Q250" t="str">
        <f t="shared" si="11"/>
        <v>Favorable</v>
      </c>
    </row>
    <row r="251" spans="1:17">
      <c r="A251" t="s">
        <v>261</v>
      </c>
      <c r="B251" s="2">
        <v>45743</v>
      </c>
      <c r="C251">
        <v>5010</v>
      </c>
      <c r="D251" t="s">
        <v>2015</v>
      </c>
      <c r="E251">
        <v>1226.52</v>
      </c>
      <c r="F251">
        <v>0</v>
      </c>
      <c r="G251" t="s">
        <v>2022</v>
      </c>
      <c r="H251" t="s">
        <v>2026</v>
      </c>
      <c r="I251" t="s">
        <v>2277</v>
      </c>
      <c r="J251" t="s">
        <v>4031</v>
      </c>
      <c r="K251" t="s">
        <v>4046</v>
      </c>
      <c r="L251">
        <v>-1226.52</v>
      </c>
      <c r="N251">
        <f t="shared" si="9"/>
        <v>-1226.52</v>
      </c>
      <c r="O251" t="s">
        <v>4104</v>
      </c>
      <c r="P251" t="str">
        <f t="shared" si="10"/>
        <v xml:space="preserve"> </v>
      </c>
      <c r="Q251" t="str">
        <f t="shared" si="11"/>
        <v>Unfavorable</v>
      </c>
    </row>
    <row r="252" spans="1:17">
      <c r="A252" t="s">
        <v>262</v>
      </c>
      <c r="B252" s="2">
        <v>45475</v>
      </c>
      <c r="C252">
        <v>4000</v>
      </c>
      <c r="D252" t="s">
        <v>2012</v>
      </c>
      <c r="E252">
        <v>0</v>
      </c>
      <c r="F252">
        <v>2655.25</v>
      </c>
      <c r="G252" t="s">
        <v>2018</v>
      </c>
      <c r="H252" t="s">
        <v>2023</v>
      </c>
      <c r="I252" t="s">
        <v>2278</v>
      </c>
      <c r="J252" t="s">
        <v>4031</v>
      </c>
      <c r="K252" t="s">
        <v>4054</v>
      </c>
      <c r="L252">
        <v>2655.25</v>
      </c>
      <c r="N252">
        <f t="shared" si="9"/>
        <v>2655.25</v>
      </c>
      <c r="O252" t="s">
        <v>4104</v>
      </c>
      <c r="P252" t="str">
        <f t="shared" si="10"/>
        <v xml:space="preserve"> </v>
      </c>
      <c r="Q252" t="str">
        <f t="shared" si="11"/>
        <v>Favorable</v>
      </c>
    </row>
    <row r="253" spans="1:17">
      <c r="A253" t="s">
        <v>263</v>
      </c>
      <c r="B253" s="2">
        <v>45115</v>
      </c>
      <c r="C253">
        <v>4000</v>
      </c>
      <c r="D253" t="s">
        <v>2012</v>
      </c>
      <c r="E253">
        <v>0</v>
      </c>
      <c r="F253">
        <v>889.23</v>
      </c>
      <c r="G253" t="s">
        <v>2019</v>
      </c>
      <c r="H253" t="s">
        <v>2025</v>
      </c>
      <c r="I253" t="s">
        <v>2279</v>
      </c>
      <c r="J253" t="s">
        <v>4032</v>
      </c>
      <c r="K253" t="s">
        <v>4050</v>
      </c>
      <c r="L253">
        <v>889.23</v>
      </c>
      <c r="N253">
        <f t="shared" si="9"/>
        <v>889.23</v>
      </c>
      <c r="O253" t="s">
        <v>4104</v>
      </c>
      <c r="P253" t="str">
        <f t="shared" si="10"/>
        <v xml:space="preserve"> </v>
      </c>
      <c r="Q253" t="str">
        <f t="shared" si="11"/>
        <v>Favorable</v>
      </c>
    </row>
    <row r="254" spans="1:17">
      <c r="A254" t="s">
        <v>264</v>
      </c>
      <c r="B254" s="2">
        <v>45451</v>
      </c>
      <c r="C254">
        <v>6000</v>
      </c>
      <c r="D254" t="s">
        <v>2014</v>
      </c>
      <c r="E254">
        <v>734.75</v>
      </c>
      <c r="F254">
        <v>0</v>
      </c>
      <c r="G254" t="s">
        <v>2020</v>
      </c>
      <c r="H254" t="s">
        <v>2026</v>
      </c>
      <c r="I254" t="s">
        <v>2280</v>
      </c>
      <c r="J254" t="s">
        <v>4028</v>
      </c>
      <c r="K254" t="s">
        <v>4034</v>
      </c>
      <c r="L254">
        <v>-734.75</v>
      </c>
      <c r="N254">
        <f t="shared" si="9"/>
        <v>-734.75</v>
      </c>
      <c r="O254" t="s">
        <v>4104</v>
      </c>
      <c r="P254" t="str">
        <f t="shared" si="10"/>
        <v xml:space="preserve"> </v>
      </c>
      <c r="Q254" t="str">
        <f t="shared" si="11"/>
        <v>Unfavorable</v>
      </c>
    </row>
    <row r="255" spans="1:17">
      <c r="A255" t="s">
        <v>265</v>
      </c>
      <c r="B255" s="2">
        <v>45768</v>
      </c>
      <c r="C255">
        <v>6000</v>
      </c>
      <c r="D255" t="s">
        <v>2014</v>
      </c>
      <c r="E255">
        <v>1799.36</v>
      </c>
      <c r="F255">
        <v>0</v>
      </c>
      <c r="G255" t="s">
        <v>2021</v>
      </c>
      <c r="H255" t="s">
        <v>2025</v>
      </c>
      <c r="I255" t="s">
        <v>2281</v>
      </c>
      <c r="J255" t="s">
        <v>4032</v>
      </c>
      <c r="K255" t="s">
        <v>4045</v>
      </c>
      <c r="L255">
        <v>-1799.36</v>
      </c>
      <c r="N255">
        <f t="shared" si="9"/>
        <v>-1799.36</v>
      </c>
      <c r="O255" t="s">
        <v>4104</v>
      </c>
      <c r="P255" t="str">
        <f t="shared" si="10"/>
        <v xml:space="preserve"> </v>
      </c>
      <c r="Q255" t="str">
        <f t="shared" si="11"/>
        <v>Unfavorable</v>
      </c>
    </row>
    <row r="256" spans="1:17">
      <c r="A256" t="s">
        <v>266</v>
      </c>
      <c r="B256" s="2">
        <v>44948</v>
      </c>
      <c r="C256">
        <v>6000</v>
      </c>
      <c r="D256" t="s">
        <v>2014</v>
      </c>
      <c r="E256">
        <v>950.03</v>
      </c>
      <c r="F256">
        <v>0</v>
      </c>
      <c r="G256" t="s">
        <v>2020</v>
      </c>
      <c r="H256" t="s">
        <v>2026</v>
      </c>
      <c r="I256" t="s">
        <v>2282</v>
      </c>
      <c r="J256" t="s">
        <v>4029</v>
      </c>
      <c r="K256" t="s">
        <v>4047</v>
      </c>
      <c r="L256">
        <v>-950.03</v>
      </c>
      <c r="N256">
        <f t="shared" si="9"/>
        <v>-950.03</v>
      </c>
      <c r="O256" t="s">
        <v>4104</v>
      </c>
      <c r="P256" t="str">
        <f t="shared" si="10"/>
        <v xml:space="preserve"> </v>
      </c>
      <c r="Q256" t="str">
        <f t="shared" si="11"/>
        <v>Unfavorable</v>
      </c>
    </row>
    <row r="257" spans="1:17">
      <c r="A257" t="s">
        <v>267</v>
      </c>
      <c r="B257" s="2">
        <v>45622</v>
      </c>
      <c r="C257">
        <v>4000</v>
      </c>
      <c r="D257" t="s">
        <v>2012</v>
      </c>
      <c r="E257">
        <v>0</v>
      </c>
      <c r="F257">
        <v>1523.43</v>
      </c>
      <c r="G257" t="s">
        <v>2021</v>
      </c>
      <c r="H257" t="s">
        <v>2023</v>
      </c>
      <c r="I257" t="s">
        <v>2283</v>
      </c>
      <c r="J257" t="s">
        <v>4028</v>
      </c>
      <c r="K257" t="s">
        <v>4043</v>
      </c>
      <c r="L257">
        <v>1523.43</v>
      </c>
      <c r="N257">
        <f t="shared" si="9"/>
        <v>1523.43</v>
      </c>
      <c r="O257" t="s">
        <v>4104</v>
      </c>
      <c r="P257" t="str">
        <f t="shared" si="10"/>
        <v xml:space="preserve"> </v>
      </c>
      <c r="Q257" t="str">
        <f t="shared" si="11"/>
        <v>Favorable</v>
      </c>
    </row>
    <row r="258" spans="1:17">
      <c r="A258" t="s">
        <v>268</v>
      </c>
      <c r="B258" s="2">
        <v>45765</v>
      </c>
      <c r="C258">
        <v>4000</v>
      </c>
      <c r="D258" t="s">
        <v>2012</v>
      </c>
      <c r="E258">
        <v>0</v>
      </c>
      <c r="F258">
        <v>2725.09</v>
      </c>
      <c r="G258" t="s">
        <v>2021</v>
      </c>
      <c r="H258" t="s">
        <v>2023</v>
      </c>
      <c r="I258" t="s">
        <v>2284</v>
      </c>
      <c r="J258" t="s">
        <v>4028</v>
      </c>
      <c r="K258" t="s">
        <v>4045</v>
      </c>
      <c r="L258">
        <v>2725.09</v>
      </c>
      <c r="N258">
        <f t="shared" si="9"/>
        <v>2725.09</v>
      </c>
      <c r="O258" t="s">
        <v>4104</v>
      </c>
      <c r="P258" t="str">
        <f t="shared" si="10"/>
        <v xml:space="preserve"> </v>
      </c>
      <c r="Q258" t="str">
        <f t="shared" si="11"/>
        <v>Favorable</v>
      </c>
    </row>
    <row r="259" spans="1:17">
      <c r="A259" t="s">
        <v>269</v>
      </c>
      <c r="B259" s="2">
        <v>45414</v>
      </c>
      <c r="C259">
        <v>6000</v>
      </c>
      <c r="D259" t="s">
        <v>2014</v>
      </c>
      <c r="E259">
        <v>1186.77</v>
      </c>
      <c r="F259">
        <v>0</v>
      </c>
      <c r="G259" t="s">
        <v>2018</v>
      </c>
      <c r="H259" t="s">
        <v>2026</v>
      </c>
      <c r="I259" t="s">
        <v>2285</v>
      </c>
      <c r="J259" t="s">
        <v>4031</v>
      </c>
      <c r="K259" t="s">
        <v>4033</v>
      </c>
      <c r="L259">
        <v>-1186.77</v>
      </c>
      <c r="N259">
        <f t="shared" ref="N259:N322" si="12">L:L-M:M</f>
        <v>-1186.77</v>
      </c>
      <c r="O259" t="s">
        <v>4104</v>
      </c>
      <c r="P259" t="str">
        <f t="shared" ref="P259:P322" si="13">IF(AND(ABS(N:N)&gt;10000,M:M&lt;&gt;0),"Material", " ")</f>
        <v xml:space="preserve"> </v>
      </c>
      <c r="Q259" t="str">
        <f t="shared" ref="Q259:Q322" si="14">IF(N:N&gt;0,"Favorable","Unfavorable")</f>
        <v>Unfavorable</v>
      </c>
    </row>
    <row r="260" spans="1:17">
      <c r="A260" t="s">
        <v>270</v>
      </c>
      <c r="B260" s="2">
        <v>45356</v>
      </c>
      <c r="C260">
        <v>4010</v>
      </c>
      <c r="D260" t="s">
        <v>2016</v>
      </c>
      <c r="E260">
        <v>0</v>
      </c>
      <c r="F260">
        <v>3404.96</v>
      </c>
      <c r="G260" t="s">
        <v>2017</v>
      </c>
      <c r="H260" t="s">
        <v>2023</v>
      </c>
      <c r="I260" t="s">
        <v>2286</v>
      </c>
      <c r="J260" t="s">
        <v>4030</v>
      </c>
      <c r="K260" t="s">
        <v>4049</v>
      </c>
      <c r="L260">
        <v>3404.96</v>
      </c>
      <c r="N260">
        <f t="shared" si="12"/>
        <v>3404.96</v>
      </c>
      <c r="O260" t="s">
        <v>4104</v>
      </c>
      <c r="P260" t="str">
        <f t="shared" si="13"/>
        <v xml:space="preserve"> </v>
      </c>
      <c r="Q260" t="str">
        <f t="shared" si="14"/>
        <v>Favorable</v>
      </c>
    </row>
    <row r="261" spans="1:17">
      <c r="A261" t="s">
        <v>271</v>
      </c>
      <c r="B261" s="2">
        <v>45081</v>
      </c>
      <c r="C261">
        <v>5010</v>
      </c>
      <c r="D261" t="s">
        <v>2015</v>
      </c>
      <c r="E261">
        <v>436.8</v>
      </c>
      <c r="F261">
        <v>0</v>
      </c>
      <c r="G261" t="s">
        <v>2018</v>
      </c>
      <c r="H261" t="s">
        <v>2026</v>
      </c>
      <c r="I261" t="s">
        <v>2287</v>
      </c>
      <c r="J261" t="s">
        <v>4030</v>
      </c>
      <c r="K261" t="s">
        <v>4055</v>
      </c>
      <c r="L261">
        <v>-436.8</v>
      </c>
      <c r="N261">
        <f t="shared" si="12"/>
        <v>-436.8</v>
      </c>
      <c r="O261" t="s">
        <v>4104</v>
      </c>
      <c r="P261" t="str">
        <f t="shared" si="13"/>
        <v xml:space="preserve"> </v>
      </c>
      <c r="Q261" t="str">
        <f t="shared" si="14"/>
        <v>Unfavorable</v>
      </c>
    </row>
    <row r="262" spans="1:17">
      <c r="A262" t="s">
        <v>272</v>
      </c>
      <c r="B262" s="2">
        <v>45138</v>
      </c>
      <c r="C262">
        <v>5000</v>
      </c>
      <c r="D262" t="s">
        <v>2013</v>
      </c>
      <c r="E262">
        <v>1095.1300000000001</v>
      </c>
      <c r="F262">
        <v>0</v>
      </c>
      <c r="G262" t="s">
        <v>2018</v>
      </c>
      <c r="H262" t="s">
        <v>2027</v>
      </c>
      <c r="I262" t="s">
        <v>2288</v>
      </c>
      <c r="J262" t="s">
        <v>4028</v>
      </c>
      <c r="K262" t="s">
        <v>4050</v>
      </c>
      <c r="L262">
        <v>-1095.1300000000001</v>
      </c>
      <c r="N262">
        <f t="shared" si="12"/>
        <v>-1095.1300000000001</v>
      </c>
      <c r="O262" t="s">
        <v>4104</v>
      </c>
      <c r="P262" t="str">
        <f t="shared" si="13"/>
        <v xml:space="preserve"> </v>
      </c>
      <c r="Q262" t="str">
        <f t="shared" si="14"/>
        <v>Unfavorable</v>
      </c>
    </row>
    <row r="263" spans="1:17">
      <c r="A263" t="s">
        <v>273</v>
      </c>
      <c r="B263" s="2">
        <v>45348</v>
      </c>
      <c r="C263">
        <v>5010</v>
      </c>
      <c r="D263" t="s">
        <v>2015</v>
      </c>
      <c r="E263">
        <v>393.67</v>
      </c>
      <c r="F263">
        <v>0</v>
      </c>
      <c r="G263" t="s">
        <v>2020</v>
      </c>
      <c r="H263" t="s">
        <v>2025</v>
      </c>
      <c r="I263" t="s">
        <v>2289</v>
      </c>
      <c r="J263" t="s">
        <v>4030</v>
      </c>
      <c r="K263" t="s">
        <v>4044</v>
      </c>
      <c r="L263">
        <v>-393.67</v>
      </c>
      <c r="N263">
        <f t="shared" si="12"/>
        <v>-393.67</v>
      </c>
      <c r="O263" t="s">
        <v>4104</v>
      </c>
      <c r="P263" t="str">
        <f t="shared" si="13"/>
        <v xml:space="preserve"> </v>
      </c>
      <c r="Q263" t="str">
        <f t="shared" si="14"/>
        <v>Unfavorable</v>
      </c>
    </row>
    <row r="264" spans="1:17">
      <c r="A264" t="s">
        <v>274</v>
      </c>
      <c r="B264" s="2">
        <v>45697</v>
      </c>
      <c r="C264">
        <v>4000</v>
      </c>
      <c r="D264" t="s">
        <v>2012</v>
      </c>
      <c r="E264">
        <v>0</v>
      </c>
      <c r="F264">
        <v>799.77</v>
      </c>
      <c r="G264" t="s">
        <v>2022</v>
      </c>
      <c r="H264" t="s">
        <v>2024</v>
      </c>
      <c r="I264" t="s">
        <v>2290</v>
      </c>
      <c r="J264" t="s">
        <v>4028</v>
      </c>
      <c r="K264" t="s">
        <v>4061</v>
      </c>
      <c r="L264">
        <v>799.77</v>
      </c>
      <c r="N264">
        <f t="shared" si="12"/>
        <v>799.77</v>
      </c>
      <c r="O264" t="s">
        <v>4104</v>
      </c>
      <c r="P264" t="str">
        <f t="shared" si="13"/>
        <v xml:space="preserve"> </v>
      </c>
      <c r="Q264" t="str">
        <f t="shared" si="14"/>
        <v>Favorable</v>
      </c>
    </row>
    <row r="265" spans="1:17">
      <c r="A265" t="s">
        <v>275</v>
      </c>
      <c r="B265" s="2">
        <v>45300</v>
      </c>
      <c r="C265">
        <v>4000</v>
      </c>
      <c r="D265" t="s">
        <v>2012</v>
      </c>
      <c r="E265">
        <v>0</v>
      </c>
      <c r="F265">
        <v>4354.13</v>
      </c>
      <c r="G265" t="s">
        <v>2020</v>
      </c>
      <c r="H265" t="s">
        <v>2025</v>
      </c>
      <c r="I265" t="s">
        <v>2291</v>
      </c>
      <c r="J265" t="s">
        <v>4029</v>
      </c>
      <c r="K265" t="s">
        <v>4053</v>
      </c>
      <c r="L265">
        <v>4354.13</v>
      </c>
      <c r="N265">
        <f t="shared" si="12"/>
        <v>4354.13</v>
      </c>
      <c r="O265" t="s">
        <v>4104</v>
      </c>
      <c r="P265" t="str">
        <f t="shared" si="13"/>
        <v xml:space="preserve"> </v>
      </c>
      <c r="Q265" t="str">
        <f t="shared" si="14"/>
        <v>Favorable</v>
      </c>
    </row>
    <row r="266" spans="1:17">
      <c r="A266" t="s">
        <v>276</v>
      </c>
      <c r="B266" s="2">
        <v>45663</v>
      </c>
      <c r="C266">
        <v>5000</v>
      </c>
      <c r="D266" t="s">
        <v>2013</v>
      </c>
      <c r="E266">
        <v>1157.8</v>
      </c>
      <c r="F266">
        <v>0</v>
      </c>
      <c r="G266" t="s">
        <v>2017</v>
      </c>
      <c r="H266" t="s">
        <v>2023</v>
      </c>
      <c r="I266" t="s">
        <v>2292</v>
      </c>
      <c r="J266" t="s">
        <v>4032</v>
      </c>
      <c r="K266" t="s">
        <v>4035</v>
      </c>
      <c r="L266">
        <v>-1157.8</v>
      </c>
      <c r="N266">
        <f t="shared" si="12"/>
        <v>-1157.8</v>
      </c>
      <c r="O266" t="s">
        <v>4104</v>
      </c>
      <c r="P266" t="str">
        <f t="shared" si="13"/>
        <v xml:space="preserve"> </v>
      </c>
      <c r="Q266" t="str">
        <f t="shared" si="14"/>
        <v>Unfavorable</v>
      </c>
    </row>
    <row r="267" spans="1:17">
      <c r="A267" t="s">
        <v>277</v>
      </c>
      <c r="B267" s="2">
        <v>45220</v>
      </c>
      <c r="C267">
        <v>4000</v>
      </c>
      <c r="D267" t="s">
        <v>2012</v>
      </c>
      <c r="E267">
        <v>0</v>
      </c>
      <c r="F267">
        <v>2597.25</v>
      </c>
      <c r="G267" t="s">
        <v>2022</v>
      </c>
      <c r="H267" t="s">
        <v>2023</v>
      </c>
      <c r="I267" t="s">
        <v>2293</v>
      </c>
      <c r="J267" t="s">
        <v>4030</v>
      </c>
      <c r="K267" t="s">
        <v>4060</v>
      </c>
      <c r="L267">
        <v>2597.25</v>
      </c>
      <c r="N267">
        <f t="shared" si="12"/>
        <v>2597.25</v>
      </c>
      <c r="O267" t="s">
        <v>4104</v>
      </c>
      <c r="P267" t="str">
        <f t="shared" si="13"/>
        <v xml:space="preserve"> </v>
      </c>
      <c r="Q267" t="str">
        <f t="shared" si="14"/>
        <v>Favorable</v>
      </c>
    </row>
    <row r="268" spans="1:17">
      <c r="A268" t="s">
        <v>278</v>
      </c>
      <c r="B268" s="2">
        <v>45804</v>
      </c>
      <c r="C268">
        <v>5000</v>
      </c>
      <c r="D268" t="s">
        <v>2013</v>
      </c>
      <c r="E268">
        <v>1343.21</v>
      </c>
      <c r="F268">
        <v>0</v>
      </c>
      <c r="G268" t="s">
        <v>2020</v>
      </c>
      <c r="H268" t="s">
        <v>2026</v>
      </c>
      <c r="I268" t="s">
        <v>2294</v>
      </c>
      <c r="J268" t="s">
        <v>4029</v>
      </c>
      <c r="K268" t="s">
        <v>4038</v>
      </c>
      <c r="L268">
        <v>-1343.21</v>
      </c>
      <c r="N268">
        <f t="shared" si="12"/>
        <v>-1343.21</v>
      </c>
      <c r="O268" t="s">
        <v>4104</v>
      </c>
      <c r="P268" t="str">
        <f t="shared" si="13"/>
        <v xml:space="preserve"> </v>
      </c>
      <c r="Q268" t="str">
        <f t="shared" si="14"/>
        <v>Unfavorable</v>
      </c>
    </row>
    <row r="269" spans="1:17">
      <c r="A269" t="s">
        <v>279</v>
      </c>
      <c r="B269" s="2">
        <v>45191</v>
      </c>
      <c r="C269">
        <v>5010</v>
      </c>
      <c r="D269" t="s">
        <v>2015</v>
      </c>
      <c r="E269">
        <v>1498.82</v>
      </c>
      <c r="F269">
        <v>0</v>
      </c>
      <c r="G269" t="s">
        <v>2018</v>
      </c>
      <c r="H269" t="s">
        <v>2027</v>
      </c>
      <c r="I269" t="s">
        <v>2295</v>
      </c>
      <c r="J269" t="s">
        <v>4029</v>
      </c>
      <c r="K269" t="s">
        <v>4036</v>
      </c>
      <c r="L269">
        <v>-1498.82</v>
      </c>
      <c r="N269">
        <f t="shared" si="12"/>
        <v>-1498.82</v>
      </c>
      <c r="O269" t="s">
        <v>4104</v>
      </c>
      <c r="P269" t="str">
        <f t="shared" si="13"/>
        <v xml:space="preserve"> </v>
      </c>
      <c r="Q269" t="str">
        <f t="shared" si="14"/>
        <v>Unfavorable</v>
      </c>
    </row>
    <row r="270" spans="1:17">
      <c r="A270" t="s">
        <v>280</v>
      </c>
      <c r="B270" s="2">
        <v>45338</v>
      </c>
      <c r="C270">
        <v>4000</v>
      </c>
      <c r="D270" t="s">
        <v>2012</v>
      </c>
      <c r="E270">
        <v>0</v>
      </c>
      <c r="F270">
        <v>4728.58</v>
      </c>
      <c r="G270" t="s">
        <v>2020</v>
      </c>
      <c r="H270" t="s">
        <v>2025</v>
      </c>
      <c r="I270" t="s">
        <v>2296</v>
      </c>
      <c r="J270" t="s">
        <v>4030</v>
      </c>
      <c r="K270" t="s">
        <v>4044</v>
      </c>
      <c r="L270">
        <v>4728.58</v>
      </c>
      <c r="N270">
        <f t="shared" si="12"/>
        <v>4728.58</v>
      </c>
      <c r="O270" t="s">
        <v>4104</v>
      </c>
      <c r="P270" t="str">
        <f t="shared" si="13"/>
        <v xml:space="preserve"> </v>
      </c>
      <c r="Q270" t="str">
        <f t="shared" si="14"/>
        <v>Favorable</v>
      </c>
    </row>
    <row r="271" spans="1:17">
      <c r="A271" t="s">
        <v>281</v>
      </c>
      <c r="B271" s="2">
        <v>45332</v>
      </c>
      <c r="C271">
        <v>4010</v>
      </c>
      <c r="D271" t="s">
        <v>2016</v>
      </c>
      <c r="E271">
        <v>0</v>
      </c>
      <c r="F271">
        <v>3612.83</v>
      </c>
      <c r="G271" t="s">
        <v>2022</v>
      </c>
      <c r="H271" t="s">
        <v>2027</v>
      </c>
      <c r="I271" t="s">
        <v>2297</v>
      </c>
      <c r="J271" t="s">
        <v>4029</v>
      </c>
      <c r="K271" t="s">
        <v>4044</v>
      </c>
      <c r="L271">
        <v>3612.83</v>
      </c>
      <c r="N271">
        <f t="shared" si="12"/>
        <v>3612.83</v>
      </c>
      <c r="O271" t="s">
        <v>4104</v>
      </c>
      <c r="P271" t="str">
        <f t="shared" si="13"/>
        <v xml:space="preserve"> </v>
      </c>
      <c r="Q271" t="str">
        <f t="shared" si="14"/>
        <v>Favorable</v>
      </c>
    </row>
    <row r="272" spans="1:17">
      <c r="A272" t="s">
        <v>282</v>
      </c>
      <c r="B272" s="2">
        <v>45091</v>
      </c>
      <c r="C272">
        <v>4010</v>
      </c>
      <c r="D272" t="s">
        <v>2016</v>
      </c>
      <c r="E272">
        <v>0</v>
      </c>
      <c r="F272">
        <v>4506.28</v>
      </c>
      <c r="G272" t="s">
        <v>2020</v>
      </c>
      <c r="H272" t="s">
        <v>2024</v>
      </c>
      <c r="I272" t="s">
        <v>2298</v>
      </c>
      <c r="J272" t="s">
        <v>4029</v>
      </c>
      <c r="K272" t="s">
        <v>4055</v>
      </c>
      <c r="L272">
        <v>4506.28</v>
      </c>
      <c r="N272">
        <f t="shared" si="12"/>
        <v>4506.28</v>
      </c>
      <c r="O272" t="s">
        <v>4104</v>
      </c>
      <c r="P272" t="str">
        <f t="shared" si="13"/>
        <v xml:space="preserve"> </v>
      </c>
      <c r="Q272" t="str">
        <f t="shared" si="14"/>
        <v>Favorable</v>
      </c>
    </row>
    <row r="273" spans="1:17">
      <c r="A273" t="s">
        <v>283</v>
      </c>
      <c r="B273" s="2">
        <v>45254</v>
      </c>
      <c r="C273">
        <v>5010</v>
      </c>
      <c r="D273" t="s">
        <v>2015</v>
      </c>
      <c r="E273">
        <v>1000.3</v>
      </c>
      <c r="F273">
        <v>0</v>
      </c>
      <c r="G273" t="s">
        <v>2022</v>
      </c>
      <c r="H273" t="s">
        <v>2027</v>
      </c>
      <c r="I273" t="s">
        <v>2299</v>
      </c>
      <c r="J273" t="s">
        <v>4032</v>
      </c>
      <c r="K273" t="s">
        <v>4042</v>
      </c>
      <c r="L273">
        <v>-1000.3</v>
      </c>
      <c r="N273">
        <f t="shared" si="12"/>
        <v>-1000.3</v>
      </c>
      <c r="O273" t="s">
        <v>4104</v>
      </c>
      <c r="P273" t="str">
        <f t="shared" si="13"/>
        <v xml:space="preserve"> </v>
      </c>
      <c r="Q273" t="str">
        <f t="shared" si="14"/>
        <v>Unfavorable</v>
      </c>
    </row>
    <row r="274" spans="1:17">
      <c r="A274" t="s">
        <v>284</v>
      </c>
      <c r="B274" s="2">
        <v>45145</v>
      </c>
      <c r="C274">
        <v>5000</v>
      </c>
      <c r="D274" t="s">
        <v>2013</v>
      </c>
      <c r="E274">
        <v>991.08</v>
      </c>
      <c r="F274">
        <v>0</v>
      </c>
      <c r="G274" t="s">
        <v>2021</v>
      </c>
      <c r="H274" t="s">
        <v>2024</v>
      </c>
      <c r="I274" t="s">
        <v>2300</v>
      </c>
      <c r="J274" t="s">
        <v>4032</v>
      </c>
      <c r="K274" t="s">
        <v>4037</v>
      </c>
      <c r="L274">
        <v>-991.08</v>
      </c>
      <c r="N274">
        <f t="shared" si="12"/>
        <v>-991.08</v>
      </c>
      <c r="O274" t="s">
        <v>4104</v>
      </c>
      <c r="P274" t="str">
        <f t="shared" si="13"/>
        <v xml:space="preserve"> </v>
      </c>
      <c r="Q274" t="str">
        <f t="shared" si="14"/>
        <v>Unfavorable</v>
      </c>
    </row>
    <row r="275" spans="1:17">
      <c r="A275" t="s">
        <v>285</v>
      </c>
      <c r="B275" s="2">
        <v>45389</v>
      </c>
      <c r="C275">
        <v>5000</v>
      </c>
      <c r="D275" t="s">
        <v>2013</v>
      </c>
      <c r="E275">
        <v>1499.52</v>
      </c>
      <c r="F275">
        <v>0</v>
      </c>
      <c r="G275" t="s">
        <v>2021</v>
      </c>
      <c r="H275" t="s">
        <v>2023</v>
      </c>
      <c r="I275" t="s">
        <v>2301</v>
      </c>
      <c r="J275" t="s">
        <v>4030</v>
      </c>
      <c r="K275" t="s">
        <v>4040</v>
      </c>
      <c r="L275">
        <v>-1499.52</v>
      </c>
      <c r="N275">
        <f t="shared" si="12"/>
        <v>-1499.52</v>
      </c>
      <c r="O275" t="s">
        <v>4104</v>
      </c>
      <c r="P275" t="str">
        <f t="shared" si="13"/>
        <v xml:space="preserve"> </v>
      </c>
      <c r="Q275" t="str">
        <f t="shared" si="14"/>
        <v>Unfavorable</v>
      </c>
    </row>
    <row r="276" spans="1:17">
      <c r="A276" t="s">
        <v>286</v>
      </c>
      <c r="B276" s="2">
        <v>45052</v>
      </c>
      <c r="C276">
        <v>4010</v>
      </c>
      <c r="D276" t="s">
        <v>2016</v>
      </c>
      <c r="E276">
        <v>0</v>
      </c>
      <c r="F276">
        <v>1203.8</v>
      </c>
      <c r="G276" t="s">
        <v>2021</v>
      </c>
      <c r="H276" t="s">
        <v>2023</v>
      </c>
      <c r="I276" t="s">
        <v>2302</v>
      </c>
      <c r="J276" t="s">
        <v>4028</v>
      </c>
      <c r="K276" t="s">
        <v>4062</v>
      </c>
      <c r="L276">
        <v>1203.8</v>
      </c>
      <c r="N276">
        <f t="shared" si="12"/>
        <v>1203.8</v>
      </c>
      <c r="O276" t="s">
        <v>4104</v>
      </c>
      <c r="P276" t="str">
        <f t="shared" si="13"/>
        <v xml:space="preserve"> </v>
      </c>
      <c r="Q276" t="str">
        <f t="shared" si="14"/>
        <v>Favorable</v>
      </c>
    </row>
    <row r="277" spans="1:17">
      <c r="A277" t="s">
        <v>287</v>
      </c>
      <c r="B277" s="2">
        <v>45316</v>
      </c>
      <c r="C277">
        <v>4000</v>
      </c>
      <c r="D277" t="s">
        <v>2012</v>
      </c>
      <c r="E277">
        <v>0</v>
      </c>
      <c r="F277">
        <v>656.25</v>
      </c>
      <c r="G277" t="s">
        <v>2020</v>
      </c>
      <c r="H277" t="s">
        <v>2026</v>
      </c>
      <c r="I277" t="s">
        <v>2303</v>
      </c>
      <c r="J277" t="s">
        <v>4030</v>
      </c>
      <c r="K277" t="s">
        <v>4053</v>
      </c>
      <c r="L277">
        <v>656.25</v>
      </c>
      <c r="N277">
        <f t="shared" si="12"/>
        <v>656.25</v>
      </c>
      <c r="O277" t="s">
        <v>4104</v>
      </c>
      <c r="P277" t="str">
        <f t="shared" si="13"/>
        <v xml:space="preserve"> </v>
      </c>
      <c r="Q277" t="str">
        <f t="shared" si="14"/>
        <v>Favorable</v>
      </c>
    </row>
    <row r="278" spans="1:17">
      <c r="A278" t="s">
        <v>288</v>
      </c>
      <c r="B278" s="2">
        <v>45694</v>
      </c>
      <c r="C278">
        <v>5000</v>
      </c>
      <c r="D278" t="s">
        <v>2013</v>
      </c>
      <c r="E278">
        <v>620.29999999999995</v>
      </c>
      <c r="F278">
        <v>0</v>
      </c>
      <c r="G278" t="s">
        <v>2018</v>
      </c>
      <c r="H278" t="s">
        <v>2027</v>
      </c>
      <c r="I278" t="s">
        <v>2304</v>
      </c>
      <c r="J278" t="s">
        <v>4032</v>
      </c>
      <c r="K278" t="s">
        <v>4061</v>
      </c>
      <c r="L278">
        <v>-620.29999999999995</v>
      </c>
      <c r="N278">
        <f t="shared" si="12"/>
        <v>-620.29999999999995</v>
      </c>
      <c r="O278" t="s">
        <v>4104</v>
      </c>
      <c r="P278" t="str">
        <f t="shared" si="13"/>
        <v xml:space="preserve"> </v>
      </c>
      <c r="Q278" t="str">
        <f t="shared" si="14"/>
        <v>Unfavorable</v>
      </c>
    </row>
    <row r="279" spans="1:17">
      <c r="A279" t="s">
        <v>289</v>
      </c>
      <c r="B279" s="2">
        <v>45775</v>
      </c>
      <c r="C279">
        <v>6000</v>
      </c>
      <c r="D279" t="s">
        <v>2014</v>
      </c>
      <c r="E279">
        <v>85.24</v>
      </c>
      <c r="F279">
        <v>0</v>
      </c>
      <c r="G279" t="s">
        <v>2021</v>
      </c>
      <c r="H279" t="s">
        <v>2026</v>
      </c>
      <c r="I279" t="s">
        <v>2305</v>
      </c>
      <c r="J279" t="s">
        <v>4032</v>
      </c>
      <c r="K279" t="s">
        <v>4045</v>
      </c>
      <c r="L279">
        <v>-85.24</v>
      </c>
      <c r="N279">
        <f t="shared" si="12"/>
        <v>-85.24</v>
      </c>
      <c r="O279" t="s">
        <v>4104</v>
      </c>
      <c r="P279" t="str">
        <f t="shared" si="13"/>
        <v xml:space="preserve"> </v>
      </c>
      <c r="Q279" t="str">
        <f t="shared" si="14"/>
        <v>Unfavorable</v>
      </c>
    </row>
    <row r="280" spans="1:17">
      <c r="A280" t="s">
        <v>290</v>
      </c>
      <c r="B280" s="2">
        <v>45174</v>
      </c>
      <c r="C280">
        <v>5010</v>
      </c>
      <c r="D280" t="s">
        <v>2015</v>
      </c>
      <c r="E280">
        <v>628.62</v>
      </c>
      <c r="F280">
        <v>0</v>
      </c>
      <c r="G280" t="s">
        <v>2018</v>
      </c>
      <c r="H280" t="s">
        <v>2026</v>
      </c>
      <c r="I280" t="s">
        <v>2306</v>
      </c>
      <c r="J280" t="s">
        <v>4030</v>
      </c>
      <c r="K280" t="s">
        <v>4036</v>
      </c>
      <c r="L280">
        <v>-628.62</v>
      </c>
      <c r="N280">
        <f t="shared" si="12"/>
        <v>-628.62</v>
      </c>
      <c r="O280" t="s">
        <v>4104</v>
      </c>
      <c r="P280" t="str">
        <f t="shared" si="13"/>
        <v xml:space="preserve"> </v>
      </c>
      <c r="Q280" t="str">
        <f t="shared" si="14"/>
        <v>Unfavorable</v>
      </c>
    </row>
    <row r="281" spans="1:17">
      <c r="A281" t="s">
        <v>291</v>
      </c>
      <c r="B281" s="2">
        <v>45025</v>
      </c>
      <c r="C281">
        <v>4000</v>
      </c>
      <c r="D281" t="s">
        <v>2012</v>
      </c>
      <c r="E281">
        <v>0</v>
      </c>
      <c r="F281">
        <v>1358.19</v>
      </c>
      <c r="G281" t="s">
        <v>2020</v>
      </c>
      <c r="H281" t="s">
        <v>2025</v>
      </c>
      <c r="I281" t="s">
        <v>2307</v>
      </c>
      <c r="J281" t="s">
        <v>4028</v>
      </c>
      <c r="K281" t="s">
        <v>4041</v>
      </c>
      <c r="L281">
        <v>1358.19</v>
      </c>
      <c r="N281">
        <f t="shared" si="12"/>
        <v>1358.19</v>
      </c>
      <c r="O281" t="s">
        <v>4104</v>
      </c>
      <c r="P281" t="str">
        <f t="shared" si="13"/>
        <v xml:space="preserve"> </v>
      </c>
      <c r="Q281" t="str">
        <f t="shared" si="14"/>
        <v>Favorable</v>
      </c>
    </row>
    <row r="282" spans="1:17">
      <c r="A282" t="s">
        <v>292</v>
      </c>
      <c r="B282" s="2">
        <v>45475</v>
      </c>
      <c r="C282">
        <v>4010</v>
      </c>
      <c r="D282" t="s">
        <v>2016</v>
      </c>
      <c r="E282">
        <v>0</v>
      </c>
      <c r="F282">
        <v>2329.64</v>
      </c>
      <c r="G282" t="s">
        <v>2021</v>
      </c>
      <c r="H282" t="s">
        <v>2025</v>
      </c>
      <c r="I282" t="s">
        <v>2308</v>
      </c>
      <c r="J282" t="s">
        <v>4031</v>
      </c>
      <c r="K282" t="s">
        <v>4054</v>
      </c>
      <c r="L282">
        <v>2329.64</v>
      </c>
      <c r="N282">
        <f t="shared" si="12"/>
        <v>2329.64</v>
      </c>
      <c r="O282" t="s">
        <v>4104</v>
      </c>
      <c r="P282" t="str">
        <f t="shared" si="13"/>
        <v xml:space="preserve"> </v>
      </c>
      <c r="Q282" t="str">
        <f t="shared" si="14"/>
        <v>Favorable</v>
      </c>
    </row>
    <row r="283" spans="1:17">
      <c r="A283" t="s">
        <v>293</v>
      </c>
      <c r="B283" s="2">
        <v>45662</v>
      </c>
      <c r="C283">
        <v>6000</v>
      </c>
      <c r="D283" t="s">
        <v>2014</v>
      </c>
      <c r="E283">
        <v>1039.56</v>
      </c>
      <c r="F283">
        <v>0</v>
      </c>
      <c r="G283" t="s">
        <v>2017</v>
      </c>
      <c r="H283" t="s">
        <v>2026</v>
      </c>
      <c r="I283" t="s">
        <v>2309</v>
      </c>
      <c r="J283" t="s">
        <v>4032</v>
      </c>
      <c r="K283" t="s">
        <v>4035</v>
      </c>
      <c r="L283">
        <v>-1039.56</v>
      </c>
      <c r="N283">
        <f t="shared" si="12"/>
        <v>-1039.56</v>
      </c>
      <c r="O283" t="s">
        <v>4104</v>
      </c>
      <c r="P283" t="str">
        <f t="shared" si="13"/>
        <v xml:space="preserve"> </v>
      </c>
      <c r="Q283" t="str">
        <f t="shared" si="14"/>
        <v>Unfavorable</v>
      </c>
    </row>
    <row r="284" spans="1:17">
      <c r="A284" t="s">
        <v>294</v>
      </c>
      <c r="B284" s="2">
        <v>45000</v>
      </c>
      <c r="C284">
        <v>5010</v>
      </c>
      <c r="D284" t="s">
        <v>2015</v>
      </c>
      <c r="E284">
        <v>1441.17</v>
      </c>
      <c r="F284">
        <v>0</v>
      </c>
      <c r="G284" t="s">
        <v>2018</v>
      </c>
      <c r="H284" t="s">
        <v>2025</v>
      </c>
      <c r="I284" t="s">
        <v>2310</v>
      </c>
      <c r="J284" t="s">
        <v>4032</v>
      </c>
      <c r="K284" t="s">
        <v>4051</v>
      </c>
      <c r="L284">
        <v>-1441.17</v>
      </c>
      <c r="N284">
        <f t="shared" si="12"/>
        <v>-1441.17</v>
      </c>
      <c r="O284" t="s">
        <v>4104</v>
      </c>
      <c r="P284" t="str">
        <f t="shared" si="13"/>
        <v xml:space="preserve"> </v>
      </c>
      <c r="Q284" t="str">
        <f t="shared" si="14"/>
        <v>Unfavorable</v>
      </c>
    </row>
    <row r="285" spans="1:17">
      <c r="A285" t="s">
        <v>295</v>
      </c>
      <c r="B285" s="2">
        <v>45031</v>
      </c>
      <c r="C285">
        <v>4000</v>
      </c>
      <c r="D285" t="s">
        <v>2012</v>
      </c>
      <c r="E285">
        <v>0</v>
      </c>
      <c r="F285">
        <v>873.53</v>
      </c>
      <c r="G285" t="s">
        <v>2019</v>
      </c>
      <c r="H285" t="s">
        <v>2026</v>
      </c>
      <c r="I285" t="s">
        <v>2311</v>
      </c>
      <c r="J285" t="s">
        <v>4029</v>
      </c>
      <c r="K285" t="s">
        <v>4041</v>
      </c>
      <c r="L285">
        <v>873.53</v>
      </c>
      <c r="N285">
        <f t="shared" si="12"/>
        <v>873.53</v>
      </c>
      <c r="O285" t="s">
        <v>4104</v>
      </c>
      <c r="P285" t="str">
        <f t="shared" si="13"/>
        <v xml:space="preserve"> </v>
      </c>
      <c r="Q285" t="str">
        <f t="shared" si="14"/>
        <v>Favorable</v>
      </c>
    </row>
    <row r="286" spans="1:17">
      <c r="A286" t="s">
        <v>296</v>
      </c>
      <c r="B286" s="2">
        <v>45685</v>
      </c>
      <c r="C286">
        <v>4000</v>
      </c>
      <c r="D286" t="s">
        <v>2012</v>
      </c>
      <c r="E286">
        <v>0</v>
      </c>
      <c r="F286">
        <v>1932.35</v>
      </c>
      <c r="G286" t="s">
        <v>2017</v>
      </c>
      <c r="H286" t="s">
        <v>2025</v>
      </c>
      <c r="I286" t="s">
        <v>2312</v>
      </c>
      <c r="J286" t="s">
        <v>4030</v>
      </c>
      <c r="K286" t="s">
        <v>4035</v>
      </c>
      <c r="L286">
        <v>1932.35</v>
      </c>
      <c r="N286">
        <f t="shared" si="12"/>
        <v>1932.35</v>
      </c>
      <c r="O286" t="s">
        <v>4104</v>
      </c>
      <c r="P286" t="str">
        <f t="shared" si="13"/>
        <v xml:space="preserve"> </v>
      </c>
      <c r="Q286" t="str">
        <f t="shared" si="14"/>
        <v>Favorable</v>
      </c>
    </row>
    <row r="287" spans="1:17">
      <c r="A287" t="s">
        <v>297</v>
      </c>
      <c r="B287" s="2">
        <v>45833</v>
      </c>
      <c r="C287">
        <v>5000</v>
      </c>
      <c r="D287" t="s">
        <v>2013</v>
      </c>
      <c r="E287">
        <v>1733.12</v>
      </c>
      <c r="F287">
        <v>0</v>
      </c>
      <c r="G287" t="s">
        <v>2017</v>
      </c>
      <c r="H287" t="s">
        <v>2023</v>
      </c>
      <c r="I287" t="s">
        <v>2313</v>
      </c>
      <c r="J287" t="s">
        <v>4032</v>
      </c>
      <c r="K287" t="s">
        <v>4052</v>
      </c>
      <c r="L287">
        <v>-1733.12</v>
      </c>
      <c r="N287">
        <f t="shared" si="12"/>
        <v>-1733.12</v>
      </c>
      <c r="O287" t="s">
        <v>4104</v>
      </c>
      <c r="P287" t="str">
        <f t="shared" si="13"/>
        <v xml:space="preserve"> </v>
      </c>
      <c r="Q287" t="str">
        <f t="shared" si="14"/>
        <v>Unfavorable</v>
      </c>
    </row>
    <row r="288" spans="1:17">
      <c r="A288" t="s">
        <v>298</v>
      </c>
      <c r="B288" s="2">
        <v>45622</v>
      </c>
      <c r="C288">
        <v>4000</v>
      </c>
      <c r="D288" t="s">
        <v>2012</v>
      </c>
      <c r="E288">
        <v>0</v>
      </c>
      <c r="F288">
        <v>3004.12</v>
      </c>
      <c r="G288" t="s">
        <v>2017</v>
      </c>
      <c r="H288" t="s">
        <v>2026</v>
      </c>
      <c r="I288" t="s">
        <v>2314</v>
      </c>
      <c r="J288" t="s">
        <v>4029</v>
      </c>
      <c r="K288" t="s">
        <v>4043</v>
      </c>
      <c r="L288">
        <v>3004.12</v>
      </c>
      <c r="N288">
        <f t="shared" si="12"/>
        <v>3004.12</v>
      </c>
      <c r="O288" t="s">
        <v>4104</v>
      </c>
      <c r="P288" t="str">
        <f t="shared" si="13"/>
        <v xml:space="preserve"> </v>
      </c>
      <c r="Q288" t="str">
        <f t="shared" si="14"/>
        <v>Favorable</v>
      </c>
    </row>
    <row r="289" spans="1:17">
      <c r="A289" t="s">
        <v>299</v>
      </c>
      <c r="B289" s="2">
        <v>45383</v>
      </c>
      <c r="C289">
        <v>5010</v>
      </c>
      <c r="D289" t="s">
        <v>2015</v>
      </c>
      <c r="E289">
        <v>1521.85</v>
      </c>
      <c r="F289">
        <v>0</v>
      </c>
      <c r="G289" t="s">
        <v>2019</v>
      </c>
      <c r="H289" t="s">
        <v>2027</v>
      </c>
      <c r="I289" t="s">
        <v>2315</v>
      </c>
      <c r="J289" t="s">
        <v>4030</v>
      </c>
      <c r="K289" t="s">
        <v>4040</v>
      </c>
      <c r="L289">
        <v>-1521.85</v>
      </c>
      <c r="N289">
        <f t="shared" si="12"/>
        <v>-1521.85</v>
      </c>
      <c r="O289" t="s">
        <v>4104</v>
      </c>
      <c r="P289" t="str">
        <f t="shared" si="13"/>
        <v xml:space="preserve"> </v>
      </c>
      <c r="Q289" t="str">
        <f t="shared" si="14"/>
        <v>Unfavorable</v>
      </c>
    </row>
    <row r="290" spans="1:17">
      <c r="A290" t="s">
        <v>300</v>
      </c>
      <c r="B290" s="2">
        <v>45712</v>
      </c>
      <c r="C290">
        <v>5000</v>
      </c>
      <c r="D290" t="s">
        <v>2013</v>
      </c>
      <c r="E290">
        <v>1486.16</v>
      </c>
      <c r="F290">
        <v>0</v>
      </c>
      <c r="G290" t="s">
        <v>2020</v>
      </c>
      <c r="H290" t="s">
        <v>2023</v>
      </c>
      <c r="I290" t="s">
        <v>2316</v>
      </c>
      <c r="J290" t="s">
        <v>4030</v>
      </c>
      <c r="K290" t="s">
        <v>4061</v>
      </c>
      <c r="L290">
        <v>-1486.16</v>
      </c>
      <c r="N290">
        <f t="shared" si="12"/>
        <v>-1486.16</v>
      </c>
      <c r="O290" t="s">
        <v>4104</v>
      </c>
      <c r="P290" t="str">
        <f t="shared" si="13"/>
        <v xml:space="preserve"> </v>
      </c>
      <c r="Q290" t="str">
        <f t="shared" si="14"/>
        <v>Unfavorable</v>
      </c>
    </row>
    <row r="291" spans="1:17">
      <c r="A291" t="s">
        <v>301</v>
      </c>
      <c r="B291" s="2">
        <v>45777</v>
      </c>
      <c r="C291">
        <v>5000</v>
      </c>
      <c r="D291" t="s">
        <v>2013</v>
      </c>
      <c r="E291">
        <v>1308.19</v>
      </c>
      <c r="F291">
        <v>0</v>
      </c>
      <c r="G291" t="s">
        <v>2017</v>
      </c>
      <c r="H291" t="s">
        <v>2025</v>
      </c>
      <c r="I291" t="s">
        <v>2317</v>
      </c>
      <c r="J291" t="s">
        <v>4031</v>
      </c>
      <c r="K291" t="s">
        <v>4045</v>
      </c>
      <c r="L291">
        <v>-1308.19</v>
      </c>
      <c r="N291">
        <f t="shared" si="12"/>
        <v>-1308.19</v>
      </c>
      <c r="O291" t="s">
        <v>4104</v>
      </c>
      <c r="P291" t="str">
        <f t="shared" si="13"/>
        <v xml:space="preserve"> </v>
      </c>
      <c r="Q291" t="str">
        <f t="shared" si="14"/>
        <v>Unfavorable</v>
      </c>
    </row>
    <row r="292" spans="1:17">
      <c r="A292" t="s">
        <v>302</v>
      </c>
      <c r="B292" s="2">
        <v>45690</v>
      </c>
      <c r="C292">
        <v>5000</v>
      </c>
      <c r="D292" t="s">
        <v>2013</v>
      </c>
      <c r="E292">
        <v>1765.16</v>
      </c>
      <c r="F292">
        <v>0</v>
      </c>
      <c r="G292" t="s">
        <v>2020</v>
      </c>
      <c r="H292" t="s">
        <v>2026</v>
      </c>
      <c r="I292" t="s">
        <v>2318</v>
      </c>
      <c r="J292" t="s">
        <v>4030</v>
      </c>
      <c r="K292" t="s">
        <v>4061</v>
      </c>
      <c r="L292">
        <v>-1765.16</v>
      </c>
      <c r="N292">
        <f t="shared" si="12"/>
        <v>-1765.16</v>
      </c>
      <c r="O292" t="s">
        <v>4104</v>
      </c>
      <c r="P292" t="str">
        <f t="shared" si="13"/>
        <v xml:space="preserve"> </v>
      </c>
      <c r="Q292" t="str">
        <f t="shared" si="14"/>
        <v>Unfavorable</v>
      </c>
    </row>
    <row r="293" spans="1:17">
      <c r="A293" t="s">
        <v>303</v>
      </c>
      <c r="B293" s="2">
        <v>45422</v>
      </c>
      <c r="C293">
        <v>5010</v>
      </c>
      <c r="D293" t="s">
        <v>2015</v>
      </c>
      <c r="E293">
        <v>842.35</v>
      </c>
      <c r="F293">
        <v>0</v>
      </c>
      <c r="G293" t="s">
        <v>2020</v>
      </c>
      <c r="H293" t="s">
        <v>2026</v>
      </c>
      <c r="I293" t="s">
        <v>2319</v>
      </c>
      <c r="J293" t="s">
        <v>4031</v>
      </c>
      <c r="K293" t="s">
        <v>4033</v>
      </c>
      <c r="L293">
        <v>-842.35</v>
      </c>
      <c r="N293">
        <f t="shared" si="12"/>
        <v>-842.35</v>
      </c>
      <c r="O293" t="s">
        <v>4104</v>
      </c>
      <c r="P293" t="str">
        <f t="shared" si="13"/>
        <v xml:space="preserve"> </v>
      </c>
      <c r="Q293" t="str">
        <f t="shared" si="14"/>
        <v>Unfavorable</v>
      </c>
    </row>
    <row r="294" spans="1:17">
      <c r="A294" t="s">
        <v>304</v>
      </c>
      <c r="B294" s="2">
        <v>45351</v>
      </c>
      <c r="C294">
        <v>5010</v>
      </c>
      <c r="D294" t="s">
        <v>2015</v>
      </c>
      <c r="E294">
        <v>788.28</v>
      </c>
      <c r="F294">
        <v>0</v>
      </c>
      <c r="G294" t="s">
        <v>2018</v>
      </c>
      <c r="H294" t="s">
        <v>2023</v>
      </c>
      <c r="I294" t="s">
        <v>2320</v>
      </c>
      <c r="J294" t="s">
        <v>4029</v>
      </c>
      <c r="K294" t="s">
        <v>4044</v>
      </c>
      <c r="L294">
        <v>-788.28</v>
      </c>
      <c r="N294">
        <f t="shared" si="12"/>
        <v>-788.28</v>
      </c>
      <c r="O294" t="s">
        <v>4104</v>
      </c>
      <c r="P294" t="str">
        <f t="shared" si="13"/>
        <v xml:space="preserve"> </v>
      </c>
      <c r="Q294" t="str">
        <f t="shared" si="14"/>
        <v>Unfavorable</v>
      </c>
    </row>
    <row r="295" spans="1:17">
      <c r="A295" t="s">
        <v>305</v>
      </c>
      <c r="B295" s="2">
        <v>45535</v>
      </c>
      <c r="C295">
        <v>4000</v>
      </c>
      <c r="D295" t="s">
        <v>2012</v>
      </c>
      <c r="E295">
        <v>0</v>
      </c>
      <c r="F295">
        <v>239.94</v>
      </c>
      <c r="G295" t="s">
        <v>2021</v>
      </c>
      <c r="H295" t="s">
        <v>2026</v>
      </c>
      <c r="I295" t="s">
        <v>2321</v>
      </c>
      <c r="J295" t="s">
        <v>4029</v>
      </c>
      <c r="K295" t="s">
        <v>4058</v>
      </c>
      <c r="L295">
        <v>239.94</v>
      </c>
      <c r="N295">
        <f t="shared" si="12"/>
        <v>239.94</v>
      </c>
      <c r="O295" t="s">
        <v>4104</v>
      </c>
      <c r="P295" t="str">
        <f t="shared" si="13"/>
        <v xml:space="preserve"> </v>
      </c>
      <c r="Q295" t="str">
        <f t="shared" si="14"/>
        <v>Favorable</v>
      </c>
    </row>
    <row r="296" spans="1:17">
      <c r="A296" t="s">
        <v>306</v>
      </c>
      <c r="B296" s="2">
        <v>45679</v>
      </c>
      <c r="C296">
        <v>4000</v>
      </c>
      <c r="D296" t="s">
        <v>2012</v>
      </c>
      <c r="E296">
        <v>0</v>
      </c>
      <c r="F296">
        <v>4378.1899999999996</v>
      </c>
      <c r="G296" t="s">
        <v>2020</v>
      </c>
      <c r="H296" t="s">
        <v>2025</v>
      </c>
      <c r="I296" t="s">
        <v>2322</v>
      </c>
      <c r="J296" t="s">
        <v>4029</v>
      </c>
      <c r="K296" t="s">
        <v>4035</v>
      </c>
      <c r="L296">
        <v>4378.1899999999996</v>
      </c>
      <c r="N296">
        <f t="shared" si="12"/>
        <v>4378.1899999999996</v>
      </c>
      <c r="O296" t="s">
        <v>4104</v>
      </c>
      <c r="P296" t="str">
        <f t="shared" si="13"/>
        <v xml:space="preserve"> </v>
      </c>
      <c r="Q296" t="str">
        <f t="shared" si="14"/>
        <v>Favorable</v>
      </c>
    </row>
    <row r="297" spans="1:17">
      <c r="A297" t="s">
        <v>307</v>
      </c>
      <c r="B297" s="2">
        <v>45268</v>
      </c>
      <c r="C297">
        <v>6000</v>
      </c>
      <c r="D297" t="s">
        <v>2014</v>
      </c>
      <c r="E297">
        <v>1116.99</v>
      </c>
      <c r="F297">
        <v>0</v>
      </c>
      <c r="G297" t="s">
        <v>2017</v>
      </c>
      <c r="H297" t="s">
        <v>2023</v>
      </c>
      <c r="I297" t="s">
        <v>2323</v>
      </c>
      <c r="J297" t="s">
        <v>4030</v>
      </c>
      <c r="K297" t="s">
        <v>4039</v>
      </c>
      <c r="L297">
        <v>-1116.99</v>
      </c>
      <c r="N297">
        <f t="shared" si="12"/>
        <v>-1116.99</v>
      </c>
      <c r="O297" t="s">
        <v>4104</v>
      </c>
      <c r="P297" t="str">
        <f t="shared" si="13"/>
        <v xml:space="preserve"> </v>
      </c>
      <c r="Q297" t="str">
        <f t="shared" si="14"/>
        <v>Unfavorable</v>
      </c>
    </row>
    <row r="298" spans="1:17">
      <c r="A298" t="s">
        <v>308</v>
      </c>
      <c r="B298" s="2">
        <v>45269</v>
      </c>
      <c r="C298">
        <v>5010</v>
      </c>
      <c r="D298" t="s">
        <v>2015</v>
      </c>
      <c r="E298">
        <v>1902.75</v>
      </c>
      <c r="F298">
        <v>0</v>
      </c>
      <c r="G298" t="s">
        <v>2021</v>
      </c>
      <c r="H298" t="s">
        <v>2025</v>
      </c>
      <c r="I298" t="s">
        <v>2324</v>
      </c>
      <c r="J298" t="s">
        <v>4028</v>
      </c>
      <c r="K298" t="s">
        <v>4039</v>
      </c>
      <c r="L298">
        <v>-1902.75</v>
      </c>
      <c r="N298">
        <f t="shared" si="12"/>
        <v>-1902.75</v>
      </c>
      <c r="O298" t="s">
        <v>4104</v>
      </c>
      <c r="P298" t="str">
        <f t="shared" si="13"/>
        <v xml:space="preserve"> </v>
      </c>
      <c r="Q298" t="str">
        <f t="shared" si="14"/>
        <v>Unfavorable</v>
      </c>
    </row>
    <row r="299" spans="1:17">
      <c r="A299" t="s">
        <v>309</v>
      </c>
      <c r="B299" s="2">
        <v>45625</v>
      </c>
      <c r="C299">
        <v>5010</v>
      </c>
      <c r="D299" t="s">
        <v>2015</v>
      </c>
      <c r="E299">
        <v>275.93</v>
      </c>
      <c r="F299">
        <v>0</v>
      </c>
      <c r="G299" t="s">
        <v>2018</v>
      </c>
      <c r="H299" t="s">
        <v>2024</v>
      </c>
      <c r="I299" t="s">
        <v>2325</v>
      </c>
      <c r="J299" t="s">
        <v>4031</v>
      </c>
      <c r="K299" t="s">
        <v>4043</v>
      </c>
      <c r="L299">
        <v>-275.93</v>
      </c>
      <c r="N299">
        <f t="shared" si="12"/>
        <v>-275.93</v>
      </c>
      <c r="O299" t="s">
        <v>4104</v>
      </c>
      <c r="P299" t="str">
        <f t="shared" si="13"/>
        <v xml:space="preserve"> </v>
      </c>
      <c r="Q299" t="str">
        <f t="shared" si="14"/>
        <v>Unfavorable</v>
      </c>
    </row>
    <row r="300" spans="1:17">
      <c r="A300" t="s">
        <v>310</v>
      </c>
      <c r="B300" s="2">
        <v>45555</v>
      </c>
      <c r="C300">
        <v>6000</v>
      </c>
      <c r="D300" t="s">
        <v>2014</v>
      </c>
      <c r="E300">
        <v>1761.1</v>
      </c>
      <c r="F300">
        <v>0</v>
      </c>
      <c r="G300" t="s">
        <v>2020</v>
      </c>
      <c r="H300" t="s">
        <v>2025</v>
      </c>
      <c r="I300" t="s">
        <v>2326</v>
      </c>
      <c r="J300" t="s">
        <v>4030</v>
      </c>
      <c r="K300" t="s">
        <v>4048</v>
      </c>
      <c r="L300">
        <v>-1761.1</v>
      </c>
      <c r="N300">
        <f t="shared" si="12"/>
        <v>-1761.1</v>
      </c>
      <c r="O300" t="s">
        <v>4104</v>
      </c>
      <c r="P300" t="str">
        <f t="shared" si="13"/>
        <v xml:space="preserve"> </v>
      </c>
      <c r="Q300" t="str">
        <f t="shared" si="14"/>
        <v>Unfavorable</v>
      </c>
    </row>
    <row r="301" spans="1:17">
      <c r="A301" t="s">
        <v>311</v>
      </c>
      <c r="B301" s="2">
        <v>45308</v>
      </c>
      <c r="C301">
        <v>4010</v>
      </c>
      <c r="D301" t="s">
        <v>2016</v>
      </c>
      <c r="E301">
        <v>0</v>
      </c>
      <c r="F301">
        <v>4260.88</v>
      </c>
      <c r="G301" t="s">
        <v>2018</v>
      </c>
      <c r="H301" t="s">
        <v>2026</v>
      </c>
      <c r="I301" t="s">
        <v>2327</v>
      </c>
      <c r="J301" t="s">
        <v>4031</v>
      </c>
      <c r="K301" t="s">
        <v>4053</v>
      </c>
      <c r="L301">
        <v>4260.88</v>
      </c>
      <c r="N301">
        <f t="shared" si="12"/>
        <v>4260.88</v>
      </c>
      <c r="O301" t="s">
        <v>4104</v>
      </c>
      <c r="P301" t="str">
        <f t="shared" si="13"/>
        <v xml:space="preserve"> </v>
      </c>
      <c r="Q301" t="str">
        <f t="shared" si="14"/>
        <v>Favorable</v>
      </c>
    </row>
    <row r="302" spans="1:17">
      <c r="A302" t="s">
        <v>312</v>
      </c>
      <c r="B302" s="2">
        <v>45209</v>
      </c>
      <c r="C302">
        <v>4000</v>
      </c>
      <c r="D302" t="s">
        <v>2012</v>
      </c>
      <c r="E302">
        <v>0</v>
      </c>
      <c r="F302">
        <v>1229.46</v>
      </c>
      <c r="G302" t="s">
        <v>2020</v>
      </c>
      <c r="H302" t="s">
        <v>2023</v>
      </c>
      <c r="I302" t="s">
        <v>2328</v>
      </c>
      <c r="J302" t="s">
        <v>4032</v>
      </c>
      <c r="K302" t="s">
        <v>4060</v>
      </c>
      <c r="L302">
        <v>1229.46</v>
      </c>
      <c r="N302">
        <f t="shared" si="12"/>
        <v>1229.46</v>
      </c>
      <c r="O302" t="s">
        <v>4104</v>
      </c>
      <c r="P302" t="str">
        <f t="shared" si="13"/>
        <v xml:space="preserve"> </v>
      </c>
      <c r="Q302" t="str">
        <f t="shared" si="14"/>
        <v>Favorable</v>
      </c>
    </row>
    <row r="303" spans="1:17">
      <c r="A303" t="s">
        <v>313</v>
      </c>
      <c r="B303" s="2">
        <v>45608</v>
      </c>
      <c r="C303">
        <v>5000</v>
      </c>
      <c r="D303" t="s">
        <v>2013</v>
      </c>
      <c r="E303">
        <v>1804.04</v>
      </c>
      <c r="F303">
        <v>0</v>
      </c>
      <c r="G303" t="s">
        <v>2018</v>
      </c>
      <c r="H303" t="s">
        <v>2026</v>
      </c>
      <c r="I303" t="s">
        <v>2329</v>
      </c>
      <c r="J303" t="s">
        <v>4028</v>
      </c>
      <c r="K303" t="s">
        <v>4043</v>
      </c>
      <c r="L303">
        <v>-1804.04</v>
      </c>
      <c r="N303">
        <f t="shared" si="12"/>
        <v>-1804.04</v>
      </c>
      <c r="O303" t="s">
        <v>4104</v>
      </c>
      <c r="P303" t="str">
        <f t="shared" si="13"/>
        <v xml:space="preserve"> </v>
      </c>
      <c r="Q303" t="str">
        <f t="shared" si="14"/>
        <v>Unfavorable</v>
      </c>
    </row>
    <row r="304" spans="1:17">
      <c r="A304" t="s">
        <v>314</v>
      </c>
      <c r="B304" s="2">
        <v>45567</v>
      </c>
      <c r="C304">
        <v>5000</v>
      </c>
      <c r="D304" t="s">
        <v>2013</v>
      </c>
      <c r="E304">
        <v>1637.96</v>
      </c>
      <c r="F304">
        <v>0</v>
      </c>
      <c r="G304" t="s">
        <v>2018</v>
      </c>
      <c r="H304" t="s">
        <v>2023</v>
      </c>
      <c r="I304" t="s">
        <v>2330</v>
      </c>
      <c r="J304" t="s">
        <v>4030</v>
      </c>
      <c r="K304" t="s">
        <v>4059</v>
      </c>
      <c r="L304">
        <v>-1637.96</v>
      </c>
      <c r="N304">
        <f t="shared" si="12"/>
        <v>-1637.96</v>
      </c>
      <c r="O304" t="s">
        <v>4104</v>
      </c>
      <c r="P304" t="str">
        <f t="shared" si="13"/>
        <v xml:space="preserve"> </v>
      </c>
      <c r="Q304" t="str">
        <f t="shared" si="14"/>
        <v>Unfavorable</v>
      </c>
    </row>
    <row r="305" spans="1:17">
      <c r="A305" t="s">
        <v>315</v>
      </c>
      <c r="B305" s="2">
        <v>45504</v>
      </c>
      <c r="C305">
        <v>4000</v>
      </c>
      <c r="D305" t="s">
        <v>2012</v>
      </c>
      <c r="E305">
        <v>0</v>
      </c>
      <c r="F305">
        <v>1400.77</v>
      </c>
      <c r="G305" t="s">
        <v>2017</v>
      </c>
      <c r="H305" t="s">
        <v>2026</v>
      </c>
      <c r="I305" t="s">
        <v>2331</v>
      </c>
      <c r="J305" t="s">
        <v>4029</v>
      </c>
      <c r="K305" t="s">
        <v>4054</v>
      </c>
      <c r="L305">
        <v>1400.77</v>
      </c>
      <c r="N305">
        <f t="shared" si="12"/>
        <v>1400.77</v>
      </c>
      <c r="O305" t="s">
        <v>4104</v>
      </c>
      <c r="P305" t="str">
        <f t="shared" si="13"/>
        <v xml:space="preserve"> </v>
      </c>
      <c r="Q305" t="str">
        <f t="shared" si="14"/>
        <v>Favorable</v>
      </c>
    </row>
    <row r="306" spans="1:17">
      <c r="A306" t="s">
        <v>316</v>
      </c>
      <c r="B306" s="2">
        <v>45729</v>
      </c>
      <c r="C306">
        <v>5010</v>
      </c>
      <c r="D306" t="s">
        <v>2015</v>
      </c>
      <c r="E306">
        <v>1010.88</v>
      </c>
      <c r="F306">
        <v>0</v>
      </c>
      <c r="G306" t="s">
        <v>2017</v>
      </c>
      <c r="H306" t="s">
        <v>2025</v>
      </c>
      <c r="I306" t="s">
        <v>2332</v>
      </c>
      <c r="J306" t="s">
        <v>4030</v>
      </c>
      <c r="K306" t="s">
        <v>4046</v>
      </c>
      <c r="L306">
        <v>-1010.88</v>
      </c>
      <c r="N306">
        <f t="shared" si="12"/>
        <v>-1010.88</v>
      </c>
      <c r="O306" t="s">
        <v>4104</v>
      </c>
      <c r="P306" t="str">
        <f t="shared" si="13"/>
        <v xml:space="preserve"> </v>
      </c>
      <c r="Q306" t="str">
        <f t="shared" si="14"/>
        <v>Unfavorable</v>
      </c>
    </row>
    <row r="307" spans="1:17">
      <c r="A307" t="s">
        <v>317</v>
      </c>
      <c r="B307" s="2">
        <v>45385</v>
      </c>
      <c r="C307">
        <v>4000</v>
      </c>
      <c r="D307" t="s">
        <v>2012</v>
      </c>
      <c r="E307">
        <v>0</v>
      </c>
      <c r="F307">
        <v>1059.18</v>
      </c>
      <c r="G307" t="s">
        <v>2019</v>
      </c>
      <c r="H307" t="s">
        <v>2025</v>
      </c>
      <c r="I307" t="s">
        <v>2333</v>
      </c>
      <c r="J307" t="s">
        <v>4031</v>
      </c>
      <c r="K307" t="s">
        <v>4040</v>
      </c>
      <c r="L307">
        <v>1059.18</v>
      </c>
      <c r="N307">
        <f t="shared" si="12"/>
        <v>1059.18</v>
      </c>
      <c r="O307" t="s">
        <v>4104</v>
      </c>
      <c r="P307" t="str">
        <f t="shared" si="13"/>
        <v xml:space="preserve"> </v>
      </c>
      <c r="Q307" t="str">
        <f t="shared" si="14"/>
        <v>Favorable</v>
      </c>
    </row>
    <row r="308" spans="1:17">
      <c r="A308" t="s">
        <v>318</v>
      </c>
      <c r="B308" s="2">
        <v>45152</v>
      </c>
      <c r="C308">
        <v>4010</v>
      </c>
      <c r="D308" t="s">
        <v>2016</v>
      </c>
      <c r="E308">
        <v>0</v>
      </c>
      <c r="F308">
        <v>951.38</v>
      </c>
      <c r="G308" t="s">
        <v>2017</v>
      </c>
      <c r="H308" t="s">
        <v>2023</v>
      </c>
      <c r="I308" t="s">
        <v>2334</v>
      </c>
      <c r="J308" t="s">
        <v>4028</v>
      </c>
      <c r="K308" t="s">
        <v>4037</v>
      </c>
      <c r="L308">
        <v>951.38</v>
      </c>
      <c r="N308">
        <f t="shared" si="12"/>
        <v>951.38</v>
      </c>
      <c r="O308" t="s">
        <v>4104</v>
      </c>
      <c r="P308" t="str">
        <f t="shared" si="13"/>
        <v xml:space="preserve"> </v>
      </c>
      <c r="Q308" t="str">
        <f t="shared" si="14"/>
        <v>Favorable</v>
      </c>
    </row>
    <row r="309" spans="1:17">
      <c r="A309" t="s">
        <v>319</v>
      </c>
      <c r="B309" s="2">
        <v>44949</v>
      </c>
      <c r="C309">
        <v>4000</v>
      </c>
      <c r="D309" t="s">
        <v>2012</v>
      </c>
      <c r="E309">
        <v>0</v>
      </c>
      <c r="F309">
        <v>2648.82</v>
      </c>
      <c r="G309" t="s">
        <v>2022</v>
      </c>
      <c r="H309" t="s">
        <v>2026</v>
      </c>
      <c r="I309" t="s">
        <v>2335</v>
      </c>
      <c r="J309" t="s">
        <v>4028</v>
      </c>
      <c r="K309" t="s">
        <v>4047</v>
      </c>
      <c r="L309">
        <v>2648.82</v>
      </c>
      <c r="N309">
        <f t="shared" si="12"/>
        <v>2648.82</v>
      </c>
      <c r="O309" t="s">
        <v>4104</v>
      </c>
      <c r="P309" t="str">
        <f t="shared" si="13"/>
        <v xml:space="preserve"> </v>
      </c>
      <c r="Q309" t="str">
        <f t="shared" si="14"/>
        <v>Favorable</v>
      </c>
    </row>
    <row r="310" spans="1:17">
      <c r="A310" t="s">
        <v>320</v>
      </c>
      <c r="B310" s="2">
        <v>44989</v>
      </c>
      <c r="C310">
        <v>4010</v>
      </c>
      <c r="D310" t="s">
        <v>2016</v>
      </c>
      <c r="E310">
        <v>0</v>
      </c>
      <c r="F310">
        <v>2008.6</v>
      </c>
      <c r="G310" t="s">
        <v>2021</v>
      </c>
      <c r="H310" t="s">
        <v>2025</v>
      </c>
      <c r="I310" t="s">
        <v>2336</v>
      </c>
      <c r="J310" t="s">
        <v>4031</v>
      </c>
      <c r="K310" t="s">
        <v>4051</v>
      </c>
      <c r="L310">
        <v>2008.6</v>
      </c>
      <c r="N310">
        <f t="shared" si="12"/>
        <v>2008.6</v>
      </c>
      <c r="O310" t="s">
        <v>4104</v>
      </c>
      <c r="P310" t="str">
        <f t="shared" si="13"/>
        <v xml:space="preserve"> </v>
      </c>
      <c r="Q310" t="str">
        <f t="shared" si="14"/>
        <v>Favorable</v>
      </c>
    </row>
    <row r="311" spans="1:17">
      <c r="A311" t="s">
        <v>321</v>
      </c>
      <c r="B311" s="2">
        <v>45442</v>
      </c>
      <c r="C311">
        <v>6000</v>
      </c>
      <c r="D311" t="s">
        <v>2014</v>
      </c>
      <c r="E311">
        <v>1604.44</v>
      </c>
      <c r="F311">
        <v>0</v>
      </c>
      <c r="G311" t="s">
        <v>2019</v>
      </c>
      <c r="H311" t="s">
        <v>2023</v>
      </c>
      <c r="I311" t="s">
        <v>2337</v>
      </c>
      <c r="J311" t="s">
        <v>4032</v>
      </c>
      <c r="K311" t="s">
        <v>4033</v>
      </c>
      <c r="L311">
        <v>-1604.44</v>
      </c>
      <c r="N311">
        <f t="shared" si="12"/>
        <v>-1604.44</v>
      </c>
      <c r="O311" t="s">
        <v>4104</v>
      </c>
      <c r="P311" t="str">
        <f t="shared" si="13"/>
        <v xml:space="preserve"> </v>
      </c>
      <c r="Q311" t="str">
        <f t="shared" si="14"/>
        <v>Unfavorable</v>
      </c>
    </row>
    <row r="312" spans="1:17">
      <c r="A312" t="s">
        <v>322</v>
      </c>
      <c r="B312" s="2">
        <v>45566</v>
      </c>
      <c r="C312">
        <v>5010</v>
      </c>
      <c r="D312" t="s">
        <v>2015</v>
      </c>
      <c r="E312">
        <v>350.19</v>
      </c>
      <c r="F312">
        <v>0</v>
      </c>
      <c r="G312" t="s">
        <v>2021</v>
      </c>
      <c r="H312" t="s">
        <v>2023</v>
      </c>
      <c r="I312" t="s">
        <v>2338</v>
      </c>
      <c r="J312" t="s">
        <v>4028</v>
      </c>
      <c r="K312" t="s">
        <v>4059</v>
      </c>
      <c r="L312">
        <v>-350.19</v>
      </c>
      <c r="N312">
        <f t="shared" si="12"/>
        <v>-350.19</v>
      </c>
      <c r="O312" t="s">
        <v>4104</v>
      </c>
      <c r="P312" t="str">
        <f t="shared" si="13"/>
        <v xml:space="preserve"> </v>
      </c>
      <c r="Q312" t="str">
        <f t="shared" si="14"/>
        <v>Unfavorable</v>
      </c>
    </row>
    <row r="313" spans="1:17">
      <c r="A313" t="s">
        <v>323</v>
      </c>
      <c r="B313" s="2">
        <v>45326</v>
      </c>
      <c r="C313">
        <v>5000</v>
      </c>
      <c r="D313" t="s">
        <v>2013</v>
      </c>
      <c r="E313">
        <v>547.95000000000005</v>
      </c>
      <c r="F313">
        <v>0</v>
      </c>
      <c r="G313" t="s">
        <v>2021</v>
      </c>
      <c r="H313" t="s">
        <v>2023</v>
      </c>
      <c r="I313" t="s">
        <v>2339</v>
      </c>
      <c r="J313" t="s">
        <v>4028</v>
      </c>
      <c r="K313" t="s">
        <v>4044</v>
      </c>
      <c r="L313">
        <v>-547.95000000000005</v>
      </c>
      <c r="N313">
        <f t="shared" si="12"/>
        <v>-547.95000000000005</v>
      </c>
      <c r="O313" t="s">
        <v>4104</v>
      </c>
      <c r="P313" t="str">
        <f t="shared" si="13"/>
        <v xml:space="preserve"> </v>
      </c>
      <c r="Q313" t="str">
        <f t="shared" si="14"/>
        <v>Unfavorable</v>
      </c>
    </row>
    <row r="314" spans="1:17">
      <c r="A314" t="s">
        <v>324</v>
      </c>
      <c r="B314" s="2">
        <v>45796</v>
      </c>
      <c r="C314">
        <v>4000</v>
      </c>
      <c r="D314" t="s">
        <v>2012</v>
      </c>
      <c r="E314">
        <v>0</v>
      </c>
      <c r="F314">
        <v>561.46</v>
      </c>
      <c r="G314" t="s">
        <v>2021</v>
      </c>
      <c r="H314" t="s">
        <v>2027</v>
      </c>
      <c r="I314" t="s">
        <v>2340</v>
      </c>
      <c r="J314" t="s">
        <v>4028</v>
      </c>
      <c r="K314" t="s">
        <v>4038</v>
      </c>
      <c r="L314">
        <v>561.46</v>
      </c>
      <c r="N314">
        <f t="shared" si="12"/>
        <v>561.46</v>
      </c>
      <c r="O314" t="s">
        <v>4104</v>
      </c>
      <c r="P314" t="str">
        <f t="shared" si="13"/>
        <v xml:space="preserve"> </v>
      </c>
      <c r="Q314" t="str">
        <f t="shared" si="14"/>
        <v>Favorable</v>
      </c>
    </row>
    <row r="315" spans="1:17">
      <c r="A315" t="s">
        <v>325</v>
      </c>
      <c r="B315" s="2">
        <v>45150</v>
      </c>
      <c r="C315">
        <v>6000</v>
      </c>
      <c r="D315" t="s">
        <v>2014</v>
      </c>
      <c r="E315">
        <v>737.29</v>
      </c>
      <c r="F315">
        <v>0</v>
      </c>
      <c r="G315" t="s">
        <v>2017</v>
      </c>
      <c r="H315" t="s">
        <v>2027</v>
      </c>
      <c r="I315" t="s">
        <v>2341</v>
      </c>
      <c r="J315" t="s">
        <v>4030</v>
      </c>
      <c r="K315" t="s">
        <v>4037</v>
      </c>
      <c r="L315">
        <v>-737.29</v>
      </c>
      <c r="N315">
        <f t="shared" si="12"/>
        <v>-737.29</v>
      </c>
      <c r="O315" t="s">
        <v>4104</v>
      </c>
      <c r="P315" t="str">
        <f t="shared" si="13"/>
        <v xml:space="preserve"> </v>
      </c>
      <c r="Q315" t="str">
        <f t="shared" si="14"/>
        <v>Unfavorable</v>
      </c>
    </row>
    <row r="316" spans="1:17">
      <c r="A316" t="s">
        <v>326</v>
      </c>
      <c r="B316" s="2">
        <v>45829</v>
      </c>
      <c r="C316">
        <v>4010</v>
      </c>
      <c r="D316" t="s">
        <v>2016</v>
      </c>
      <c r="E316">
        <v>0</v>
      </c>
      <c r="F316">
        <v>963.96</v>
      </c>
      <c r="G316" t="s">
        <v>2019</v>
      </c>
      <c r="H316" t="s">
        <v>2025</v>
      </c>
      <c r="I316" t="s">
        <v>2342</v>
      </c>
      <c r="J316" t="s">
        <v>4028</v>
      </c>
      <c r="K316" t="s">
        <v>4052</v>
      </c>
      <c r="L316">
        <v>963.96</v>
      </c>
      <c r="N316">
        <f t="shared" si="12"/>
        <v>963.96</v>
      </c>
      <c r="O316" t="s">
        <v>4104</v>
      </c>
      <c r="P316" t="str">
        <f t="shared" si="13"/>
        <v xml:space="preserve"> </v>
      </c>
      <c r="Q316" t="str">
        <f t="shared" si="14"/>
        <v>Favorable</v>
      </c>
    </row>
    <row r="317" spans="1:17">
      <c r="A317" t="s">
        <v>327</v>
      </c>
      <c r="B317" s="2">
        <v>45118</v>
      </c>
      <c r="C317">
        <v>5010</v>
      </c>
      <c r="D317" t="s">
        <v>2015</v>
      </c>
      <c r="E317">
        <v>1233.1600000000001</v>
      </c>
      <c r="F317">
        <v>0</v>
      </c>
      <c r="G317" t="s">
        <v>2017</v>
      </c>
      <c r="H317" t="s">
        <v>2027</v>
      </c>
      <c r="I317" t="s">
        <v>2343</v>
      </c>
      <c r="J317" t="s">
        <v>4031</v>
      </c>
      <c r="K317" t="s">
        <v>4050</v>
      </c>
      <c r="L317">
        <v>-1233.1600000000001</v>
      </c>
      <c r="N317">
        <f t="shared" si="12"/>
        <v>-1233.1600000000001</v>
      </c>
      <c r="O317" t="s">
        <v>4104</v>
      </c>
      <c r="P317" t="str">
        <f t="shared" si="13"/>
        <v xml:space="preserve"> </v>
      </c>
      <c r="Q317" t="str">
        <f t="shared" si="14"/>
        <v>Unfavorable</v>
      </c>
    </row>
    <row r="318" spans="1:17">
      <c r="A318" t="s">
        <v>328</v>
      </c>
      <c r="B318" s="2">
        <v>45263</v>
      </c>
      <c r="C318">
        <v>4000</v>
      </c>
      <c r="D318" t="s">
        <v>2012</v>
      </c>
      <c r="E318">
        <v>0</v>
      </c>
      <c r="F318">
        <v>1228</v>
      </c>
      <c r="G318" t="s">
        <v>2021</v>
      </c>
      <c r="H318" t="s">
        <v>2023</v>
      </c>
      <c r="I318" t="s">
        <v>2344</v>
      </c>
      <c r="J318" t="s">
        <v>4031</v>
      </c>
      <c r="K318" t="s">
        <v>4039</v>
      </c>
      <c r="L318">
        <v>1228</v>
      </c>
      <c r="N318">
        <f t="shared" si="12"/>
        <v>1228</v>
      </c>
      <c r="O318" t="s">
        <v>4104</v>
      </c>
      <c r="P318" t="str">
        <f t="shared" si="13"/>
        <v xml:space="preserve"> </v>
      </c>
      <c r="Q318" t="str">
        <f t="shared" si="14"/>
        <v>Favorable</v>
      </c>
    </row>
    <row r="319" spans="1:17">
      <c r="A319" t="s">
        <v>329</v>
      </c>
      <c r="B319" s="2">
        <v>44943</v>
      </c>
      <c r="C319">
        <v>4000</v>
      </c>
      <c r="D319" t="s">
        <v>2012</v>
      </c>
      <c r="E319">
        <v>0</v>
      </c>
      <c r="F319">
        <v>1067.1500000000001</v>
      </c>
      <c r="G319" t="s">
        <v>2017</v>
      </c>
      <c r="H319" t="s">
        <v>2025</v>
      </c>
      <c r="I319" t="s">
        <v>2345</v>
      </c>
      <c r="J319" t="s">
        <v>4032</v>
      </c>
      <c r="K319" t="s">
        <v>4047</v>
      </c>
      <c r="L319">
        <v>1067.1500000000001</v>
      </c>
      <c r="N319">
        <f t="shared" si="12"/>
        <v>1067.1500000000001</v>
      </c>
      <c r="O319" t="s">
        <v>4104</v>
      </c>
      <c r="P319" t="str">
        <f t="shared" si="13"/>
        <v xml:space="preserve"> </v>
      </c>
      <c r="Q319" t="str">
        <f t="shared" si="14"/>
        <v>Favorable</v>
      </c>
    </row>
    <row r="320" spans="1:17">
      <c r="A320" t="s">
        <v>330</v>
      </c>
      <c r="B320" s="2">
        <v>45301</v>
      </c>
      <c r="C320">
        <v>4010</v>
      </c>
      <c r="D320" t="s">
        <v>2016</v>
      </c>
      <c r="E320">
        <v>0</v>
      </c>
      <c r="F320">
        <v>1167.53</v>
      </c>
      <c r="G320" t="s">
        <v>2018</v>
      </c>
      <c r="H320" t="s">
        <v>2024</v>
      </c>
      <c r="I320" t="s">
        <v>2346</v>
      </c>
      <c r="J320" t="s">
        <v>4030</v>
      </c>
      <c r="K320" t="s">
        <v>4053</v>
      </c>
      <c r="L320">
        <v>1167.53</v>
      </c>
      <c r="N320">
        <f t="shared" si="12"/>
        <v>1167.53</v>
      </c>
      <c r="O320" t="s">
        <v>4104</v>
      </c>
      <c r="P320" t="str">
        <f t="shared" si="13"/>
        <v xml:space="preserve"> </v>
      </c>
      <c r="Q320" t="str">
        <f t="shared" si="14"/>
        <v>Favorable</v>
      </c>
    </row>
    <row r="321" spans="1:17">
      <c r="A321" t="s">
        <v>331</v>
      </c>
      <c r="B321" s="2">
        <v>45340</v>
      </c>
      <c r="C321">
        <v>5010</v>
      </c>
      <c r="D321" t="s">
        <v>2015</v>
      </c>
      <c r="E321">
        <v>1808.37</v>
      </c>
      <c r="F321">
        <v>0</v>
      </c>
      <c r="G321" t="s">
        <v>2021</v>
      </c>
      <c r="H321" t="s">
        <v>2025</v>
      </c>
      <c r="I321" t="s">
        <v>2347</v>
      </c>
      <c r="J321" t="s">
        <v>4032</v>
      </c>
      <c r="K321" t="s">
        <v>4044</v>
      </c>
      <c r="L321">
        <v>-1808.37</v>
      </c>
      <c r="N321">
        <f t="shared" si="12"/>
        <v>-1808.37</v>
      </c>
      <c r="O321" t="s">
        <v>4104</v>
      </c>
      <c r="P321" t="str">
        <f t="shared" si="13"/>
        <v xml:space="preserve"> </v>
      </c>
      <c r="Q321" t="str">
        <f t="shared" si="14"/>
        <v>Unfavorable</v>
      </c>
    </row>
    <row r="322" spans="1:17">
      <c r="A322" t="s">
        <v>332</v>
      </c>
      <c r="B322" s="2">
        <v>45416</v>
      </c>
      <c r="C322">
        <v>4000</v>
      </c>
      <c r="D322" t="s">
        <v>2012</v>
      </c>
      <c r="E322">
        <v>0</v>
      </c>
      <c r="F322">
        <v>3683.59</v>
      </c>
      <c r="G322" t="s">
        <v>2018</v>
      </c>
      <c r="H322" t="s">
        <v>2026</v>
      </c>
      <c r="I322" t="s">
        <v>2348</v>
      </c>
      <c r="J322" t="s">
        <v>4032</v>
      </c>
      <c r="K322" t="s">
        <v>4033</v>
      </c>
      <c r="L322">
        <v>3683.59</v>
      </c>
      <c r="N322">
        <f t="shared" si="12"/>
        <v>3683.59</v>
      </c>
      <c r="O322" t="s">
        <v>4104</v>
      </c>
      <c r="P322" t="str">
        <f t="shared" si="13"/>
        <v xml:space="preserve"> </v>
      </c>
      <c r="Q322" t="str">
        <f t="shared" si="14"/>
        <v>Favorable</v>
      </c>
    </row>
    <row r="323" spans="1:17">
      <c r="A323" t="s">
        <v>333</v>
      </c>
      <c r="B323" s="2">
        <v>45023</v>
      </c>
      <c r="C323">
        <v>4010</v>
      </c>
      <c r="D323" t="s">
        <v>2016</v>
      </c>
      <c r="E323">
        <v>0</v>
      </c>
      <c r="F323">
        <v>2268.92</v>
      </c>
      <c r="G323" t="s">
        <v>2021</v>
      </c>
      <c r="H323" t="s">
        <v>2023</v>
      </c>
      <c r="I323" t="s">
        <v>2349</v>
      </c>
      <c r="J323" t="s">
        <v>4028</v>
      </c>
      <c r="K323" t="s">
        <v>4041</v>
      </c>
      <c r="L323">
        <v>2268.92</v>
      </c>
      <c r="N323">
        <f t="shared" ref="N323:N386" si="15">L:L-M:M</f>
        <v>2268.92</v>
      </c>
      <c r="O323" t="s">
        <v>4104</v>
      </c>
      <c r="P323" t="str">
        <f t="shared" ref="P323:P386" si="16">IF(AND(ABS(N:N)&gt;10000,M:M&lt;&gt;0),"Material", " ")</f>
        <v xml:space="preserve"> </v>
      </c>
      <c r="Q323" t="str">
        <f t="shared" ref="Q323:Q386" si="17">IF(N:N&gt;0,"Favorable","Unfavorable")</f>
        <v>Favorable</v>
      </c>
    </row>
    <row r="324" spans="1:17">
      <c r="A324" t="s">
        <v>334</v>
      </c>
      <c r="B324" s="2">
        <v>45317</v>
      </c>
      <c r="C324">
        <v>6000</v>
      </c>
      <c r="D324" t="s">
        <v>2014</v>
      </c>
      <c r="E324">
        <v>791.64</v>
      </c>
      <c r="F324">
        <v>0</v>
      </c>
      <c r="G324" t="s">
        <v>2021</v>
      </c>
      <c r="H324" t="s">
        <v>2026</v>
      </c>
      <c r="I324" t="s">
        <v>2350</v>
      </c>
      <c r="J324" t="s">
        <v>4032</v>
      </c>
      <c r="K324" t="s">
        <v>4053</v>
      </c>
      <c r="L324">
        <v>-791.64</v>
      </c>
      <c r="N324">
        <f t="shared" si="15"/>
        <v>-791.64</v>
      </c>
      <c r="O324" t="s">
        <v>4104</v>
      </c>
      <c r="P324" t="str">
        <f t="shared" si="16"/>
        <v xml:space="preserve"> </v>
      </c>
      <c r="Q324" t="str">
        <f t="shared" si="17"/>
        <v>Unfavorable</v>
      </c>
    </row>
    <row r="325" spans="1:17">
      <c r="A325" t="s">
        <v>335</v>
      </c>
      <c r="B325" s="2">
        <v>45517</v>
      </c>
      <c r="C325">
        <v>4000</v>
      </c>
      <c r="D325" t="s">
        <v>2012</v>
      </c>
      <c r="E325">
        <v>0</v>
      </c>
      <c r="F325">
        <v>381.77</v>
      </c>
      <c r="G325" t="s">
        <v>2022</v>
      </c>
      <c r="H325" t="s">
        <v>2027</v>
      </c>
      <c r="I325" t="s">
        <v>2351</v>
      </c>
      <c r="J325" t="s">
        <v>4028</v>
      </c>
      <c r="K325" t="s">
        <v>4058</v>
      </c>
      <c r="L325">
        <v>381.77</v>
      </c>
      <c r="N325">
        <f t="shared" si="15"/>
        <v>381.77</v>
      </c>
      <c r="O325" t="s">
        <v>4104</v>
      </c>
      <c r="P325" t="str">
        <f t="shared" si="16"/>
        <v xml:space="preserve"> </v>
      </c>
      <c r="Q325" t="str">
        <f t="shared" si="17"/>
        <v>Favorable</v>
      </c>
    </row>
    <row r="326" spans="1:17">
      <c r="A326" t="s">
        <v>336</v>
      </c>
      <c r="B326" s="2">
        <v>44972</v>
      </c>
      <c r="C326">
        <v>6000</v>
      </c>
      <c r="D326" t="s">
        <v>2014</v>
      </c>
      <c r="E326">
        <v>603.09</v>
      </c>
      <c r="F326">
        <v>0</v>
      </c>
      <c r="G326" t="s">
        <v>2019</v>
      </c>
      <c r="H326" t="s">
        <v>2026</v>
      </c>
      <c r="I326" t="s">
        <v>2352</v>
      </c>
      <c r="J326" t="s">
        <v>4031</v>
      </c>
      <c r="K326" t="s">
        <v>4057</v>
      </c>
      <c r="L326">
        <v>-603.09</v>
      </c>
      <c r="N326">
        <f t="shared" si="15"/>
        <v>-603.09</v>
      </c>
      <c r="O326" t="s">
        <v>4104</v>
      </c>
      <c r="P326" t="str">
        <f t="shared" si="16"/>
        <v xml:space="preserve"> </v>
      </c>
      <c r="Q326" t="str">
        <f t="shared" si="17"/>
        <v>Unfavorable</v>
      </c>
    </row>
    <row r="327" spans="1:17">
      <c r="A327" t="s">
        <v>337</v>
      </c>
      <c r="B327" s="2">
        <v>45251</v>
      </c>
      <c r="C327">
        <v>5000</v>
      </c>
      <c r="D327" t="s">
        <v>2013</v>
      </c>
      <c r="E327">
        <v>76.959999999999994</v>
      </c>
      <c r="F327">
        <v>0</v>
      </c>
      <c r="G327" t="s">
        <v>2021</v>
      </c>
      <c r="H327" t="s">
        <v>2025</v>
      </c>
      <c r="I327" t="s">
        <v>2353</v>
      </c>
      <c r="J327" t="s">
        <v>4028</v>
      </c>
      <c r="K327" t="s">
        <v>4042</v>
      </c>
      <c r="L327">
        <v>-76.959999999999994</v>
      </c>
      <c r="N327">
        <f t="shared" si="15"/>
        <v>-76.959999999999994</v>
      </c>
      <c r="O327" t="s">
        <v>4104</v>
      </c>
      <c r="P327" t="str">
        <f t="shared" si="16"/>
        <v xml:space="preserve"> </v>
      </c>
      <c r="Q327" t="str">
        <f t="shared" si="17"/>
        <v>Unfavorable</v>
      </c>
    </row>
    <row r="328" spans="1:17">
      <c r="A328" t="s">
        <v>338</v>
      </c>
      <c r="B328" s="2">
        <v>45243</v>
      </c>
      <c r="C328">
        <v>6000</v>
      </c>
      <c r="D328" t="s">
        <v>2014</v>
      </c>
      <c r="E328">
        <v>870.26</v>
      </c>
      <c r="F328">
        <v>0</v>
      </c>
      <c r="G328" t="s">
        <v>2022</v>
      </c>
      <c r="H328" t="s">
        <v>2025</v>
      </c>
      <c r="I328" t="s">
        <v>2354</v>
      </c>
      <c r="J328" t="s">
        <v>4032</v>
      </c>
      <c r="K328" t="s">
        <v>4042</v>
      </c>
      <c r="L328">
        <v>-870.26</v>
      </c>
      <c r="N328">
        <f t="shared" si="15"/>
        <v>-870.26</v>
      </c>
      <c r="O328" t="s">
        <v>4104</v>
      </c>
      <c r="P328" t="str">
        <f t="shared" si="16"/>
        <v xml:space="preserve"> </v>
      </c>
      <c r="Q328" t="str">
        <f t="shared" si="17"/>
        <v>Unfavorable</v>
      </c>
    </row>
    <row r="329" spans="1:17">
      <c r="A329" t="s">
        <v>339</v>
      </c>
      <c r="B329" s="2">
        <v>45328</v>
      </c>
      <c r="C329">
        <v>4000</v>
      </c>
      <c r="D329" t="s">
        <v>2012</v>
      </c>
      <c r="E329">
        <v>0</v>
      </c>
      <c r="F329">
        <v>195.85</v>
      </c>
      <c r="G329" t="s">
        <v>2022</v>
      </c>
      <c r="H329" t="s">
        <v>2024</v>
      </c>
      <c r="I329" t="s">
        <v>2355</v>
      </c>
      <c r="J329" t="s">
        <v>4030</v>
      </c>
      <c r="K329" t="s">
        <v>4044</v>
      </c>
      <c r="L329">
        <v>195.85</v>
      </c>
      <c r="N329">
        <f t="shared" si="15"/>
        <v>195.85</v>
      </c>
      <c r="O329" t="s">
        <v>4104</v>
      </c>
      <c r="P329" t="str">
        <f t="shared" si="16"/>
        <v xml:space="preserve"> </v>
      </c>
      <c r="Q329" t="str">
        <f t="shared" si="17"/>
        <v>Favorable</v>
      </c>
    </row>
    <row r="330" spans="1:17">
      <c r="A330" t="s">
        <v>340</v>
      </c>
      <c r="B330" s="2">
        <v>45427</v>
      </c>
      <c r="C330">
        <v>4000</v>
      </c>
      <c r="D330" t="s">
        <v>2012</v>
      </c>
      <c r="E330">
        <v>0</v>
      </c>
      <c r="F330">
        <v>3924.16</v>
      </c>
      <c r="G330" t="s">
        <v>2021</v>
      </c>
      <c r="H330" t="s">
        <v>2023</v>
      </c>
      <c r="I330" t="s">
        <v>2356</v>
      </c>
      <c r="J330" t="s">
        <v>4030</v>
      </c>
      <c r="K330" t="s">
        <v>4033</v>
      </c>
      <c r="L330">
        <v>3924.16</v>
      </c>
      <c r="N330">
        <f t="shared" si="15"/>
        <v>3924.16</v>
      </c>
      <c r="O330" t="s">
        <v>4104</v>
      </c>
      <c r="P330" t="str">
        <f t="shared" si="16"/>
        <v xml:space="preserve"> </v>
      </c>
      <c r="Q330" t="str">
        <f t="shared" si="17"/>
        <v>Favorable</v>
      </c>
    </row>
    <row r="331" spans="1:17">
      <c r="A331" t="s">
        <v>341</v>
      </c>
      <c r="B331" s="2">
        <v>45783</v>
      </c>
      <c r="C331">
        <v>5010</v>
      </c>
      <c r="D331" t="s">
        <v>2015</v>
      </c>
      <c r="E331">
        <v>745.46</v>
      </c>
      <c r="F331">
        <v>0</v>
      </c>
      <c r="G331" t="s">
        <v>2021</v>
      </c>
      <c r="H331" t="s">
        <v>2023</v>
      </c>
      <c r="I331" t="s">
        <v>2357</v>
      </c>
      <c r="J331" t="s">
        <v>4029</v>
      </c>
      <c r="K331" t="s">
        <v>4038</v>
      </c>
      <c r="L331">
        <v>-745.46</v>
      </c>
      <c r="N331">
        <f t="shared" si="15"/>
        <v>-745.46</v>
      </c>
      <c r="O331" t="s">
        <v>4104</v>
      </c>
      <c r="P331" t="str">
        <f t="shared" si="16"/>
        <v xml:space="preserve"> </v>
      </c>
      <c r="Q331" t="str">
        <f t="shared" si="17"/>
        <v>Unfavorable</v>
      </c>
    </row>
    <row r="332" spans="1:17">
      <c r="A332" t="s">
        <v>342</v>
      </c>
      <c r="B332" s="2">
        <v>45238</v>
      </c>
      <c r="C332">
        <v>4000</v>
      </c>
      <c r="D332" t="s">
        <v>2012</v>
      </c>
      <c r="E332">
        <v>0</v>
      </c>
      <c r="F332">
        <v>2579.5</v>
      </c>
      <c r="G332" t="s">
        <v>2017</v>
      </c>
      <c r="H332" t="s">
        <v>2024</v>
      </c>
      <c r="I332" t="s">
        <v>2358</v>
      </c>
      <c r="J332" t="s">
        <v>4029</v>
      </c>
      <c r="K332" t="s">
        <v>4042</v>
      </c>
      <c r="L332">
        <v>2579.5</v>
      </c>
      <c r="N332">
        <f t="shared" si="15"/>
        <v>2579.5</v>
      </c>
      <c r="O332" t="s">
        <v>4104</v>
      </c>
      <c r="P332" t="str">
        <f t="shared" si="16"/>
        <v xml:space="preserve"> </v>
      </c>
      <c r="Q332" t="str">
        <f t="shared" si="17"/>
        <v>Favorable</v>
      </c>
    </row>
    <row r="333" spans="1:17">
      <c r="A333" t="s">
        <v>343</v>
      </c>
      <c r="B333" s="2">
        <v>45570</v>
      </c>
      <c r="C333">
        <v>5000</v>
      </c>
      <c r="D333" t="s">
        <v>2013</v>
      </c>
      <c r="E333">
        <v>1763.39</v>
      </c>
      <c r="F333">
        <v>0</v>
      </c>
      <c r="G333" t="s">
        <v>2021</v>
      </c>
      <c r="H333" t="s">
        <v>2027</v>
      </c>
      <c r="I333" t="s">
        <v>2359</v>
      </c>
      <c r="J333" t="s">
        <v>4031</v>
      </c>
      <c r="K333" t="s">
        <v>4059</v>
      </c>
      <c r="L333">
        <v>-1763.39</v>
      </c>
      <c r="N333">
        <f t="shared" si="15"/>
        <v>-1763.39</v>
      </c>
      <c r="O333" t="s">
        <v>4104</v>
      </c>
      <c r="P333" t="str">
        <f t="shared" si="16"/>
        <v xml:space="preserve"> </v>
      </c>
      <c r="Q333" t="str">
        <f t="shared" si="17"/>
        <v>Unfavorable</v>
      </c>
    </row>
    <row r="334" spans="1:17">
      <c r="A334" t="s">
        <v>344</v>
      </c>
      <c r="B334" s="2">
        <v>45566</v>
      </c>
      <c r="C334">
        <v>5000</v>
      </c>
      <c r="D334" t="s">
        <v>2013</v>
      </c>
      <c r="E334">
        <v>957.72</v>
      </c>
      <c r="F334">
        <v>0</v>
      </c>
      <c r="G334" t="s">
        <v>2021</v>
      </c>
      <c r="H334" t="s">
        <v>2025</v>
      </c>
      <c r="I334" t="s">
        <v>2360</v>
      </c>
      <c r="J334" t="s">
        <v>4029</v>
      </c>
      <c r="K334" t="s">
        <v>4059</v>
      </c>
      <c r="L334">
        <v>-957.72</v>
      </c>
      <c r="N334">
        <f t="shared" si="15"/>
        <v>-957.72</v>
      </c>
      <c r="O334" t="s">
        <v>4104</v>
      </c>
      <c r="P334" t="str">
        <f t="shared" si="16"/>
        <v xml:space="preserve"> </v>
      </c>
      <c r="Q334" t="str">
        <f t="shared" si="17"/>
        <v>Unfavorable</v>
      </c>
    </row>
    <row r="335" spans="1:17">
      <c r="A335" t="s">
        <v>345</v>
      </c>
      <c r="B335" s="2">
        <v>45196</v>
      </c>
      <c r="C335">
        <v>4000</v>
      </c>
      <c r="D335" t="s">
        <v>2012</v>
      </c>
      <c r="E335">
        <v>0</v>
      </c>
      <c r="F335">
        <v>312.52</v>
      </c>
      <c r="G335" t="s">
        <v>2017</v>
      </c>
      <c r="H335" t="s">
        <v>2025</v>
      </c>
      <c r="I335" t="s">
        <v>2361</v>
      </c>
      <c r="J335" t="s">
        <v>4031</v>
      </c>
      <c r="K335" t="s">
        <v>4036</v>
      </c>
      <c r="L335">
        <v>312.52</v>
      </c>
      <c r="N335">
        <f t="shared" si="15"/>
        <v>312.52</v>
      </c>
      <c r="O335" t="s">
        <v>4104</v>
      </c>
      <c r="P335" t="str">
        <f t="shared" si="16"/>
        <v xml:space="preserve"> </v>
      </c>
      <c r="Q335" t="str">
        <f t="shared" si="17"/>
        <v>Favorable</v>
      </c>
    </row>
    <row r="336" spans="1:17">
      <c r="A336" t="s">
        <v>346</v>
      </c>
      <c r="B336" s="2">
        <v>45232</v>
      </c>
      <c r="C336">
        <v>4010</v>
      </c>
      <c r="D336" t="s">
        <v>2016</v>
      </c>
      <c r="E336">
        <v>0</v>
      </c>
      <c r="F336">
        <v>4032.89</v>
      </c>
      <c r="G336" t="s">
        <v>2018</v>
      </c>
      <c r="H336" t="s">
        <v>2024</v>
      </c>
      <c r="I336" t="s">
        <v>2362</v>
      </c>
      <c r="J336" t="s">
        <v>4028</v>
      </c>
      <c r="K336" t="s">
        <v>4042</v>
      </c>
      <c r="L336">
        <v>4032.89</v>
      </c>
      <c r="N336">
        <f t="shared" si="15"/>
        <v>4032.89</v>
      </c>
      <c r="O336" t="s">
        <v>4104</v>
      </c>
      <c r="P336" t="str">
        <f t="shared" si="16"/>
        <v xml:space="preserve"> </v>
      </c>
      <c r="Q336" t="str">
        <f t="shared" si="17"/>
        <v>Favorable</v>
      </c>
    </row>
    <row r="337" spans="1:17">
      <c r="A337" t="s">
        <v>347</v>
      </c>
      <c r="B337" s="2">
        <v>45316</v>
      </c>
      <c r="C337">
        <v>5000</v>
      </c>
      <c r="D337" t="s">
        <v>2013</v>
      </c>
      <c r="E337">
        <v>822.42</v>
      </c>
      <c r="F337">
        <v>0</v>
      </c>
      <c r="G337" t="s">
        <v>2021</v>
      </c>
      <c r="H337" t="s">
        <v>2025</v>
      </c>
      <c r="I337" t="s">
        <v>2363</v>
      </c>
      <c r="J337" t="s">
        <v>4031</v>
      </c>
      <c r="K337" t="s">
        <v>4053</v>
      </c>
      <c r="L337">
        <v>-822.42</v>
      </c>
      <c r="N337">
        <f t="shared" si="15"/>
        <v>-822.42</v>
      </c>
      <c r="O337" t="s">
        <v>4104</v>
      </c>
      <c r="P337" t="str">
        <f t="shared" si="16"/>
        <v xml:space="preserve"> </v>
      </c>
      <c r="Q337" t="str">
        <f t="shared" si="17"/>
        <v>Unfavorable</v>
      </c>
    </row>
    <row r="338" spans="1:17">
      <c r="A338" t="s">
        <v>348</v>
      </c>
      <c r="B338" s="2">
        <v>44976</v>
      </c>
      <c r="C338">
        <v>4010</v>
      </c>
      <c r="D338" t="s">
        <v>2016</v>
      </c>
      <c r="E338">
        <v>0</v>
      </c>
      <c r="F338">
        <v>2096.4299999999998</v>
      </c>
      <c r="G338" t="s">
        <v>2020</v>
      </c>
      <c r="H338" t="s">
        <v>2027</v>
      </c>
      <c r="I338" t="s">
        <v>2364</v>
      </c>
      <c r="J338" t="s">
        <v>4029</v>
      </c>
      <c r="K338" t="s">
        <v>4057</v>
      </c>
      <c r="L338">
        <v>2096.4299999999998</v>
      </c>
      <c r="N338">
        <f t="shared" si="15"/>
        <v>2096.4299999999998</v>
      </c>
      <c r="O338" t="s">
        <v>4104</v>
      </c>
      <c r="P338" t="str">
        <f t="shared" si="16"/>
        <v xml:space="preserve"> </v>
      </c>
      <c r="Q338" t="str">
        <f t="shared" si="17"/>
        <v>Favorable</v>
      </c>
    </row>
    <row r="339" spans="1:17">
      <c r="A339" t="s">
        <v>349</v>
      </c>
      <c r="B339" s="2">
        <v>45599</v>
      </c>
      <c r="C339">
        <v>4000</v>
      </c>
      <c r="D339" t="s">
        <v>2012</v>
      </c>
      <c r="E339">
        <v>0</v>
      </c>
      <c r="F339">
        <v>2254.64</v>
      </c>
      <c r="G339" t="s">
        <v>2020</v>
      </c>
      <c r="H339" t="s">
        <v>2023</v>
      </c>
      <c r="I339" t="s">
        <v>2365</v>
      </c>
      <c r="J339" t="s">
        <v>4029</v>
      </c>
      <c r="K339" t="s">
        <v>4043</v>
      </c>
      <c r="L339">
        <v>2254.64</v>
      </c>
      <c r="N339">
        <f t="shared" si="15"/>
        <v>2254.64</v>
      </c>
      <c r="O339" t="s">
        <v>4104</v>
      </c>
      <c r="P339" t="str">
        <f t="shared" si="16"/>
        <v xml:space="preserve"> </v>
      </c>
      <c r="Q339" t="str">
        <f t="shared" si="17"/>
        <v>Favorable</v>
      </c>
    </row>
    <row r="340" spans="1:17">
      <c r="A340" t="s">
        <v>350</v>
      </c>
      <c r="B340" s="2">
        <v>45554</v>
      </c>
      <c r="C340">
        <v>5010</v>
      </c>
      <c r="D340" t="s">
        <v>2015</v>
      </c>
      <c r="E340">
        <v>1898.13</v>
      </c>
      <c r="F340">
        <v>0</v>
      </c>
      <c r="G340" t="s">
        <v>2022</v>
      </c>
      <c r="H340" t="s">
        <v>2026</v>
      </c>
      <c r="I340" t="s">
        <v>2366</v>
      </c>
      <c r="J340" t="s">
        <v>4030</v>
      </c>
      <c r="K340" t="s">
        <v>4048</v>
      </c>
      <c r="L340">
        <v>-1898.13</v>
      </c>
      <c r="N340">
        <f t="shared" si="15"/>
        <v>-1898.13</v>
      </c>
      <c r="O340" t="s">
        <v>4104</v>
      </c>
      <c r="P340" t="str">
        <f t="shared" si="16"/>
        <v xml:space="preserve"> </v>
      </c>
      <c r="Q340" t="str">
        <f t="shared" si="17"/>
        <v>Unfavorable</v>
      </c>
    </row>
    <row r="341" spans="1:17">
      <c r="A341" t="s">
        <v>351</v>
      </c>
      <c r="B341" s="2">
        <v>45203</v>
      </c>
      <c r="C341">
        <v>5000</v>
      </c>
      <c r="D341" t="s">
        <v>2013</v>
      </c>
      <c r="E341">
        <v>92.89</v>
      </c>
      <c r="F341">
        <v>0</v>
      </c>
      <c r="G341" t="s">
        <v>2019</v>
      </c>
      <c r="H341" t="s">
        <v>2027</v>
      </c>
      <c r="I341" t="s">
        <v>2367</v>
      </c>
      <c r="J341" t="s">
        <v>4029</v>
      </c>
      <c r="K341" t="s">
        <v>4060</v>
      </c>
      <c r="L341">
        <v>-92.89</v>
      </c>
      <c r="N341">
        <f t="shared" si="15"/>
        <v>-92.89</v>
      </c>
      <c r="O341" t="s">
        <v>4104</v>
      </c>
      <c r="P341" t="str">
        <f t="shared" si="16"/>
        <v xml:space="preserve"> </v>
      </c>
      <c r="Q341" t="str">
        <f t="shared" si="17"/>
        <v>Unfavorable</v>
      </c>
    </row>
    <row r="342" spans="1:17">
      <c r="A342" t="s">
        <v>352</v>
      </c>
      <c r="B342" s="2">
        <v>45637</v>
      </c>
      <c r="C342">
        <v>5000</v>
      </c>
      <c r="D342" t="s">
        <v>2013</v>
      </c>
      <c r="E342">
        <v>192.59</v>
      </c>
      <c r="F342">
        <v>0</v>
      </c>
      <c r="G342" t="s">
        <v>2019</v>
      </c>
      <c r="H342" t="s">
        <v>2025</v>
      </c>
      <c r="I342" t="s">
        <v>2368</v>
      </c>
      <c r="J342" t="s">
        <v>4029</v>
      </c>
      <c r="K342" t="s">
        <v>4056</v>
      </c>
      <c r="L342">
        <v>-192.59</v>
      </c>
      <c r="N342">
        <f t="shared" si="15"/>
        <v>-192.59</v>
      </c>
      <c r="O342" t="s">
        <v>4104</v>
      </c>
      <c r="P342" t="str">
        <f t="shared" si="16"/>
        <v xml:space="preserve"> </v>
      </c>
      <c r="Q342" t="str">
        <f t="shared" si="17"/>
        <v>Unfavorable</v>
      </c>
    </row>
    <row r="343" spans="1:17">
      <c r="A343" t="s">
        <v>353</v>
      </c>
      <c r="B343" s="2">
        <v>45311</v>
      </c>
      <c r="C343">
        <v>4000</v>
      </c>
      <c r="D343" t="s">
        <v>2012</v>
      </c>
      <c r="E343">
        <v>0</v>
      </c>
      <c r="F343">
        <v>1924.88</v>
      </c>
      <c r="G343" t="s">
        <v>2022</v>
      </c>
      <c r="H343" t="s">
        <v>2027</v>
      </c>
      <c r="I343" t="s">
        <v>2369</v>
      </c>
      <c r="J343" t="s">
        <v>4032</v>
      </c>
      <c r="K343" t="s">
        <v>4053</v>
      </c>
      <c r="L343">
        <v>1924.88</v>
      </c>
      <c r="N343">
        <f t="shared" si="15"/>
        <v>1924.88</v>
      </c>
      <c r="O343" t="s">
        <v>4104</v>
      </c>
      <c r="P343" t="str">
        <f t="shared" si="16"/>
        <v xml:space="preserve"> </v>
      </c>
      <c r="Q343" t="str">
        <f t="shared" si="17"/>
        <v>Favorable</v>
      </c>
    </row>
    <row r="344" spans="1:17">
      <c r="A344" t="s">
        <v>354</v>
      </c>
      <c r="B344" s="2">
        <v>45050</v>
      </c>
      <c r="C344">
        <v>5000</v>
      </c>
      <c r="D344" t="s">
        <v>2013</v>
      </c>
      <c r="E344">
        <v>1161.96</v>
      </c>
      <c r="F344">
        <v>0</v>
      </c>
      <c r="G344" t="s">
        <v>2018</v>
      </c>
      <c r="H344" t="s">
        <v>2027</v>
      </c>
      <c r="I344" t="s">
        <v>2370</v>
      </c>
      <c r="J344" t="s">
        <v>4028</v>
      </c>
      <c r="K344" t="s">
        <v>4062</v>
      </c>
      <c r="L344">
        <v>-1161.96</v>
      </c>
      <c r="N344">
        <f t="shared" si="15"/>
        <v>-1161.96</v>
      </c>
      <c r="O344" t="s">
        <v>4104</v>
      </c>
      <c r="P344" t="str">
        <f t="shared" si="16"/>
        <v xml:space="preserve"> </v>
      </c>
      <c r="Q344" t="str">
        <f t="shared" si="17"/>
        <v>Unfavorable</v>
      </c>
    </row>
    <row r="345" spans="1:17">
      <c r="A345" t="s">
        <v>355</v>
      </c>
      <c r="B345" s="2">
        <v>45580</v>
      </c>
      <c r="C345">
        <v>5010</v>
      </c>
      <c r="D345" t="s">
        <v>2015</v>
      </c>
      <c r="E345">
        <v>1693.2</v>
      </c>
      <c r="F345">
        <v>0</v>
      </c>
      <c r="G345" t="s">
        <v>2019</v>
      </c>
      <c r="H345" t="s">
        <v>2024</v>
      </c>
      <c r="I345" t="s">
        <v>2371</v>
      </c>
      <c r="J345" t="s">
        <v>4029</v>
      </c>
      <c r="K345" t="s">
        <v>4059</v>
      </c>
      <c r="L345">
        <v>-1693.2</v>
      </c>
      <c r="N345">
        <f t="shared" si="15"/>
        <v>-1693.2</v>
      </c>
      <c r="O345" t="s">
        <v>4104</v>
      </c>
      <c r="P345" t="str">
        <f t="shared" si="16"/>
        <v xml:space="preserve"> </v>
      </c>
      <c r="Q345" t="str">
        <f t="shared" si="17"/>
        <v>Unfavorable</v>
      </c>
    </row>
    <row r="346" spans="1:17">
      <c r="A346" t="s">
        <v>356</v>
      </c>
      <c r="B346" s="2">
        <v>45212</v>
      </c>
      <c r="C346">
        <v>4010</v>
      </c>
      <c r="D346" t="s">
        <v>2016</v>
      </c>
      <c r="E346">
        <v>0</v>
      </c>
      <c r="F346">
        <v>535.42999999999995</v>
      </c>
      <c r="G346" t="s">
        <v>2017</v>
      </c>
      <c r="H346" t="s">
        <v>2024</v>
      </c>
      <c r="I346" t="s">
        <v>2372</v>
      </c>
      <c r="J346" t="s">
        <v>4028</v>
      </c>
      <c r="K346" t="s">
        <v>4060</v>
      </c>
      <c r="L346">
        <v>535.42999999999995</v>
      </c>
      <c r="N346">
        <f t="shared" si="15"/>
        <v>535.42999999999995</v>
      </c>
      <c r="O346" t="s">
        <v>4104</v>
      </c>
      <c r="P346" t="str">
        <f t="shared" si="16"/>
        <v xml:space="preserve"> </v>
      </c>
      <c r="Q346" t="str">
        <f t="shared" si="17"/>
        <v>Favorable</v>
      </c>
    </row>
    <row r="347" spans="1:17">
      <c r="A347" t="s">
        <v>357</v>
      </c>
      <c r="B347" s="2">
        <v>45506</v>
      </c>
      <c r="C347">
        <v>5000</v>
      </c>
      <c r="D347" t="s">
        <v>2013</v>
      </c>
      <c r="E347">
        <v>449.09</v>
      </c>
      <c r="F347">
        <v>0</v>
      </c>
      <c r="G347" t="s">
        <v>2020</v>
      </c>
      <c r="H347" t="s">
        <v>2027</v>
      </c>
      <c r="I347" t="s">
        <v>2373</v>
      </c>
      <c r="J347" t="s">
        <v>4028</v>
      </c>
      <c r="K347" t="s">
        <v>4058</v>
      </c>
      <c r="L347">
        <v>-449.09</v>
      </c>
      <c r="N347">
        <f t="shared" si="15"/>
        <v>-449.09</v>
      </c>
      <c r="O347" t="s">
        <v>4104</v>
      </c>
      <c r="P347" t="str">
        <f t="shared" si="16"/>
        <v xml:space="preserve"> </v>
      </c>
      <c r="Q347" t="str">
        <f t="shared" si="17"/>
        <v>Unfavorable</v>
      </c>
    </row>
    <row r="348" spans="1:17">
      <c r="A348" t="s">
        <v>358</v>
      </c>
      <c r="B348" s="2">
        <v>45173</v>
      </c>
      <c r="C348">
        <v>5010</v>
      </c>
      <c r="D348" t="s">
        <v>2015</v>
      </c>
      <c r="E348">
        <v>938.21</v>
      </c>
      <c r="F348">
        <v>0</v>
      </c>
      <c r="G348" t="s">
        <v>2018</v>
      </c>
      <c r="H348" t="s">
        <v>2027</v>
      </c>
      <c r="I348" t="s">
        <v>2374</v>
      </c>
      <c r="J348" t="s">
        <v>4028</v>
      </c>
      <c r="K348" t="s">
        <v>4036</v>
      </c>
      <c r="L348">
        <v>-938.21</v>
      </c>
      <c r="N348">
        <f t="shared" si="15"/>
        <v>-938.21</v>
      </c>
      <c r="O348" t="s">
        <v>4104</v>
      </c>
      <c r="P348" t="str">
        <f t="shared" si="16"/>
        <v xml:space="preserve"> </v>
      </c>
      <c r="Q348" t="str">
        <f t="shared" si="17"/>
        <v>Unfavorable</v>
      </c>
    </row>
    <row r="349" spans="1:17">
      <c r="A349" t="s">
        <v>359</v>
      </c>
      <c r="B349" s="2">
        <v>45702</v>
      </c>
      <c r="C349">
        <v>5010</v>
      </c>
      <c r="D349" t="s">
        <v>2015</v>
      </c>
      <c r="E349">
        <v>131.84</v>
      </c>
      <c r="F349">
        <v>0</v>
      </c>
      <c r="G349" t="s">
        <v>2022</v>
      </c>
      <c r="H349" t="s">
        <v>2026</v>
      </c>
      <c r="I349" t="s">
        <v>2375</v>
      </c>
      <c r="J349" t="s">
        <v>4029</v>
      </c>
      <c r="K349" t="s">
        <v>4061</v>
      </c>
      <c r="L349">
        <v>-131.84</v>
      </c>
      <c r="N349">
        <f t="shared" si="15"/>
        <v>-131.84</v>
      </c>
      <c r="O349" t="s">
        <v>4104</v>
      </c>
      <c r="P349" t="str">
        <f t="shared" si="16"/>
        <v xml:space="preserve"> </v>
      </c>
      <c r="Q349" t="str">
        <f t="shared" si="17"/>
        <v>Unfavorable</v>
      </c>
    </row>
    <row r="350" spans="1:17">
      <c r="A350" t="s">
        <v>360</v>
      </c>
      <c r="B350" s="2">
        <v>45183</v>
      </c>
      <c r="C350">
        <v>4000</v>
      </c>
      <c r="D350" t="s">
        <v>2012</v>
      </c>
      <c r="E350">
        <v>0</v>
      </c>
      <c r="F350">
        <v>3658.34</v>
      </c>
      <c r="G350" t="s">
        <v>2019</v>
      </c>
      <c r="H350" t="s">
        <v>2024</v>
      </c>
      <c r="I350" t="s">
        <v>2376</v>
      </c>
      <c r="J350" t="s">
        <v>4030</v>
      </c>
      <c r="K350" t="s">
        <v>4036</v>
      </c>
      <c r="L350">
        <v>3658.34</v>
      </c>
      <c r="N350">
        <f t="shared" si="15"/>
        <v>3658.34</v>
      </c>
      <c r="O350" t="s">
        <v>4104</v>
      </c>
      <c r="P350" t="str">
        <f t="shared" si="16"/>
        <v xml:space="preserve"> </v>
      </c>
      <c r="Q350" t="str">
        <f t="shared" si="17"/>
        <v>Favorable</v>
      </c>
    </row>
    <row r="351" spans="1:17">
      <c r="A351" t="s">
        <v>361</v>
      </c>
      <c r="B351" s="2">
        <v>45030</v>
      </c>
      <c r="C351">
        <v>5000</v>
      </c>
      <c r="D351" t="s">
        <v>2013</v>
      </c>
      <c r="E351">
        <v>509.89</v>
      </c>
      <c r="F351">
        <v>0</v>
      </c>
      <c r="G351" t="s">
        <v>2018</v>
      </c>
      <c r="H351" t="s">
        <v>2023</v>
      </c>
      <c r="I351" t="s">
        <v>2377</v>
      </c>
      <c r="J351" t="s">
        <v>4029</v>
      </c>
      <c r="K351" t="s">
        <v>4041</v>
      </c>
      <c r="L351">
        <v>-509.89</v>
      </c>
      <c r="N351">
        <f t="shared" si="15"/>
        <v>-509.89</v>
      </c>
      <c r="O351" t="s">
        <v>4104</v>
      </c>
      <c r="P351" t="str">
        <f t="shared" si="16"/>
        <v xml:space="preserve"> </v>
      </c>
      <c r="Q351" t="str">
        <f t="shared" si="17"/>
        <v>Unfavorable</v>
      </c>
    </row>
    <row r="352" spans="1:17">
      <c r="A352" t="s">
        <v>362</v>
      </c>
      <c r="B352" s="2">
        <v>45521</v>
      </c>
      <c r="C352">
        <v>5000</v>
      </c>
      <c r="D352" t="s">
        <v>2013</v>
      </c>
      <c r="E352">
        <v>697.58</v>
      </c>
      <c r="F352">
        <v>0</v>
      </c>
      <c r="G352" t="s">
        <v>2019</v>
      </c>
      <c r="H352" t="s">
        <v>2026</v>
      </c>
      <c r="I352" t="s">
        <v>2378</v>
      </c>
      <c r="J352" t="s">
        <v>4032</v>
      </c>
      <c r="K352" t="s">
        <v>4058</v>
      </c>
      <c r="L352">
        <v>-697.58</v>
      </c>
      <c r="N352">
        <f t="shared" si="15"/>
        <v>-697.58</v>
      </c>
      <c r="O352" t="s">
        <v>4104</v>
      </c>
      <c r="P352" t="str">
        <f t="shared" si="16"/>
        <v xml:space="preserve"> </v>
      </c>
      <c r="Q352" t="str">
        <f t="shared" si="17"/>
        <v>Unfavorable</v>
      </c>
    </row>
    <row r="353" spans="1:17">
      <c r="A353" t="s">
        <v>363</v>
      </c>
      <c r="B353" s="2">
        <v>45582</v>
      </c>
      <c r="C353">
        <v>5010</v>
      </c>
      <c r="D353" t="s">
        <v>2015</v>
      </c>
      <c r="E353">
        <v>1580.47</v>
      </c>
      <c r="F353">
        <v>0</v>
      </c>
      <c r="G353" t="s">
        <v>2021</v>
      </c>
      <c r="H353" t="s">
        <v>2027</v>
      </c>
      <c r="I353" t="s">
        <v>2379</v>
      </c>
      <c r="J353" t="s">
        <v>4030</v>
      </c>
      <c r="K353" t="s">
        <v>4059</v>
      </c>
      <c r="L353">
        <v>-1580.47</v>
      </c>
      <c r="N353">
        <f t="shared" si="15"/>
        <v>-1580.47</v>
      </c>
      <c r="O353" t="s">
        <v>4104</v>
      </c>
      <c r="P353" t="str">
        <f t="shared" si="16"/>
        <v xml:space="preserve"> </v>
      </c>
      <c r="Q353" t="str">
        <f t="shared" si="17"/>
        <v>Unfavorable</v>
      </c>
    </row>
    <row r="354" spans="1:17">
      <c r="A354" t="s">
        <v>364</v>
      </c>
      <c r="B354" s="2">
        <v>45308</v>
      </c>
      <c r="C354">
        <v>5000</v>
      </c>
      <c r="D354" t="s">
        <v>2013</v>
      </c>
      <c r="E354">
        <v>1567.36</v>
      </c>
      <c r="F354">
        <v>0</v>
      </c>
      <c r="G354" t="s">
        <v>2021</v>
      </c>
      <c r="H354" t="s">
        <v>2024</v>
      </c>
      <c r="I354" t="s">
        <v>2380</v>
      </c>
      <c r="J354" t="s">
        <v>4029</v>
      </c>
      <c r="K354" t="s">
        <v>4053</v>
      </c>
      <c r="L354">
        <v>-1567.36</v>
      </c>
      <c r="N354">
        <f t="shared" si="15"/>
        <v>-1567.36</v>
      </c>
      <c r="O354" t="s">
        <v>4104</v>
      </c>
      <c r="P354" t="str">
        <f t="shared" si="16"/>
        <v xml:space="preserve"> </v>
      </c>
      <c r="Q354" t="str">
        <f t="shared" si="17"/>
        <v>Unfavorable</v>
      </c>
    </row>
    <row r="355" spans="1:17">
      <c r="A355" t="s">
        <v>365</v>
      </c>
      <c r="B355" s="2">
        <v>45715</v>
      </c>
      <c r="C355">
        <v>5010</v>
      </c>
      <c r="D355" t="s">
        <v>2015</v>
      </c>
      <c r="E355">
        <v>443.79</v>
      </c>
      <c r="F355">
        <v>0</v>
      </c>
      <c r="G355" t="s">
        <v>2018</v>
      </c>
      <c r="H355" t="s">
        <v>2025</v>
      </c>
      <c r="I355" t="s">
        <v>2381</v>
      </c>
      <c r="J355" t="s">
        <v>4030</v>
      </c>
      <c r="K355" t="s">
        <v>4061</v>
      </c>
      <c r="L355">
        <v>-443.79</v>
      </c>
      <c r="N355">
        <f t="shared" si="15"/>
        <v>-443.79</v>
      </c>
      <c r="O355" t="s">
        <v>4104</v>
      </c>
      <c r="P355" t="str">
        <f t="shared" si="16"/>
        <v xml:space="preserve"> </v>
      </c>
      <c r="Q355" t="str">
        <f t="shared" si="17"/>
        <v>Unfavorable</v>
      </c>
    </row>
    <row r="356" spans="1:17">
      <c r="A356" t="s">
        <v>366</v>
      </c>
      <c r="B356" s="2">
        <v>45232</v>
      </c>
      <c r="C356">
        <v>5010</v>
      </c>
      <c r="D356" t="s">
        <v>2015</v>
      </c>
      <c r="E356">
        <v>889.34</v>
      </c>
      <c r="F356">
        <v>0</v>
      </c>
      <c r="G356" t="s">
        <v>2019</v>
      </c>
      <c r="H356" t="s">
        <v>2023</v>
      </c>
      <c r="I356" t="s">
        <v>2382</v>
      </c>
      <c r="J356" t="s">
        <v>4031</v>
      </c>
      <c r="K356" t="s">
        <v>4042</v>
      </c>
      <c r="L356">
        <v>-889.34</v>
      </c>
      <c r="N356">
        <f t="shared" si="15"/>
        <v>-889.34</v>
      </c>
      <c r="O356" t="s">
        <v>4104</v>
      </c>
      <c r="P356" t="str">
        <f t="shared" si="16"/>
        <v xml:space="preserve"> </v>
      </c>
      <c r="Q356" t="str">
        <f t="shared" si="17"/>
        <v>Unfavorable</v>
      </c>
    </row>
    <row r="357" spans="1:17">
      <c r="A357" t="s">
        <v>367</v>
      </c>
      <c r="B357" s="2">
        <v>45801</v>
      </c>
      <c r="C357">
        <v>4010</v>
      </c>
      <c r="D357" t="s">
        <v>2016</v>
      </c>
      <c r="E357">
        <v>0</v>
      </c>
      <c r="F357">
        <v>2239.96</v>
      </c>
      <c r="G357" t="s">
        <v>2021</v>
      </c>
      <c r="H357" t="s">
        <v>2023</v>
      </c>
      <c r="I357" t="s">
        <v>2383</v>
      </c>
      <c r="J357" t="s">
        <v>4031</v>
      </c>
      <c r="K357" t="s">
        <v>4038</v>
      </c>
      <c r="L357">
        <v>2239.96</v>
      </c>
      <c r="N357">
        <f t="shared" si="15"/>
        <v>2239.96</v>
      </c>
      <c r="O357" t="s">
        <v>4104</v>
      </c>
      <c r="P357" t="str">
        <f t="shared" si="16"/>
        <v xml:space="preserve"> </v>
      </c>
      <c r="Q357" t="str">
        <f t="shared" si="17"/>
        <v>Favorable</v>
      </c>
    </row>
    <row r="358" spans="1:17">
      <c r="A358" t="s">
        <v>368</v>
      </c>
      <c r="B358" s="2">
        <v>45293</v>
      </c>
      <c r="C358">
        <v>5010</v>
      </c>
      <c r="D358" t="s">
        <v>2015</v>
      </c>
      <c r="E358">
        <v>1291.24</v>
      </c>
      <c r="F358">
        <v>0</v>
      </c>
      <c r="G358" t="s">
        <v>2021</v>
      </c>
      <c r="H358" t="s">
        <v>2025</v>
      </c>
      <c r="I358" t="s">
        <v>2384</v>
      </c>
      <c r="J358" t="s">
        <v>4030</v>
      </c>
      <c r="K358" t="s">
        <v>4053</v>
      </c>
      <c r="L358">
        <v>-1291.24</v>
      </c>
      <c r="N358">
        <f t="shared" si="15"/>
        <v>-1291.24</v>
      </c>
      <c r="O358" t="s">
        <v>4104</v>
      </c>
      <c r="P358" t="str">
        <f t="shared" si="16"/>
        <v xml:space="preserve"> </v>
      </c>
      <c r="Q358" t="str">
        <f t="shared" si="17"/>
        <v>Unfavorable</v>
      </c>
    </row>
    <row r="359" spans="1:17">
      <c r="A359" t="s">
        <v>369</v>
      </c>
      <c r="B359" s="2">
        <v>45141</v>
      </c>
      <c r="C359">
        <v>5010</v>
      </c>
      <c r="D359" t="s">
        <v>2015</v>
      </c>
      <c r="E359">
        <v>397.07</v>
      </c>
      <c r="F359">
        <v>0</v>
      </c>
      <c r="G359" t="s">
        <v>2021</v>
      </c>
      <c r="H359" t="s">
        <v>2024</v>
      </c>
      <c r="I359" t="s">
        <v>2385</v>
      </c>
      <c r="J359" t="s">
        <v>4032</v>
      </c>
      <c r="K359" t="s">
        <v>4037</v>
      </c>
      <c r="L359">
        <v>-397.07</v>
      </c>
      <c r="N359">
        <f t="shared" si="15"/>
        <v>-397.07</v>
      </c>
      <c r="O359" t="s">
        <v>4104</v>
      </c>
      <c r="P359" t="str">
        <f t="shared" si="16"/>
        <v xml:space="preserve"> </v>
      </c>
      <c r="Q359" t="str">
        <f t="shared" si="17"/>
        <v>Unfavorable</v>
      </c>
    </row>
    <row r="360" spans="1:17">
      <c r="A360" t="s">
        <v>370</v>
      </c>
      <c r="B360" s="2">
        <v>45525</v>
      </c>
      <c r="C360">
        <v>6000</v>
      </c>
      <c r="D360" t="s">
        <v>2014</v>
      </c>
      <c r="E360">
        <v>803.21</v>
      </c>
      <c r="F360">
        <v>0</v>
      </c>
      <c r="G360" t="s">
        <v>2017</v>
      </c>
      <c r="H360" t="s">
        <v>2027</v>
      </c>
      <c r="I360" t="s">
        <v>2386</v>
      </c>
      <c r="J360" t="s">
        <v>4030</v>
      </c>
      <c r="K360" t="s">
        <v>4058</v>
      </c>
      <c r="L360">
        <v>-803.21</v>
      </c>
      <c r="N360">
        <f t="shared" si="15"/>
        <v>-803.21</v>
      </c>
      <c r="O360" t="s">
        <v>4104</v>
      </c>
      <c r="P360" t="str">
        <f t="shared" si="16"/>
        <v xml:space="preserve"> </v>
      </c>
      <c r="Q360" t="str">
        <f t="shared" si="17"/>
        <v>Unfavorable</v>
      </c>
    </row>
    <row r="361" spans="1:17">
      <c r="A361" t="s">
        <v>371</v>
      </c>
      <c r="B361" s="2">
        <v>45461</v>
      </c>
      <c r="C361">
        <v>4000</v>
      </c>
      <c r="D361" t="s">
        <v>2012</v>
      </c>
      <c r="E361">
        <v>0</v>
      </c>
      <c r="F361">
        <v>1032.8399999999999</v>
      </c>
      <c r="G361" t="s">
        <v>2019</v>
      </c>
      <c r="H361" t="s">
        <v>2026</v>
      </c>
      <c r="I361" t="s">
        <v>2387</v>
      </c>
      <c r="J361" t="s">
        <v>4032</v>
      </c>
      <c r="K361" t="s">
        <v>4034</v>
      </c>
      <c r="L361">
        <v>1032.8399999999999</v>
      </c>
      <c r="N361">
        <f t="shared" si="15"/>
        <v>1032.8399999999999</v>
      </c>
      <c r="O361" t="s">
        <v>4104</v>
      </c>
      <c r="P361" t="str">
        <f t="shared" si="16"/>
        <v xml:space="preserve"> </v>
      </c>
      <c r="Q361" t="str">
        <f t="shared" si="17"/>
        <v>Favorable</v>
      </c>
    </row>
    <row r="362" spans="1:17">
      <c r="A362" t="s">
        <v>372</v>
      </c>
      <c r="B362" s="2">
        <v>45806</v>
      </c>
      <c r="C362">
        <v>6000</v>
      </c>
      <c r="D362" t="s">
        <v>2014</v>
      </c>
      <c r="E362">
        <v>1071.7</v>
      </c>
      <c r="F362">
        <v>0</v>
      </c>
      <c r="G362" t="s">
        <v>2020</v>
      </c>
      <c r="H362" t="s">
        <v>2026</v>
      </c>
      <c r="I362" t="s">
        <v>2388</v>
      </c>
      <c r="J362" t="s">
        <v>4031</v>
      </c>
      <c r="K362" t="s">
        <v>4038</v>
      </c>
      <c r="L362">
        <v>-1071.7</v>
      </c>
      <c r="N362">
        <f t="shared" si="15"/>
        <v>-1071.7</v>
      </c>
      <c r="O362" t="s">
        <v>4104</v>
      </c>
      <c r="P362" t="str">
        <f t="shared" si="16"/>
        <v xml:space="preserve"> </v>
      </c>
      <c r="Q362" t="str">
        <f t="shared" si="17"/>
        <v>Unfavorable</v>
      </c>
    </row>
    <row r="363" spans="1:17">
      <c r="A363" t="s">
        <v>373</v>
      </c>
      <c r="B363" s="2">
        <v>45444</v>
      </c>
      <c r="C363">
        <v>5000</v>
      </c>
      <c r="D363" t="s">
        <v>2013</v>
      </c>
      <c r="E363">
        <v>842.82</v>
      </c>
      <c r="F363">
        <v>0</v>
      </c>
      <c r="G363" t="s">
        <v>2019</v>
      </c>
      <c r="H363" t="s">
        <v>2026</v>
      </c>
      <c r="I363" t="s">
        <v>2389</v>
      </c>
      <c r="J363" t="s">
        <v>4028</v>
      </c>
      <c r="K363" t="s">
        <v>4034</v>
      </c>
      <c r="L363">
        <v>-842.82</v>
      </c>
      <c r="N363">
        <f t="shared" si="15"/>
        <v>-842.82</v>
      </c>
      <c r="O363" t="s">
        <v>4104</v>
      </c>
      <c r="P363" t="str">
        <f t="shared" si="16"/>
        <v xml:space="preserve"> </v>
      </c>
      <c r="Q363" t="str">
        <f t="shared" si="17"/>
        <v>Unfavorable</v>
      </c>
    </row>
    <row r="364" spans="1:17">
      <c r="A364" t="s">
        <v>374</v>
      </c>
      <c r="B364" s="2">
        <v>45505</v>
      </c>
      <c r="C364">
        <v>5010</v>
      </c>
      <c r="D364" t="s">
        <v>2015</v>
      </c>
      <c r="E364">
        <v>1375.81</v>
      </c>
      <c r="F364">
        <v>0</v>
      </c>
      <c r="G364" t="s">
        <v>2017</v>
      </c>
      <c r="H364" t="s">
        <v>2025</v>
      </c>
      <c r="I364" t="s">
        <v>2390</v>
      </c>
      <c r="J364" t="s">
        <v>4032</v>
      </c>
      <c r="K364" t="s">
        <v>4058</v>
      </c>
      <c r="L364">
        <v>-1375.81</v>
      </c>
      <c r="N364">
        <f t="shared" si="15"/>
        <v>-1375.81</v>
      </c>
      <c r="O364" t="s">
        <v>4104</v>
      </c>
      <c r="P364" t="str">
        <f t="shared" si="16"/>
        <v xml:space="preserve"> </v>
      </c>
      <c r="Q364" t="str">
        <f t="shared" si="17"/>
        <v>Unfavorable</v>
      </c>
    </row>
    <row r="365" spans="1:17">
      <c r="A365" t="s">
        <v>375</v>
      </c>
      <c r="B365" s="2">
        <v>45313</v>
      </c>
      <c r="C365">
        <v>4000</v>
      </c>
      <c r="D365" t="s">
        <v>2012</v>
      </c>
      <c r="E365">
        <v>0</v>
      </c>
      <c r="F365">
        <v>4517.55</v>
      </c>
      <c r="G365" t="s">
        <v>2019</v>
      </c>
      <c r="H365" t="s">
        <v>2025</v>
      </c>
      <c r="I365" t="s">
        <v>2391</v>
      </c>
      <c r="J365" t="s">
        <v>4032</v>
      </c>
      <c r="K365" t="s">
        <v>4053</v>
      </c>
      <c r="L365">
        <v>4517.55</v>
      </c>
      <c r="N365">
        <f t="shared" si="15"/>
        <v>4517.55</v>
      </c>
      <c r="O365" t="s">
        <v>4104</v>
      </c>
      <c r="P365" t="str">
        <f t="shared" si="16"/>
        <v xml:space="preserve"> </v>
      </c>
      <c r="Q365" t="str">
        <f t="shared" si="17"/>
        <v>Favorable</v>
      </c>
    </row>
    <row r="366" spans="1:17">
      <c r="A366" t="s">
        <v>376</v>
      </c>
      <c r="B366" s="2">
        <v>45635</v>
      </c>
      <c r="C366">
        <v>5010</v>
      </c>
      <c r="D366" t="s">
        <v>2015</v>
      </c>
      <c r="E366">
        <v>837.89</v>
      </c>
      <c r="F366">
        <v>0</v>
      </c>
      <c r="G366" t="s">
        <v>2018</v>
      </c>
      <c r="H366" t="s">
        <v>2025</v>
      </c>
      <c r="I366" t="s">
        <v>2392</v>
      </c>
      <c r="J366" t="s">
        <v>4029</v>
      </c>
      <c r="K366" t="s">
        <v>4056</v>
      </c>
      <c r="L366">
        <v>-837.89</v>
      </c>
      <c r="N366">
        <f t="shared" si="15"/>
        <v>-837.89</v>
      </c>
      <c r="O366" t="s">
        <v>4104</v>
      </c>
      <c r="P366" t="str">
        <f t="shared" si="16"/>
        <v xml:space="preserve"> </v>
      </c>
      <c r="Q366" t="str">
        <f t="shared" si="17"/>
        <v>Unfavorable</v>
      </c>
    </row>
    <row r="367" spans="1:17">
      <c r="A367" t="s">
        <v>377</v>
      </c>
      <c r="B367" s="2">
        <v>44999</v>
      </c>
      <c r="C367">
        <v>5010</v>
      </c>
      <c r="D367" t="s">
        <v>2015</v>
      </c>
      <c r="E367">
        <v>426.78</v>
      </c>
      <c r="F367">
        <v>0</v>
      </c>
      <c r="G367" t="s">
        <v>2017</v>
      </c>
      <c r="H367" t="s">
        <v>2025</v>
      </c>
      <c r="I367" t="s">
        <v>2393</v>
      </c>
      <c r="J367" t="s">
        <v>4032</v>
      </c>
      <c r="K367" t="s">
        <v>4051</v>
      </c>
      <c r="L367">
        <v>-426.78</v>
      </c>
      <c r="N367">
        <f t="shared" si="15"/>
        <v>-426.78</v>
      </c>
      <c r="O367" t="s">
        <v>4104</v>
      </c>
      <c r="P367" t="str">
        <f t="shared" si="16"/>
        <v xml:space="preserve"> </v>
      </c>
      <c r="Q367" t="str">
        <f t="shared" si="17"/>
        <v>Unfavorable</v>
      </c>
    </row>
    <row r="368" spans="1:17">
      <c r="A368" t="s">
        <v>378</v>
      </c>
      <c r="B368" s="2">
        <v>45761</v>
      </c>
      <c r="C368">
        <v>6000</v>
      </c>
      <c r="D368" t="s">
        <v>2014</v>
      </c>
      <c r="E368">
        <v>999.72</v>
      </c>
      <c r="F368">
        <v>0</v>
      </c>
      <c r="G368" t="s">
        <v>2022</v>
      </c>
      <c r="H368" t="s">
        <v>2024</v>
      </c>
      <c r="I368" t="s">
        <v>2394</v>
      </c>
      <c r="J368" t="s">
        <v>4029</v>
      </c>
      <c r="K368" t="s">
        <v>4045</v>
      </c>
      <c r="L368">
        <v>-999.72</v>
      </c>
      <c r="N368">
        <f t="shared" si="15"/>
        <v>-999.72</v>
      </c>
      <c r="O368" t="s">
        <v>4104</v>
      </c>
      <c r="P368" t="str">
        <f t="shared" si="16"/>
        <v xml:space="preserve"> </v>
      </c>
      <c r="Q368" t="str">
        <f t="shared" si="17"/>
        <v>Unfavorable</v>
      </c>
    </row>
    <row r="369" spans="1:17">
      <c r="A369" t="s">
        <v>379</v>
      </c>
      <c r="B369" s="2">
        <v>45023</v>
      </c>
      <c r="C369">
        <v>5000</v>
      </c>
      <c r="D369" t="s">
        <v>2013</v>
      </c>
      <c r="E369">
        <v>74.209999999999994</v>
      </c>
      <c r="F369">
        <v>0</v>
      </c>
      <c r="G369" t="s">
        <v>2020</v>
      </c>
      <c r="H369" t="s">
        <v>2027</v>
      </c>
      <c r="I369" t="s">
        <v>2395</v>
      </c>
      <c r="J369" t="s">
        <v>4032</v>
      </c>
      <c r="K369" t="s">
        <v>4041</v>
      </c>
      <c r="L369">
        <v>-74.209999999999994</v>
      </c>
      <c r="N369">
        <f t="shared" si="15"/>
        <v>-74.209999999999994</v>
      </c>
      <c r="O369" t="s">
        <v>4104</v>
      </c>
      <c r="P369" t="str">
        <f t="shared" si="16"/>
        <v xml:space="preserve"> </v>
      </c>
      <c r="Q369" t="str">
        <f t="shared" si="17"/>
        <v>Unfavorable</v>
      </c>
    </row>
    <row r="370" spans="1:17">
      <c r="A370" t="s">
        <v>380</v>
      </c>
      <c r="B370" s="2">
        <v>44934</v>
      </c>
      <c r="C370">
        <v>4000</v>
      </c>
      <c r="D370" t="s">
        <v>2012</v>
      </c>
      <c r="E370">
        <v>0</v>
      </c>
      <c r="F370">
        <v>1158.73</v>
      </c>
      <c r="G370" t="s">
        <v>2022</v>
      </c>
      <c r="H370" t="s">
        <v>2023</v>
      </c>
      <c r="I370" t="s">
        <v>2396</v>
      </c>
      <c r="J370" t="s">
        <v>4029</v>
      </c>
      <c r="K370" t="s">
        <v>4047</v>
      </c>
      <c r="L370">
        <v>1158.73</v>
      </c>
      <c r="N370">
        <f t="shared" si="15"/>
        <v>1158.73</v>
      </c>
      <c r="O370" t="s">
        <v>4104</v>
      </c>
      <c r="P370" t="str">
        <f t="shared" si="16"/>
        <v xml:space="preserve"> </v>
      </c>
      <c r="Q370" t="str">
        <f t="shared" si="17"/>
        <v>Favorable</v>
      </c>
    </row>
    <row r="371" spans="1:17">
      <c r="A371" t="s">
        <v>381</v>
      </c>
      <c r="B371" s="2">
        <v>45182</v>
      </c>
      <c r="C371">
        <v>6000</v>
      </c>
      <c r="D371" t="s">
        <v>2014</v>
      </c>
      <c r="E371">
        <v>1129.06</v>
      </c>
      <c r="F371">
        <v>0</v>
      </c>
      <c r="G371" t="s">
        <v>2022</v>
      </c>
      <c r="H371" t="s">
        <v>2025</v>
      </c>
      <c r="I371" t="s">
        <v>2397</v>
      </c>
      <c r="J371" t="s">
        <v>4029</v>
      </c>
      <c r="K371" t="s">
        <v>4036</v>
      </c>
      <c r="L371">
        <v>-1129.06</v>
      </c>
      <c r="N371">
        <f t="shared" si="15"/>
        <v>-1129.06</v>
      </c>
      <c r="O371" t="s">
        <v>4104</v>
      </c>
      <c r="P371" t="str">
        <f t="shared" si="16"/>
        <v xml:space="preserve"> </v>
      </c>
      <c r="Q371" t="str">
        <f t="shared" si="17"/>
        <v>Unfavorable</v>
      </c>
    </row>
    <row r="372" spans="1:17">
      <c r="A372" t="s">
        <v>382</v>
      </c>
      <c r="B372" s="2">
        <v>45349</v>
      </c>
      <c r="C372">
        <v>5010</v>
      </c>
      <c r="D372" t="s">
        <v>2015</v>
      </c>
      <c r="E372">
        <v>1450.58</v>
      </c>
      <c r="F372">
        <v>0</v>
      </c>
      <c r="G372" t="s">
        <v>2019</v>
      </c>
      <c r="H372" t="s">
        <v>2025</v>
      </c>
      <c r="I372" t="s">
        <v>2398</v>
      </c>
      <c r="J372" t="s">
        <v>4031</v>
      </c>
      <c r="K372" t="s">
        <v>4044</v>
      </c>
      <c r="L372">
        <v>-1450.58</v>
      </c>
      <c r="N372">
        <f t="shared" si="15"/>
        <v>-1450.58</v>
      </c>
      <c r="O372" t="s">
        <v>4104</v>
      </c>
      <c r="P372" t="str">
        <f t="shared" si="16"/>
        <v xml:space="preserve"> </v>
      </c>
      <c r="Q372" t="str">
        <f t="shared" si="17"/>
        <v>Unfavorable</v>
      </c>
    </row>
    <row r="373" spans="1:17">
      <c r="A373" t="s">
        <v>383</v>
      </c>
      <c r="B373" s="2">
        <v>44930</v>
      </c>
      <c r="C373">
        <v>6000</v>
      </c>
      <c r="D373" t="s">
        <v>2014</v>
      </c>
      <c r="E373">
        <v>820.46</v>
      </c>
      <c r="F373">
        <v>0</v>
      </c>
      <c r="G373" t="s">
        <v>2021</v>
      </c>
      <c r="H373" t="s">
        <v>2023</v>
      </c>
      <c r="I373" t="s">
        <v>2399</v>
      </c>
      <c r="J373" t="s">
        <v>4028</v>
      </c>
      <c r="K373" t="s">
        <v>4047</v>
      </c>
      <c r="L373">
        <v>-820.46</v>
      </c>
      <c r="N373">
        <f t="shared" si="15"/>
        <v>-820.46</v>
      </c>
      <c r="O373" t="s">
        <v>4104</v>
      </c>
      <c r="P373" t="str">
        <f t="shared" si="16"/>
        <v xml:space="preserve"> </v>
      </c>
      <c r="Q373" t="str">
        <f t="shared" si="17"/>
        <v>Unfavorable</v>
      </c>
    </row>
    <row r="374" spans="1:17">
      <c r="A374" t="s">
        <v>384</v>
      </c>
      <c r="B374" s="2">
        <v>45718</v>
      </c>
      <c r="C374">
        <v>5000</v>
      </c>
      <c r="D374" t="s">
        <v>2013</v>
      </c>
      <c r="E374">
        <v>1027.96</v>
      </c>
      <c r="F374">
        <v>0</v>
      </c>
      <c r="G374" t="s">
        <v>2018</v>
      </c>
      <c r="H374" t="s">
        <v>2026</v>
      </c>
      <c r="I374" t="s">
        <v>2400</v>
      </c>
      <c r="J374" t="s">
        <v>4032</v>
      </c>
      <c r="K374" t="s">
        <v>4046</v>
      </c>
      <c r="L374">
        <v>-1027.96</v>
      </c>
      <c r="N374">
        <f t="shared" si="15"/>
        <v>-1027.96</v>
      </c>
      <c r="O374" t="s">
        <v>4104</v>
      </c>
      <c r="P374" t="str">
        <f t="shared" si="16"/>
        <v xml:space="preserve"> </v>
      </c>
      <c r="Q374" t="str">
        <f t="shared" si="17"/>
        <v>Unfavorable</v>
      </c>
    </row>
    <row r="375" spans="1:17">
      <c r="A375" t="s">
        <v>385</v>
      </c>
      <c r="B375" s="2">
        <v>44945</v>
      </c>
      <c r="C375">
        <v>4000</v>
      </c>
      <c r="D375" t="s">
        <v>2012</v>
      </c>
      <c r="E375">
        <v>0</v>
      </c>
      <c r="F375">
        <v>2599.69</v>
      </c>
      <c r="G375" t="s">
        <v>2017</v>
      </c>
      <c r="H375" t="s">
        <v>2026</v>
      </c>
      <c r="I375" t="s">
        <v>2401</v>
      </c>
      <c r="J375" t="s">
        <v>4030</v>
      </c>
      <c r="K375" t="s">
        <v>4047</v>
      </c>
      <c r="L375">
        <v>2599.69</v>
      </c>
      <c r="N375">
        <f t="shared" si="15"/>
        <v>2599.69</v>
      </c>
      <c r="O375" t="s">
        <v>4104</v>
      </c>
      <c r="P375" t="str">
        <f t="shared" si="16"/>
        <v xml:space="preserve"> </v>
      </c>
      <c r="Q375" t="str">
        <f t="shared" si="17"/>
        <v>Favorable</v>
      </c>
    </row>
    <row r="376" spans="1:17">
      <c r="A376" t="s">
        <v>386</v>
      </c>
      <c r="B376" s="2">
        <v>45574</v>
      </c>
      <c r="C376">
        <v>5010</v>
      </c>
      <c r="D376" t="s">
        <v>2015</v>
      </c>
      <c r="E376">
        <v>903.24</v>
      </c>
      <c r="F376">
        <v>0</v>
      </c>
      <c r="G376" t="s">
        <v>2019</v>
      </c>
      <c r="H376" t="s">
        <v>2025</v>
      </c>
      <c r="I376" t="s">
        <v>2402</v>
      </c>
      <c r="J376" t="s">
        <v>4029</v>
      </c>
      <c r="K376" t="s">
        <v>4059</v>
      </c>
      <c r="L376">
        <v>-903.24</v>
      </c>
      <c r="N376">
        <f t="shared" si="15"/>
        <v>-903.24</v>
      </c>
      <c r="O376" t="s">
        <v>4104</v>
      </c>
      <c r="P376" t="str">
        <f t="shared" si="16"/>
        <v xml:space="preserve"> </v>
      </c>
      <c r="Q376" t="str">
        <f t="shared" si="17"/>
        <v>Unfavorable</v>
      </c>
    </row>
    <row r="377" spans="1:17">
      <c r="A377" t="s">
        <v>387</v>
      </c>
      <c r="B377" s="2">
        <v>45363</v>
      </c>
      <c r="C377">
        <v>5000</v>
      </c>
      <c r="D377" t="s">
        <v>2013</v>
      </c>
      <c r="E377">
        <v>1037.05</v>
      </c>
      <c r="F377">
        <v>0</v>
      </c>
      <c r="G377" t="s">
        <v>2017</v>
      </c>
      <c r="H377" t="s">
        <v>2023</v>
      </c>
      <c r="I377" t="s">
        <v>2403</v>
      </c>
      <c r="J377" t="s">
        <v>4029</v>
      </c>
      <c r="K377" t="s">
        <v>4049</v>
      </c>
      <c r="L377">
        <v>-1037.05</v>
      </c>
      <c r="N377">
        <f t="shared" si="15"/>
        <v>-1037.05</v>
      </c>
      <c r="O377" t="s">
        <v>4104</v>
      </c>
      <c r="P377" t="str">
        <f t="shared" si="16"/>
        <v xml:space="preserve"> </v>
      </c>
      <c r="Q377" t="str">
        <f t="shared" si="17"/>
        <v>Unfavorable</v>
      </c>
    </row>
    <row r="378" spans="1:17">
      <c r="A378" t="s">
        <v>388</v>
      </c>
      <c r="B378" s="2">
        <v>45785</v>
      </c>
      <c r="C378">
        <v>5010</v>
      </c>
      <c r="D378" t="s">
        <v>2015</v>
      </c>
      <c r="E378">
        <v>390.22</v>
      </c>
      <c r="F378">
        <v>0</v>
      </c>
      <c r="G378" t="s">
        <v>2018</v>
      </c>
      <c r="H378" t="s">
        <v>2026</v>
      </c>
      <c r="I378" t="s">
        <v>2404</v>
      </c>
      <c r="J378" t="s">
        <v>4029</v>
      </c>
      <c r="K378" t="s">
        <v>4038</v>
      </c>
      <c r="L378">
        <v>-390.22</v>
      </c>
      <c r="N378">
        <f t="shared" si="15"/>
        <v>-390.22</v>
      </c>
      <c r="O378" t="s">
        <v>4104</v>
      </c>
      <c r="P378" t="str">
        <f t="shared" si="16"/>
        <v xml:space="preserve"> </v>
      </c>
      <c r="Q378" t="str">
        <f t="shared" si="17"/>
        <v>Unfavorable</v>
      </c>
    </row>
    <row r="379" spans="1:17">
      <c r="A379" t="s">
        <v>389</v>
      </c>
      <c r="B379" s="2">
        <v>45699</v>
      </c>
      <c r="C379">
        <v>4010</v>
      </c>
      <c r="D379" t="s">
        <v>2016</v>
      </c>
      <c r="E379">
        <v>0</v>
      </c>
      <c r="F379">
        <v>4450.59</v>
      </c>
      <c r="G379" t="s">
        <v>2020</v>
      </c>
      <c r="H379" t="s">
        <v>2027</v>
      </c>
      <c r="I379" t="s">
        <v>2405</v>
      </c>
      <c r="J379" t="s">
        <v>4031</v>
      </c>
      <c r="K379" t="s">
        <v>4061</v>
      </c>
      <c r="L379">
        <v>4450.59</v>
      </c>
      <c r="N379">
        <f t="shared" si="15"/>
        <v>4450.59</v>
      </c>
      <c r="O379" t="s">
        <v>4104</v>
      </c>
      <c r="P379" t="str">
        <f t="shared" si="16"/>
        <v xml:space="preserve"> </v>
      </c>
      <c r="Q379" t="str">
        <f t="shared" si="17"/>
        <v>Favorable</v>
      </c>
    </row>
    <row r="380" spans="1:17">
      <c r="A380" t="s">
        <v>390</v>
      </c>
      <c r="B380" s="2">
        <v>45246</v>
      </c>
      <c r="C380">
        <v>6000</v>
      </c>
      <c r="D380" t="s">
        <v>2014</v>
      </c>
      <c r="E380">
        <v>1836.23</v>
      </c>
      <c r="F380">
        <v>0</v>
      </c>
      <c r="G380" t="s">
        <v>2020</v>
      </c>
      <c r="H380" t="s">
        <v>2027</v>
      </c>
      <c r="I380" t="s">
        <v>2406</v>
      </c>
      <c r="J380" t="s">
        <v>4028</v>
      </c>
      <c r="K380" t="s">
        <v>4042</v>
      </c>
      <c r="L380">
        <v>-1836.23</v>
      </c>
      <c r="N380">
        <f t="shared" si="15"/>
        <v>-1836.23</v>
      </c>
      <c r="O380" t="s">
        <v>4104</v>
      </c>
      <c r="P380" t="str">
        <f t="shared" si="16"/>
        <v xml:space="preserve"> </v>
      </c>
      <c r="Q380" t="str">
        <f t="shared" si="17"/>
        <v>Unfavorable</v>
      </c>
    </row>
    <row r="381" spans="1:17">
      <c r="A381" t="s">
        <v>391</v>
      </c>
      <c r="B381" s="2">
        <v>45549</v>
      </c>
      <c r="C381">
        <v>6000</v>
      </c>
      <c r="D381" t="s">
        <v>2014</v>
      </c>
      <c r="E381">
        <v>1033.93</v>
      </c>
      <c r="F381">
        <v>0</v>
      </c>
      <c r="G381" t="s">
        <v>2022</v>
      </c>
      <c r="H381" t="s">
        <v>2024</v>
      </c>
      <c r="I381" t="s">
        <v>2407</v>
      </c>
      <c r="J381" t="s">
        <v>4031</v>
      </c>
      <c r="K381" t="s">
        <v>4048</v>
      </c>
      <c r="L381">
        <v>-1033.93</v>
      </c>
      <c r="N381">
        <f t="shared" si="15"/>
        <v>-1033.93</v>
      </c>
      <c r="O381" t="s">
        <v>4104</v>
      </c>
      <c r="P381" t="str">
        <f t="shared" si="16"/>
        <v xml:space="preserve"> </v>
      </c>
      <c r="Q381" t="str">
        <f t="shared" si="17"/>
        <v>Unfavorable</v>
      </c>
    </row>
    <row r="382" spans="1:17">
      <c r="A382" t="s">
        <v>392</v>
      </c>
      <c r="B382" s="2">
        <v>45110</v>
      </c>
      <c r="C382">
        <v>5010</v>
      </c>
      <c r="D382" t="s">
        <v>2015</v>
      </c>
      <c r="E382">
        <v>64.73</v>
      </c>
      <c r="F382">
        <v>0</v>
      </c>
      <c r="G382" t="s">
        <v>2018</v>
      </c>
      <c r="H382" t="s">
        <v>2026</v>
      </c>
      <c r="I382" t="s">
        <v>2408</v>
      </c>
      <c r="J382" t="s">
        <v>4031</v>
      </c>
      <c r="K382" t="s">
        <v>4050</v>
      </c>
      <c r="L382">
        <v>-64.73</v>
      </c>
      <c r="N382">
        <f t="shared" si="15"/>
        <v>-64.73</v>
      </c>
      <c r="O382" t="s">
        <v>4104</v>
      </c>
      <c r="P382" t="str">
        <f t="shared" si="16"/>
        <v xml:space="preserve"> </v>
      </c>
      <c r="Q382" t="str">
        <f t="shared" si="17"/>
        <v>Unfavorable</v>
      </c>
    </row>
    <row r="383" spans="1:17">
      <c r="A383" t="s">
        <v>393</v>
      </c>
      <c r="B383" s="2">
        <v>44956</v>
      </c>
      <c r="C383">
        <v>5010</v>
      </c>
      <c r="D383" t="s">
        <v>2015</v>
      </c>
      <c r="E383">
        <v>891.36</v>
      </c>
      <c r="F383">
        <v>0</v>
      </c>
      <c r="G383" t="s">
        <v>2020</v>
      </c>
      <c r="H383" t="s">
        <v>2025</v>
      </c>
      <c r="I383" t="s">
        <v>2409</v>
      </c>
      <c r="J383" t="s">
        <v>4029</v>
      </c>
      <c r="K383" t="s">
        <v>4047</v>
      </c>
      <c r="L383">
        <v>-891.36</v>
      </c>
      <c r="N383">
        <f t="shared" si="15"/>
        <v>-891.36</v>
      </c>
      <c r="O383" t="s">
        <v>4104</v>
      </c>
      <c r="P383" t="str">
        <f t="shared" si="16"/>
        <v xml:space="preserve"> </v>
      </c>
      <c r="Q383" t="str">
        <f t="shared" si="17"/>
        <v>Unfavorable</v>
      </c>
    </row>
    <row r="384" spans="1:17">
      <c r="A384" t="s">
        <v>394</v>
      </c>
      <c r="B384" s="2">
        <v>45042</v>
      </c>
      <c r="C384">
        <v>5010</v>
      </c>
      <c r="D384" t="s">
        <v>2015</v>
      </c>
      <c r="E384">
        <v>983.92</v>
      </c>
      <c r="F384">
        <v>0</v>
      </c>
      <c r="G384" t="s">
        <v>2021</v>
      </c>
      <c r="H384" t="s">
        <v>2026</v>
      </c>
      <c r="I384" t="s">
        <v>2410</v>
      </c>
      <c r="J384" t="s">
        <v>4030</v>
      </c>
      <c r="K384" t="s">
        <v>4041</v>
      </c>
      <c r="L384">
        <v>-983.92</v>
      </c>
      <c r="N384">
        <f t="shared" si="15"/>
        <v>-983.92</v>
      </c>
      <c r="O384" t="s">
        <v>4104</v>
      </c>
      <c r="P384" t="str">
        <f t="shared" si="16"/>
        <v xml:space="preserve"> </v>
      </c>
      <c r="Q384" t="str">
        <f t="shared" si="17"/>
        <v>Unfavorable</v>
      </c>
    </row>
    <row r="385" spans="1:17">
      <c r="A385" t="s">
        <v>395</v>
      </c>
      <c r="B385" s="2">
        <v>44966</v>
      </c>
      <c r="C385">
        <v>5010</v>
      </c>
      <c r="D385" t="s">
        <v>2015</v>
      </c>
      <c r="E385">
        <v>412.44</v>
      </c>
      <c r="F385">
        <v>0</v>
      </c>
      <c r="G385" t="s">
        <v>2017</v>
      </c>
      <c r="H385" t="s">
        <v>2027</v>
      </c>
      <c r="I385" t="s">
        <v>2411</v>
      </c>
      <c r="J385" t="s">
        <v>4029</v>
      </c>
      <c r="K385" t="s">
        <v>4057</v>
      </c>
      <c r="L385">
        <v>-412.44</v>
      </c>
      <c r="N385">
        <f t="shared" si="15"/>
        <v>-412.44</v>
      </c>
      <c r="O385" t="s">
        <v>4104</v>
      </c>
      <c r="P385" t="str">
        <f t="shared" si="16"/>
        <v xml:space="preserve"> </v>
      </c>
      <c r="Q385" t="str">
        <f t="shared" si="17"/>
        <v>Unfavorable</v>
      </c>
    </row>
    <row r="386" spans="1:17">
      <c r="A386" t="s">
        <v>396</v>
      </c>
      <c r="B386" s="2">
        <v>45058</v>
      </c>
      <c r="C386">
        <v>4010</v>
      </c>
      <c r="D386" t="s">
        <v>2016</v>
      </c>
      <c r="E386">
        <v>0</v>
      </c>
      <c r="F386">
        <v>2409.8200000000002</v>
      </c>
      <c r="G386" t="s">
        <v>2017</v>
      </c>
      <c r="H386" t="s">
        <v>2023</v>
      </c>
      <c r="I386" t="s">
        <v>2412</v>
      </c>
      <c r="J386" t="s">
        <v>4032</v>
      </c>
      <c r="K386" t="s">
        <v>4062</v>
      </c>
      <c r="L386">
        <v>2409.8200000000002</v>
      </c>
      <c r="N386">
        <f t="shared" si="15"/>
        <v>2409.8200000000002</v>
      </c>
      <c r="O386" t="s">
        <v>4104</v>
      </c>
      <c r="P386" t="str">
        <f t="shared" si="16"/>
        <v xml:space="preserve"> </v>
      </c>
      <c r="Q386" t="str">
        <f t="shared" si="17"/>
        <v>Favorable</v>
      </c>
    </row>
    <row r="387" spans="1:17">
      <c r="A387" t="s">
        <v>397</v>
      </c>
      <c r="B387" s="2">
        <v>45792</v>
      </c>
      <c r="C387">
        <v>5010</v>
      </c>
      <c r="D387" t="s">
        <v>2015</v>
      </c>
      <c r="E387">
        <v>1490.61</v>
      </c>
      <c r="F387">
        <v>0</v>
      </c>
      <c r="G387" t="s">
        <v>2022</v>
      </c>
      <c r="H387" t="s">
        <v>2023</v>
      </c>
      <c r="I387" t="s">
        <v>2413</v>
      </c>
      <c r="J387" t="s">
        <v>4032</v>
      </c>
      <c r="K387" t="s">
        <v>4038</v>
      </c>
      <c r="L387">
        <v>-1490.61</v>
      </c>
      <c r="N387">
        <f t="shared" ref="N387:N450" si="18">L:L-M:M</f>
        <v>-1490.61</v>
      </c>
      <c r="O387" t="s">
        <v>4104</v>
      </c>
      <c r="P387" t="str">
        <f t="shared" ref="P387:P450" si="19">IF(AND(ABS(N:N)&gt;10000,M:M&lt;&gt;0),"Material", " ")</f>
        <v xml:space="preserve"> </v>
      </c>
      <c r="Q387" t="str">
        <f t="shared" ref="Q387:Q450" si="20">IF(N:N&gt;0,"Favorable","Unfavorable")</f>
        <v>Unfavorable</v>
      </c>
    </row>
    <row r="388" spans="1:17">
      <c r="A388" t="s">
        <v>398</v>
      </c>
      <c r="B388" s="2">
        <v>45528</v>
      </c>
      <c r="C388">
        <v>4000</v>
      </c>
      <c r="D388" t="s">
        <v>2012</v>
      </c>
      <c r="E388">
        <v>0</v>
      </c>
      <c r="F388">
        <v>2946.46</v>
      </c>
      <c r="G388" t="s">
        <v>2017</v>
      </c>
      <c r="H388" t="s">
        <v>2025</v>
      </c>
      <c r="I388" t="s">
        <v>2414</v>
      </c>
      <c r="J388" t="s">
        <v>4028</v>
      </c>
      <c r="K388" t="s">
        <v>4058</v>
      </c>
      <c r="L388">
        <v>2946.46</v>
      </c>
      <c r="N388">
        <f t="shared" si="18"/>
        <v>2946.46</v>
      </c>
      <c r="O388" t="s">
        <v>4104</v>
      </c>
      <c r="P388" t="str">
        <f t="shared" si="19"/>
        <v xml:space="preserve"> </v>
      </c>
      <c r="Q388" t="str">
        <f t="shared" si="20"/>
        <v>Favorable</v>
      </c>
    </row>
    <row r="389" spans="1:17">
      <c r="A389" t="s">
        <v>399</v>
      </c>
      <c r="B389" s="2">
        <v>45548</v>
      </c>
      <c r="C389">
        <v>6000</v>
      </c>
      <c r="D389" t="s">
        <v>2014</v>
      </c>
      <c r="E389">
        <v>542.61</v>
      </c>
      <c r="F389">
        <v>0</v>
      </c>
      <c r="G389" t="s">
        <v>2021</v>
      </c>
      <c r="H389" t="s">
        <v>2026</v>
      </c>
      <c r="I389" t="s">
        <v>2415</v>
      </c>
      <c r="J389" t="s">
        <v>4031</v>
      </c>
      <c r="K389" t="s">
        <v>4048</v>
      </c>
      <c r="L389">
        <v>-542.61</v>
      </c>
      <c r="N389">
        <f t="shared" si="18"/>
        <v>-542.61</v>
      </c>
      <c r="O389" t="s">
        <v>4104</v>
      </c>
      <c r="P389" t="str">
        <f t="shared" si="19"/>
        <v xml:space="preserve"> </v>
      </c>
      <c r="Q389" t="str">
        <f t="shared" si="20"/>
        <v>Unfavorable</v>
      </c>
    </row>
    <row r="390" spans="1:17">
      <c r="A390" t="s">
        <v>400</v>
      </c>
      <c r="B390" s="2">
        <v>45252</v>
      </c>
      <c r="C390">
        <v>4010</v>
      </c>
      <c r="D390" t="s">
        <v>2016</v>
      </c>
      <c r="E390">
        <v>0</v>
      </c>
      <c r="F390">
        <v>3453.36</v>
      </c>
      <c r="G390" t="s">
        <v>2017</v>
      </c>
      <c r="H390" t="s">
        <v>2025</v>
      </c>
      <c r="I390" t="s">
        <v>2416</v>
      </c>
      <c r="J390" t="s">
        <v>4029</v>
      </c>
      <c r="K390" t="s">
        <v>4042</v>
      </c>
      <c r="L390">
        <v>3453.36</v>
      </c>
      <c r="N390">
        <f t="shared" si="18"/>
        <v>3453.36</v>
      </c>
      <c r="O390" t="s">
        <v>4104</v>
      </c>
      <c r="P390" t="str">
        <f t="shared" si="19"/>
        <v xml:space="preserve"> </v>
      </c>
      <c r="Q390" t="str">
        <f t="shared" si="20"/>
        <v>Favorable</v>
      </c>
    </row>
    <row r="391" spans="1:17">
      <c r="A391" t="s">
        <v>401</v>
      </c>
      <c r="B391" s="2">
        <v>45317</v>
      </c>
      <c r="C391">
        <v>5000</v>
      </c>
      <c r="D391" t="s">
        <v>2013</v>
      </c>
      <c r="E391">
        <v>1550.28</v>
      </c>
      <c r="F391">
        <v>0</v>
      </c>
      <c r="G391" t="s">
        <v>2018</v>
      </c>
      <c r="H391" t="s">
        <v>2025</v>
      </c>
      <c r="I391" t="s">
        <v>2417</v>
      </c>
      <c r="J391" t="s">
        <v>4028</v>
      </c>
      <c r="K391" t="s">
        <v>4053</v>
      </c>
      <c r="L391">
        <v>-1550.28</v>
      </c>
      <c r="N391">
        <f t="shared" si="18"/>
        <v>-1550.28</v>
      </c>
      <c r="O391" t="s">
        <v>4104</v>
      </c>
      <c r="P391" t="str">
        <f t="shared" si="19"/>
        <v xml:space="preserve"> </v>
      </c>
      <c r="Q391" t="str">
        <f t="shared" si="20"/>
        <v>Unfavorable</v>
      </c>
    </row>
    <row r="392" spans="1:17">
      <c r="A392" t="s">
        <v>402</v>
      </c>
      <c r="B392" s="2">
        <v>45164</v>
      </c>
      <c r="C392">
        <v>4010</v>
      </c>
      <c r="D392" t="s">
        <v>2016</v>
      </c>
      <c r="E392">
        <v>0</v>
      </c>
      <c r="F392">
        <v>2348.4</v>
      </c>
      <c r="G392" t="s">
        <v>2022</v>
      </c>
      <c r="H392" t="s">
        <v>2027</v>
      </c>
      <c r="I392" t="s">
        <v>2418</v>
      </c>
      <c r="J392" t="s">
        <v>4032</v>
      </c>
      <c r="K392" t="s">
        <v>4037</v>
      </c>
      <c r="L392">
        <v>2348.4</v>
      </c>
      <c r="N392">
        <f t="shared" si="18"/>
        <v>2348.4</v>
      </c>
      <c r="O392" t="s">
        <v>4104</v>
      </c>
      <c r="P392" t="str">
        <f t="shared" si="19"/>
        <v xml:space="preserve"> </v>
      </c>
      <c r="Q392" t="str">
        <f t="shared" si="20"/>
        <v>Favorable</v>
      </c>
    </row>
    <row r="393" spans="1:17">
      <c r="A393" t="s">
        <v>403</v>
      </c>
      <c r="B393" s="2">
        <v>45128</v>
      </c>
      <c r="C393">
        <v>5000</v>
      </c>
      <c r="D393" t="s">
        <v>2013</v>
      </c>
      <c r="E393">
        <v>761.57</v>
      </c>
      <c r="F393">
        <v>0</v>
      </c>
      <c r="G393" t="s">
        <v>2018</v>
      </c>
      <c r="H393" t="s">
        <v>2023</v>
      </c>
      <c r="I393" t="s">
        <v>2419</v>
      </c>
      <c r="J393" t="s">
        <v>4029</v>
      </c>
      <c r="K393" t="s">
        <v>4050</v>
      </c>
      <c r="L393">
        <v>-761.57</v>
      </c>
      <c r="N393">
        <f t="shared" si="18"/>
        <v>-761.57</v>
      </c>
      <c r="O393" t="s">
        <v>4104</v>
      </c>
      <c r="P393" t="str">
        <f t="shared" si="19"/>
        <v xml:space="preserve"> </v>
      </c>
      <c r="Q393" t="str">
        <f t="shared" si="20"/>
        <v>Unfavorable</v>
      </c>
    </row>
    <row r="394" spans="1:17">
      <c r="A394" t="s">
        <v>404</v>
      </c>
      <c r="B394" s="2">
        <v>45233</v>
      </c>
      <c r="C394">
        <v>4000</v>
      </c>
      <c r="D394" t="s">
        <v>2012</v>
      </c>
      <c r="E394">
        <v>0</v>
      </c>
      <c r="F394">
        <v>958.3</v>
      </c>
      <c r="G394" t="s">
        <v>2018</v>
      </c>
      <c r="H394" t="s">
        <v>2026</v>
      </c>
      <c r="I394" t="s">
        <v>2420</v>
      </c>
      <c r="J394" t="s">
        <v>4032</v>
      </c>
      <c r="K394" t="s">
        <v>4042</v>
      </c>
      <c r="L394">
        <v>958.3</v>
      </c>
      <c r="N394">
        <f t="shared" si="18"/>
        <v>958.3</v>
      </c>
      <c r="O394" t="s">
        <v>4104</v>
      </c>
      <c r="P394" t="str">
        <f t="shared" si="19"/>
        <v xml:space="preserve"> </v>
      </c>
      <c r="Q394" t="str">
        <f t="shared" si="20"/>
        <v>Favorable</v>
      </c>
    </row>
    <row r="395" spans="1:17">
      <c r="A395" t="s">
        <v>405</v>
      </c>
      <c r="B395" s="2">
        <v>45690</v>
      </c>
      <c r="C395">
        <v>5000</v>
      </c>
      <c r="D395" t="s">
        <v>2013</v>
      </c>
      <c r="E395">
        <v>618.6</v>
      </c>
      <c r="F395">
        <v>0</v>
      </c>
      <c r="G395" t="s">
        <v>2021</v>
      </c>
      <c r="H395" t="s">
        <v>2023</v>
      </c>
      <c r="I395" t="s">
        <v>2421</v>
      </c>
      <c r="J395" t="s">
        <v>4031</v>
      </c>
      <c r="K395" t="s">
        <v>4061</v>
      </c>
      <c r="L395">
        <v>-618.6</v>
      </c>
      <c r="N395">
        <f t="shared" si="18"/>
        <v>-618.6</v>
      </c>
      <c r="O395" t="s">
        <v>4104</v>
      </c>
      <c r="P395" t="str">
        <f t="shared" si="19"/>
        <v xml:space="preserve"> </v>
      </c>
      <c r="Q395" t="str">
        <f t="shared" si="20"/>
        <v>Unfavorable</v>
      </c>
    </row>
    <row r="396" spans="1:17">
      <c r="A396" t="s">
        <v>406</v>
      </c>
      <c r="B396" s="2">
        <v>45204</v>
      </c>
      <c r="C396">
        <v>4000</v>
      </c>
      <c r="D396" t="s">
        <v>2012</v>
      </c>
      <c r="E396">
        <v>0</v>
      </c>
      <c r="F396">
        <v>334.65</v>
      </c>
      <c r="G396" t="s">
        <v>2020</v>
      </c>
      <c r="H396" t="s">
        <v>2023</v>
      </c>
      <c r="I396" t="s">
        <v>2422</v>
      </c>
      <c r="J396" t="s">
        <v>4028</v>
      </c>
      <c r="K396" t="s">
        <v>4060</v>
      </c>
      <c r="L396">
        <v>334.65</v>
      </c>
      <c r="N396">
        <f t="shared" si="18"/>
        <v>334.65</v>
      </c>
      <c r="O396" t="s">
        <v>4104</v>
      </c>
      <c r="P396" t="str">
        <f t="shared" si="19"/>
        <v xml:space="preserve"> </v>
      </c>
      <c r="Q396" t="str">
        <f t="shared" si="20"/>
        <v>Favorable</v>
      </c>
    </row>
    <row r="397" spans="1:17">
      <c r="A397" t="s">
        <v>407</v>
      </c>
      <c r="B397" s="2">
        <v>45525</v>
      </c>
      <c r="C397">
        <v>5000</v>
      </c>
      <c r="D397" t="s">
        <v>2013</v>
      </c>
      <c r="E397">
        <v>1922.54</v>
      </c>
      <c r="F397">
        <v>0</v>
      </c>
      <c r="G397" t="s">
        <v>2020</v>
      </c>
      <c r="H397" t="s">
        <v>2027</v>
      </c>
      <c r="I397" t="s">
        <v>2423</v>
      </c>
      <c r="J397" t="s">
        <v>4031</v>
      </c>
      <c r="K397" t="s">
        <v>4058</v>
      </c>
      <c r="L397">
        <v>-1922.54</v>
      </c>
      <c r="N397">
        <f t="shared" si="18"/>
        <v>-1922.54</v>
      </c>
      <c r="O397" t="s">
        <v>4104</v>
      </c>
      <c r="P397" t="str">
        <f t="shared" si="19"/>
        <v xml:space="preserve"> </v>
      </c>
      <c r="Q397" t="str">
        <f t="shared" si="20"/>
        <v>Unfavorable</v>
      </c>
    </row>
    <row r="398" spans="1:17">
      <c r="A398" t="s">
        <v>408</v>
      </c>
      <c r="B398" s="2">
        <v>45146</v>
      </c>
      <c r="C398">
        <v>4000</v>
      </c>
      <c r="D398" t="s">
        <v>2012</v>
      </c>
      <c r="E398">
        <v>0</v>
      </c>
      <c r="F398">
        <v>3519.07</v>
      </c>
      <c r="G398" t="s">
        <v>2018</v>
      </c>
      <c r="H398" t="s">
        <v>2024</v>
      </c>
      <c r="I398" t="s">
        <v>2424</v>
      </c>
      <c r="J398" t="s">
        <v>4030</v>
      </c>
      <c r="K398" t="s">
        <v>4037</v>
      </c>
      <c r="L398">
        <v>3519.07</v>
      </c>
      <c r="N398">
        <f t="shared" si="18"/>
        <v>3519.07</v>
      </c>
      <c r="O398" t="s">
        <v>4104</v>
      </c>
      <c r="P398" t="str">
        <f t="shared" si="19"/>
        <v xml:space="preserve"> </v>
      </c>
      <c r="Q398" t="str">
        <f t="shared" si="20"/>
        <v>Favorable</v>
      </c>
    </row>
    <row r="399" spans="1:17">
      <c r="A399" t="s">
        <v>409</v>
      </c>
      <c r="B399" s="2">
        <v>44983</v>
      </c>
      <c r="C399">
        <v>5010</v>
      </c>
      <c r="D399" t="s">
        <v>2015</v>
      </c>
      <c r="E399">
        <v>1944.25</v>
      </c>
      <c r="F399">
        <v>0</v>
      </c>
      <c r="G399" t="s">
        <v>2018</v>
      </c>
      <c r="H399" t="s">
        <v>2027</v>
      </c>
      <c r="I399" t="s">
        <v>2425</v>
      </c>
      <c r="J399" t="s">
        <v>4032</v>
      </c>
      <c r="K399" t="s">
        <v>4057</v>
      </c>
      <c r="L399">
        <v>-1944.25</v>
      </c>
      <c r="N399">
        <f t="shared" si="18"/>
        <v>-1944.25</v>
      </c>
      <c r="O399" t="s">
        <v>4104</v>
      </c>
      <c r="P399" t="str">
        <f t="shared" si="19"/>
        <v xml:space="preserve"> </v>
      </c>
      <c r="Q399" t="str">
        <f t="shared" si="20"/>
        <v>Unfavorable</v>
      </c>
    </row>
    <row r="400" spans="1:17">
      <c r="A400" t="s">
        <v>410</v>
      </c>
      <c r="B400" s="2">
        <v>44957</v>
      </c>
      <c r="C400">
        <v>5000</v>
      </c>
      <c r="D400" t="s">
        <v>2013</v>
      </c>
      <c r="E400">
        <v>51.54</v>
      </c>
      <c r="F400">
        <v>0</v>
      </c>
      <c r="G400" t="s">
        <v>2019</v>
      </c>
      <c r="H400" t="s">
        <v>2025</v>
      </c>
      <c r="I400" t="s">
        <v>2426</v>
      </c>
      <c r="J400" t="s">
        <v>4028</v>
      </c>
      <c r="K400" t="s">
        <v>4047</v>
      </c>
      <c r="L400">
        <v>-51.54</v>
      </c>
      <c r="N400">
        <f t="shared" si="18"/>
        <v>-51.54</v>
      </c>
      <c r="O400" t="s">
        <v>4104</v>
      </c>
      <c r="P400" t="str">
        <f t="shared" si="19"/>
        <v xml:space="preserve"> </v>
      </c>
      <c r="Q400" t="str">
        <f t="shared" si="20"/>
        <v>Unfavorable</v>
      </c>
    </row>
    <row r="401" spans="1:17">
      <c r="A401" t="s">
        <v>411</v>
      </c>
      <c r="B401" s="2">
        <v>45526</v>
      </c>
      <c r="C401">
        <v>4010</v>
      </c>
      <c r="D401" t="s">
        <v>2016</v>
      </c>
      <c r="E401">
        <v>0</v>
      </c>
      <c r="F401">
        <v>952.59</v>
      </c>
      <c r="G401" t="s">
        <v>2018</v>
      </c>
      <c r="H401" t="s">
        <v>2024</v>
      </c>
      <c r="I401" t="s">
        <v>2427</v>
      </c>
      <c r="J401" t="s">
        <v>4028</v>
      </c>
      <c r="K401" t="s">
        <v>4058</v>
      </c>
      <c r="L401">
        <v>952.59</v>
      </c>
      <c r="N401">
        <f t="shared" si="18"/>
        <v>952.59</v>
      </c>
      <c r="O401" t="s">
        <v>4104</v>
      </c>
      <c r="P401" t="str">
        <f t="shared" si="19"/>
        <v xml:space="preserve"> </v>
      </c>
      <c r="Q401" t="str">
        <f t="shared" si="20"/>
        <v>Favorable</v>
      </c>
    </row>
    <row r="402" spans="1:17">
      <c r="A402" t="s">
        <v>412</v>
      </c>
      <c r="B402" s="2">
        <v>45493</v>
      </c>
      <c r="C402">
        <v>5010</v>
      </c>
      <c r="D402" t="s">
        <v>2015</v>
      </c>
      <c r="E402">
        <v>312.45</v>
      </c>
      <c r="F402">
        <v>0</v>
      </c>
      <c r="G402" t="s">
        <v>2018</v>
      </c>
      <c r="H402" t="s">
        <v>2023</v>
      </c>
      <c r="I402" t="s">
        <v>2428</v>
      </c>
      <c r="J402" t="s">
        <v>4028</v>
      </c>
      <c r="K402" t="s">
        <v>4054</v>
      </c>
      <c r="L402">
        <v>-312.45</v>
      </c>
      <c r="N402">
        <f t="shared" si="18"/>
        <v>-312.45</v>
      </c>
      <c r="O402" t="s">
        <v>4104</v>
      </c>
      <c r="P402" t="str">
        <f t="shared" si="19"/>
        <v xml:space="preserve"> </v>
      </c>
      <c r="Q402" t="str">
        <f t="shared" si="20"/>
        <v>Unfavorable</v>
      </c>
    </row>
    <row r="403" spans="1:17">
      <c r="A403" t="s">
        <v>413</v>
      </c>
      <c r="B403" s="2">
        <v>45679</v>
      </c>
      <c r="C403">
        <v>5010</v>
      </c>
      <c r="D403" t="s">
        <v>2015</v>
      </c>
      <c r="E403">
        <v>571.80999999999995</v>
      </c>
      <c r="F403">
        <v>0</v>
      </c>
      <c r="G403" t="s">
        <v>2020</v>
      </c>
      <c r="H403" t="s">
        <v>2026</v>
      </c>
      <c r="I403" t="s">
        <v>2429</v>
      </c>
      <c r="J403" t="s">
        <v>4029</v>
      </c>
      <c r="K403" t="s">
        <v>4035</v>
      </c>
      <c r="L403">
        <v>-571.80999999999995</v>
      </c>
      <c r="N403">
        <f t="shared" si="18"/>
        <v>-571.80999999999995</v>
      </c>
      <c r="O403" t="s">
        <v>4104</v>
      </c>
      <c r="P403" t="str">
        <f t="shared" si="19"/>
        <v xml:space="preserve"> </v>
      </c>
      <c r="Q403" t="str">
        <f t="shared" si="20"/>
        <v>Unfavorable</v>
      </c>
    </row>
    <row r="404" spans="1:17">
      <c r="A404" t="s">
        <v>414</v>
      </c>
      <c r="B404" s="2">
        <v>45647</v>
      </c>
      <c r="C404">
        <v>5010</v>
      </c>
      <c r="D404" t="s">
        <v>2015</v>
      </c>
      <c r="E404">
        <v>750.55</v>
      </c>
      <c r="F404">
        <v>0</v>
      </c>
      <c r="G404" t="s">
        <v>2018</v>
      </c>
      <c r="H404" t="s">
        <v>2025</v>
      </c>
      <c r="I404" t="s">
        <v>2430</v>
      </c>
      <c r="J404" t="s">
        <v>4032</v>
      </c>
      <c r="K404" t="s">
        <v>4056</v>
      </c>
      <c r="L404">
        <v>-750.55</v>
      </c>
      <c r="N404">
        <f t="shared" si="18"/>
        <v>-750.55</v>
      </c>
      <c r="O404" t="s">
        <v>4104</v>
      </c>
      <c r="P404" t="str">
        <f t="shared" si="19"/>
        <v xml:space="preserve"> </v>
      </c>
      <c r="Q404" t="str">
        <f t="shared" si="20"/>
        <v>Unfavorable</v>
      </c>
    </row>
    <row r="405" spans="1:17">
      <c r="A405" t="s">
        <v>415</v>
      </c>
      <c r="B405" s="2">
        <v>44985</v>
      </c>
      <c r="C405">
        <v>4010</v>
      </c>
      <c r="D405" t="s">
        <v>2016</v>
      </c>
      <c r="E405">
        <v>0</v>
      </c>
      <c r="F405">
        <v>4835.87</v>
      </c>
      <c r="G405" t="s">
        <v>2019</v>
      </c>
      <c r="H405" t="s">
        <v>2023</v>
      </c>
      <c r="I405" t="s">
        <v>2431</v>
      </c>
      <c r="J405" t="s">
        <v>4029</v>
      </c>
      <c r="K405" t="s">
        <v>4057</v>
      </c>
      <c r="L405">
        <v>4835.87</v>
      </c>
      <c r="N405">
        <f t="shared" si="18"/>
        <v>4835.87</v>
      </c>
      <c r="O405" t="s">
        <v>4104</v>
      </c>
      <c r="P405" t="str">
        <f t="shared" si="19"/>
        <v xml:space="preserve"> </v>
      </c>
      <c r="Q405" t="str">
        <f t="shared" si="20"/>
        <v>Favorable</v>
      </c>
    </row>
    <row r="406" spans="1:17">
      <c r="A406" t="s">
        <v>416</v>
      </c>
      <c r="B406" s="2">
        <v>45684</v>
      </c>
      <c r="C406">
        <v>4000</v>
      </c>
      <c r="D406" t="s">
        <v>2012</v>
      </c>
      <c r="E406">
        <v>0</v>
      </c>
      <c r="F406">
        <v>2979.48</v>
      </c>
      <c r="G406" t="s">
        <v>2022</v>
      </c>
      <c r="H406" t="s">
        <v>2023</v>
      </c>
      <c r="I406" t="s">
        <v>2432</v>
      </c>
      <c r="J406" t="s">
        <v>4028</v>
      </c>
      <c r="K406" t="s">
        <v>4035</v>
      </c>
      <c r="L406">
        <v>2979.48</v>
      </c>
      <c r="N406">
        <f t="shared" si="18"/>
        <v>2979.48</v>
      </c>
      <c r="O406" t="s">
        <v>4104</v>
      </c>
      <c r="P406" t="str">
        <f t="shared" si="19"/>
        <v xml:space="preserve"> </v>
      </c>
      <c r="Q406" t="str">
        <f t="shared" si="20"/>
        <v>Favorable</v>
      </c>
    </row>
    <row r="407" spans="1:17">
      <c r="A407" t="s">
        <v>417</v>
      </c>
      <c r="B407" s="2">
        <v>45432</v>
      </c>
      <c r="C407">
        <v>5000</v>
      </c>
      <c r="D407" t="s">
        <v>2013</v>
      </c>
      <c r="E407">
        <v>1288.94</v>
      </c>
      <c r="F407">
        <v>0</v>
      </c>
      <c r="G407" t="s">
        <v>2017</v>
      </c>
      <c r="H407" t="s">
        <v>2023</v>
      </c>
      <c r="I407" t="s">
        <v>2433</v>
      </c>
      <c r="J407" t="s">
        <v>4028</v>
      </c>
      <c r="K407" t="s">
        <v>4033</v>
      </c>
      <c r="L407">
        <v>-1288.94</v>
      </c>
      <c r="N407">
        <f t="shared" si="18"/>
        <v>-1288.94</v>
      </c>
      <c r="O407" t="s">
        <v>4104</v>
      </c>
      <c r="P407" t="str">
        <f t="shared" si="19"/>
        <v xml:space="preserve"> </v>
      </c>
      <c r="Q407" t="str">
        <f t="shared" si="20"/>
        <v>Unfavorable</v>
      </c>
    </row>
    <row r="408" spans="1:17">
      <c r="A408" t="s">
        <v>418</v>
      </c>
      <c r="B408" s="2">
        <v>45055</v>
      </c>
      <c r="C408">
        <v>5000</v>
      </c>
      <c r="D408" t="s">
        <v>2013</v>
      </c>
      <c r="E408">
        <v>578.6</v>
      </c>
      <c r="F408">
        <v>0</v>
      </c>
      <c r="G408" t="s">
        <v>2017</v>
      </c>
      <c r="H408" t="s">
        <v>2026</v>
      </c>
      <c r="I408" t="s">
        <v>2434</v>
      </c>
      <c r="J408" t="s">
        <v>4030</v>
      </c>
      <c r="K408" t="s">
        <v>4062</v>
      </c>
      <c r="L408">
        <v>-578.6</v>
      </c>
      <c r="N408">
        <f t="shared" si="18"/>
        <v>-578.6</v>
      </c>
      <c r="O408" t="s">
        <v>4104</v>
      </c>
      <c r="P408" t="str">
        <f t="shared" si="19"/>
        <v xml:space="preserve"> </v>
      </c>
      <c r="Q408" t="str">
        <f t="shared" si="20"/>
        <v>Unfavorable</v>
      </c>
    </row>
    <row r="409" spans="1:17">
      <c r="A409" t="s">
        <v>419</v>
      </c>
      <c r="B409" s="2">
        <v>45742</v>
      </c>
      <c r="C409">
        <v>5000</v>
      </c>
      <c r="D409" t="s">
        <v>2013</v>
      </c>
      <c r="E409">
        <v>341.06</v>
      </c>
      <c r="F409">
        <v>0</v>
      </c>
      <c r="G409" t="s">
        <v>2022</v>
      </c>
      <c r="H409" t="s">
        <v>2027</v>
      </c>
      <c r="I409" t="s">
        <v>2435</v>
      </c>
      <c r="J409" t="s">
        <v>4030</v>
      </c>
      <c r="K409" t="s">
        <v>4046</v>
      </c>
      <c r="L409">
        <v>-341.06</v>
      </c>
      <c r="N409">
        <f t="shared" si="18"/>
        <v>-341.06</v>
      </c>
      <c r="O409" t="s">
        <v>4104</v>
      </c>
      <c r="P409" t="str">
        <f t="shared" si="19"/>
        <v xml:space="preserve"> </v>
      </c>
      <c r="Q409" t="str">
        <f t="shared" si="20"/>
        <v>Unfavorable</v>
      </c>
    </row>
    <row r="410" spans="1:17">
      <c r="A410" t="s">
        <v>420</v>
      </c>
      <c r="B410" s="2">
        <v>45390</v>
      </c>
      <c r="C410">
        <v>5010</v>
      </c>
      <c r="D410" t="s">
        <v>2015</v>
      </c>
      <c r="E410">
        <v>1074.77</v>
      </c>
      <c r="F410">
        <v>0</v>
      </c>
      <c r="G410" t="s">
        <v>2018</v>
      </c>
      <c r="H410" t="s">
        <v>2026</v>
      </c>
      <c r="I410" t="s">
        <v>2436</v>
      </c>
      <c r="J410" t="s">
        <v>4029</v>
      </c>
      <c r="K410" t="s">
        <v>4040</v>
      </c>
      <c r="L410">
        <v>-1074.77</v>
      </c>
      <c r="N410">
        <f t="shared" si="18"/>
        <v>-1074.77</v>
      </c>
      <c r="O410" t="s">
        <v>4104</v>
      </c>
      <c r="P410" t="str">
        <f t="shared" si="19"/>
        <v xml:space="preserve"> </v>
      </c>
      <c r="Q410" t="str">
        <f t="shared" si="20"/>
        <v>Unfavorable</v>
      </c>
    </row>
    <row r="411" spans="1:17">
      <c r="A411" t="s">
        <v>421</v>
      </c>
      <c r="B411" s="2">
        <v>45433</v>
      </c>
      <c r="C411">
        <v>4010</v>
      </c>
      <c r="D411" t="s">
        <v>2016</v>
      </c>
      <c r="E411">
        <v>0</v>
      </c>
      <c r="F411">
        <v>1025.56</v>
      </c>
      <c r="G411" t="s">
        <v>2018</v>
      </c>
      <c r="H411" t="s">
        <v>2023</v>
      </c>
      <c r="I411" t="s">
        <v>2437</v>
      </c>
      <c r="J411" t="s">
        <v>4028</v>
      </c>
      <c r="K411" t="s">
        <v>4033</v>
      </c>
      <c r="L411">
        <v>1025.56</v>
      </c>
      <c r="N411">
        <f t="shared" si="18"/>
        <v>1025.56</v>
      </c>
      <c r="O411" t="s">
        <v>4104</v>
      </c>
      <c r="P411" t="str">
        <f t="shared" si="19"/>
        <v xml:space="preserve"> </v>
      </c>
      <c r="Q411" t="str">
        <f t="shared" si="20"/>
        <v>Favorable</v>
      </c>
    </row>
    <row r="412" spans="1:17">
      <c r="A412" t="s">
        <v>422</v>
      </c>
      <c r="B412" s="2">
        <v>45368</v>
      </c>
      <c r="C412">
        <v>4000</v>
      </c>
      <c r="D412" t="s">
        <v>2012</v>
      </c>
      <c r="E412">
        <v>0</v>
      </c>
      <c r="F412">
        <v>1148.8499999999999</v>
      </c>
      <c r="G412" t="s">
        <v>2021</v>
      </c>
      <c r="H412" t="s">
        <v>2025</v>
      </c>
      <c r="I412" t="s">
        <v>2438</v>
      </c>
      <c r="J412" t="s">
        <v>4028</v>
      </c>
      <c r="K412" t="s">
        <v>4049</v>
      </c>
      <c r="L412">
        <v>1148.8499999999999</v>
      </c>
      <c r="N412">
        <f t="shared" si="18"/>
        <v>1148.8499999999999</v>
      </c>
      <c r="O412" t="s">
        <v>4104</v>
      </c>
      <c r="P412" t="str">
        <f t="shared" si="19"/>
        <v xml:space="preserve"> </v>
      </c>
      <c r="Q412" t="str">
        <f t="shared" si="20"/>
        <v>Favorable</v>
      </c>
    </row>
    <row r="413" spans="1:17">
      <c r="A413" t="s">
        <v>423</v>
      </c>
      <c r="B413" s="2">
        <v>45242</v>
      </c>
      <c r="C413">
        <v>5000</v>
      </c>
      <c r="D413" t="s">
        <v>2013</v>
      </c>
      <c r="E413">
        <v>1644.1</v>
      </c>
      <c r="F413">
        <v>0</v>
      </c>
      <c r="G413" t="s">
        <v>2017</v>
      </c>
      <c r="H413" t="s">
        <v>2025</v>
      </c>
      <c r="I413" t="s">
        <v>2439</v>
      </c>
      <c r="J413" t="s">
        <v>4029</v>
      </c>
      <c r="K413" t="s">
        <v>4042</v>
      </c>
      <c r="L413">
        <v>-1644.1</v>
      </c>
      <c r="N413">
        <f t="shared" si="18"/>
        <v>-1644.1</v>
      </c>
      <c r="O413" t="s">
        <v>4104</v>
      </c>
      <c r="P413" t="str">
        <f t="shared" si="19"/>
        <v xml:space="preserve"> </v>
      </c>
      <c r="Q413" t="str">
        <f t="shared" si="20"/>
        <v>Unfavorable</v>
      </c>
    </row>
    <row r="414" spans="1:17">
      <c r="A414" t="s">
        <v>424</v>
      </c>
      <c r="B414" s="2">
        <v>45308</v>
      </c>
      <c r="C414">
        <v>4010</v>
      </c>
      <c r="D414" t="s">
        <v>2016</v>
      </c>
      <c r="E414">
        <v>0</v>
      </c>
      <c r="F414">
        <v>3002.11</v>
      </c>
      <c r="G414" t="s">
        <v>2020</v>
      </c>
      <c r="H414" t="s">
        <v>2025</v>
      </c>
      <c r="I414" t="s">
        <v>2440</v>
      </c>
      <c r="J414" t="s">
        <v>4028</v>
      </c>
      <c r="K414" t="s">
        <v>4053</v>
      </c>
      <c r="L414">
        <v>3002.11</v>
      </c>
      <c r="N414">
        <f t="shared" si="18"/>
        <v>3002.11</v>
      </c>
      <c r="O414" t="s">
        <v>4104</v>
      </c>
      <c r="P414" t="str">
        <f t="shared" si="19"/>
        <v xml:space="preserve"> </v>
      </c>
      <c r="Q414" t="str">
        <f t="shared" si="20"/>
        <v>Favorable</v>
      </c>
    </row>
    <row r="415" spans="1:17">
      <c r="A415" t="s">
        <v>425</v>
      </c>
      <c r="B415" s="2">
        <v>45338</v>
      </c>
      <c r="C415">
        <v>5010</v>
      </c>
      <c r="D415" t="s">
        <v>2015</v>
      </c>
      <c r="E415">
        <v>327.57</v>
      </c>
      <c r="F415">
        <v>0</v>
      </c>
      <c r="G415" t="s">
        <v>2018</v>
      </c>
      <c r="H415" t="s">
        <v>2027</v>
      </c>
      <c r="I415" t="s">
        <v>2441</v>
      </c>
      <c r="J415" t="s">
        <v>4029</v>
      </c>
      <c r="K415" t="s">
        <v>4044</v>
      </c>
      <c r="L415">
        <v>-327.57</v>
      </c>
      <c r="N415">
        <f t="shared" si="18"/>
        <v>-327.57</v>
      </c>
      <c r="O415" t="s">
        <v>4104</v>
      </c>
      <c r="P415" t="str">
        <f t="shared" si="19"/>
        <v xml:space="preserve"> </v>
      </c>
      <c r="Q415" t="str">
        <f t="shared" si="20"/>
        <v>Unfavorable</v>
      </c>
    </row>
    <row r="416" spans="1:17">
      <c r="A416" t="s">
        <v>426</v>
      </c>
      <c r="B416" s="2">
        <v>45167</v>
      </c>
      <c r="C416">
        <v>4000</v>
      </c>
      <c r="D416" t="s">
        <v>2012</v>
      </c>
      <c r="E416">
        <v>0</v>
      </c>
      <c r="F416">
        <v>2146.0700000000002</v>
      </c>
      <c r="G416" t="s">
        <v>2020</v>
      </c>
      <c r="H416" t="s">
        <v>2023</v>
      </c>
      <c r="I416" t="s">
        <v>2442</v>
      </c>
      <c r="J416" t="s">
        <v>4030</v>
      </c>
      <c r="K416" t="s">
        <v>4037</v>
      </c>
      <c r="L416">
        <v>2146.0700000000002</v>
      </c>
      <c r="N416">
        <f t="shared" si="18"/>
        <v>2146.0700000000002</v>
      </c>
      <c r="O416" t="s">
        <v>4104</v>
      </c>
      <c r="P416" t="str">
        <f t="shared" si="19"/>
        <v xml:space="preserve"> </v>
      </c>
      <c r="Q416" t="str">
        <f t="shared" si="20"/>
        <v>Favorable</v>
      </c>
    </row>
    <row r="417" spans="1:17">
      <c r="A417" t="s">
        <v>427</v>
      </c>
      <c r="B417" s="2">
        <v>45517</v>
      </c>
      <c r="C417">
        <v>4000</v>
      </c>
      <c r="D417" t="s">
        <v>2012</v>
      </c>
      <c r="E417">
        <v>0</v>
      </c>
      <c r="F417">
        <v>811.92</v>
      </c>
      <c r="G417" t="s">
        <v>2018</v>
      </c>
      <c r="H417" t="s">
        <v>2023</v>
      </c>
      <c r="I417" t="s">
        <v>2443</v>
      </c>
      <c r="J417" t="s">
        <v>4030</v>
      </c>
      <c r="K417" t="s">
        <v>4058</v>
      </c>
      <c r="L417">
        <v>811.92</v>
      </c>
      <c r="N417">
        <f t="shared" si="18"/>
        <v>811.92</v>
      </c>
      <c r="O417" t="s">
        <v>4104</v>
      </c>
      <c r="P417" t="str">
        <f t="shared" si="19"/>
        <v xml:space="preserve"> </v>
      </c>
      <c r="Q417" t="str">
        <f t="shared" si="20"/>
        <v>Favorable</v>
      </c>
    </row>
    <row r="418" spans="1:17">
      <c r="A418" t="s">
        <v>428</v>
      </c>
      <c r="B418" s="2">
        <v>45513</v>
      </c>
      <c r="C418">
        <v>5000</v>
      </c>
      <c r="D418" t="s">
        <v>2013</v>
      </c>
      <c r="E418">
        <v>943.91</v>
      </c>
      <c r="F418">
        <v>0</v>
      </c>
      <c r="G418" t="s">
        <v>2018</v>
      </c>
      <c r="H418" t="s">
        <v>2026</v>
      </c>
      <c r="I418" t="s">
        <v>2444</v>
      </c>
      <c r="J418" t="s">
        <v>4031</v>
      </c>
      <c r="K418" t="s">
        <v>4058</v>
      </c>
      <c r="L418">
        <v>-943.91</v>
      </c>
      <c r="N418">
        <f t="shared" si="18"/>
        <v>-943.91</v>
      </c>
      <c r="O418" t="s">
        <v>4104</v>
      </c>
      <c r="P418" t="str">
        <f t="shared" si="19"/>
        <v xml:space="preserve"> </v>
      </c>
      <c r="Q418" t="str">
        <f t="shared" si="20"/>
        <v>Unfavorable</v>
      </c>
    </row>
    <row r="419" spans="1:17">
      <c r="A419" t="s">
        <v>429</v>
      </c>
      <c r="B419" s="2">
        <v>45667</v>
      </c>
      <c r="C419">
        <v>5000</v>
      </c>
      <c r="D419" t="s">
        <v>2013</v>
      </c>
      <c r="E419">
        <v>453.48</v>
      </c>
      <c r="F419">
        <v>0</v>
      </c>
      <c r="G419" t="s">
        <v>2017</v>
      </c>
      <c r="H419" t="s">
        <v>2023</v>
      </c>
      <c r="I419" t="s">
        <v>2445</v>
      </c>
      <c r="J419" t="s">
        <v>4031</v>
      </c>
      <c r="K419" t="s">
        <v>4035</v>
      </c>
      <c r="L419">
        <v>-453.48</v>
      </c>
      <c r="N419">
        <f t="shared" si="18"/>
        <v>-453.48</v>
      </c>
      <c r="O419" t="s">
        <v>4104</v>
      </c>
      <c r="P419" t="str">
        <f t="shared" si="19"/>
        <v xml:space="preserve"> </v>
      </c>
      <c r="Q419" t="str">
        <f t="shared" si="20"/>
        <v>Unfavorable</v>
      </c>
    </row>
    <row r="420" spans="1:17">
      <c r="A420" t="s">
        <v>430</v>
      </c>
      <c r="B420" s="2">
        <v>45120</v>
      </c>
      <c r="C420">
        <v>4000</v>
      </c>
      <c r="D420" t="s">
        <v>2012</v>
      </c>
      <c r="E420">
        <v>0</v>
      </c>
      <c r="F420">
        <v>4075.25</v>
      </c>
      <c r="G420" t="s">
        <v>2018</v>
      </c>
      <c r="H420" t="s">
        <v>2024</v>
      </c>
      <c r="I420" t="s">
        <v>2446</v>
      </c>
      <c r="J420" t="s">
        <v>4031</v>
      </c>
      <c r="K420" t="s">
        <v>4050</v>
      </c>
      <c r="L420">
        <v>4075.25</v>
      </c>
      <c r="N420">
        <f t="shared" si="18"/>
        <v>4075.25</v>
      </c>
      <c r="O420" t="s">
        <v>4104</v>
      </c>
      <c r="P420" t="str">
        <f t="shared" si="19"/>
        <v xml:space="preserve"> </v>
      </c>
      <c r="Q420" t="str">
        <f t="shared" si="20"/>
        <v>Favorable</v>
      </c>
    </row>
    <row r="421" spans="1:17">
      <c r="A421" t="s">
        <v>431</v>
      </c>
      <c r="B421" s="2">
        <v>45333</v>
      </c>
      <c r="C421">
        <v>4000</v>
      </c>
      <c r="D421" t="s">
        <v>2012</v>
      </c>
      <c r="E421">
        <v>0</v>
      </c>
      <c r="F421">
        <v>4559.4399999999996</v>
      </c>
      <c r="G421" t="s">
        <v>2021</v>
      </c>
      <c r="H421" t="s">
        <v>2027</v>
      </c>
      <c r="I421" t="s">
        <v>2447</v>
      </c>
      <c r="J421" t="s">
        <v>4028</v>
      </c>
      <c r="K421" t="s">
        <v>4044</v>
      </c>
      <c r="L421">
        <v>4559.4399999999996</v>
      </c>
      <c r="N421">
        <f t="shared" si="18"/>
        <v>4559.4399999999996</v>
      </c>
      <c r="O421" t="s">
        <v>4104</v>
      </c>
      <c r="P421" t="str">
        <f t="shared" si="19"/>
        <v xml:space="preserve"> </v>
      </c>
      <c r="Q421" t="str">
        <f t="shared" si="20"/>
        <v>Favorable</v>
      </c>
    </row>
    <row r="422" spans="1:17">
      <c r="A422" t="s">
        <v>432</v>
      </c>
      <c r="B422" s="2">
        <v>45745</v>
      </c>
      <c r="C422">
        <v>5010</v>
      </c>
      <c r="D422" t="s">
        <v>2015</v>
      </c>
      <c r="E422">
        <v>50.64</v>
      </c>
      <c r="F422">
        <v>0</v>
      </c>
      <c r="G422" t="s">
        <v>2017</v>
      </c>
      <c r="H422" t="s">
        <v>2025</v>
      </c>
      <c r="I422" t="s">
        <v>2448</v>
      </c>
      <c r="J422" t="s">
        <v>4029</v>
      </c>
      <c r="K422" t="s">
        <v>4046</v>
      </c>
      <c r="L422">
        <v>-50.64</v>
      </c>
      <c r="N422">
        <f t="shared" si="18"/>
        <v>-50.64</v>
      </c>
      <c r="O422" t="s">
        <v>4104</v>
      </c>
      <c r="P422" t="str">
        <f t="shared" si="19"/>
        <v xml:space="preserve"> </v>
      </c>
      <c r="Q422" t="str">
        <f t="shared" si="20"/>
        <v>Unfavorable</v>
      </c>
    </row>
    <row r="423" spans="1:17">
      <c r="A423" t="s">
        <v>433</v>
      </c>
      <c r="B423" s="2">
        <v>45114</v>
      </c>
      <c r="C423">
        <v>5000</v>
      </c>
      <c r="D423" t="s">
        <v>2013</v>
      </c>
      <c r="E423">
        <v>1277.92</v>
      </c>
      <c r="F423">
        <v>0</v>
      </c>
      <c r="G423" t="s">
        <v>2018</v>
      </c>
      <c r="H423" t="s">
        <v>2027</v>
      </c>
      <c r="I423" t="s">
        <v>2449</v>
      </c>
      <c r="J423" t="s">
        <v>4029</v>
      </c>
      <c r="K423" t="s">
        <v>4050</v>
      </c>
      <c r="L423">
        <v>-1277.92</v>
      </c>
      <c r="N423">
        <f t="shared" si="18"/>
        <v>-1277.92</v>
      </c>
      <c r="O423" t="s">
        <v>4104</v>
      </c>
      <c r="P423" t="str">
        <f t="shared" si="19"/>
        <v xml:space="preserve"> </v>
      </c>
      <c r="Q423" t="str">
        <f t="shared" si="20"/>
        <v>Unfavorable</v>
      </c>
    </row>
    <row r="424" spans="1:17">
      <c r="A424" t="s">
        <v>434</v>
      </c>
      <c r="B424" s="2">
        <v>45249</v>
      </c>
      <c r="C424">
        <v>5010</v>
      </c>
      <c r="D424" t="s">
        <v>2015</v>
      </c>
      <c r="E424">
        <v>707.53</v>
      </c>
      <c r="F424">
        <v>0</v>
      </c>
      <c r="G424" t="s">
        <v>2018</v>
      </c>
      <c r="H424" t="s">
        <v>2025</v>
      </c>
      <c r="I424" t="s">
        <v>2450</v>
      </c>
      <c r="J424" t="s">
        <v>4031</v>
      </c>
      <c r="K424" t="s">
        <v>4042</v>
      </c>
      <c r="L424">
        <v>-707.53</v>
      </c>
      <c r="N424">
        <f t="shared" si="18"/>
        <v>-707.53</v>
      </c>
      <c r="O424" t="s">
        <v>4104</v>
      </c>
      <c r="P424" t="str">
        <f t="shared" si="19"/>
        <v xml:space="preserve"> </v>
      </c>
      <c r="Q424" t="str">
        <f t="shared" si="20"/>
        <v>Unfavorable</v>
      </c>
    </row>
    <row r="425" spans="1:17">
      <c r="A425" t="s">
        <v>435</v>
      </c>
      <c r="B425" s="2">
        <v>45336</v>
      </c>
      <c r="C425">
        <v>6000</v>
      </c>
      <c r="D425" t="s">
        <v>2014</v>
      </c>
      <c r="E425">
        <v>356.21</v>
      </c>
      <c r="F425">
        <v>0</v>
      </c>
      <c r="G425" t="s">
        <v>2022</v>
      </c>
      <c r="H425" t="s">
        <v>2023</v>
      </c>
      <c r="I425" t="s">
        <v>2451</v>
      </c>
      <c r="J425" t="s">
        <v>4029</v>
      </c>
      <c r="K425" t="s">
        <v>4044</v>
      </c>
      <c r="L425">
        <v>-356.21</v>
      </c>
      <c r="N425">
        <f t="shared" si="18"/>
        <v>-356.21</v>
      </c>
      <c r="O425" t="s">
        <v>4104</v>
      </c>
      <c r="P425" t="str">
        <f t="shared" si="19"/>
        <v xml:space="preserve"> </v>
      </c>
      <c r="Q425" t="str">
        <f t="shared" si="20"/>
        <v>Unfavorable</v>
      </c>
    </row>
    <row r="426" spans="1:17">
      <c r="A426" t="s">
        <v>436</v>
      </c>
      <c r="B426" s="2">
        <v>45611</v>
      </c>
      <c r="C426">
        <v>5010</v>
      </c>
      <c r="D426" t="s">
        <v>2015</v>
      </c>
      <c r="E426">
        <v>189.31</v>
      </c>
      <c r="F426">
        <v>0</v>
      </c>
      <c r="G426" t="s">
        <v>2018</v>
      </c>
      <c r="H426" t="s">
        <v>2027</v>
      </c>
      <c r="I426" t="s">
        <v>2452</v>
      </c>
      <c r="J426" t="s">
        <v>4029</v>
      </c>
      <c r="K426" t="s">
        <v>4043</v>
      </c>
      <c r="L426">
        <v>-189.31</v>
      </c>
      <c r="N426">
        <f t="shared" si="18"/>
        <v>-189.31</v>
      </c>
      <c r="O426" t="s">
        <v>4104</v>
      </c>
      <c r="P426" t="str">
        <f t="shared" si="19"/>
        <v xml:space="preserve"> </v>
      </c>
      <c r="Q426" t="str">
        <f t="shared" si="20"/>
        <v>Unfavorable</v>
      </c>
    </row>
    <row r="427" spans="1:17">
      <c r="A427" t="s">
        <v>437</v>
      </c>
      <c r="B427" s="2">
        <v>45319</v>
      </c>
      <c r="C427">
        <v>6000</v>
      </c>
      <c r="D427" t="s">
        <v>2014</v>
      </c>
      <c r="E427">
        <v>519.61</v>
      </c>
      <c r="F427">
        <v>0</v>
      </c>
      <c r="G427" t="s">
        <v>2020</v>
      </c>
      <c r="H427" t="s">
        <v>2024</v>
      </c>
      <c r="I427" t="s">
        <v>2453</v>
      </c>
      <c r="J427" t="s">
        <v>4028</v>
      </c>
      <c r="K427" t="s">
        <v>4053</v>
      </c>
      <c r="L427">
        <v>-519.61</v>
      </c>
      <c r="N427">
        <f t="shared" si="18"/>
        <v>-519.61</v>
      </c>
      <c r="O427" t="s">
        <v>4104</v>
      </c>
      <c r="P427" t="str">
        <f t="shared" si="19"/>
        <v xml:space="preserve"> </v>
      </c>
      <c r="Q427" t="str">
        <f t="shared" si="20"/>
        <v>Unfavorable</v>
      </c>
    </row>
    <row r="428" spans="1:17">
      <c r="A428" t="s">
        <v>438</v>
      </c>
      <c r="B428" s="2">
        <v>45341</v>
      </c>
      <c r="C428">
        <v>4000</v>
      </c>
      <c r="D428" t="s">
        <v>2012</v>
      </c>
      <c r="E428">
        <v>0</v>
      </c>
      <c r="F428">
        <v>3923.81</v>
      </c>
      <c r="G428" t="s">
        <v>2022</v>
      </c>
      <c r="H428" t="s">
        <v>2025</v>
      </c>
      <c r="I428" t="s">
        <v>2454</v>
      </c>
      <c r="J428" t="s">
        <v>4030</v>
      </c>
      <c r="K428" t="s">
        <v>4044</v>
      </c>
      <c r="L428">
        <v>3923.81</v>
      </c>
      <c r="N428">
        <f t="shared" si="18"/>
        <v>3923.81</v>
      </c>
      <c r="O428" t="s">
        <v>4104</v>
      </c>
      <c r="P428" t="str">
        <f t="shared" si="19"/>
        <v xml:space="preserve"> </v>
      </c>
      <c r="Q428" t="str">
        <f t="shared" si="20"/>
        <v>Favorable</v>
      </c>
    </row>
    <row r="429" spans="1:17">
      <c r="A429" t="s">
        <v>439</v>
      </c>
      <c r="B429" s="2">
        <v>45227</v>
      </c>
      <c r="C429">
        <v>5000</v>
      </c>
      <c r="D429" t="s">
        <v>2013</v>
      </c>
      <c r="E429">
        <v>171.38</v>
      </c>
      <c r="F429">
        <v>0</v>
      </c>
      <c r="G429" t="s">
        <v>2020</v>
      </c>
      <c r="H429" t="s">
        <v>2025</v>
      </c>
      <c r="I429" t="s">
        <v>2455</v>
      </c>
      <c r="J429" t="s">
        <v>4032</v>
      </c>
      <c r="K429" t="s">
        <v>4060</v>
      </c>
      <c r="L429">
        <v>-171.38</v>
      </c>
      <c r="N429">
        <f t="shared" si="18"/>
        <v>-171.38</v>
      </c>
      <c r="O429" t="s">
        <v>4104</v>
      </c>
      <c r="P429" t="str">
        <f t="shared" si="19"/>
        <v xml:space="preserve"> </v>
      </c>
      <c r="Q429" t="str">
        <f t="shared" si="20"/>
        <v>Unfavorable</v>
      </c>
    </row>
    <row r="430" spans="1:17">
      <c r="A430" t="s">
        <v>440</v>
      </c>
      <c r="B430" s="2">
        <v>45114</v>
      </c>
      <c r="C430">
        <v>5000</v>
      </c>
      <c r="D430" t="s">
        <v>2013</v>
      </c>
      <c r="E430">
        <v>960.38</v>
      </c>
      <c r="F430">
        <v>0</v>
      </c>
      <c r="G430" t="s">
        <v>2020</v>
      </c>
      <c r="H430" t="s">
        <v>2027</v>
      </c>
      <c r="I430" t="s">
        <v>2456</v>
      </c>
      <c r="J430" t="s">
        <v>4029</v>
      </c>
      <c r="K430" t="s">
        <v>4050</v>
      </c>
      <c r="L430">
        <v>-960.38</v>
      </c>
      <c r="N430">
        <f t="shared" si="18"/>
        <v>-960.38</v>
      </c>
      <c r="O430" t="s">
        <v>4104</v>
      </c>
      <c r="P430" t="str">
        <f t="shared" si="19"/>
        <v xml:space="preserve"> </v>
      </c>
      <c r="Q430" t="str">
        <f t="shared" si="20"/>
        <v>Unfavorable</v>
      </c>
    </row>
    <row r="431" spans="1:17">
      <c r="A431" t="s">
        <v>441</v>
      </c>
      <c r="B431" s="2">
        <v>45001</v>
      </c>
      <c r="C431">
        <v>5010</v>
      </c>
      <c r="D431" t="s">
        <v>2015</v>
      </c>
      <c r="E431">
        <v>931.96</v>
      </c>
      <c r="F431">
        <v>0</v>
      </c>
      <c r="G431" t="s">
        <v>2020</v>
      </c>
      <c r="H431" t="s">
        <v>2027</v>
      </c>
      <c r="I431" t="s">
        <v>2457</v>
      </c>
      <c r="J431" t="s">
        <v>4028</v>
      </c>
      <c r="K431" t="s">
        <v>4051</v>
      </c>
      <c r="L431">
        <v>-931.96</v>
      </c>
      <c r="N431">
        <f t="shared" si="18"/>
        <v>-931.96</v>
      </c>
      <c r="O431" t="s">
        <v>4104</v>
      </c>
      <c r="P431" t="str">
        <f t="shared" si="19"/>
        <v xml:space="preserve"> </v>
      </c>
      <c r="Q431" t="str">
        <f t="shared" si="20"/>
        <v>Unfavorable</v>
      </c>
    </row>
    <row r="432" spans="1:17">
      <c r="A432" t="s">
        <v>442</v>
      </c>
      <c r="B432" s="2">
        <v>45267</v>
      </c>
      <c r="C432">
        <v>4000</v>
      </c>
      <c r="D432" t="s">
        <v>2012</v>
      </c>
      <c r="E432">
        <v>0</v>
      </c>
      <c r="F432">
        <v>353.32</v>
      </c>
      <c r="G432" t="s">
        <v>2021</v>
      </c>
      <c r="H432" t="s">
        <v>2024</v>
      </c>
      <c r="I432" t="s">
        <v>2458</v>
      </c>
      <c r="J432" t="s">
        <v>4031</v>
      </c>
      <c r="K432" t="s">
        <v>4039</v>
      </c>
      <c r="L432">
        <v>353.32</v>
      </c>
      <c r="N432">
        <f t="shared" si="18"/>
        <v>353.32</v>
      </c>
      <c r="O432" t="s">
        <v>4104</v>
      </c>
      <c r="P432" t="str">
        <f t="shared" si="19"/>
        <v xml:space="preserve"> </v>
      </c>
      <c r="Q432" t="str">
        <f t="shared" si="20"/>
        <v>Favorable</v>
      </c>
    </row>
    <row r="433" spans="1:17">
      <c r="A433" t="s">
        <v>443</v>
      </c>
      <c r="B433" s="2">
        <v>45695</v>
      </c>
      <c r="C433">
        <v>6000</v>
      </c>
      <c r="D433" t="s">
        <v>2014</v>
      </c>
      <c r="E433">
        <v>66.08</v>
      </c>
      <c r="F433">
        <v>0</v>
      </c>
      <c r="G433" t="s">
        <v>2019</v>
      </c>
      <c r="H433" t="s">
        <v>2026</v>
      </c>
      <c r="I433" t="s">
        <v>2459</v>
      </c>
      <c r="J433" t="s">
        <v>4028</v>
      </c>
      <c r="K433" t="s">
        <v>4061</v>
      </c>
      <c r="L433">
        <v>-66.08</v>
      </c>
      <c r="N433">
        <f t="shared" si="18"/>
        <v>-66.08</v>
      </c>
      <c r="O433" t="s">
        <v>4104</v>
      </c>
      <c r="P433" t="str">
        <f t="shared" si="19"/>
        <v xml:space="preserve"> </v>
      </c>
      <c r="Q433" t="str">
        <f t="shared" si="20"/>
        <v>Unfavorable</v>
      </c>
    </row>
    <row r="434" spans="1:17">
      <c r="A434" t="s">
        <v>444</v>
      </c>
      <c r="B434" s="2">
        <v>45496</v>
      </c>
      <c r="C434">
        <v>4000</v>
      </c>
      <c r="D434" t="s">
        <v>2012</v>
      </c>
      <c r="E434">
        <v>0</v>
      </c>
      <c r="F434">
        <v>361.74</v>
      </c>
      <c r="G434" t="s">
        <v>2020</v>
      </c>
      <c r="H434" t="s">
        <v>2027</v>
      </c>
      <c r="I434" t="s">
        <v>2460</v>
      </c>
      <c r="J434" t="s">
        <v>4028</v>
      </c>
      <c r="K434" t="s">
        <v>4054</v>
      </c>
      <c r="L434">
        <v>361.74</v>
      </c>
      <c r="N434">
        <f t="shared" si="18"/>
        <v>361.74</v>
      </c>
      <c r="O434" t="s">
        <v>4104</v>
      </c>
      <c r="P434" t="str">
        <f t="shared" si="19"/>
        <v xml:space="preserve"> </v>
      </c>
      <c r="Q434" t="str">
        <f t="shared" si="20"/>
        <v>Favorable</v>
      </c>
    </row>
    <row r="435" spans="1:17">
      <c r="A435" t="s">
        <v>445</v>
      </c>
      <c r="B435" s="2">
        <v>44932</v>
      </c>
      <c r="C435">
        <v>6000</v>
      </c>
      <c r="D435" t="s">
        <v>2014</v>
      </c>
      <c r="E435">
        <v>1392.66</v>
      </c>
      <c r="F435">
        <v>0</v>
      </c>
      <c r="G435" t="s">
        <v>2019</v>
      </c>
      <c r="H435" t="s">
        <v>2027</v>
      </c>
      <c r="I435" t="s">
        <v>2461</v>
      </c>
      <c r="J435" t="s">
        <v>4032</v>
      </c>
      <c r="K435" t="s">
        <v>4047</v>
      </c>
      <c r="L435">
        <v>-1392.66</v>
      </c>
      <c r="N435">
        <f t="shared" si="18"/>
        <v>-1392.66</v>
      </c>
      <c r="O435" t="s">
        <v>4104</v>
      </c>
      <c r="P435" t="str">
        <f t="shared" si="19"/>
        <v xml:space="preserve"> </v>
      </c>
      <c r="Q435" t="str">
        <f t="shared" si="20"/>
        <v>Unfavorable</v>
      </c>
    </row>
    <row r="436" spans="1:17">
      <c r="A436" t="s">
        <v>446</v>
      </c>
      <c r="B436" s="2">
        <v>45320</v>
      </c>
      <c r="C436">
        <v>4000</v>
      </c>
      <c r="D436" t="s">
        <v>2012</v>
      </c>
      <c r="E436">
        <v>0</v>
      </c>
      <c r="F436">
        <v>4172.26</v>
      </c>
      <c r="G436" t="s">
        <v>2020</v>
      </c>
      <c r="H436" t="s">
        <v>2027</v>
      </c>
      <c r="I436" t="s">
        <v>2462</v>
      </c>
      <c r="J436" t="s">
        <v>4031</v>
      </c>
      <c r="K436" t="s">
        <v>4053</v>
      </c>
      <c r="L436">
        <v>4172.26</v>
      </c>
      <c r="N436">
        <f t="shared" si="18"/>
        <v>4172.26</v>
      </c>
      <c r="O436" t="s">
        <v>4104</v>
      </c>
      <c r="P436" t="str">
        <f t="shared" si="19"/>
        <v xml:space="preserve"> </v>
      </c>
      <c r="Q436" t="str">
        <f t="shared" si="20"/>
        <v>Favorable</v>
      </c>
    </row>
    <row r="437" spans="1:17">
      <c r="A437" t="s">
        <v>447</v>
      </c>
      <c r="B437" s="2">
        <v>44947</v>
      </c>
      <c r="C437">
        <v>6000</v>
      </c>
      <c r="D437" t="s">
        <v>2014</v>
      </c>
      <c r="E437">
        <v>1792.82</v>
      </c>
      <c r="F437">
        <v>0</v>
      </c>
      <c r="G437" t="s">
        <v>2017</v>
      </c>
      <c r="H437" t="s">
        <v>2023</v>
      </c>
      <c r="I437" t="s">
        <v>2463</v>
      </c>
      <c r="J437" t="s">
        <v>4028</v>
      </c>
      <c r="K437" t="s">
        <v>4047</v>
      </c>
      <c r="L437">
        <v>-1792.82</v>
      </c>
      <c r="N437">
        <f t="shared" si="18"/>
        <v>-1792.82</v>
      </c>
      <c r="O437" t="s">
        <v>4104</v>
      </c>
      <c r="P437" t="str">
        <f t="shared" si="19"/>
        <v xml:space="preserve"> </v>
      </c>
      <c r="Q437" t="str">
        <f t="shared" si="20"/>
        <v>Unfavorable</v>
      </c>
    </row>
    <row r="438" spans="1:17">
      <c r="A438" t="s">
        <v>448</v>
      </c>
      <c r="B438" s="2">
        <v>45250</v>
      </c>
      <c r="C438">
        <v>5000</v>
      </c>
      <c r="D438" t="s">
        <v>2013</v>
      </c>
      <c r="E438">
        <v>164.54</v>
      </c>
      <c r="F438">
        <v>0</v>
      </c>
      <c r="G438" t="s">
        <v>2020</v>
      </c>
      <c r="H438" t="s">
        <v>2025</v>
      </c>
      <c r="I438" t="s">
        <v>2464</v>
      </c>
      <c r="J438" t="s">
        <v>4028</v>
      </c>
      <c r="K438" t="s">
        <v>4042</v>
      </c>
      <c r="L438">
        <v>-164.54</v>
      </c>
      <c r="N438">
        <f t="shared" si="18"/>
        <v>-164.54</v>
      </c>
      <c r="O438" t="s">
        <v>4104</v>
      </c>
      <c r="P438" t="str">
        <f t="shared" si="19"/>
        <v xml:space="preserve"> </v>
      </c>
      <c r="Q438" t="str">
        <f t="shared" si="20"/>
        <v>Unfavorable</v>
      </c>
    </row>
    <row r="439" spans="1:17">
      <c r="A439" t="s">
        <v>449</v>
      </c>
      <c r="B439" s="2">
        <v>45611</v>
      </c>
      <c r="C439">
        <v>6000</v>
      </c>
      <c r="D439" t="s">
        <v>2014</v>
      </c>
      <c r="E439">
        <v>217.44</v>
      </c>
      <c r="F439">
        <v>0</v>
      </c>
      <c r="G439" t="s">
        <v>2017</v>
      </c>
      <c r="H439" t="s">
        <v>2026</v>
      </c>
      <c r="I439" t="s">
        <v>2465</v>
      </c>
      <c r="J439" t="s">
        <v>4029</v>
      </c>
      <c r="K439" t="s">
        <v>4043</v>
      </c>
      <c r="L439">
        <v>-217.44</v>
      </c>
      <c r="N439">
        <f t="shared" si="18"/>
        <v>-217.44</v>
      </c>
      <c r="O439" t="s">
        <v>4104</v>
      </c>
      <c r="P439" t="str">
        <f t="shared" si="19"/>
        <v xml:space="preserve"> </v>
      </c>
      <c r="Q439" t="str">
        <f t="shared" si="20"/>
        <v>Unfavorable</v>
      </c>
    </row>
    <row r="440" spans="1:17">
      <c r="A440" t="s">
        <v>450</v>
      </c>
      <c r="B440" s="2">
        <v>45660</v>
      </c>
      <c r="C440">
        <v>6000</v>
      </c>
      <c r="D440" t="s">
        <v>2014</v>
      </c>
      <c r="E440">
        <v>1899.59</v>
      </c>
      <c r="F440">
        <v>0</v>
      </c>
      <c r="G440" t="s">
        <v>2021</v>
      </c>
      <c r="H440" t="s">
        <v>2023</v>
      </c>
      <c r="I440" t="s">
        <v>2466</v>
      </c>
      <c r="J440" t="s">
        <v>4031</v>
      </c>
      <c r="K440" t="s">
        <v>4035</v>
      </c>
      <c r="L440">
        <v>-1899.59</v>
      </c>
      <c r="N440">
        <f t="shared" si="18"/>
        <v>-1899.59</v>
      </c>
      <c r="O440" t="s">
        <v>4104</v>
      </c>
      <c r="P440" t="str">
        <f t="shared" si="19"/>
        <v xml:space="preserve"> </v>
      </c>
      <c r="Q440" t="str">
        <f t="shared" si="20"/>
        <v>Unfavorable</v>
      </c>
    </row>
    <row r="441" spans="1:17">
      <c r="A441" t="s">
        <v>451</v>
      </c>
      <c r="B441" s="2">
        <v>45455</v>
      </c>
      <c r="C441">
        <v>5010</v>
      </c>
      <c r="D441" t="s">
        <v>2015</v>
      </c>
      <c r="E441">
        <v>808.94</v>
      </c>
      <c r="F441">
        <v>0</v>
      </c>
      <c r="G441" t="s">
        <v>2022</v>
      </c>
      <c r="H441" t="s">
        <v>2024</v>
      </c>
      <c r="I441" t="s">
        <v>2467</v>
      </c>
      <c r="J441" t="s">
        <v>4029</v>
      </c>
      <c r="K441" t="s">
        <v>4034</v>
      </c>
      <c r="L441">
        <v>-808.94</v>
      </c>
      <c r="N441">
        <f t="shared" si="18"/>
        <v>-808.94</v>
      </c>
      <c r="O441" t="s">
        <v>4104</v>
      </c>
      <c r="P441" t="str">
        <f t="shared" si="19"/>
        <v xml:space="preserve"> </v>
      </c>
      <c r="Q441" t="str">
        <f t="shared" si="20"/>
        <v>Unfavorable</v>
      </c>
    </row>
    <row r="442" spans="1:17">
      <c r="A442" t="s">
        <v>452</v>
      </c>
      <c r="B442" s="2">
        <v>45120</v>
      </c>
      <c r="C442">
        <v>4000</v>
      </c>
      <c r="D442" t="s">
        <v>2012</v>
      </c>
      <c r="E442">
        <v>0</v>
      </c>
      <c r="F442">
        <v>3691.59</v>
      </c>
      <c r="G442" t="s">
        <v>2020</v>
      </c>
      <c r="H442" t="s">
        <v>2023</v>
      </c>
      <c r="I442" t="s">
        <v>2468</v>
      </c>
      <c r="J442" t="s">
        <v>4030</v>
      </c>
      <c r="K442" t="s">
        <v>4050</v>
      </c>
      <c r="L442">
        <v>3691.59</v>
      </c>
      <c r="N442">
        <f t="shared" si="18"/>
        <v>3691.59</v>
      </c>
      <c r="O442" t="s">
        <v>4104</v>
      </c>
      <c r="P442" t="str">
        <f t="shared" si="19"/>
        <v xml:space="preserve"> </v>
      </c>
      <c r="Q442" t="str">
        <f t="shared" si="20"/>
        <v>Favorable</v>
      </c>
    </row>
    <row r="443" spans="1:17">
      <c r="A443" t="s">
        <v>453</v>
      </c>
      <c r="B443" s="2">
        <v>45654</v>
      </c>
      <c r="C443">
        <v>4010</v>
      </c>
      <c r="D443" t="s">
        <v>2016</v>
      </c>
      <c r="E443">
        <v>0</v>
      </c>
      <c r="F443">
        <v>2510.66</v>
      </c>
      <c r="G443" t="s">
        <v>2019</v>
      </c>
      <c r="H443" t="s">
        <v>2027</v>
      </c>
      <c r="I443" t="s">
        <v>2469</v>
      </c>
      <c r="J443" t="s">
        <v>4031</v>
      </c>
      <c r="K443" t="s">
        <v>4056</v>
      </c>
      <c r="L443">
        <v>2510.66</v>
      </c>
      <c r="N443">
        <f t="shared" si="18"/>
        <v>2510.66</v>
      </c>
      <c r="O443" t="s">
        <v>4104</v>
      </c>
      <c r="P443" t="str">
        <f t="shared" si="19"/>
        <v xml:space="preserve"> </v>
      </c>
      <c r="Q443" t="str">
        <f t="shared" si="20"/>
        <v>Favorable</v>
      </c>
    </row>
    <row r="444" spans="1:17">
      <c r="A444" t="s">
        <v>454</v>
      </c>
      <c r="B444" s="2">
        <v>45467</v>
      </c>
      <c r="C444">
        <v>4000</v>
      </c>
      <c r="D444" t="s">
        <v>2012</v>
      </c>
      <c r="E444">
        <v>0</v>
      </c>
      <c r="F444">
        <v>1959.12</v>
      </c>
      <c r="G444" t="s">
        <v>2019</v>
      </c>
      <c r="H444" t="s">
        <v>2027</v>
      </c>
      <c r="I444" t="s">
        <v>2470</v>
      </c>
      <c r="J444" t="s">
        <v>4029</v>
      </c>
      <c r="K444" t="s">
        <v>4034</v>
      </c>
      <c r="L444">
        <v>1959.12</v>
      </c>
      <c r="N444">
        <f t="shared" si="18"/>
        <v>1959.12</v>
      </c>
      <c r="O444" t="s">
        <v>4104</v>
      </c>
      <c r="P444" t="str">
        <f t="shared" si="19"/>
        <v xml:space="preserve"> </v>
      </c>
      <c r="Q444" t="str">
        <f t="shared" si="20"/>
        <v>Favorable</v>
      </c>
    </row>
    <row r="445" spans="1:17">
      <c r="A445" t="s">
        <v>455</v>
      </c>
      <c r="B445" s="2">
        <v>45574</v>
      </c>
      <c r="C445">
        <v>5010</v>
      </c>
      <c r="D445" t="s">
        <v>2015</v>
      </c>
      <c r="E445">
        <v>1541.66</v>
      </c>
      <c r="F445">
        <v>0</v>
      </c>
      <c r="G445" t="s">
        <v>2019</v>
      </c>
      <c r="H445" t="s">
        <v>2025</v>
      </c>
      <c r="I445" t="s">
        <v>2471</v>
      </c>
      <c r="J445" t="s">
        <v>4032</v>
      </c>
      <c r="K445" t="s">
        <v>4059</v>
      </c>
      <c r="L445">
        <v>-1541.66</v>
      </c>
      <c r="N445">
        <f t="shared" si="18"/>
        <v>-1541.66</v>
      </c>
      <c r="O445" t="s">
        <v>4104</v>
      </c>
      <c r="P445" t="str">
        <f t="shared" si="19"/>
        <v xml:space="preserve"> </v>
      </c>
      <c r="Q445" t="str">
        <f t="shared" si="20"/>
        <v>Unfavorable</v>
      </c>
    </row>
    <row r="446" spans="1:17">
      <c r="A446" t="s">
        <v>456</v>
      </c>
      <c r="B446" s="2">
        <v>45718</v>
      </c>
      <c r="C446">
        <v>5010</v>
      </c>
      <c r="D446" t="s">
        <v>2015</v>
      </c>
      <c r="E446">
        <v>1240.1400000000001</v>
      </c>
      <c r="F446">
        <v>0</v>
      </c>
      <c r="G446" t="s">
        <v>2020</v>
      </c>
      <c r="H446" t="s">
        <v>2023</v>
      </c>
      <c r="I446" t="s">
        <v>2472</v>
      </c>
      <c r="J446" t="s">
        <v>4032</v>
      </c>
      <c r="K446" t="s">
        <v>4046</v>
      </c>
      <c r="L446">
        <v>-1240.1400000000001</v>
      </c>
      <c r="N446">
        <f t="shared" si="18"/>
        <v>-1240.1400000000001</v>
      </c>
      <c r="O446" t="s">
        <v>4104</v>
      </c>
      <c r="P446" t="str">
        <f t="shared" si="19"/>
        <v xml:space="preserve"> </v>
      </c>
      <c r="Q446" t="str">
        <f t="shared" si="20"/>
        <v>Unfavorable</v>
      </c>
    </row>
    <row r="447" spans="1:17">
      <c r="A447" t="s">
        <v>457</v>
      </c>
      <c r="B447" s="2">
        <v>45688</v>
      </c>
      <c r="C447">
        <v>5010</v>
      </c>
      <c r="D447" t="s">
        <v>2015</v>
      </c>
      <c r="E447">
        <v>889.94</v>
      </c>
      <c r="F447">
        <v>0</v>
      </c>
      <c r="G447" t="s">
        <v>2019</v>
      </c>
      <c r="H447" t="s">
        <v>2024</v>
      </c>
      <c r="I447" t="s">
        <v>2473</v>
      </c>
      <c r="J447" t="s">
        <v>4030</v>
      </c>
      <c r="K447" t="s">
        <v>4035</v>
      </c>
      <c r="L447">
        <v>-889.94</v>
      </c>
      <c r="N447">
        <f t="shared" si="18"/>
        <v>-889.94</v>
      </c>
      <c r="O447" t="s">
        <v>4104</v>
      </c>
      <c r="P447" t="str">
        <f t="shared" si="19"/>
        <v xml:space="preserve"> </v>
      </c>
      <c r="Q447" t="str">
        <f t="shared" si="20"/>
        <v>Unfavorable</v>
      </c>
    </row>
    <row r="448" spans="1:17">
      <c r="A448" t="s">
        <v>458</v>
      </c>
      <c r="B448" s="2">
        <v>45824</v>
      </c>
      <c r="C448">
        <v>5000</v>
      </c>
      <c r="D448" t="s">
        <v>2013</v>
      </c>
      <c r="E448">
        <v>1562.72</v>
      </c>
      <c r="F448">
        <v>0</v>
      </c>
      <c r="G448" t="s">
        <v>2019</v>
      </c>
      <c r="H448" t="s">
        <v>2027</v>
      </c>
      <c r="I448" t="s">
        <v>2474</v>
      </c>
      <c r="J448" t="s">
        <v>4029</v>
      </c>
      <c r="K448" t="s">
        <v>4052</v>
      </c>
      <c r="L448">
        <v>-1562.72</v>
      </c>
      <c r="N448">
        <f t="shared" si="18"/>
        <v>-1562.72</v>
      </c>
      <c r="O448" t="s">
        <v>4104</v>
      </c>
      <c r="P448" t="str">
        <f t="shared" si="19"/>
        <v xml:space="preserve"> </v>
      </c>
      <c r="Q448" t="str">
        <f t="shared" si="20"/>
        <v>Unfavorable</v>
      </c>
    </row>
    <row r="449" spans="1:17">
      <c r="A449" t="s">
        <v>459</v>
      </c>
      <c r="B449" s="2">
        <v>45552</v>
      </c>
      <c r="C449">
        <v>6000</v>
      </c>
      <c r="D449" t="s">
        <v>2014</v>
      </c>
      <c r="E449">
        <v>1182.8</v>
      </c>
      <c r="F449">
        <v>0</v>
      </c>
      <c r="G449" t="s">
        <v>2018</v>
      </c>
      <c r="H449" t="s">
        <v>2026</v>
      </c>
      <c r="I449" t="s">
        <v>2475</v>
      </c>
      <c r="J449" t="s">
        <v>4029</v>
      </c>
      <c r="K449" t="s">
        <v>4048</v>
      </c>
      <c r="L449">
        <v>-1182.8</v>
      </c>
      <c r="N449">
        <f t="shared" si="18"/>
        <v>-1182.8</v>
      </c>
      <c r="O449" t="s">
        <v>4104</v>
      </c>
      <c r="P449" t="str">
        <f t="shared" si="19"/>
        <v xml:space="preserve"> </v>
      </c>
      <c r="Q449" t="str">
        <f t="shared" si="20"/>
        <v>Unfavorable</v>
      </c>
    </row>
    <row r="450" spans="1:17">
      <c r="A450" t="s">
        <v>460</v>
      </c>
      <c r="B450" s="2">
        <v>45177</v>
      </c>
      <c r="C450">
        <v>6000</v>
      </c>
      <c r="D450" t="s">
        <v>2014</v>
      </c>
      <c r="E450">
        <v>489.72</v>
      </c>
      <c r="F450">
        <v>0</v>
      </c>
      <c r="G450" t="s">
        <v>2021</v>
      </c>
      <c r="H450" t="s">
        <v>2027</v>
      </c>
      <c r="I450" t="s">
        <v>2476</v>
      </c>
      <c r="J450" t="s">
        <v>4032</v>
      </c>
      <c r="K450" t="s">
        <v>4036</v>
      </c>
      <c r="L450">
        <v>-489.72</v>
      </c>
      <c r="N450">
        <f t="shared" si="18"/>
        <v>-489.72</v>
      </c>
      <c r="O450" t="s">
        <v>4104</v>
      </c>
      <c r="P450" t="str">
        <f t="shared" si="19"/>
        <v xml:space="preserve"> </v>
      </c>
      <c r="Q450" t="str">
        <f t="shared" si="20"/>
        <v>Unfavorable</v>
      </c>
    </row>
    <row r="451" spans="1:17">
      <c r="A451" t="s">
        <v>461</v>
      </c>
      <c r="B451" s="2">
        <v>45007</v>
      </c>
      <c r="C451">
        <v>6000</v>
      </c>
      <c r="D451" t="s">
        <v>2014</v>
      </c>
      <c r="E451">
        <v>1003.21</v>
      </c>
      <c r="F451">
        <v>0</v>
      </c>
      <c r="G451" t="s">
        <v>2020</v>
      </c>
      <c r="H451" t="s">
        <v>2026</v>
      </c>
      <c r="I451" t="s">
        <v>2477</v>
      </c>
      <c r="J451" t="s">
        <v>4029</v>
      </c>
      <c r="K451" t="s">
        <v>4051</v>
      </c>
      <c r="L451">
        <v>-1003.21</v>
      </c>
      <c r="N451">
        <f t="shared" ref="N451:N514" si="21">L:L-M:M</f>
        <v>-1003.21</v>
      </c>
      <c r="O451" t="s">
        <v>4104</v>
      </c>
      <c r="P451" t="str">
        <f t="shared" ref="P451:P514" si="22">IF(AND(ABS(N:N)&gt;10000,M:M&lt;&gt;0),"Material", " ")</f>
        <v xml:space="preserve"> </v>
      </c>
      <c r="Q451" t="str">
        <f t="shared" ref="Q451:Q514" si="23">IF(N:N&gt;0,"Favorable","Unfavorable")</f>
        <v>Unfavorable</v>
      </c>
    </row>
    <row r="452" spans="1:17">
      <c r="A452" t="s">
        <v>462</v>
      </c>
      <c r="B452" s="2">
        <v>45208</v>
      </c>
      <c r="C452">
        <v>4000</v>
      </c>
      <c r="D452" t="s">
        <v>2012</v>
      </c>
      <c r="E452">
        <v>0</v>
      </c>
      <c r="F452">
        <v>1571.79</v>
      </c>
      <c r="G452" t="s">
        <v>2022</v>
      </c>
      <c r="H452" t="s">
        <v>2027</v>
      </c>
      <c r="I452" t="s">
        <v>2478</v>
      </c>
      <c r="J452" t="s">
        <v>4030</v>
      </c>
      <c r="K452" t="s">
        <v>4060</v>
      </c>
      <c r="L452">
        <v>1571.79</v>
      </c>
      <c r="N452">
        <f t="shared" si="21"/>
        <v>1571.79</v>
      </c>
      <c r="O452" t="s">
        <v>4104</v>
      </c>
      <c r="P452" t="str">
        <f t="shared" si="22"/>
        <v xml:space="preserve"> </v>
      </c>
      <c r="Q452" t="str">
        <f t="shared" si="23"/>
        <v>Favorable</v>
      </c>
    </row>
    <row r="453" spans="1:17">
      <c r="A453" t="s">
        <v>463</v>
      </c>
      <c r="B453" s="2">
        <v>45817</v>
      </c>
      <c r="C453">
        <v>6000</v>
      </c>
      <c r="D453" t="s">
        <v>2014</v>
      </c>
      <c r="E453">
        <v>1413.19</v>
      </c>
      <c r="F453">
        <v>0</v>
      </c>
      <c r="G453" t="s">
        <v>2021</v>
      </c>
      <c r="H453" t="s">
        <v>2023</v>
      </c>
      <c r="I453" t="s">
        <v>2479</v>
      </c>
      <c r="J453" t="s">
        <v>4030</v>
      </c>
      <c r="K453" t="s">
        <v>4052</v>
      </c>
      <c r="L453">
        <v>-1413.19</v>
      </c>
      <c r="N453">
        <f t="shared" si="21"/>
        <v>-1413.19</v>
      </c>
      <c r="O453" t="s">
        <v>4104</v>
      </c>
      <c r="P453" t="str">
        <f t="shared" si="22"/>
        <v xml:space="preserve"> </v>
      </c>
      <c r="Q453" t="str">
        <f t="shared" si="23"/>
        <v>Unfavorable</v>
      </c>
    </row>
    <row r="454" spans="1:17">
      <c r="A454" t="s">
        <v>464</v>
      </c>
      <c r="B454" s="2">
        <v>45256</v>
      </c>
      <c r="C454">
        <v>6000</v>
      </c>
      <c r="D454" t="s">
        <v>2014</v>
      </c>
      <c r="E454">
        <v>819.5</v>
      </c>
      <c r="F454">
        <v>0</v>
      </c>
      <c r="G454" t="s">
        <v>2019</v>
      </c>
      <c r="H454" t="s">
        <v>2025</v>
      </c>
      <c r="I454" t="s">
        <v>2480</v>
      </c>
      <c r="J454" t="s">
        <v>4028</v>
      </c>
      <c r="K454" t="s">
        <v>4042</v>
      </c>
      <c r="L454">
        <v>-819.5</v>
      </c>
      <c r="N454">
        <f t="shared" si="21"/>
        <v>-819.5</v>
      </c>
      <c r="O454" t="s">
        <v>4104</v>
      </c>
      <c r="P454" t="str">
        <f t="shared" si="22"/>
        <v xml:space="preserve"> </v>
      </c>
      <c r="Q454" t="str">
        <f t="shared" si="23"/>
        <v>Unfavorable</v>
      </c>
    </row>
    <row r="455" spans="1:17">
      <c r="A455" t="s">
        <v>465</v>
      </c>
      <c r="B455" s="2">
        <v>44964</v>
      </c>
      <c r="C455">
        <v>4010</v>
      </c>
      <c r="D455" t="s">
        <v>2016</v>
      </c>
      <c r="E455">
        <v>0</v>
      </c>
      <c r="F455">
        <v>1428.23</v>
      </c>
      <c r="G455" t="s">
        <v>2018</v>
      </c>
      <c r="H455" t="s">
        <v>2026</v>
      </c>
      <c r="I455" t="s">
        <v>2481</v>
      </c>
      <c r="J455" t="s">
        <v>4031</v>
      </c>
      <c r="K455" t="s">
        <v>4057</v>
      </c>
      <c r="L455">
        <v>1428.23</v>
      </c>
      <c r="N455">
        <f t="shared" si="21"/>
        <v>1428.23</v>
      </c>
      <c r="O455" t="s">
        <v>4104</v>
      </c>
      <c r="P455" t="str">
        <f t="shared" si="22"/>
        <v xml:space="preserve"> </v>
      </c>
      <c r="Q455" t="str">
        <f t="shared" si="23"/>
        <v>Favorable</v>
      </c>
    </row>
    <row r="456" spans="1:17">
      <c r="A456" t="s">
        <v>466</v>
      </c>
      <c r="B456" s="2">
        <v>44935</v>
      </c>
      <c r="C456">
        <v>4000</v>
      </c>
      <c r="D456" t="s">
        <v>2012</v>
      </c>
      <c r="E456">
        <v>0</v>
      </c>
      <c r="F456">
        <v>1859.84</v>
      </c>
      <c r="G456" t="s">
        <v>2017</v>
      </c>
      <c r="H456" t="s">
        <v>2026</v>
      </c>
      <c r="I456" t="s">
        <v>2482</v>
      </c>
      <c r="J456" t="s">
        <v>4029</v>
      </c>
      <c r="K456" t="s">
        <v>4047</v>
      </c>
      <c r="L456">
        <v>1859.84</v>
      </c>
      <c r="N456">
        <f t="shared" si="21"/>
        <v>1859.84</v>
      </c>
      <c r="O456" t="s">
        <v>4104</v>
      </c>
      <c r="P456" t="str">
        <f t="shared" si="22"/>
        <v xml:space="preserve"> </v>
      </c>
      <c r="Q456" t="str">
        <f t="shared" si="23"/>
        <v>Favorable</v>
      </c>
    </row>
    <row r="457" spans="1:17">
      <c r="A457" t="s">
        <v>467</v>
      </c>
      <c r="B457" s="2">
        <v>45443</v>
      </c>
      <c r="C457">
        <v>5010</v>
      </c>
      <c r="D457" t="s">
        <v>2015</v>
      </c>
      <c r="E457">
        <v>1060.6500000000001</v>
      </c>
      <c r="F457">
        <v>0</v>
      </c>
      <c r="G457" t="s">
        <v>2018</v>
      </c>
      <c r="H457" t="s">
        <v>2027</v>
      </c>
      <c r="I457" t="s">
        <v>2483</v>
      </c>
      <c r="J457" t="s">
        <v>4031</v>
      </c>
      <c r="K457" t="s">
        <v>4033</v>
      </c>
      <c r="L457">
        <v>-1060.6500000000001</v>
      </c>
      <c r="N457">
        <f t="shared" si="21"/>
        <v>-1060.6500000000001</v>
      </c>
      <c r="O457" t="s">
        <v>4104</v>
      </c>
      <c r="P457" t="str">
        <f t="shared" si="22"/>
        <v xml:space="preserve"> </v>
      </c>
      <c r="Q457" t="str">
        <f t="shared" si="23"/>
        <v>Unfavorable</v>
      </c>
    </row>
    <row r="458" spans="1:17">
      <c r="A458" t="s">
        <v>468</v>
      </c>
      <c r="B458" s="2">
        <v>45626</v>
      </c>
      <c r="C458">
        <v>6000</v>
      </c>
      <c r="D458" t="s">
        <v>2014</v>
      </c>
      <c r="E458">
        <v>493.78</v>
      </c>
      <c r="F458">
        <v>0</v>
      </c>
      <c r="G458" t="s">
        <v>2020</v>
      </c>
      <c r="H458" t="s">
        <v>2024</v>
      </c>
      <c r="I458" t="s">
        <v>2484</v>
      </c>
      <c r="J458" t="s">
        <v>4029</v>
      </c>
      <c r="K458" t="s">
        <v>4043</v>
      </c>
      <c r="L458">
        <v>-493.78</v>
      </c>
      <c r="N458">
        <f t="shared" si="21"/>
        <v>-493.78</v>
      </c>
      <c r="O458" t="s">
        <v>4104</v>
      </c>
      <c r="P458" t="str">
        <f t="shared" si="22"/>
        <v xml:space="preserve"> </v>
      </c>
      <c r="Q458" t="str">
        <f t="shared" si="23"/>
        <v>Unfavorable</v>
      </c>
    </row>
    <row r="459" spans="1:17">
      <c r="A459" t="s">
        <v>469</v>
      </c>
      <c r="B459" s="2">
        <v>45443</v>
      </c>
      <c r="C459">
        <v>5010</v>
      </c>
      <c r="D459" t="s">
        <v>2015</v>
      </c>
      <c r="E459">
        <v>911.05</v>
      </c>
      <c r="F459">
        <v>0</v>
      </c>
      <c r="G459" t="s">
        <v>2020</v>
      </c>
      <c r="H459" t="s">
        <v>2025</v>
      </c>
      <c r="I459" t="s">
        <v>2485</v>
      </c>
      <c r="J459" t="s">
        <v>4031</v>
      </c>
      <c r="K459" t="s">
        <v>4033</v>
      </c>
      <c r="L459">
        <v>-911.05</v>
      </c>
      <c r="N459">
        <f t="shared" si="21"/>
        <v>-911.05</v>
      </c>
      <c r="O459" t="s">
        <v>4104</v>
      </c>
      <c r="P459" t="str">
        <f t="shared" si="22"/>
        <v xml:space="preserve"> </v>
      </c>
      <c r="Q459" t="str">
        <f t="shared" si="23"/>
        <v>Unfavorable</v>
      </c>
    </row>
    <row r="460" spans="1:17">
      <c r="A460" t="s">
        <v>470</v>
      </c>
      <c r="B460" s="2">
        <v>45541</v>
      </c>
      <c r="C460">
        <v>4010</v>
      </c>
      <c r="D460" t="s">
        <v>2016</v>
      </c>
      <c r="E460">
        <v>0</v>
      </c>
      <c r="F460">
        <v>855.46</v>
      </c>
      <c r="G460" t="s">
        <v>2020</v>
      </c>
      <c r="H460" t="s">
        <v>2023</v>
      </c>
      <c r="I460" t="s">
        <v>2486</v>
      </c>
      <c r="J460" t="s">
        <v>4028</v>
      </c>
      <c r="K460" t="s">
        <v>4048</v>
      </c>
      <c r="L460">
        <v>855.46</v>
      </c>
      <c r="N460">
        <f t="shared" si="21"/>
        <v>855.46</v>
      </c>
      <c r="O460" t="s">
        <v>4104</v>
      </c>
      <c r="P460" t="str">
        <f t="shared" si="22"/>
        <v xml:space="preserve"> </v>
      </c>
      <c r="Q460" t="str">
        <f t="shared" si="23"/>
        <v>Favorable</v>
      </c>
    </row>
    <row r="461" spans="1:17">
      <c r="A461" t="s">
        <v>471</v>
      </c>
      <c r="B461" s="2">
        <v>45182</v>
      </c>
      <c r="C461">
        <v>5000</v>
      </c>
      <c r="D461" t="s">
        <v>2013</v>
      </c>
      <c r="E461">
        <v>1218.8900000000001</v>
      </c>
      <c r="F461">
        <v>0</v>
      </c>
      <c r="G461" t="s">
        <v>2020</v>
      </c>
      <c r="H461" t="s">
        <v>2026</v>
      </c>
      <c r="I461" t="s">
        <v>2487</v>
      </c>
      <c r="J461" t="s">
        <v>4031</v>
      </c>
      <c r="K461" t="s">
        <v>4036</v>
      </c>
      <c r="L461">
        <v>-1218.8900000000001</v>
      </c>
      <c r="N461">
        <f t="shared" si="21"/>
        <v>-1218.8900000000001</v>
      </c>
      <c r="O461" t="s">
        <v>4104</v>
      </c>
      <c r="P461" t="str">
        <f t="shared" si="22"/>
        <v xml:space="preserve"> </v>
      </c>
      <c r="Q461" t="str">
        <f t="shared" si="23"/>
        <v>Unfavorable</v>
      </c>
    </row>
    <row r="462" spans="1:17">
      <c r="A462" t="s">
        <v>472</v>
      </c>
      <c r="B462" s="2">
        <v>44977</v>
      </c>
      <c r="C462">
        <v>6000</v>
      </c>
      <c r="D462" t="s">
        <v>2014</v>
      </c>
      <c r="E462">
        <v>670.27</v>
      </c>
      <c r="F462">
        <v>0</v>
      </c>
      <c r="G462" t="s">
        <v>2020</v>
      </c>
      <c r="H462" t="s">
        <v>2027</v>
      </c>
      <c r="I462" t="s">
        <v>2488</v>
      </c>
      <c r="J462" t="s">
        <v>4031</v>
      </c>
      <c r="K462" t="s">
        <v>4057</v>
      </c>
      <c r="L462">
        <v>-670.27</v>
      </c>
      <c r="N462">
        <f t="shared" si="21"/>
        <v>-670.27</v>
      </c>
      <c r="O462" t="s">
        <v>4104</v>
      </c>
      <c r="P462" t="str">
        <f t="shared" si="22"/>
        <v xml:space="preserve"> </v>
      </c>
      <c r="Q462" t="str">
        <f t="shared" si="23"/>
        <v>Unfavorable</v>
      </c>
    </row>
    <row r="463" spans="1:17">
      <c r="A463" t="s">
        <v>473</v>
      </c>
      <c r="B463" s="2">
        <v>45439</v>
      </c>
      <c r="C463">
        <v>5010</v>
      </c>
      <c r="D463" t="s">
        <v>2015</v>
      </c>
      <c r="E463">
        <v>579</v>
      </c>
      <c r="F463">
        <v>0</v>
      </c>
      <c r="G463" t="s">
        <v>2021</v>
      </c>
      <c r="H463" t="s">
        <v>2025</v>
      </c>
      <c r="I463" t="s">
        <v>2489</v>
      </c>
      <c r="J463" t="s">
        <v>4028</v>
      </c>
      <c r="K463" t="s">
        <v>4033</v>
      </c>
      <c r="L463">
        <v>-579</v>
      </c>
      <c r="N463">
        <f t="shared" si="21"/>
        <v>-579</v>
      </c>
      <c r="O463" t="s">
        <v>4104</v>
      </c>
      <c r="P463" t="str">
        <f t="shared" si="22"/>
        <v xml:space="preserve"> </v>
      </c>
      <c r="Q463" t="str">
        <f t="shared" si="23"/>
        <v>Unfavorable</v>
      </c>
    </row>
    <row r="464" spans="1:17">
      <c r="A464" t="s">
        <v>474</v>
      </c>
      <c r="B464" s="2">
        <v>45591</v>
      </c>
      <c r="C464">
        <v>4010</v>
      </c>
      <c r="D464" t="s">
        <v>2016</v>
      </c>
      <c r="E464">
        <v>0</v>
      </c>
      <c r="F464">
        <v>1322.5</v>
      </c>
      <c r="G464" t="s">
        <v>2018</v>
      </c>
      <c r="H464" t="s">
        <v>2023</v>
      </c>
      <c r="I464" t="s">
        <v>2490</v>
      </c>
      <c r="J464" t="s">
        <v>4028</v>
      </c>
      <c r="K464" t="s">
        <v>4059</v>
      </c>
      <c r="L464">
        <v>1322.5</v>
      </c>
      <c r="N464">
        <f t="shared" si="21"/>
        <v>1322.5</v>
      </c>
      <c r="O464" t="s">
        <v>4104</v>
      </c>
      <c r="P464" t="str">
        <f t="shared" si="22"/>
        <v xml:space="preserve"> </v>
      </c>
      <c r="Q464" t="str">
        <f t="shared" si="23"/>
        <v>Favorable</v>
      </c>
    </row>
    <row r="465" spans="1:17">
      <c r="A465" t="s">
        <v>475</v>
      </c>
      <c r="B465" s="2">
        <v>45667</v>
      </c>
      <c r="C465">
        <v>5010</v>
      </c>
      <c r="D465" t="s">
        <v>2015</v>
      </c>
      <c r="E465">
        <v>1920.52</v>
      </c>
      <c r="F465">
        <v>0</v>
      </c>
      <c r="G465" t="s">
        <v>2017</v>
      </c>
      <c r="H465" t="s">
        <v>2024</v>
      </c>
      <c r="I465" t="s">
        <v>2491</v>
      </c>
      <c r="J465" t="s">
        <v>4029</v>
      </c>
      <c r="K465" t="s">
        <v>4035</v>
      </c>
      <c r="L465">
        <v>-1920.52</v>
      </c>
      <c r="N465">
        <f t="shared" si="21"/>
        <v>-1920.52</v>
      </c>
      <c r="O465" t="s">
        <v>4104</v>
      </c>
      <c r="P465" t="str">
        <f t="shared" si="22"/>
        <v xml:space="preserve"> </v>
      </c>
      <c r="Q465" t="str">
        <f t="shared" si="23"/>
        <v>Unfavorable</v>
      </c>
    </row>
    <row r="466" spans="1:17">
      <c r="A466" t="s">
        <v>476</v>
      </c>
      <c r="B466" s="2">
        <v>45046</v>
      </c>
      <c r="C466">
        <v>6000</v>
      </c>
      <c r="D466" t="s">
        <v>2014</v>
      </c>
      <c r="E466">
        <v>417.54</v>
      </c>
      <c r="F466">
        <v>0</v>
      </c>
      <c r="G466" t="s">
        <v>2020</v>
      </c>
      <c r="H466" t="s">
        <v>2024</v>
      </c>
      <c r="I466" t="s">
        <v>2492</v>
      </c>
      <c r="J466" t="s">
        <v>4032</v>
      </c>
      <c r="K466" t="s">
        <v>4041</v>
      </c>
      <c r="L466">
        <v>-417.54</v>
      </c>
      <c r="N466">
        <f t="shared" si="21"/>
        <v>-417.54</v>
      </c>
      <c r="O466" t="s">
        <v>4104</v>
      </c>
      <c r="P466" t="str">
        <f t="shared" si="22"/>
        <v xml:space="preserve"> </v>
      </c>
      <c r="Q466" t="str">
        <f t="shared" si="23"/>
        <v>Unfavorable</v>
      </c>
    </row>
    <row r="467" spans="1:17">
      <c r="A467" t="s">
        <v>477</v>
      </c>
      <c r="B467" s="2">
        <v>45798</v>
      </c>
      <c r="C467">
        <v>5000</v>
      </c>
      <c r="D467" t="s">
        <v>2013</v>
      </c>
      <c r="E467">
        <v>1832.61</v>
      </c>
      <c r="F467">
        <v>0</v>
      </c>
      <c r="G467" t="s">
        <v>2020</v>
      </c>
      <c r="H467" t="s">
        <v>2023</v>
      </c>
      <c r="I467" t="s">
        <v>2493</v>
      </c>
      <c r="J467" t="s">
        <v>4032</v>
      </c>
      <c r="K467" t="s">
        <v>4038</v>
      </c>
      <c r="L467">
        <v>-1832.61</v>
      </c>
      <c r="N467">
        <f t="shared" si="21"/>
        <v>-1832.61</v>
      </c>
      <c r="O467" t="s">
        <v>4104</v>
      </c>
      <c r="P467" t="str">
        <f t="shared" si="22"/>
        <v xml:space="preserve"> </v>
      </c>
      <c r="Q467" t="str">
        <f t="shared" si="23"/>
        <v>Unfavorable</v>
      </c>
    </row>
    <row r="468" spans="1:17">
      <c r="A468" t="s">
        <v>478</v>
      </c>
      <c r="B468" s="2">
        <v>44974</v>
      </c>
      <c r="C468">
        <v>4000</v>
      </c>
      <c r="D468" t="s">
        <v>2012</v>
      </c>
      <c r="E468">
        <v>0</v>
      </c>
      <c r="F468">
        <v>1225.02</v>
      </c>
      <c r="G468" t="s">
        <v>2022</v>
      </c>
      <c r="H468" t="s">
        <v>2026</v>
      </c>
      <c r="I468" t="s">
        <v>2494</v>
      </c>
      <c r="J468" t="s">
        <v>4029</v>
      </c>
      <c r="K468" t="s">
        <v>4057</v>
      </c>
      <c r="L468">
        <v>1225.02</v>
      </c>
      <c r="N468">
        <f t="shared" si="21"/>
        <v>1225.02</v>
      </c>
      <c r="O468" t="s">
        <v>4104</v>
      </c>
      <c r="P468" t="str">
        <f t="shared" si="22"/>
        <v xml:space="preserve"> </v>
      </c>
      <c r="Q468" t="str">
        <f t="shared" si="23"/>
        <v>Favorable</v>
      </c>
    </row>
    <row r="469" spans="1:17">
      <c r="A469" t="s">
        <v>479</v>
      </c>
      <c r="B469" s="2">
        <v>45583</v>
      </c>
      <c r="C469">
        <v>5000</v>
      </c>
      <c r="D469" t="s">
        <v>2013</v>
      </c>
      <c r="E469">
        <v>973.97</v>
      </c>
      <c r="F469">
        <v>0</v>
      </c>
      <c r="G469" t="s">
        <v>2021</v>
      </c>
      <c r="H469" t="s">
        <v>2023</v>
      </c>
      <c r="I469" t="s">
        <v>2495</v>
      </c>
      <c r="J469" t="s">
        <v>4028</v>
      </c>
      <c r="K469" t="s">
        <v>4059</v>
      </c>
      <c r="L469">
        <v>-973.97</v>
      </c>
      <c r="N469">
        <f t="shared" si="21"/>
        <v>-973.97</v>
      </c>
      <c r="O469" t="s">
        <v>4104</v>
      </c>
      <c r="P469" t="str">
        <f t="shared" si="22"/>
        <v xml:space="preserve"> </v>
      </c>
      <c r="Q469" t="str">
        <f t="shared" si="23"/>
        <v>Unfavorable</v>
      </c>
    </row>
    <row r="470" spans="1:17">
      <c r="A470" t="s">
        <v>480</v>
      </c>
      <c r="B470" s="2">
        <v>45319</v>
      </c>
      <c r="C470">
        <v>6000</v>
      </c>
      <c r="D470" t="s">
        <v>2014</v>
      </c>
      <c r="E470">
        <v>525.5</v>
      </c>
      <c r="F470">
        <v>0</v>
      </c>
      <c r="G470" t="s">
        <v>2022</v>
      </c>
      <c r="H470" t="s">
        <v>2026</v>
      </c>
      <c r="I470" t="s">
        <v>2496</v>
      </c>
      <c r="J470" t="s">
        <v>4029</v>
      </c>
      <c r="K470" t="s">
        <v>4053</v>
      </c>
      <c r="L470">
        <v>-525.5</v>
      </c>
      <c r="N470">
        <f t="shared" si="21"/>
        <v>-525.5</v>
      </c>
      <c r="O470" t="s">
        <v>4104</v>
      </c>
      <c r="P470" t="str">
        <f t="shared" si="22"/>
        <v xml:space="preserve"> </v>
      </c>
      <c r="Q470" t="str">
        <f t="shared" si="23"/>
        <v>Unfavorable</v>
      </c>
    </row>
    <row r="471" spans="1:17">
      <c r="A471" t="s">
        <v>481</v>
      </c>
      <c r="B471" s="2">
        <v>45222</v>
      </c>
      <c r="C471">
        <v>5000</v>
      </c>
      <c r="D471" t="s">
        <v>2013</v>
      </c>
      <c r="E471">
        <v>805.56</v>
      </c>
      <c r="F471">
        <v>0</v>
      </c>
      <c r="G471" t="s">
        <v>2017</v>
      </c>
      <c r="H471" t="s">
        <v>2025</v>
      </c>
      <c r="I471" t="s">
        <v>2497</v>
      </c>
      <c r="J471" t="s">
        <v>4032</v>
      </c>
      <c r="K471" t="s">
        <v>4060</v>
      </c>
      <c r="L471">
        <v>-805.56</v>
      </c>
      <c r="N471">
        <f t="shared" si="21"/>
        <v>-805.56</v>
      </c>
      <c r="O471" t="s">
        <v>4104</v>
      </c>
      <c r="P471" t="str">
        <f t="shared" si="22"/>
        <v xml:space="preserve"> </v>
      </c>
      <c r="Q471" t="str">
        <f t="shared" si="23"/>
        <v>Unfavorable</v>
      </c>
    </row>
    <row r="472" spans="1:17">
      <c r="A472" t="s">
        <v>482</v>
      </c>
      <c r="B472" s="2">
        <v>45261</v>
      </c>
      <c r="C472">
        <v>6000</v>
      </c>
      <c r="D472" t="s">
        <v>2014</v>
      </c>
      <c r="E472">
        <v>1466.97</v>
      </c>
      <c r="F472">
        <v>0</v>
      </c>
      <c r="G472" t="s">
        <v>2018</v>
      </c>
      <c r="H472" t="s">
        <v>2026</v>
      </c>
      <c r="I472" t="s">
        <v>2498</v>
      </c>
      <c r="J472" t="s">
        <v>4030</v>
      </c>
      <c r="K472" t="s">
        <v>4039</v>
      </c>
      <c r="L472">
        <v>-1466.97</v>
      </c>
      <c r="N472">
        <f t="shared" si="21"/>
        <v>-1466.97</v>
      </c>
      <c r="O472" t="s">
        <v>4104</v>
      </c>
      <c r="P472" t="str">
        <f t="shared" si="22"/>
        <v xml:space="preserve"> </v>
      </c>
      <c r="Q472" t="str">
        <f t="shared" si="23"/>
        <v>Unfavorable</v>
      </c>
    </row>
    <row r="473" spans="1:17">
      <c r="A473" t="s">
        <v>483</v>
      </c>
      <c r="B473" s="2">
        <v>45644</v>
      </c>
      <c r="C473">
        <v>4010</v>
      </c>
      <c r="D473" t="s">
        <v>2016</v>
      </c>
      <c r="E473">
        <v>0</v>
      </c>
      <c r="F473">
        <v>4734.3599999999997</v>
      </c>
      <c r="G473" t="s">
        <v>2017</v>
      </c>
      <c r="H473" t="s">
        <v>2025</v>
      </c>
      <c r="I473" t="s">
        <v>2499</v>
      </c>
      <c r="J473" t="s">
        <v>4030</v>
      </c>
      <c r="K473" t="s">
        <v>4056</v>
      </c>
      <c r="L473">
        <v>4734.3599999999997</v>
      </c>
      <c r="N473">
        <f t="shared" si="21"/>
        <v>4734.3599999999997</v>
      </c>
      <c r="O473" t="s">
        <v>4104</v>
      </c>
      <c r="P473" t="str">
        <f t="shared" si="22"/>
        <v xml:space="preserve"> </v>
      </c>
      <c r="Q473" t="str">
        <f t="shared" si="23"/>
        <v>Favorable</v>
      </c>
    </row>
    <row r="474" spans="1:17">
      <c r="A474" t="s">
        <v>484</v>
      </c>
      <c r="B474" s="2">
        <v>45191</v>
      </c>
      <c r="C474">
        <v>4010</v>
      </c>
      <c r="D474" t="s">
        <v>2016</v>
      </c>
      <c r="E474">
        <v>0</v>
      </c>
      <c r="F474">
        <v>1668.4</v>
      </c>
      <c r="G474" t="s">
        <v>2021</v>
      </c>
      <c r="H474" t="s">
        <v>2027</v>
      </c>
      <c r="I474" t="s">
        <v>2500</v>
      </c>
      <c r="J474" t="s">
        <v>4031</v>
      </c>
      <c r="K474" t="s">
        <v>4036</v>
      </c>
      <c r="L474">
        <v>1668.4</v>
      </c>
      <c r="N474">
        <f t="shared" si="21"/>
        <v>1668.4</v>
      </c>
      <c r="O474" t="s">
        <v>4104</v>
      </c>
      <c r="P474" t="str">
        <f t="shared" si="22"/>
        <v xml:space="preserve"> </v>
      </c>
      <c r="Q474" t="str">
        <f t="shared" si="23"/>
        <v>Favorable</v>
      </c>
    </row>
    <row r="475" spans="1:17">
      <c r="A475" t="s">
        <v>485</v>
      </c>
      <c r="B475" s="2">
        <v>45276</v>
      </c>
      <c r="C475">
        <v>4010</v>
      </c>
      <c r="D475" t="s">
        <v>2016</v>
      </c>
      <c r="E475">
        <v>0</v>
      </c>
      <c r="F475">
        <v>4991.26</v>
      </c>
      <c r="G475" t="s">
        <v>2020</v>
      </c>
      <c r="H475" t="s">
        <v>2026</v>
      </c>
      <c r="I475" t="s">
        <v>2501</v>
      </c>
      <c r="J475" t="s">
        <v>4031</v>
      </c>
      <c r="K475" t="s">
        <v>4039</v>
      </c>
      <c r="L475">
        <v>4991.26</v>
      </c>
      <c r="N475">
        <f t="shared" si="21"/>
        <v>4991.26</v>
      </c>
      <c r="O475" t="s">
        <v>4104</v>
      </c>
      <c r="P475" t="str">
        <f t="shared" si="22"/>
        <v xml:space="preserve"> </v>
      </c>
      <c r="Q475" t="str">
        <f t="shared" si="23"/>
        <v>Favorable</v>
      </c>
    </row>
    <row r="476" spans="1:17">
      <c r="A476" t="s">
        <v>486</v>
      </c>
      <c r="B476" s="2">
        <v>45662</v>
      </c>
      <c r="C476">
        <v>6000</v>
      </c>
      <c r="D476" t="s">
        <v>2014</v>
      </c>
      <c r="E476">
        <v>445.53</v>
      </c>
      <c r="F476">
        <v>0</v>
      </c>
      <c r="G476" t="s">
        <v>2019</v>
      </c>
      <c r="H476" t="s">
        <v>2027</v>
      </c>
      <c r="I476" t="s">
        <v>2502</v>
      </c>
      <c r="J476" t="s">
        <v>4028</v>
      </c>
      <c r="K476" t="s">
        <v>4035</v>
      </c>
      <c r="L476">
        <v>-445.53</v>
      </c>
      <c r="N476">
        <f t="shared" si="21"/>
        <v>-445.53</v>
      </c>
      <c r="O476" t="s">
        <v>4104</v>
      </c>
      <c r="P476" t="str">
        <f t="shared" si="22"/>
        <v xml:space="preserve"> </v>
      </c>
      <c r="Q476" t="str">
        <f t="shared" si="23"/>
        <v>Unfavorable</v>
      </c>
    </row>
    <row r="477" spans="1:17">
      <c r="A477" t="s">
        <v>487</v>
      </c>
      <c r="B477" s="2">
        <v>45494</v>
      </c>
      <c r="C477">
        <v>6000</v>
      </c>
      <c r="D477" t="s">
        <v>2014</v>
      </c>
      <c r="E477">
        <v>1464.99</v>
      </c>
      <c r="F477">
        <v>0</v>
      </c>
      <c r="G477" t="s">
        <v>2020</v>
      </c>
      <c r="H477" t="s">
        <v>2027</v>
      </c>
      <c r="I477" t="s">
        <v>2503</v>
      </c>
      <c r="J477" t="s">
        <v>4029</v>
      </c>
      <c r="K477" t="s">
        <v>4054</v>
      </c>
      <c r="L477">
        <v>-1464.99</v>
      </c>
      <c r="N477">
        <f t="shared" si="21"/>
        <v>-1464.99</v>
      </c>
      <c r="O477" t="s">
        <v>4104</v>
      </c>
      <c r="P477" t="str">
        <f t="shared" si="22"/>
        <v xml:space="preserve"> </v>
      </c>
      <c r="Q477" t="str">
        <f t="shared" si="23"/>
        <v>Unfavorable</v>
      </c>
    </row>
    <row r="478" spans="1:17">
      <c r="A478" t="s">
        <v>488</v>
      </c>
      <c r="B478" s="2">
        <v>45266</v>
      </c>
      <c r="C478">
        <v>4010</v>
      </c>
      <c r="D478" t="s">
        <v>2016</v>
      </c>
      <c r="E478">
        <v>0</v>
      </c>
      <c r="F478">
        <v>1422.45</v>
      </c>
      <c r="G478" t="s">
        <v>2018</v>
      </c>
      <c r="H478" t="s">
        <v>2023</v>
      </c>
      <c r="I478" t="s">
        <v>2504</v>
      </c>
      <c r="J478" t="s">
        <v>4029</v>
      </c>
      <c r="K478" t="s">
        <v>4039</v>
      </c>
      <c r="L478">
        <v>1422.45</v>
      </c>
      <c r="N478">
        <f t="shared" si="21"/>
        <v>1422.45</v>
      </c>
      <c r="O478" t="s">
        <v>4104</v>
      </c>
      <c r="P478" t="str">
        <f t="shared" si="22"/>
        <v xml:space="preserve"> </v>
      </c>
      <c r="Q478" t="str">
        <f t="shared" si="23"/>
        <v>Favorable</v>
      </c>
    </row>
    <row r="479" spans="1:17">
      <c r="A479" t="s">
        <v>489</v>
      </c>
      <c r="B479" s="2">
        <v>45583</v>
      </c>
      <c r="C479">
        <v>4010</v>
      </c>
      <c r="D479" t="s">
        <v>2016</v>
      </c>
      <c r="E479">
        <v>0</v>
      </c>
      <c r="F479">
        <v>2350.1999999999998</v>
      </c>
      <c r="G479" t="s">
        <v>2018</v>
      </c>
      <c r="H479" t="s">
        <v>2023</v>
      </c>
      <c r="I479" t="s">
        <v>2505</v>
      </c>
      <c r="J479" t="s">
        <v>4030</v>
      </c>
      <c r="K479" t="s">
        <v>4059</v>
      </c>
      <c r="L479">
        <v>2350.1999999999998</v>
      </c>
      <c r="N479">
        <f t="shared" si="21"/>
        <v>2350.1999999999998</v>
      </c>
      <c r="O479" t="s">
        <v>4104</v>
      </c>
      <c r="P479" t="str">
        <f t="shared" si="22"/>
        <v xml:space="preserve"> </v>
      </c>
      <c r="Q479" t="str">
        <f t="shared" si="23"/>
        <v>Favorable</v>
      </c>
    </row>
    <row r="480" spans="1:17">
      <c r="A480" t="s">
        <v>490</v>
      </c>
      <c r="B480" s="2">
        <v>45191</v>
      </c>
      <c r="C480">
        <v>6000</v>
      </c>
      <c r="D480" t="s">
        <v>2014</v>
      </c>
      <c r="E480">
        <v>1559.89</v>
      </c>
      <c r="F480">
        <v>0</v>
      </c>
      <c r="G480" t="s">
        <v>2018</v>
      </c>
      <c r="H480" t="s">
        <v>2025</v>
      </c>
      <c r="I480" t="s">
        <v>2506</v>
      </c>
      <c r="J480" t="s">
        <v>4030</v>
      </c>
      <c r="K480" t="s">
        <v>4036</v>
      </c>
      <c r="L480">
        <v>-1559.89</v>
      </c>
      <c r="N480">
        <f t="shared" si="21"/>
        <v>-1559.89</v>
      </c>
      <c r="O480" t="s">
        <v>4104</v>
      </c>
      <c r="P480" t="str">
        <f t="shared" si="22"/>
        <v xml:space="preserve"> </v>
      </c>
      <c r="Q480" t="str">
        <f t="shared" si="23"/>
        <v>Unfavorable</v>
      </c>
    </row>
    <row r="481" spans="1:17">
      <c r="A481" t="s">
        <v>491</v>
      </c>
      <c r="B481" s="2">
        <v>45586</v>
      </c>
      <c r="C481">
        <v>5010</v>
      </c>
      <c r="D481" t="s">
        <v>2015</v>
      </c>
      <c r="E481">
        <v>1570.96</v>
      </c>
      <c r="F481">
        <v>0</v>
      </c>
      <c r="G481" t="s">
        <v>2017</v>
      </c>
      <c r="H481" t="s">
        <v>2023</v>
      </c>
      <c r="I481" t="s">
        <v>2507</v>
      </c>
      <c r="J481" t="s">
        <v>4031</v>
      </c>
      <c r="K481" t="s">
        <v>4059</v>
      </c>
      <c r="L481">
        <v>-1570.96</v>
      </c>
      <c r="N481">
        <f t="shared" si="21"/>
        <v>-1570.96</v>
      </c>
      <c r="O481" t="s">
        <v>4104</v>
      </c>
      <c r="P481" t="str">
        <f t="shared" si="22"/>
        <v xml:space="preserve"> </v>
      </c>
      <c r="Q481" t="str">
        <f t="shared" si="23"/>
        <v>Unfavorable</v>
      </c>
    </row>
    <row r="482" spans="1:17">
      <c r="A482" t="s">
        <v>492</v>
      </c>
      <c r="B482" s="2">
        <v>45202</v>
      </c>
      <c r="C482">
        <v>4000</v>
      </c>
      <c r="D482" t="s">
        <v>2012</v>
      </c>
      <c r="E482">
        <v>0</v>
      </c>
      <c r="F482">
        <v>3947.32</v>
      </c>
      <c r="G482" t="s">
        <v>2017</v>
      </c>
      <c r="H482" t="s">
        <v>2025</v>
      </c>
      <c r="I482" t="s">
        <v>2508</v>
      </c>
      <c r="J482" t="s">
        <v>4028</v>
      </c>
      <c r="K482" t="s">
        <v>4060</v>
      </c>
      <c r="L482">
        <v>3947.32</v>
      </c>
      <c r="N482">
        <f t="shared" si="21"/>
        <v>3947.32</v>
      </c>
      <c r="O482" t="s">
        <v>4104</v>
      </c>
      <c r="P482" t="str">
        <f t="shared" si="22"/>
        <v xml:space="preserve"> </v>
      </c>
      <c r="Q482" t="str">
        <f t="shared" si="23"/>
        <v>Favorable</v>
      </c>
    </row>
    <row r="483" spans="1:17">
      <c r="A483" t="s">
        <v>493</v>
      </c>
      <c r="B483" s="2">
        <v>45599</v>
      </c>
      <c r="C483">
        <v>6000</v>
      </c>
      <c r="D483" t="s">
        <v>2014</v>
      </c>
      <c r="E483">
        <v>1467.92</v>
      </c>
      <c r="F483">
        <v>0</v>
      </c>
      <c r="G483" t="s">
        <v>2017</v>
      </c>
      <c r="H483" t="s">
        <v>2024</v>
      </c>
      <c r="I483" t="s">
        <v>2509</v>
      </c>
      <c r="J483" t="s">
        <v>4031</v>
      </c>
      <c r="K483" t="s">
        <v>4043</v>
      </c>
      <c r="L483">
        <v>-1467.92</v>
      </c>
      <c r="N483">
        <f t="shared" si="21"/>
        <v>-1467.92</v>
      </c>
      <c r="O483" t="s">
        <v>4104</v>
      </c>
      <c r="P483" t="str">
        <f t="shared" si="22"/>
        <v xml:space="preserve"> </v>
      </c>
      <c r="Q483" t="str">
        <f t="shared" si="23"/>
        <v>Unfavorable</v>
      </c>
    </row>
    <row r="484" spans="1:17">
      <c r="A484" t="s">
        <v>494</v>
      </c>
      <c r="B484" s="2">
        <v>45100</v>
      </c>
      <c r="C484">
        <v>5000</v>
      </c>
      <c r="D484" t="s">
        <v>2013</v>
      </c>
      <c r="E484">
        <v>1843.54</v>
      </c>
      <c r="F484">
        <v>0</v>
      </c>
      <c r="G484" t="s">
        <v>2021</v>
      </c>
      <c r="H484" t="s">
        <v>2023</v>
      </c>
      <c r="I484" t="s">
        <v>2510</v>
      </c>
      <c r="J484" t="s">
        <v>4028</v>
      </c>
      <c r="K484" t="s">
        <v>4055</v>
      </c>
      <c r="L484">
        <v>-1843.54</v>
      </c>
      <c r="N484">
        <f t="shared" si="21"/>
        <v>-1843.54</v>
      </c>
      <c r="O484" t="s">
        <v>4104</v>
      </c>
      <c r="P484" t="str">
        <f t="shared" si="22"/>
        <v xml:space="preserve"> </v>
      </c>
      <c r="Q484" t="str">
        <f t="shared" si="23"/>
        <v>Unfavorable</v>
      </c>
    </row>
    <row r="485" spans="1:17">
      <c r="A485" t="s">
        <v>495</v>
      </c>
      <c r="B485" s="2">
        <v>45762</v>
      </c>
      <c r="C485">
        <v>5010</v>
      </c>
      <c r="D485" t="s">
        <v>2015</v>
      </c>
      <c r="E485">
        <v>134.56</v>
      </c>
      <c r="F485">
        <v>0</v>
      </c>
      <c r="G485" t="s">
        <v>2017</v>
      </c>
      <c r="H485" t="s">
        <v>2027</v>
      </c>
      <c r="I485" t="s">
        <v>2511</v>
      </c>
      <c r="J485" t="s">
        <v>4029</v>
      </c>
      <c r="K485" t="s">
        <v>4045</v>
      </c>
      <c r="L485">
        <v>-134.56</v>
      </c>
      <c r="N485">
        <f t="shared" si="21"/>
        <v>-134.56</v>
      </c>
      <c r="O485" t="s">
        <v>4104</v>
      </c>
      <c r="P485" t="str">
        <f t="shared" si="22"/>
        <v xml:space="preserve"> </v>
      </c>
      <c r="Q485" t="str">
        <f t="shared" si="23"/>
        <v>Unfavorable</v>
      </c>
    </row>
    <row r="486" spans="1:17">
      <c r="A486" t="s">
        <v>496</v>
      </c>
      <c r="B486" s="2">
        <v>45675</v>
      </c>
      <c r="C486">
        <v>4000</v>
      </c>
      <c r="D486" t="s">
        <v>2012</v>
      </c>
      <c r="E486">
        <v>0</v>
      </c>
      <c r="F486">
        <v>1712.94</v>
      </c>
      <c r="G486" t="s">
        <v>2021</v>
      </c>
      <c r="H486" t="s">
        <v>2023</v>
      </c>
      <c r="I486" t="s">
        <v>2512</v>
      </c>
      <c r="J486" t="s">
        <v>4029</v>
      </c>
      <c r="K486" t="s">
        <v>4035</v>
      </c>
      <c r="L486">
        <v>1712.94</v>
      </c>
      <c r="N486">
        <f t="shared" si="21"/>
        <v>1712.94</v>
      </c>
      <c r="O486" t="s">
        <v>4104</v>
      </c>
      <c r="P486" t="str">
        <f t="shared" si="22"/>
        <v xml:space="preserve"> </v>
      </c>
      <c r="Q486" t="str">
        <f t="shared" si="23"/>
        <v>Favorable</v>
      </c>
    </row>
    <row r="487" spans="1:17">
      <c r="A487" t="s">
        <v>497</v>
      </c>
      <c r="B487" s="2">
        <v>45139</v>
      </c>
      <c r="C487">
        <v>5010</v>
      </c>
      <c r="D487" t="s">
        <v>2015</v>
      </c>
      <c r="E487">
        <v>551.23</v>
      </c>
      <c r="F487">
        <v>0</v>
      </c>
      <c r="G487" t="s">
        <v>2022</v>
      </c>
      <c r="H487" t="s">
        <v>2026</v>
      </c>
      <c r="I487" t="s">
        <v>2513</v>
      </c>
      <c r="J487" t="s">
        <v>4028</v>
      </c>
      <c r="K487" t="s">
        <v>4037</v>
      </c>
      <c r="L487">
        <v>-551.23</v>
      </c>
      <c r="N487">
        <f t="shared" si="21"/>
        <v>-551.23</v>
      </c>
      <c r="O487" t="s">
        <v>4104</v>
      </c>
      <c r="P487" t="str">
        <f t="shared" si="22"/>
        <v xml:space="preserve"> </v>
      </c>
      <c r="Q487" t="str">
        <f t="shared" si="23"/>
        <v>Unfavorable</v>
      </c>
    </row>
    <row r="488" spans="1:17">
      <c r="A488" t="s">
        <v>498</v>
      </c>
      <c r="B488" s="2">
        <v>45518</v>
      </c>
      <c r="C488">
        <v>4000</v>
      </c>
      <c r="D488" t="s">
        <v>2012</v>
      </c>
      <c r="E488">
        <v>0</v>
      </c>
      <c r="F488">
        <v>588.37</v>
      </c>
      <c r="G488" t="s">
        <v>2017</v>
      </c>
      <c r="H488" t="s">
        <v>2025</v>
      </c>
      <c r="I488" t="s">
        <v>2514</v>
      </c>
      <c r="J488" t="s">
        <v>4028</v>
      </c>
      <c r="K488" t="s">
        <v>4058</v>
      </c>
      <c r="L488">
        <v>588.37</v>
      </c>
      <c r="N488">
        <f t="shared" si="21"/>
        <v>588.37</v>
      </c>
      <c r="O488" t="s">
        <v>4104</v>
      </c>
      <c r="P488" t="str">
        <f t="shared" si="22"/>
        <v xml:space="preserve"> </v>
      </c>
      <c r="Q488" t="str">
        <f t="shared" si="23"/>
        <v>Favorable</v>
      </c>
    </row>
    <row r="489" spans="1:17">
      <c r="A489" t="s">
        <v>499</v>
      </c>
      <c r="B489" s="2">
        <v>45510</v>
      </c>
      <c r="C489">
        <v>6000</v>
      </c>
      <c r="D489" t="s">
        <v>2014</v>
      </c>
      <c r="E489">
        <v>134.5</v>
      </c>
      <c r="F489">
        <v>0</v>
      </c>
      <c r="G489" t="s">
        <v>2021</v>
      </c>
      <c r="H489" t="s">
        <v>2023</v>
      </c>
      <c r="I489" t="s">
        <v>2515</v>
      </c>
      <c r="J489" t="s">
        <v>4032</v>
      </c>
      <c r="K489" t="s">
        <v>4058</v>
      </c>
      <c r="L489">
        <v>-134.5</v>
      </c>
      <c r="N489">
        <f t="shared" si="21"/>
        <v>-134.5</v>
      </c>
      <c r="O489" t="s">
        <v>4104</v>
      </c>
      <c r="P489" t="str">
        <f t="shared" si="22"/>
        <v xml:space="preserve"> </v>
      </c>
      <c r="Q489" t="str">
        <f t="shared" si="23"/>
        <v>Unfavorable</v>
      </c>
    </row>
    <row r="490" spans="1:17">
      <c r="A490" t="s">
        <v>500</v>
      </c>
      <c r="B490" s="2">
        <v>45610</v>
      </c>
      <c r="C490">
        <v>5000</v>
      </c>
      <c r="D490" t="s">
        <v>2013</v>
      </c>
      <c r="E490">
        <v>630.03</v>
      </c>
      <c r="F490">
        <v>0</v>
      </c>
      <c r="G490" t="s">
        <v>2021</v>
      </c>
      <c r="H490" t="s">
        <v>2026</v>
      </c>
      <c r="I490" t="s">
        <v>2516</v>
      </c>
      <c r="J490" t="s">
        <v>4032</v>
      </c>
      <c r="K490" t="s">
        <v>4043</v>
      </c>
      <c r="L490">
        <v>-630.03</v>
      </c>
      <c r="N490">
        <f t="shared" si="21"/>
        <v>-630.03</v>
      </c>
      <c r="O490" t="s">
        <v>4104</v>
      </c>
      <c r="P490" t="str">
        <f t="shared" si="22"/>
        <v xml:space="preserve"> </v>
      </c>
      <c r="Q490" t="str">
        <f t="shared" si="23"/>
        <v>Unfavorable</v>
      </c>
    </row>
    <row r="491" spans="1:17">
      <c r="A491" t="s">
        <v>501</v>
      </c>
      <c r="B491" s="2">
        <v>45132</v>
      </c>
      <c r="C491">
        <v>6000</v>
      </c>
      <c r="D491" t="s">
        <v>2014</v>
      </c>
      <c r="E491">
        <v>1840.05</v>
      </c>
      <c r="F491">
        <v>0</v>
      </c>
      <c r="G491" t="s">
        <v>2017</v>
      </c>
      <c r="H491" t="s">
        <v>2023</v>
      </c>
      <c r="I491" t="s">
        <v>2517</v>
      </c>
      <c r="J491" t="s">
        <v>4030</v>
      </c>
      <c r="K491" t="s">
        <v>4050</v>
      </c>
      <c r="L491">
        <v>-1840.05</v>
      </c>
      <c r="N491">
        <f t="shared" si="21"/>
        <v>-1840.05</v>
      </c>
      <c r="O491" t="s">
        <v>4104</v>
      </c>
      <c r="P491" t="str">
        <f t="shared" si="22"/>
        <v xml:space="preserve"> </v>
      </c>
      <c r="Q491" t="str">
        <f t="shared" si="23"/>
        <v>Unfavorable</v>
      </c>
    </row>
    <row r="492" spans="1:17">
      <c r="A492" t="s">
        <v>502</v>
      </c>
      <c r="B492" s="2">
        <v>45036</v>
      </c>
      <c r="C492">
        <v>5000</v>
      </c>
      <c r="D492" t="s">
        <v>2013</v>
      </c>
      <c r="E492">
        <v>1943.87</v>
      </c>
      <c r="F492">
        <v>0</v>
      </c>
      <c r="G492" t="s">
        <v>2020</v>
      </c>
      <c r="H492" t="s">
        <v>2027</v>
      </c>
      <c r="I492" t="s">
        <v>2518</v>
      </c>
      <c r="J492" t="s">
        <v>4030</v>
      </c>
      <c r="K492" t="s">
        <v>4041</v>
      </c>
      <c r="L492">
        <v>-1943.87</v>
      </c>
      <c r="N492">
        <f t="shared" si="21"/>
        <v>-1943.87</v>
      </c>
      <c r="O492" t="s">
        <v>4104</v>
      </c>
      <c r="P492" t="str">
        <f t="shared" si="22"/>
        <v xml:space="preserve"> </v>
      </c>
      <c r="Q492" t="str">
        <f t="shared" si="23"/>
        <v>Unfavorable</v>
      </c>
    </row>
    <row r="493" spans="1:17">
      <c r="A493" t="s">
        <v>503</v>
      </c>
      <c r="B493" s="2">
        <v>45559</v>
      </c>
      <c r="C493">
        <v>4000</v>
      </c>
      <c r="D493" t="s">
        <v>2012</v>
      </c>
      <c r="E493">
        <v>0</v>
      </c>
      <c r="F493">
        <v>2322.15</v>
      </c>
      <c r="G493" t="s">
        <v>2017</v>
      </c>
      <c r="H493" t="s">
        <v>2025</v>
      </c>
      <c r="I493" t="s">
        <v>2519</v>
      </c>
      <c r="J493" t="s">
        <v>4031</v>
      </c>
      <c r="K493" t="s">
        <v>4048</v>
      </c>
      <c r="L493">
        <v>2322.15</v>
      </c>
      <c r="N493">
        <f t="shared" si="21"/>
        <v>2322.15</v>
      </c>
      <c r="O493" t="s">
        <v>4104</v>
      </c>
      <c r="P493" t="str">
        <f t="shared" si="22"/>
        <v xml:space="preserve"> </v>
      </c>
      <c r="Q493" t="str">
        <f t="shared" si="23"/>
        <v>Favorable</v>
      </c>
    </row>
    <row r="494" spans="1:17">
      <c r="A494" t="s">
        <v>504</v>
      </c>
      <c r="B494" s="2">
        <v>45741</v>
      </c>
      <c r="C494">
        <v>4000</v>
      </c>
      <c r="D494" t="s">
        <v>2012</v>
      </c>
      <c r="E494">
        <v>0</v>
      </c>
      <c r="F494">
        <v>1615.42</v>
      </c>
      <c r="G494" t="s">
        <v>2020</v>
      </c>
      <c r="H494" t="s">
        <v>2024</v>
      </c>
      <c r="I494" t="s">
        <v>2520</v>
      </c>
      <c r="J494" t="s">
        <v>4032</v>
      </c>
      <c r="K494" t="s">
        <v>4046</v>
      </c>
      <c r="L494">
        <v>1615.42</v>
      </c>
      <c r="N494">
        <f t="shared" si="21"/>
        <v>1615.42</v>
      </c>
      <c r="O494" t="s">
        <v>4104</v>
      </c>
      <c r="P494" t="str">
        <f t="shared" si="22"/>
        <v xml:space="preserve"> </v>
      </c>
      <c r="Q494" t="str">
        <f t="shared" si="23"/>
        <v>Favorable</v>
      </c>
    </row>
    <row r="495" spans="1:17">
      <c r="A495" t="s">
        <v>505</v>
      </c>
      <c r="B495" s="2">
        <v>45415</v>
      </c>
      <c r="C495">
        <v>4010</v>
      </c>
      <c r="D495" t="s">
        <v>2016</v>
      </c>
      <c r="E495">
        <v>0</v>
      </c>
      <c r="F495">
        <v>3274.24</v>
      </c>
      <c r="G495" t="s">
        <v>2018</v>
      </c>
      <c r="H495" t="s">
        <v>2027</v>
      </c>
      <c r="I495" t="s">
        <v>2521</v>
      </c>
      <c r="J495" t="s">
        <v>4032</v>
      </c>
      <c r="K495" t="s">
        <v>4033</v>
      </c>
      <c r="L495">
        <v>3274.24</v>
      </c>
      <c r="N495">
        <f t="shared" si="21"/>
        <v>3274.24</v>
      </c>
      <c r="O495" t="s">
        <v>4104</v>
      </c>
      <c r="P495" t="str">
        <f t="shared" si="22"/>
        <v xml:space="preserve"> </v>
      </c>
      <c r="Q495" t="str">
        <f t="shared" si="23"/>
        <v>Favorable</v>
      </c>
    </row>
    <row r="496" spans="1:17">
      <c r="A496" t="s">
        <v>506</v>
      </c>
      <c r="B496" s="2">
        <v>45240</v>
      </c>
      <c r="C496">
        <v>5010</v>
      </c>
      <c r="D496" t="s">
        <v>2015</v>
      </c>
      <c r="E496">
        <v>293.63</v>
      </c>
      <c r="F496">
        <v>0</v>
      </c>
      <c r="G496" t="s">
        <v>2020</v>
      </c>
      <c r="H496" t="s">
        <v>2024</v>
      </c>
      <c r="I496" t="s">
        <v>2522</v>
      </c>
      <c r="J496" t="s">
        <v>4032</v>
      </c>
      <c r="K496" t="s">
        <v>4042</v>
      </c>
      <c r="L496">
        <v>-293.63</v>
      </c>
      <c r="N496">
        <f t="shared" si="21"/>
        <v>-293.63</v>
      </c>
      <c r="O496" t="s">
        <v>4104</v>
      </c>
      <c r="P496" t="str">
        <f t="shared" si="22"/>
        <v xml:space="preserve"> </v>
      </c>
      <c r="Q496" t="str">
        <f t="shared" si="23"/>
        <v>Unfavorable</v>
      </c>
    </row>
    <row r="497" spans="1:17">
      <c r="A497" t="s">
        <v>507</v>
      </c>
      <c r="B497" s="2">
        <v>44972</v>
      </c>
      <c r="C497">
        <v>4000</v>
      </c>
      <c r="D497" t="s">
        <v>2012</v>
      </c>
      <c r="E497">
        <v>0</v>
      </c>
      <c r="F497">
        <v>2924.19</v>
      </c>
      <c r="G497" t="s">
        <v>2021</v>
      </c>
      <c r="H497" t="s">
        <v>2026</v>
      </c>
      <c r="I497" t="s">
        <v>2523</v>
      </c>
      <c r="J497" t="s">
        <v>4031</v>
      </c>
      <c r="K497" t="s">
        <v>4057</v>
      </c>
      <c r="L497">
        <v>2924.19</v>
      </c>
      <c r="N497">
        <f t="shared" si="21"/>
        <v>2924.19</v>
      </c>
      <c r="O497" t="s">
        <v>4104</v>
      </c>
      <c r="P497" t="str">
        <f t="shared" si="22"/>
        <v xml:space="preserve"> </v>
      </c>
      <c r="Q497" t="str">
        <f t="shared" si="23"/>
        <v>Favorable</v>
      </c>
    </row>
    <row r="498" spans="1:17">
      <c r="A498" t="s">
        <v>508</v>
      </c>
      <c r="B498" s="2">
        <v>45602</v>
      </c>
      <c r="C498">
        <v>5000</v>
      </c>
      <c r="D498" t="s">
        <v>2013</v>
      </c>
      <c r="E498">
        <v>630.34</v>
      </c>
      <c r="F498">
        <v>0</v>
      </c>
      <c r="G498" t="s">
        <v>2017</v>
      </c>
      <c r="H498" t="s">
        <v>2023</v>
      </c>
      <c r="I498" t="s">
        <v>2524</v>
      </c>
      <c r="J498" t="s">
        <v>4031</v>
      </c>
      <c r="K498" t="s">
        <v>4043</v>
      </c>
      <c r="L498">
        <v>-630.34</v>
      </c>
      <c r="N498">
        <f t="shared" si="21"/>
        <v>-630.34</v>
      </c>
      <c r="O498" t="s">
        <v>4104</v>
      </c>
      <c r="P498" t="str">
        <f t="shared" si="22"/>
        <v xml:space="preserve"> </v>
      </c>
      <c r="Q498" t="str">
        <f t="shared" si="23"/>
        <v>Unfavorable</v>
      </c>
    </row>
    <row r="499" spans="1:17">
      <c r="A499" t="s">
        <v>509</v>
      </c>
      <c r="B499" s="2">
        <v>45336</v>
      </c>
      <c r="C499">
        <v>4000</v>
      </c>
      <c r="D499" t="s">
        <v>2012</v>
      </c>
      <c r="E499">
        <v>0</v>
      </c>
      <c r="F499">
        <v>2794.59</v>
      </c>
      <c r="G499" t="s">
        <v>2018</v>
      </c>
      <c r="H499" t="s">
        <v>2026</v>
      </c>
      <c r="I499" t="s">
        <v>2525</v>
      </c>
      <c r="J499" t="s">
        <v>4029</v>
      </c>
      <c r="K499" t="s">
        <v>4044</v>
      </c>
      <c r="L499">
        <v>2794.59</v>
      </c>
      <c r="N499">
        <f t="shared" si="21"/>
        <v>2794.59</v>
      </c>
      <c r="O499" t="s">
        <v>4104</v>
      </c>
      <c r="P499" t="str">
        <f t="shared" si="22"/>
        <v xml:space="preserve"> </v>
      </c>
      <c r="Q499" t="str">
        <f t="shared" si="23"/>
        <v>Favorable</v>
      </c>
    </row>
    <row r="500" spans="1:17">
      <c r="A500" t="s">
        <v>510</v>
      </c>
      <c r="B500" s="2">
        <v>45182</v>
      </c>
      <c r="C500">
        <v>5000</v>
      </c>
      <c r="D500" t="s">
        <v>2013</v>
      </c>
      <c r="E500">
        <v>276.86</v>
      </c>
      <c r="F500">
        <v>0</v>
      </c>
      <c r="G500" t="s">
        <v>2020</v>
      </c>
      <c r="H500" t="s">
        <v>2025</v>
      </c>
      <c r="I500" t="s">
        <v>2526</v>
      </c>
      <c r="J500" t="s">
        <v>4031</v>
      </c>
      <c r="K500" t="s">
        <v>4036</v>
      </c>
      <c r="L500">
        <v>-276.86</v>
      </c>
      <c r="N500">
        <f t="shared" si="21"/>
        <v>-276.86</v>
      </c>
      <c r="O500" t="s">
        <v>4104</v>
      </c>
      <c r="P500" t="str">
        <f t="shared" si="22"/>
        <v xml:space="preserve"> </v>
      </c>
      <c r="Q500" t="str">
        <f t="shared" si="23"/>
        <v>Unfavorable</v>
      </c>
    </row>
    <row r="501" spans="1:17">
      <c r="A501" t="s">
        <v>511</v>
      </c>
      <c r="B501" s="2">
        <v>45113</v>
      </c>
      <c r="C501">
        <v>5000</v>
      </c>
      <c r="D501" t="s">
        <v>2013</v>
      </c>
      <c r="E501">
        <v>1358.2</v>
      </c>
      <c r="F501">
        <v>0</v>
      </c>
      <c r="G501" t="s">
        <v>2017</v>
      </c>
      <c r="H501" t="s">
        <v>2026</v>
      </c>
      <c r="I501" t="s">
        <v>2527</v>
      </c>
      <c r="J501" t="s">
        <v>4028</v>
      </c>
      <c r="K501" t="s">
        <v>4050</v>
      </c>
      <c r="L501">
        <v>-1358.2</v>
      </c>
      <c r="N501">
        <f t="shared" si="21"/>
        <v>-1358.2</v>
      </c>
      <c r="O501" t="s">
        <v>4104</v>
      </c>
      <c r="P501" t="str">
        <f t="shared" si="22"/>
        <v xml:space="preserve"> </v>
      </c>
      <c r="Q501" t="str">
        <f t="shared" si="23"/>
        <v>Unfavorable</v>
      </c>
    </row>
    <row r="502" spans="1:17">
      <c r="A502" t="s">
        <v>512</v>
      </c>
      <c r="B502" s="2">
        <v>45408</v>
      </c>
      <c r="C502">
        <v>5010</v>
      </c>
      <c r="D502" t="s">
        <v>2015</v>
      </c>
      <c r="E502">
        <v>701.01</v>
      </c>
      <c r="F502">
        <v>0</v>
      </c>
      <c r="G502" t="s">
        <v>2020</v>
      </c>
      <c r="H502" t="s">
        <v>2027</v>
      </c>
      <c r="I502" t="s">
        <v>2528</v>
      </c>
      <c r="J502" t="s">
        <v>4028</v>
      </c>
      <c r="K502" t="s">
        <v>4040</v>
      </c>
      <c r="L502">
        <v>-701.01</v>
      </c>
      <c r="N502">
        <f t="shared" si="21"/>
        <v>-701.01</v>
      </c>
      <c r="O502" t="s">
        <v>4104</v>
      </c>
      <c r="P502" t="str">
        <f t="shared" si="22"/>
        <v xml:space="preserve"> </v>
      </c>
      <c r="Q502" t="str">
        <f t="shared" si="23"/>
        <v>Unfavorable</v>
      </c>
    </row>
    <row r="503" spans="1:17">
      <c r="A503" t="s">
        <v>513</v>
      </c>
      <c r="B503" s="2">
        <v>45576</v>
      </c>
      <c r="C503">
        <v>4000</v>
      </c>
      <c r="D503" t="s">
        <v>2012</v>
      </c>
      <c r="E503">
        <v>0</v>
      </c>
      <c r="F503">
        <v>3951.26</v>
      </c>
      <c r="G503" t="s">
        <v>2021</v>
      </c>
      <c r="H503" t="s">
        <v>2023</v>
      </c>
      <c r="I503" t="s">
        <v>2529</v>
      </c>
      <c r="J503" t="s">
        <v>4030</v>
      </c>
      <c r="K503" t="s">
        <v>4059</v>
      </c>
      <c r="L503">
        <v>3951.26</v>
      </c>
      <c r="N503">
        <f t="shared" si="21"/>
        <v>3951.26</v>
      </c>
      <c r="O503" t="s">
        <v>4104</v>
      </c>
      <c r="P503" t="str">
        <f t="shared" si="22"/>
        <v xml:space="preserve"> </v>
      </c>
      <c r="Q503" t="str">
        <f t="shared" si="23"/>
        <v>Favorable</v>
      </c>
    </row>
    <row r="504" spans="1:17">
      <c r="A504" t="s">
        <v>514</v>
      </c>
      <c r="B504" s="2">
        <v>45105</v>
      </c>
      <c r="C504">
        <v>4000</v>
      </c>
      <c r="D504" t="s">
        <v>2012</v>
      </c>
      <c r="E504">
        <v>0</v>
      </c>
      <c r="F504">
        <v>1521.81</v>
      </c>
      <c r="G504" t="s">
        <v>2020</v>
      </c>
      <c r="H504" t="s">
        <v>2026</v>
      </c>
      <c r="I504" t="s">
        <v>2530</v>
      </c>
      <c r="J504" t="s">
        <v>4029</v>
      </c>
      <c r="K504" t="s">
        <v>4055</v>
      </c>
      <c r="L504">
        <v>1521.81</v>
      </c>
      <c r="N504">
        <f t="shared" si="21"/>
        <v>1521.81</v>
      </c>
      <c r="O504" t="s">
        <v>4104</v>
      </c>
      <c r="P504" t="str">
        <f t="shared" si="22"/>
        <v xml:space="preserve"> </v>
      </c>
      <c r="Q504" t="str">
        <f t="shared" si="23"/>
        <v>Favorable</v>
      </c>
    </row>
    <row r="505" spans="1:17">
      <c r="A505" t="s">
        <v>515</v>
      </c>
      <c r="B505" s="2">
        <v>45160</v>
      </c>
      <c r="C505">
        <v>5010</v>
      </c>
      <c r="D505" t="s">
        <v>2015</v>
      </c>
      <c r="E505">
        <v>402.01</v>
      </c>
      <c r="F505">
        <v>0</v>
      </c>
      <c r="G505" t="s">
        <v>2020</v>
      </c>
      <c r="H505" t="s">
        <v>2023</v>
      </c>
      <c r="I505" t="s">
        <v>2531</v>
      </c>
      <c r="J505" t="s">
        <v>4029</v>
      </c>
      <c r="K505" t="s">
        <v>4037</v>
      </c>
      <c r="L505">
        <v>-402.01</v>
      </c>
      <c r="N505">
        <f t="shared" si="21"/>
        <v>-402.01</v>
      </c>
      <c r="O505" t="s">
        <v>4104</v>
      </c>
      <c r="P505" t="str">
        <f t="shared" si="22"/>
        <v xml:space="preserve"> </v>
      </c>
      <c r="Q505" t="str">
        <f t="shared" si="23"/>
        <v>Unfavorable</v>
      </c>
    </row>
    <row r="506" spans="1:17">
      <c r="A506" t="s">
        <v>516</v>
      </c>
      <c r="B506" s="2">
        <v>45334</v>
      </c>
      <c r="C506">
        <v>5000</v>
      </c>
      <c r="D506" t="s">
        <v>2013</v>
      </c>
      <c r="E506">
        <v>610.08000000000004</v>
      </c>
      <c r="F506">
        <v>0</v>
      </c>
      <c r="G506" t="s">
        <v>2017</v>
      </c>
      <c r="H506" t="s">
        <v>2027</v>
      </c>
      <c r="I506" t="s">
        <v>2532</v>
      </c>
      <c r="J506" t="s">
        <v>4032</v>
      </c>
      <c r="K506" t="s">
        <v>4044</v>
      </c>
      <c r="L506">
        <v>-610.08000000000004</v>
      </c>
      <c r="N506">
        <f t="shared" si="21"/>
        <v>-610.08000000000004</v>
      </c>
      <c r="O506" t="s">
        <v>4104</v>
      </c>
      <c r="P506" t="str">
        <f t="shared" si="22"/>
        <v xml:space="preserve"> </v>
      </c>
      <c r="Q506" t="str">
        <f t="shared" si="23"/>
        <v>Unfavorable</v>
      </c>
    </row>
    <row r="507" spans="1:17">
      <c r="A507" t="s">
        <v>517</v>
      </c>
      <c r="B507" s="2">
        <v>45295</v>
      </c>
      <c r="C507">
        <v>4000</v>
      </c>
      <c r="D507" t="s">
        <v>2012</v>
      </c>
      <c r="E507">
        <v>0</v>
      </c>
      <c r="F507">
        <v>4713.8999999999996</v>
      </c>
      <c r="G507" t="s">
        <v>2018</v>
      </c>
      <c r="H507" t="s">
        <v>2027</v>
      </c>
      <c r="I507" t="s">
        <v>2533</v>
      </c>
      <c r="J507" t="s">
        <v>4029</v>
      </c>
      <c r="K507" t="s">
        <v>4053</v>
      </c>
      <c r="L507">
        <v>4713.8999999999996</v>
      </c>
      <c r="N507">
        <f t="shared" si="21"/>
        <v>4713.8999999999996</v>
      </c>
      <c r="O507" t="s">
        <v>4104</v>
      </c>
      <c r="P507" t="str">
        <f t="shared" si="22"/>
        <v xml:space="preserve"> </v>
      </c>
      <c r="Q507" t="str">
        <f t="shared" si="23"/>
        <v>Favorable</v>
      </c>
    </row>
    <row r="508" spans="1:17">
      <c r="A508" t="s">
        <v>518</v>
      </c>
      <c r="B508" s="2">
        <v>44987</v>
      </c>
      <c r="C508">
        <v>6000</v>
      </c>
      <c r="D508" t="s">
        <v>2014</v>
      </c>
      <c r="E508">
        <v>1547.67</v>
      </c>
      <c r="F508">
        <v>0</v>
      </c>
      <c r="G508" t="s">
        <v>2017</v>
      </c>
      <c r="H508" t="s">
        <v>2023</v>
      </c>
      <c r="I508" t="s">
        <v>2534</v>
      </c>
      <c r="J508" t="s">
        <v>4029</v>
      </c>
      <c r="K508" t="s">
        <v>4051</v>
      </c>
      <c r="L508">
        <v>-1547.67</v>
      </c>
      <c r="N508">
        <f t="shared" si="21"/>
        <v>-1547.67</v>
      </c>
      <c r="O508" t="s">
        <v>4104</v>
      </c>
      <c r="P508" t="str">
        <f t="shared" si="22"/>
        <v xml:space="preserve"> </v>
      </c>
      <c r="Q508" t="str">
        <f t="shared" si="23"/>
        <v>Unfavorable</v>
      </c>
    </row>
    <row r="509" spans="1:17">
      <c r="A509" t="s">
        <v>519</v>
      </c>
      <c r="B509" s="2">
        <v>44965</v>
      </c>
      <c r="C509">
        <v>4010</v>
      </c>
      <c r="D509" t="s">
        <v>2016</v>
      </c>
      <c r="E509">
        <v>0</v>
      </c>
      <c r="F509">
        <v>3002.52</v>
      </c>
      <c r="G509" t="s">
        <v>2018</v>
      </c>
      <c r="H509" t="s">
        <v>2027</v>
      </c>
      <c r="I509" t="s">
        <v>2535</v>
      </c>
      <c r="J509" t="s">
        <v>4032</v>
      </c>
      <c r="K509" t="s">
        <v>4057</v>
      </c>
      <c r="L509">
        <v>3002.52</v>
      </c>
      <c r="N509">
        <f t="shared" si="21"/>
        <v>3002.52</v>
      </c>
      <c r="O509" t="s">
        <v>4104</v>
      </c>
      <c r="P509" t="str">
        <f t="shared" si="22"/>
        <v xml:space="preserve"> </v>
      </c>
      <c r="Q509" t="str">
        <f t="shared" si="23"/>
        <v>Favorable</v>
      </c>
    </row>
    <row r="510" spans="1:17">
      <c r="A510" t="s">
        <v>520</v>
      </c>
      <c r="B510" s="2">
        <v>45182</v>
      </c>
      <c r="C510">
        <v>6000</v>
      </c>
      <c r="D510" t="s">
        <v>2014</v>
      </c>
      <c r="E510">
        <v>1295.97</v>
      </c>
      <c r="F510">
        <v>0</v>
      </c>
      <c r="G510" t="s">
        <v>2018</v>
      </c>
      <c r="H510" t="s">
        <v>2024</v>
      </c>
      <c r="I510" t="s">
        <v>2536</v>
      </c>
      <c r="J510" t="s">
        <v>4028</v>
      </c>
      <c r="K510" t="s">
        <v>4036</v>
      </c>
      <c r="L510">
        <v>-1295.97</v>
      </c>
      <c r="N510">
        <f t="shared" si="21"/>
        <v>-1295.97</v>
      </c>
      <c r="O510" t="s">
        <v>4104</v>
      </c>
      <c r="P510" t="str">
        <f t="shared" si="22"/>
        <v xml:space="preserve"> </v>
      </c>
      <c r="Q510" t="str">
        <f t="shared" si="23"/>
        <v>Unfavorable</v>
      </c>
    </row>
    <row r="511" spans="1:17">
      <c r="A511" t="s">
        <v>521</v>
      </c>
      <c r="B511" s="2">
        <v>45647</v>
      </c>
      <c r="C511">
        <v>5010</v>
      </c>
      <c r="D511" t="s">
        <v>2015</v>
      </c>
      <c r="E511">
        <v>1648.77</v>
      </c>
      <c r="F511">
        <v>0</v>
      </c>
      <c r="G511" t="s">
        <v>2022</v>
      </c>
      <c r="H511" t="s">
        <v>2027</v>
      </c>
      <c r="I511" t="s">
        <v>2537</v>
      </c>
      <c r="J511" t="s">
        <v>4032</v>
      </c>
      <c r="K511" t="s">
        <v>4056</v>
      </c>
      <c r="L511">
        <v>-1648.77</v>
      </c>
      <c r="N511">
        <f t="shared" si="21"/>
        <v>-1648.77</v>
      </c>
      <c r="O511" t="s">
        <v>4104</v>
      </c>
      <c r="P511" t="str">
        <f t="shared" si="22"/>
        <v xml:space="preserve"> </v>
      </c>
      <c r="Q511" t="str">
        <f t="shared" si="23"/>
        <v>Unfavorable</v>
      </c>
    </row>
    <row r="512" spans="1:17">
      <c r="A512" t="s">
        <v>522</v>
      </c>
      <c r="B512" s="2">
        <v>44933</v>
      </c>
      <c r="C512">
        <v>4010</v>
      </c>
      <c r="D512" t="s">
        <v>2016</v>
      </c>
      <c r="E512">
        <v>0</v>
      </c>
      <c r="F512">
        <v>1351.35</v>
      </c>
      <c r="G512" t="s">
        <v>2018</v>
      </c>
      <c r="H512" t="s">
        <v>2023</v>
      </c>
      <c r="I512" t="s">
        <v>2538</v>
      </c>
      <c r="J512" t="s">
        <v>4029</v>
      </c>
      <c r="K512" t="s">
        <v>4047</v>
      </c>
      <c r="L512">
        <v>1351.35</v>
      </c>
      <c r="N512">
        <f t="shared" si="21"/>
        <v>1351.35</v>
      </c>
      <c r="O512" t="s">
        <v>4104</v>
      </c>
      <c r="P512" t="str">
        <f t="shared" si="22"/>
        <v xml:space="preserve"> </v>
      </c>
      <c r="Q512" t="str">
        <f t="shared" si="23"/>
        <v>Favorable</v>
      </c>
    </row>
    <row r="513" spans="1:17">
      <c r="A513" t="s">
        <v>523</v>
      </c>
      <c r="B513" s="2">
        <v>45666</v>
      </c>
      <c r="C513">
        <v>4010</v>
      </c>
      <c r="D513" t="s">
        <v>2016</v>
      </c>
      <c r="E513">
        <v>0</v>
      </c>
      <c r="F513">
        <v>1986.96</v>
      </c>
      <c r="G513" t="s">
        <v>2022</v>
      </c>
      <c r="H513" t="s">
        <v>2027</v>
      </c>
      <c r="I513" t="s">
        <v>2539</v>
      </c>
      <c r="J513" t="s">
        <v>4029</v>
      </c>
      <c r="K513" t="s">
        <v>4035</v>
      </c>
      <c r="L513">
        <v>1986.96</v>
      </c>
      <c r="N513">
        <f t="shared" si="21"/>
        <v>1986.96</v>
      </c>
      <c r="O513" t="s">
        <v>4104</v>
      </c>
      <c r="P513" t="str">
        <f t="shared" si="22"/>
        <v xml:space="preserve"> </v>
      </c>
      <c r="Q513" t="str">
        <f t="shared" si="23"/>
        <v>Favorable</v>
      </c>
    </row>
    <row r="514" spans="1:17">
      <c r="A514" t="s">
        <v>524</v>
      </c>
      <c r="B514" s="2">
        <v>45165</v>
      </c>
      <c r="C514">
        <v>5010</v>
      </c>
      <c r="D514" t="s">
        <v>2015</v>
      </c>
      <c r="E514">
        <v>1723.41</v>
      </c>
      <c r="F514">
        <v>0</v>
      </c>
      <c r="G514" t="s">
        <v>2017</v>
      </c>
      <c r="H514" t="s">
        <v>2027</v>
      </c>
      <c r="I514" t="s">
        <v>2540</v>
      </c>
      <c r="J514" t="s">
        <v>4029</v>
      </c>
      <c r="K514" t="s">
        <v>4037</v>
      </c>
      <c r="L514">
        <v>-1723.41</v>
      </c>
      <c r="N514">
        <f t="shared" si="21"/>
        <v>-1723.41</v>
      </c>
      <c r="O514" t="s">
        <v>4104</v>
      </c>
      <c r="P514" t="str">
        <f t="shared" si="22"/>
        <v xml:space="preserve"> </v>
      </c>
      <c r="Q514" t="str">
        <f t="shared" si="23"/>
        <v>Unfavorable</v>
      </c>
    </row>
    <row r="515" spans="1:17">
      <c r="A515" t="s">
        <v>525</v>
      </c>
      <c r="B515" s="2">
        <v>45007</v>
      </c>
      <c r="C515">
        <v>4010</v>
      </c>
      <c r="D515" t="s">
        <v>2016</v>
      </c>
      <c r="E515">
        <v>0</v>
      </c>
      <c r="F515">
        <v>386.09</v>
      </c>
      <c r="G515" t="s">
        <v>2020</v>
      </c>
      <c r="H515" t="s">
        <v>2025</v>
      </c>
      <c r="I515" t="s">
        <v>2541</v>
      </c>
      <c r="J515" t="s">
        <v>4030</v>
      </c>
      <c r="K515" t="s">
        <v>4051</v>
      </c>
      <c r="L515">
        <v>386.09</v>
      </c>
      <c r="N515">
        <f t="shared" ref="N515:N578" si="24">L:L-M:M</f>
        <v>386.09</v>
      </c>
      <c r="O515" t="s">
        <v>4104</v>
      </c>
      <c r="P515" t="str">
        <f t="shared" ref="P515:P578" si="25">IF(AND(ABS(N:N)&gt;10000,M:M&lt;&gt;0),"Material", " ")</f>
        <v xml:space="preserve"> </v>
      </c>
      <c r="Q515" t="str">
        <f t="shared" ref="Q515:Q578" si="26">IF(N:N&gt;0,"Favorable","Unfavorable")</f>
        <v>Favorable</v>
      </c>
    </row>
    <row r="516" spans="1:17">
      <c r="A516" t="s">
        <v>526</v>
      </c>
      <c r="B516" s="2">
        <v>45547</v>
      </c>
      <c r="C516">
        <v>4000</v>
      </c>
      <c r="D516" t="s">
        <v>2012</v>
      </c>
      <c r="E516">
        <v>0</v>
      </c>
      <c r="F516">
        <v>2180.11</v>
      </c>
      <c r="G516" t="s">
        <v>2018</v>
      </c>
      <c r="H516" t="s">
        <v>2025</v>
      </c>
      <c r="I516" t="s">
        <v>2542</v>
      </c>
      <c r="J516" t="s">
        <v>4029</v>
      </c>
      <c r="K516" t="s">
        <v>4048</v>
      </c>
      <c r="L516">
        <v>2180.11</v>
      </c>
      <c r="N516">
        <f t="shared" si="24"/>
        <v>2180.11</v>
      </c>
      <c r="O516" t="s">
        <v>4104</v>
      </c>
      <c r="P516" t="str">
        <f t="shared" si="25"/>
        <v xml:space="preserve"> </v>
      </c>
      <c r="Q516" t="str">
        <f t="shared" si="26"/>
        <v>Favorable</v>
      </c>
    </row>
    <row r="517" spans="1:17">
      <c r="A517" t="s">
        <v>527</v>
      </c>
      <c r="B517" s="2">
        <v>45554</v>
      </c>
      <c r="C517">
        <v>6000</v>
      </c>
      <c r="D517" t="s">
        <v>2014</v>
      </c>
      <c r="E517">
        <v>1283.72</v>
      </c>
      <c r="F517">
        <v>0</v>
      </c>
      <c r="G517" t="s">
        <v>2017</v>
      </c>
      <c r="H517" t="s">
        <v>2026</v>
      </c>
      <c r="I517" t="s">
        <v>2543</v>
      </c>
      <c r="J517" t="s">
        <v>4030</v>
      </c>
      <c r="K517" t="s">
        <v>4048</v>
      </c>
      <c r="L517">
        <v>-1283.72</v>
      </c>
      <c r="N517">
        <f t="shared" si="24"/>
        <v>-1283.72</v>
      </c>
      <c r="O517" t="s">
        <v>4104</v>
      </c>
      <c r="P517" t="str">
        <f t="shared" si="25"/>
        <v xml:space="preserve"> </v>
      </c>
      <c r="Q517" t="str">
        <f t="shared" si="26"/>
        <v>Unfavorable</v>
      </c>
    </row>
    <row r="518" spans="1:17">
      <c r="A518" t="s">
        <v>528</v>
      </c>
      <c r="B518" s="2">
        <v>45785</v>
      </c>
      <c r="C518">
        <v>6000</v>
      </c>
      <c r="D518" t="s">
        <v>2014</v>
      </c>
      <c r="E518">
        <v>1809.13</v>
      </c>
      <c r="F518">
        <v>0</v>
      </c>
      <c r="G518" t="s">
        <v>2020</v>
      </c>
      <c r="H518" t="s">
        <v>2027</v>
      </c>
      <c r="I518" t="s">
        <v>2544</v>
      </c>
      <c r="J518" t="s">
        <v>4032</v>
      </c>
      <c r="K518" t="s">
        <v>4038</v>
      </c>
      <c r="L518">
        <v>-1809.13</v>
      </c>
      <c r="N518">
        <f t="shared" si="24"/>
        <v>-1809.13</v>
      </c>
      <c r="O518" t="s">
        <v>4104</v>
      </c>
      <c r="P518" t="str">
        <f t="shared" si="25"/>
        <v xml:space="preserve"> </v>
      </c>
      <c r="Q518" t="str">
        <f t="shared" si="26"/>
        <v>Unfavorable</v>
      </c>
    </row>
    <row r="519" spans="1:17">
      <c r="A519" t="s">
        <v>529</v>
      </c>
      <c r="B519" s="2">
        <v>45739</v>
      </c>
      <c r="C519">
        <v>5000</v>
      </c>
      <c r="D519" t="s">
        <v>2013</v>
      </c>
      <c r="E519">
        <v>1785.9</v>
      </c>
      <c r="F519">
        <v>0</v>
      </c>
      <c r="G519" t="s">
        <v>2021</v>
      </c>
      <c r="H519" t="s">
        <v>2023</v>
      </c>
      <c r="I519" t="s">
        <v>2545</v>
      </c>
      <c r="J519" t="s">
        <v>4030</v>
      </c>
      <c r="K519" t="s">
        <v>4046</v>
      </c>
      <c r="L519">
        <v>-1785.9</v>
      </c>
      <c r="N519">
        <f t="shared" si="24"/>
        <v>-1785.9</v>
      </c>
      <c r="O519" t="s">
        <v>4104</v>
      </c>
      <c r="P519" t="str">
        <f t="shared" si="25"/>
        <v xml:space="preserve"> </v>
      </c>
      <c r="Q519" t="str">
        <f t="shared" si="26"/>
        <v>Unfavorable</v>
      </c>
    </row>
    <row r="520" spans="1:17">
      <c r="A520" t="s">
        <v>530</v>
      </c>
      <c r="B520" s="2">
        <v>45279</v>
      </c>
      <c r="C520">
        <v>4010</v>
      </c>
      <c r="D520" t="s">
        <v>2016</v>
      </c>
      <c r="E520">
        <v>0</v>
      </c>
      <c r="F520">
        <v>4808.83</v>
      </c>
      <c r="G520" t="s">
        <v>2022</v>
      </c>
      <c r="H520" t="s">
        <v>2027</v>
      </c>
      <c r="I520" t="s">
        <v>2546</v>
      </c>
      <c r="J520" t="s">
        <v>4031</v>
      </c>
      <c r="K520" t="s">
        <v>4039</v>
      </c>
      <c r="L520">
        <v>4808.83</v>
      </c>
      <c r="N520">
        <f t="shared" si="24"/>
        <v>4808.83</v>
      </c>
      <c r="O520" t="s">
        <v>4104</v>
      </c>
      <c r="P520" t="str">
        <f t="shared" si="25"/>
        <v xml:space="preserve"> </v>
      </c>
      <c r="Q520" t="str">
        <f t="shared" si="26"/>
        <v>Favorable</v>
      </c>
    </row>
    <row r="521" spans="1:17">
      <c r="A521" t="s">
        <v>531</v>
      </c>
      <c r="B521" s="2">
        <v>45571</v>
      </c>
      <c r="C521">
        <v>5000</v>
      </c>
      <c r="D521" t="s">
        <v>2013</v>
      </c>
      <c r="E521">
        <v>922.15</v>
      </c>
      <c r="F521">
        <v>0</v>
      </c>
      <c r="G521" t="s">
        <v>2020</v>
      </c>
      <c r="H521" t="s">
        <v>2026</v>
      </c>
      <c r="I521" t="s">
        <v>2547</v>
      </c>
      <c r="J521" t="s">
        <v>4031</v>
      </c>
      <c r="K521" t="s">
        <v>4059</v>
      </c>
      <c r="L521">
        <v>-922.15</v>
      </c>
      <c r="N521">
        <f t="shared" si="24"/>
        <v>-922.15</v>
      </c>
      <c r="O521" t="s">
        <v>4104</v>
      </c>
      <c r="P521" t="str">
        <f t="shared" si="25"/>
        <v xml:space="preserve"> </v>
      </c>
      <c r="Q521" t="str">
        <f t="shared" si="26"/>
        <v>Unfavorable</v>
      </c>
    </row>
    <row r="522" spans="1:17">
      <c r="A522" t="s">
        <v>532</v>
      </c>
      <c r="B522" s="2">
        <v>45632</v>
      </c>
      <c r="C522">
        <v>4000</v>
      </c>
      <c r="D522" t="s">
        <v>2012</v>
      </c>
      <c r="E522">
        <v>0</v>
      </c>
      <c r="F522">
        <v>2754.43</v>
      </c>
      <c r="G522" t="s">
        <v>2017</v>
      </c>
      <c r="H522" t="s">
        <v>2027</v>
      </c>
      <c r="I522" t="s">
        <v>2548</v>
      </c>
      <c r="J522" t="s">
        <v>4031</v>
      </c>
      <c r="K522" t="s">
        <v>4056</v>
      </c>
      <c r="L522">
        <v>2754.43</v>
      </c>
      <c r="N522">
        <f t="shared" si="24"/>
        <v>2754.43</v>
      </c>
      <c r="O522" t="s">
        <v>4104</v>
      </c>
      <c r="P522" t="str">
        <f t="shared" si="25"/>
        <v xml:space="preserve"> </v>
      </c>
      <c r="Q522" t="str">
        <f t="shared" si="26"/>
        <v>Favorable</v>
      </c>
    </row>
    <row r="523" spans="1:17">
      <c r="A523" t="s">
        <v>533</v>
      </c>
      <c r="B523" s="2">
        <v>45790</v>
      </c>
      <c r="C523">
        <v>4000</v>
      </c>
      <c r="D523" t="s">
        <v>2012</v>
      </c>
      <c r="E523">
        <v>0</v>
      </c>
      <c r="F523">
        <v>2370.2800000000002</v>
      </c>
      <c r="G523" t="s">
        <v>2018</v>
      </c>
      <c r="H523" t="s">
        <v>2026</v>
      </c>
      <c r="I523" t="s">
        <v>2549</v>
      </c>
      <c r="J523" t="s">
        <v>4030</v>
      </c>
      <c r="K523" t="s">
        <v>4038</v>
      </c>
      <c r="L523">
        <v>2370.2800000000002</v>
      </c>
      <c r="N523">
        <f t="shared" si="24"/>
        <v>2370.2800000000002</v>
      </c>
      <c r="O523" t="s">
        <v>4104</v>
      </c>
      <c r="P523" t="str">
        <f t="shared" si="25"/>
        <v xml:space="preserve"> </v>
      </c>
      <c r="Q523" t="str">
        <f t="shared" si="26"/>
        <v>Favorable</v>
      </c>
    </row>
    <row r="524" spans="1:17">
      <c r="A524" t="s">
        <v>534</v>
      </c>
      <c r="B524" s="2">
        <v>45188</v>
      </c>
      <c r="C524">
        <v>5000</v>
      </c>
      <c r="D524" t="s">
        <v>2013</v>
      </c>
      <c r="E524">
        <v>649.98</v>
      </c>
      <c r="F524">
        <v>0</v>
      </c>
      <c r="G524" t="s">
        <v>2019</v>
      </c>
      <c r="H524" t="s">
        <v>2026</v>
      </c>
      <c r="I524" t="s">
        <v>2550</v>
      </c>
      <c r="J524" t="s">
        <v>4029</v>
      </c>
      <c r="K524" t="s">
        <v>4036</v>
      </c>
      <c r="L524">
        <v>-649.98</v>
      </c>
      <c r="N524">
        <f t="shared" si="24"/>
        <v>-649.98</v>
      </c>
      <c r="O524" t="s">
        <v>4104</v>
      </c>
      <c r="P524" t="str">
        <f t="shared" si="25"/>
        <v xml:space="preserve"> </v>
      </c>
      <c r="Q524" t="str">
        <f t="shared" si="26"/>
        <v>Unfavorable</v>
      </c>
    </row>
    <row r="525" spans="1:17">
      <c r="A525" t="s">
        <v>535</v>
      </c>
      <c r="B525" s="2">
        <v>45441</v>
      </c>
      <c r="C525">
        <v>4010</v>
      </c>
      <c r="D525" t="s">
        <v>2016</v>
      </c>
      <c r="E525">
        <v>0</v>
      </c>
      <c r="F525">
        <v>402.69</v>
      </c>
      <c r="G525" t="s">
        <v>2020</v>
      </c>
      <c r="H525" t="s">
        <v>2026</v>
      </c>
      <c r="I525" t="s">
        <v>2551</v>
      </c>
      <c r="J525" t="s">
        <v>4029</v>
      </c>
      <c r="K525" t="s">
        <v>4033</v>
      </c>
      <c r="L525">
        <v>402.69</v>
      </c>
      <c r="N525">
        <f t="shared" si="24"/>
        <v>402.69</v>
      </c>
      <c r="O525" t="s">
        <v>4104</v>
      </c>
      <c r="P525" t="str">
        <f t="shared" si="25"/>
        <v xml:space="preserve"> </v>
      </c>
      <c r="Q525" t="str">
        <f t="shared" si="26"/>
        <v>Favorable</v>
      </c>
    </row>
    <row r="526" spans="1:17">
      <c r="A526" t="s">
        <v>536</v>
      </c>
      <c r="B526" s="2">
        <v>45250</v>
      </c>
      <c r="C526">
        <v>6000</v>
      </c>
      <c r="D526" t="s">
        <v>2014</v>
      </c>
      <c r="E526">
        <v>154.30000000000001</v>
      </c>
      <c r="F526">
        <v>0</v>
      </c>
      <c r="G526" t="s">
        <v>2020</v>
      </c>
      <c r="H526" t="s">
        <v>2023</v>
      </c>
      <c r="I526" t="s">
        <v>2552</v>
      </c>
      <c r="J526" t="s">
        <v>4028</v>
      </c>
      <c r="K526" t="s">
        <v>4042</v>
      </c>
      <c r="L526">
        <v>-154.30000000000001</v>
      </c>
      <c r="N526">
        <f t="shared" si="24"/>
        <v>-154.30000000000001</v>
      </c>
      <c r="O526" t="s">
        <v>4104</v>
      </c>
      <c r="P526" t="str">
        <f t="shared" si="25"/>
        <v xml:space="preserve"> </v>
      </c>
      <c r="Q526" t="str">
        <f t="shared" si="26"/>
        <v>Unfavorable</v>
      </c>
    </row>
    <row r="527" spans="1:17">
      <c r="A527" t="s">
        <v>537</v>
      </c>
      <c r="B527" s="2">
        <v>45366</v>
      </c>
      <c r="C527">
        <v>4000</v>
      </c>
      <c r="D527" t="s">
        <v>2012</v>
      </c>
      <c r="E527">
        <v>0</v>
      </c>
      <c r="F527">
        <v>3155.19</v>
      </c>
      <c r="G527" t="s">
        <v>2021</v>
      </c>
      <c r="H527" t="s">
        <v>2023</v>
      </c>
      <c r="I527" t="s">
        <v>2553</v>
      </c>
      <c r="J527" t="s">
        <v>4029</v>
      </c>
      <c r="K527" t="s">
        <v>4049</v>
      </c>
      <c r="L527">
        <v>3155.19</v>
      </c>
      <c r="N527">
        <f t="shared" si="24"/>
        <v>3155.19</v>
      </c>
      <c r="O527" t="s">
        <v>4104</v>
      </c>
      <c r="P527" t="str">
        <f t="shared" si="25"/>
        <v xml:space="preserve"> </v>
      </c>
      <c r="Q527" t="str">
        <f t="shared" si="26"/>
        <v>Favorable</v>
      </c>
    </row>
    <row r="528" spans="1:17">
      <c r="A528" t="s">
        <v>538</v>
      </c>
      <c r="B528" s="2">
        <v>44942</v>
      </c>
      <c r="C528">
        <v>6000</v>
      </c>
      <c r="D528" t="s">
        <v>2014</v>
      </c>
      <c r="E528">
        <v>1455.97</v>
      </c>
      <c r="F528">
        <v>0</v>
      </c>
      <c r="G528" t="s">
        <v>2020</v>
      </c>
      <c r="H528" t="s">
        <v>2025</v>
      </c>
      <c r="I528" t="s">
        <v>2554</v>
      </c>
      <c r="J528" t="s">
        <v>4031</v>
      </c>
      <c r="K528" t="s">
        <v>4047</v>
      </c>
      <c r="L528">
        <v>-1455.97</v>
      </c>
      <c r="N528">
        <f t="shared" si="24"/>
        <v>-1455.97</v>
      </c>
      <c r="O528" t="s">
        <v>4104</v>
      </c>
      <c r="P528" t="str">
        <f t="shared" si="25"/>
        <v xml:space="preserve"> </v>
      </c>
      <c r="Q528" t="str">
        <f t="shared" si="26"/>
        <v>Unfavorable</v>
      </c>
    </row>
    <row r="529" spans="1:17">
      <c r="A529" t="s">
        <v>539</v>
      </c>
      <c r="B529" s="2">
        <v>45287</v>
      </c>
      <c r="C529">
        <v>5000</v>
      </c>
      <c r="D529" t="s">
        <v>2013</v>
      </c>
      <c r="E529">
        <v>133.86000000000001</v>
      </c>
      <c r="F529">
        <v>0</v>
      </c>
      <c r="G529" t="s">
        <v>2022</v>
      </c>
      <c r="H529" t="s">
        <v>2026</v>
      </c>
      <c r="I529" t="s">
        <v>2555</v>
      </c>
      <c r="J529" t="s">
        <v>4029</v>
      </c>
      <c r="K529" t="s">
        <v>4039</v>
      </c>
      <c r="L529">
        <v>-133.86000000000001</v>
      </c>
      <c r="N529">
        <f t="shared" si="24"/>
        <v>-133.86000000000001</v>
      </c>
      <c r="O529" t="s">
        <v>4104</v>
      </c>
      <c r="P529" t="str">
        <f t="shared" si="25"/>
        <v xml:space="preserve"> </v>
      </c>
      <c r="Q529" t="str">
        <f t="shared" si="26"/>
        <v>Unfavorable</v>
      </c>
    </row>
    <row r="530" spans="1:17">
      <c r="A530" t="s">
        <v>540</v>
      </c>
      <c r="B530" s="2">
        <v>45435</v>
      </c>
      <c r="C530">
        <v>5000</v>
      </c>
      <c r="D530" t="s">
        <v>2013</v>
      </c>
      <c r="E530">
        <v>928.81</v>
      </c>
      <c r="F530">
        <v>0</v>
      </c>
      <c r="G530" t="s">
        <v>2022</v>
      </c>
      <c r="H530" t="s">
        <v>2024</v>
      </c>
      <c r="I530" t="s">
        <v>2556</v>
      </c>
      <c r="J530" t="s">
        <v>4030</v>
      </c>
      <c r="K530" t="s">
        <v>4033</v>
      </c>
      <c r="L530">
        <v>-928.81</v>
      </c>
      <c r="N530">
        <f t="shared" si="24"/>
        <v>-928.81</v>
      </c>
      <c r="O530" t="s">
        <v>4104</v>
      </c>
      <c r="P530" t="str">
        <f t="shared" si="25"/>
        <v xml:space="preserve"> </v>
      </c>
      <c r="Q530" t="str">
        <f t="shared" si="26"/>
        <v>Unfavorable</v>
      </c>
    </row>
    <row r="531" spans="1:17">
      <c r="A531" t="s">
        <v>541</v>
      </c>
      <c r="B531" s="2">
        <v>45027</v>
      </c>
      <c r="C531">
        <v>4010</v>
      </c>
      <c r="D531" t="s">
        <v>2016</v>
      </c>
      <c r="E531">
        <v>0</v>
      </c>
      <c r="F531">
        <v>4936.62</v>
      </c>
      <c r="G531" t="s">
        <v>2019</v>
      </c>
      <c r="H531" t="s">
        <v>2025</v>
      </c>
      <c r="I531" t="s">
        <v>2557</v>
      </c>
      <c r="J531" t="s">
        <v>4028</v>
      </c>
      <c r="K531" t="s">
        <v>4041</v>
      </c>
      <c r="L531">
        <v>4936.62</v>
      </c>
      <c r="N531">
        <f t="shared" si="24"/>
        <v>4936.62</v>
      </c>
      <c r="O531" t="s">
        <v>4104</v>
      </c>
      <c r="P531" t="str">
        <f t="shared" si="25"/>
        <v xml:space="preserve"> </v>
      </c>
      <c r="Q531" t="str">
        <f t="shared" si="26"/>
        <v>Favorable</v>
      </c>
    </row>
    <row r="532" spans="1:17">
      <c r="A532" t="s">
        <v>542</v>
      </c>
      <c r="B532" s="2">
        <v>45435</v>
      </c>
      <c r="C532">
        <v>6000</v>
      </c>
      <c r="D532" t="s">
        <v>2014</v>
      </c>
      <c r="E532">
        <v>1152.7</v>
      </c>
      <c r="F532">
        <v>0</v>
      </c>
      <c r="G532" t="s">
        <v>2017</v>
      </c>
      <c r="H532" t="s">
        <v>2024</v>
      </c>
      <c r="I532" t="s">
        <v>2558</v>
      </c>
      <c r="J532" t="s">
        <v>4029</v>
      </c>
      <c r="K532" t="s">
        <v>4033</v>
      </c>
      <c r="L532">
        <v>-1152.7</v>
      </c>
      <c r="N532">
        <f t="shared" si="24"/>
        <v>-1152.7</v>
      </c>
      <c r="O532" t="s">
        <v>4104</v>
      </c>
      <c r="P532" t="str">
        <f t="shared" si="25"/>
        <v xml:space="preserve"> </v>
      </c>
      <c r="Q532" t="str">
        <f t="shared" si="26"/>
        <v>Unfavorable</v>
      </c>
    </row>
    <row r="533" spans="1:17">
      <c r="A533" t="s">
        <v>543</v>
      </c>
      <c r="B533" s="2">
        <v>45644</v>
      </c>
      <c r="C533">
        <v>5010</v>
      </c>
      <c r="D533" t="s">
        <v>2015</v>
      </c>
      <c r="E533">
        <v>1793.92</v>
      </c>
      <c r="F533">
        <v>0</v>
      </c>
      <c r="G533" t="s">
        <v>2021</v>
      </c>
      <c r="H533" t="s">
        <v>2027</v>
      </c>
      <c r="I533" t="s">
        <v>2559</v>
      </c>
      <c r="J533" t="s">
        <v>4030</v>
      </c>
      <c r="K533" t="s">
        <v>4056</v>
      </c>
      <c r="L533">
        <v>-1793.92</v>
      </c>
      <c r="N533">
        <f t="shared" si="24"/>
        <v>-1793.92</v>
      </c>
      <c r="O533" t="s">
        <v>4104</v>
      </c>
      <c r="P533" t="str">
        <f t="shared" si="25"/>
        <v xml:space="preserve"> </v>
      </c>
      <c r="Q533" t="str">
        <f t="shared" si="26"/>
        <v>Unfavorable</v>
      </c>
    </row>
    <row r="534" spans="1:17">
      <c r="A534" t="s">
        <v>544</v>
      </c>
      <c r="B534" s="2">
        <v>45468</v>
      </c>
      <c r="C534">
        <v>5000</v>
      </c>
      <c r="D534" t="s">
        <v>2013</v>
      </c>
      <c r="E534">
        <v>1022.78</v>
      </c>
      <c r="F534">
        <v>0</v>
      </c>
      <c r="G534" t="s">
        <v>2017</v>
      </c>
      <c r="H534" t="s">
        <v>2023</v>
      </c>
      <c r="I534" t="s">
        <v>2560</v>
      </c>
      <c r="J534" t="s">
        <v>4031</v>
      </c>
      <c r="K534" t="s">
        <v>4034</v>
      </c>
      <c r="L534">
        <v>-1022.78</v>
      </c>
      <c r="N534">
        <f t="shared" si="24"/>
        <v>-1022.78</v>
      </c>
      <c r="O534" t="s">
        <v>4104</v>
      </c>
      <c r="P534" t="str">
        <f t="shared" si="25"/>
        <v xml:space="preserve"> </v>
      </c>
      <c r="Q534" t="str">
        <f t="shared" si="26"/>
        <v>Unfavorable</v>
      </c>
    </row>
    <row r="535" spans="1:17">
      <c r="A535" t="s">
        <v>545</v>
      </c>
      <c r="B535" s="2">
        <v>45662</v>
      </c>
      <c r="C535">
        <v>4000</v>
      </c>
      <c r="D535" t="s">
        <v>2012</v>
      </c>
      <c r="E535">
        <v>0</v>
      </c>
      <c r="F535">
        <v>1831.2</v>
      </c>
      <c r="G535" t="s">
        <v>2020</v>
      </c>
      <c r="H535" t="s">
        <v>2027</v>
      </c>
      <c r="I535" t="s">
        <v>2561</v>
      </c>
      <c r="J535" t="s">
        <v>4029</v>
      </c>
      <c r="K535" t="s">
        <v>4035</v>
      </c>
      <c r="L535">
        <v>1831.2</v>
      </c>
      <c r="N535">
        <f t="shared" si="24"/>
        <v>1831.2</v>
      </c>
      <c r="O535" t="s">
        <v>4104</v>
      </c>
      <c r="P535" t="str">
        <f t="shared" si="25"/>
        <v xml:space="preserve"> </v>
      </c>
      <c r="Q535" t="str">
        <f t="shared" si="26"/>
        <v>Favorable</v>
      </c>
    </row>
    <row r="536" spans="1:17">
      <c r="A536" t="s">
        <v>546</v>
      </c>
      <c r="B536" s="2">
        <v>45786</v>
      </c>
      <c r="C536">
        <v>4000</v>
      </c>
      <c r="D536" t="s">
        <v>2012</v>
      </c>
      <c r="E536">
        <v>0</v>
      </c>
      <c r="F536">
        <v>1273.25</v>
      </c>
      <c r="G536" t="s">
        <v>2020</v>
      </c>
      <c r="H536" t="s">
        <v>2026</v>
      </c>
      <c r="I536" t="s">
        <v>2562</v>
      </c>
      <c r="J536" t="s">
        <v>4029</v>
      </c>
      <c r="K536" t="s">
        <v>4038</v>
      </c>
      <c r="L536">
        <v>1273.25</v>
      </c>
      <c r="N536">
        <f t="shared" si="24"/>
        <v>1273.25</v>
      </c>
      <c r="O536" t="s">
        <v>4104</v>
      </c>
      <c r="P536" t="str">
        <f t="shared" si="25"/>
        <v xml:space="preserve"> </v>
      </c>
      <c r="Q536" t="str">
        <f t="shared" si="26"/>
        <v>Favorable</v>
      </c>
    </row>
    <row r="537" spans="1:17">
      <c r="A537" t="s">
        <v>547</v>
      </c>
      <c r="B537" s="2">
        <v>45214</v>
      </c>
      <c r="C537">
        <v>4010</v>
      </c>
      <c r="D537" t="s">
        <v>2016</v>
      </c>
      <c r="E537">
        <v>0</v>
      </c>
      <c r="F537">
        <v>3620.97</v>
      </c>
      <c r="G537" t="s">
        <v>2021</v>
      </c>
      <c r="H537" t="s">
        <v>2027</v>
      </c>
      <c r="I537" t="s">
        <v>2563</v>
      </c>
      <c r="J537" t="s">
        <v>4028</v>
      </c>
      <c r="K537" t="s">
        <v>4060</v>
      </c>
      <c r="L537">
        <v>3620.97</v>
      </c>
      <c r="N537">
        <f t="shared" si="24"/>
        <v>3620.97</v>
      </c>
      <c r="O537" t="s">
        <v>4104</v>
      </c>
      <c r="P537" t="str">
        <f t="shared" si="25"/>
        <v xml:space="preserve"> </v>
      </c>
      <c r="Q537" t="str">
        <f t="shared" si="26"/>
        <v>Favorable</v>
      </c>
    </row>
    <row r="538" spans="1:17">
      <c r="A538" t="s">
        <v>548</v>
      </c>
      <c r="B538" s="2">
        <v>45451</v>
      </c>
      <c r="C538">
        <v>4000</v>
      </c>
      <c r="D538" t="s">
        <v>2012</v>
      </c>
      <c r="E538">
        <v>0</v>
      </c>
      <c r="F538">
        <v>2592.4299999999998</v>
      </c>
      <c r="G538" t="s">
        <v>2020</v>
      </c>
      <c r="H538" t="s">
        <v>2023</v>
      </c>
      <c r="I538" t="s">
        <v>2564</v>
      </c>
      <c r="J538" t="s">
        <v>4029</v>
      </c>
      <c r="K538" t="s">
        <v>4034</v>
      </c>
      <c r="L538">
        <v>2592.4299999999998</v>
      </c>
      <c r="N538">
        <f t="shared" si="24"/>
        <v>2592.4299999999998</v>
      </c>
      <c r="O538" t="s">
        <v>4104</v>
      </c>
      <c r="P538" t="str">
        <f t="shared" si="25"/>
        <v xml:space="preserve"> </v>
      </c>
      <c r="Q538" t="str">
        <f t="shared" si="26"/>
        <v>Favorable</v>
      </c>
    </row>
    <row r="539" spans="1:17">
      <c r="A539" t="s">
        <v>549</v>
      </c>
      <c r="B539" s="2">
        <v>45730</v>
      </c>
      <c r="C539">
        <v>5000</v>
      </c>
      <c r="D539" t="s">
        <v>2013</v>
      </c>
      <c r="E539">
        <v>1683.82</v>
      </c>
      <c r="F539">
        <v>0</v>
      </c>
      <c r="G539" t="s">
        <v>2020</v>
      </c>
      <c r="H539" t="s">
        <v>2025</v>
      </c>
      <c r="I539" t="s">
        <v>2565</v>
      </c>
      <c r="J539" t="s">
        <v>4030</v>
      </c>
      <c r="K539" t="s">
        <v>4046</v>
      </c>
      <c r="L539">
        <v>-1683.82</v>
      </c>
      <c r="N539">
        <f t="shared" si="24"/>
        <v>-1683.82</v>
      </c>
      <c r="O539" t="s">
        <v>4104</v>
      </c>
      <c r="P539" t="str">
        <f t="shared" si="25"/>
        <v xml:space="preserve"> </v>
      </c>
      <c r="Q539" t="str">
        <f t="shared" si="26"/>
        <v>Unfavorable</v>
      </c>
    </row>
    <row r="540" spans="1:17">
      <c r="A540" t="s">
        <v>550</v>
      </c>
      <c r="B540" s="2">
        <v>45190</v>
      </c>
      <c r="C540">
        <v>5010</v>
      </c>
      <c r="D540" t="s">
        <v>2015</v>
      </c>
      <c r="E540">
        <v>1735.98</v>
      </c>
      <c r="F540">
        <v>0</v>
      </c>
      <c r="G540" t="s">
        <v>2017</v>
      </c>
      <c r="H540" t="s">
        <v>2023</v>
      </c>
      <c r="I540" t="s">
        <v>2566</v>
      </c>
      <c r="J540" t="s">
        <v>4030</v>
      </c>
      <c r="K540" t="s">
        <v>4036</v>
      </c>
      <c r="L540">
        <v>-1735.98</v>
      </c>
      <c r="N540">
        <f t="shared" si="24"/>
        <v>-1735.98</v>
      </c>
      <c r="O540" t="s">
        <v>4104</v>
      </c>
      <c r="P540" t="str">
        <f t="shared" si="25"/>
        <v xml:space="preserve"> </v>
      </c>
      <c r="Q540" t="str">
        <f t="shared" si="26"/>
        <v>Unfavorable</v>
      </c>
    </row>
    <row r="541" spans="1:17">
      <c r="A541" t="s">
        <v>551</v>
      </c>
      <c r="B541" s="2">
        <v>45797</v>
      </c>
      <c r="C541">
        <v>4000</v>
      </c>
      <c r="D541" t="s">
        <v>2012</v>
      </c>
      <c r="E541">
        <v>0</v>
      </c>
      <c r="F541">
        <v>3791.55</v>
      </c>
      <c r="G541" t="s">
        <v>2021</v>
      </c>
      <c r="H541" t="s">
        <v>2025</v>
      </c>
      <c r="I541" t="s">
        <v>2567</v>
      </c>
      <c r="J541" t="s">
        <v>4029</v>
      </c>
      <c r="K541" t="s">
        <v>4038</v>
      </c>
      <c r="L541">
        <v>3791.55</v>
      </c>
      <c r="N541">
        <f t="shared" si="24"/>
        <v>3791.55</v>
      </c>
      <c r="O541" t="s">
        <v>4104</v>
      </c>
      <c r="P541" t="str">
        <f t="shared" si="25"/>
        <v xml:space="preserve"> </v>
      </c>
      <c r="Q541" t="str">
        <f t="shared" si="26"/>
        <v>Favorable</v>
      </c>
    </row>
    <row r="542" spans="1:17">
      <c r="A542" t="s">
        <v>552</v>
      </c>
      <c r="B542" s="2">
        <v>45687</v>
      </c>
      <c r="C542">
        <v>4010</v>
      </c>
      <c r="D542" t="s">
        <v>2016</v>
      </c>
      <c r="E542">
        <v>0</v>
      </c>
      <c r="F542">
        <v>2119.27</v>
      </c>
      <c r="G542" t="s">
        <v>2017</v>
      </c>
      <c r="H542" t="s">
        <v>2023</v>
      </c>
      <c r="I542" t="s">
        <v>2568</v>
      </c>
      <c r="J542" t="s">
        <v>4031</v>
      </c>
      <c r="K542" t="s">
        <v>4035</v>
      </c>
      <c r="L542">
        <v>2119.27</v>
      </c>
      <c r="N542">
        <f t="shared" si="24"/>
        <v>2119.27</v>
      </c>
      <c r="O542" t="s">
        <v>4104</v>
      </c>
      <c r="P542" t="str">
        <f t="shared" si="25"/>
        <v xml:space="preserve"> </v>
      </c>
      <c r="Q542" t="str">
        <f t="shared" si="26"/>
        <v>Favorable</v>
      </c>
    </row>
    <row r="543" spans="1:17">
      <c r="A543" t="s">
        <v>553</v>
      </c>
      <c r="B543" s="2">
        <v>45586</v>
      </c>
      <c r="C543">
        <v>4010</v>
      </c>
      <c r="D543" t="s">
        <v>2016</v>
      </c>
      <c r="E543">
        <v>0</v>
      </c>
      <c r="F543">
        <v>3802.31</v>
      </c>
      <c r="G543" t="s">
        <v>2020</v>
      </c>
      <c r="H543" t="s">
        <v>2025</v>
      </c>
      <c r="I543" t="s">
        <v>2569</v>
      </c>
      <c r="J543" t="s">
        <v>4032</v>
      </c>
      <c r="K543" t="s">
        <v>4059</v>
      </c>
      <c r="L543">
        <v>3802.31</v>
      </c>
      <c r="N543">
        <f t="shared" si="24"/>
        <v>3802.31</v>
      </c>
      <c r="O543" t="s">
        <v>4104</v>
      </c>
      <c r="P543" t="str">
        <f t="shared" si="25"/>
        <v xml:space="preserve"> </v>
      </c>
      <c r="Q543" t="str">
        <f t="shared" si="26"/>
        <v>Favorable</v>
      </c>
    </row>
    <row r="544" spans="1:17">
      <c r="A544" t="s">
        <v>554</v>
      </c>
      <c r="B544" s="2">
        <v>45670</v>
      </c>
      <c r="C544">
        <v>4010</v>
      </c>
      <c r="D544" t="s">
        <v>2016</v>
      </c>
      <c r="E544">
        <v>0</v>
      </c>
      <c r="F544">
        <v>1414.25</v>
      </c>
      <c r="G544" t="s">
        <v>2017</v>
      </c>
      <c r="H544" t="s">
        <v>2026</v>
      </c>
      <c r="I544" t="s">
        <v>2570</v>
      </c>
      <c r="J544" t="s">
        <v>4031</v>
      </c>
      <c r="K544" t="s">
        <v>4035</v>
      </c>
      <c r="L544">
        <v>1414.25</v>
      </c>
      <c r="N544">
        <f t="shared" si="24"/>
        <v>1414.25</v>
      </c>
      <c r="O544" t="s">
        <v>4104</v>
      </c>
      <c r="P544" t="str">
        <f t="shared" si="25"/>
        <v xml:space="preserve"> </v>
      </c>
      <c r="Q544" t="str">
        <f t="shared" si="26"/>
        <v>Favorable</v>
      </c>
    </row>
    <row r="545" spans="1:17">
      <c r="A545" t="s">
        <v>555</v>
      </c>
      <c r="B545" s="2">
        <v>45630</v>
      </c>
      <c r="C545">
        <v>4000</v>
      </c>
      <c r="D545" t="s">
        <v>2012</v>
      </c>
      <c r="E545">
        <v>0</v>
      </c>
      <c r="F545">
        <v>1404.17</v>
      </c>
      <c r="G545" t="s">
        <v>2019</v>
      </c>
      <c r="H545" t="s">
        <v>2023</v>
      </c>
      <c r="I545" t="s">
        <v>2571</v>
      </c>
      <c r="J545" t="s">
        <v>4030</v>
      </c>
      <c r="K545" t="s">
        <v>4056</v>
      </c>
      <c r="L545">
        <v>1404.17</v>
      </c>
      <c r="N545">
        <f t="shared" si="24"/>
        <v>1404.17</v>
      </c>
      <c r="O545" t="s">
        <v>4104</v>
      </c>
      <c r="P545" t="str">
        <f t="shared" si="25"/>
        <v xml:space="preserve"> </v>
      </c>
      <c r="Q545" t="str">
        <f t="shared" si="26"/>
        <v>Favorable</v>
      </c>
    </row>
    <row r="546" spans="1:17">
      <c r="A546" t="s">
        <v>556</v>
      </c>
      <c r="B546" s="2">
        <v>45048</v>
      </c>
      <c r="C546">
        <v>4010</v>
      </c>
      <c r="D546" t="s">
        <v>2016</v>
      </c>
      <c r="E546">
        <v>0</v>
      </c>
      <c r="F546">
        <v>3160.15</v>
      </c>
      <c r="G546" t="s">
        <v>2021</v>
      </c>
      <c r="H546" t="s">
        <v>2025</v>
      </c>
      <c r="I546" t="s">
        <v>2572</v>
      </c>
      <c r="J546" t="s">
        <v>4032</v>
      </c>
      <c r="K546" t="s">
        <v>4062</v>
      </c>
      <c r="L546">
        <v>3160.15</v>
      </c>
      <c r="N546">
        <f t="shared" si="24"/>
        <v>3160.15</v>
      </c>
      <c r="O546" t="s">
        <v>4104</v>
      </c>
      <c r="P546" t="str">
        <f t="shared" si="25"/>
        <v xml:space="preserve"> </v>
      </c>
      <c r="Q546" t="str">
        <f t="shared" si="26"/>
        <v>Favorable</v>
      </c>
    </row>
    <row r="547" spans="1:17">
      <c r="A547" t="s">
        <v>557</v>
      </c>
      <c r="B547" s="2">
        <v>45077</v>
      </c>
      <c r="C547">
        <v>6000</v>
      </c>
      <c r="D547" t="s">
        <v>2014</v>
      </c>
      <c r="E547">
        <v>344.52</v>
      </c>
      <c r="F547">
        <v>0</v>
      </c>
      <c r="G547" t="s">
        <v>2021</v>
      </c>
      <c r="H547" t="s">
        <v>2025</v>
      </c>
      <c r="I547" t="s">
        <v>2573</v>
      </c>
      <c r="J547" t="s">
        <v>4030</v>
      </c>
      <c r="K547" t="s">
        <v>4062</v>
      </c>
      <c r="L547">
        <v>-344.52</v>
      </c>
      <c r="N547">
        <f t="shared" si="24"/>
        <v>-344.52</v>
      </c>
      <c r="O547" t="s">
        <v>4104</v>
      </c>
      <c r="P547" t="str">
        <f t="shared" si="25"/>
        <v xml:space="preserve"> </v>
      </c>
      <c r="Q547" t="str">
        <f t="shared" si="26"/>
        <v>Unfavorable</v>
      </c>
    </row>
    <row r="548" spans="1:17">
      <c r="A548" t="s">
        <v>558</v>
      </c>
      <c r="B548" s="2">
        <v>45552</v>
      </c>
      <c r="C548">
        <v>6000</v>
      </c>
      <c r="D548" t="s">
        <v>2014</v>
      </c>
      <c r="E548">
        <v>846.89</v>
      </c>
      <c r="F548">
        <v>0</v>
      </c>
      <c r="G548" t="s">
        <v>2020</v>
      </c>
      <c r="H548" t="s">
        <v>2026</v>
      </c>
      <c r="I548" t="s">
        <v>2574</v>
      </c>
      <c r="J548" t="s">
        <v>4028</v>
      </c>
      <c r="K548" t="s">
        <v>4048</v>
      </c>
      <c r="L548">
        <v>-846.89</v>
      </c>
      <c r="N548">
        <f t="shared" si="24"/>
        <v>-846.89</v>
      </c>
      <c r="O548" t="s">
        <v>4104</v>
      </c>
      <c r="P548" t="str">
        <f t="shared" si="25"/>
        <v xml:space="preserve"> </v>
      </c>
      <c r="Q548" t="str">
        <f t="shared" si="26"/>
        <v>Unfavorable</v>
      </c>
    </row>
    <row r="549" spans="1:17">
      <c r="A549" t="s">
        <v>559</v>
      </c>
      <c r="B549" s="2">
        <v>45806</v>
      </c>
      <c r="C549">
        <v>5010</v>
      </c>
      <c r="D549" t="s">
        <v>2015</v>
      </c>
      <c r="E549">
        <v>1316.39</v>
      </c>
      <c r="F549">
        <v>0</v>
      </c>
      <c r="G549" t="s">
        <v>2021</v>
      </c>
      <c r="H549" t="s">
        <v>2027</v>
      </c>
      <c r="I549" t="s">
        <v>2575</v>
      </c>
      <c r="J549" t="s">
        <v>4032</v>
      </c>
      <c r="K549" t="s">
        <v>4038</v>
      </c>
      <c r="L549">
        <v>-1316.39</v>
      </c>
      <c r="N549">
        <f t="shared" si="24"/>
        <v>-1316.39</v>
      </c>
      <c r="O549" t="s">
        <v>4104</v>
      </c>
      <c r="P549" t="str">
        <f t="shared" si="25"/>
        <v xml:space="preserve"> </v>
      </c>
      <c r="Q549" t="str">
        <f t="shared" si="26"/>
        <v>Unfavorable</v>
      </c>
    </row>
    <row r="550" spans="1:17">
      <c r="A550" t="s">
        <v>560</v>
      </c>
      <c r="B550" s="2">
        <v>45600</v>
      </c>
      <c r="C550">
        <v>5010</v>
      </c>
      <c r="D550" t="s">
        <v>2015</v>
      </c>
      <c r="E550">
        <v>1731.71</v>
      </c>
      <c r="F550">
        <v>0</v>
      </c>
      <c r="G550" t="s">
        <v>2017</v>
      </c>
      <c r="H550" t="s">
        <v>2025</v>
      </c>
      <c r="I550" t="s">
        <v>2576</v>
      </c>
      <c r="J550" t="s">
        <v>4028</v>
      </c>
      <c r="K550" t="s">
        <v>4043</v>
      </c>
      <c r="L550">
        <v>-1731.71</v>
      </c>
      <c r="N550">
        <f t="shared" si="24"/>
        <v>-1731.71</v>
      </c>
      <c r="O550" t="s">
        <v>4104</v>
      </c>
      <c r="P550" t="str">
        <f t="shared" si="25"/>
        <v xml:space="preserve"> </v>
      </c>
      <c r="Q550" t="str">
        <f t="shared" si="26"/>
        <v>Unfavorable</v>
      </c>
    </row>
    <row r="551" spans="1:17">
      <c r="A551" t="s">
        <v>561</v>
      </c>
      <c r="B551" s="2">
        <v>45433</v>
      </c>
      <c r="C551">
        <v>5000</v>
      </c>
      <c r="D551" t="s">
        <v>2013</v>
      </c>
      <c r="E551">
        <v>1683.19</v>
      </c>
      <c r="F551">
        <v>0</v>
      </c>
      <c r="G551" t="s">
        <v>2021</v>
      </c>
      <c r="H551" t="s">
        <v>2025</v>
      </c>
      <c r="I551" t="s">
        <v>2577</v>
      </c>
      <c r="J551" t="s">
        <v>4031</v>
      </c>
      <c r="K551" t="s">
        <v>4033</v>
      </c>
      <c r="L551">
        <v>-1683.19</v>
      </c>
      <c r="N551">
        <f t="shared" si="24"/>
        <v>-1683.19</v>
      </c>
      <c r="O551" t="s">
        <v>4104</v>
      </c>
      <c r="P551" t="str">
        <f t="shared" si="25"/>
        <v xml:space="preserve"> </v>
      </c>
      <c r="Q551" t="str">
        <f t="shared" si="26"/>
        <v>Unfavorable</v>
      </c>
    </row>
    <row r="552" spans="1:17">
      <c r="A552" t="s">
        <v>562</v>
      </c>
      <c r="B552" s="2">
        <v>45536</v>
      </c>
      <c r="C552">
        <v>6000</v>
      </c>
      <c r="D552" t="s">
        <v>2014</v>
      </c>
      <c r="E552">
        <v>225.82</v>
      </c>
      <c r="F552">
        <v>0</v>
      </c>
      <c r="G552" t="s">
        <v>2020</v>
      </c>
      <c r="H552" t="s">
        <v>2025</v>
      </c>
      <c r="I552" t="s">
        <v>2578</v>
      </c>
      <c r="J552" t="s">
        <v>4028</v>
      </c>
      <c r="K552" t="s">
        <v>4048</v>
      </c>
      <c r="L552">
        <v>-225.82</v>
      </c>
      <c r="N552">
        <f t="shared" si="24"/>
        <v>-225.82</v>
      </c>
      <c r="O552" t="s">
        <v>4104</v>
      </c>
      <c r="P552" t="str">
        <f t="shared" si="25"/>
        <v xml:space="preserve"> </v>
      </c>
      <c r="Q552" t="str">
        <f t="shared" si="26"/>
        <v>Unfavorable</v>
      </c>
    </row>
    <row r="553" spans="1:17">
      <c r="A553" t="s">
        <v>563</v>
      </c>
      <c r="B553" s="2">
        <v>45050</v>
      </c>
      <c r="C553">
        <v>4000</v>
      </c>
      <c r="D553" t="s">
        <v>2012</v>
      </c>
      <c r="E553">
        <v>0</v>
      </c>
      <c r="F553">
        <v>3218.47</v>
      </c>
      <c r="G553" t="s">
        <v>2019</v>
      </c>
      <c r="H553" t="s">
        <v>2025</v>
      </c>
      <c r="I553" t="s">
        <v>2579</v>
      </c>
      <c r="J553" t="s">
        <v>4030</v>
      </c>
      <c r="K553" t="s">
        <v>4062</v>
      </c>
      <c r="L553">
        <v>3218.47</v>
      </c>
      <c r="N553">
        <f t="shared" si="24"/>
        <v>3218.47</v>
      </c>
      <c r="O553" t="s">
        <v>4104</v>
      </c>
      <c r="P553" t="str">
        <f t="shared" si="25"/>
        <v xml:space="preserve"> </v>
      </c>
      <c r="Q553" t="str">
        <f t="shared" si="26"/>
        <v>Favorable</v>
      </c>
    </row>
    <row r="554" spans="1:17">
      <c r="A554" t="s">
        <v>564</v>
      </c>
      <c r="B554" s="2">
        <v>45182</v>
      </c>
      <c r="C554">
        <v>4010</v>
      </c>
      <c r="D554" t="s">
        <v>2016</v>
      </c>
      <c r="E554">
        <v>0</v>
      </c>
      <c r="F554">
        <v>489.03</v>
      </c>
      <c r="G554" t="s">
        <v>2019</v>
      </c>
      <c r="H554" t="s">
        <v>2023</v>
      </c>
      <c r="I554" t="s">
        <v>2580</v>
      </c>
      <c r="J554" t="s">
        <v>4032</v>
      </c>
      <c r="K554" t="s">
        <v>4036</v>
      </c>
      <c r="L554">
        <v>489.03</v>
      </c>
      <c r="N554">
        <f t="shared" si="24"/>
        <v>489.03</v>
      </c>
      <c r="O554" t="s">
        <v>4104</v>
      </c>
      <c r="P554" t="str">
        <f t="shared" si="25"/>
        <v xml:space="preserve"> </v>
      </c>
      <c r="Q554" t="str">
        <f t="shared" si="26"/>
        <v>Favorable</v>
      </c>
    </row>
    <row r="555" spans="1:17">
      <c r="A555" t="s">
        <v>565</v>
      </c>
      <c r="B555" s="2">
        <v>45820</v>
      </c>
      <c r="C555">
        <v>5010</v>
      </c>
      <c r="D555" t="s">
        <v>2015</v>
      </c>
      <c r="E555">
        <v>558.76</v>
      </c>
      <c r="F555">
        <v>0</v>
      </c>
      <c r="G555" t="s">
        <v>2019</v>
      </c>
      <c r="H555" t="s">
        <v>2026</v>
      </c>
      <c r="I555" t="s">
        <v>2581</v>
      </c>
      <c r="J555" t="s">
        <v>4031</v>
      </c>
      <c r="K555" t="s">
        <v>4052</v>
      </c>
      <c r="L555">
        <v>-558.76</v>
      </c>
      <c r="N555">
        <f t="shared" si="24"/>
        <v>-558.76</v>
      </c>
      <c r="O555" t="s">
        <v>4104</v>
      </c>
      <c r="P555" t="str">
        <f t="shared" si="25"/>
        <v xml:space="preserve"> </v>
      </c>
      <c r="Q555" t="str">
        <f t="shared" si="26"/>
        <v>Unfavorable</v>
      </c>
    </row>
    <row r="556" spans="1:17">
      <c r="A556" t="s">
        <v>566</v>
      </c>
      <c r="B556" s="2">
        <v>44949</v>
      </c>
      <c r="C556">
        <v>4000</v>
      </c>
      <c r="D556" t="s">
        <v>2012</v>
      </c>
      <c r="E556">
        <v>0</v>
      </c>
      <c r="F556">
        <v>3368.07</v>
      </c>
      <c r="G556" t="s">
        <v>2020</v>
      </c>
      <c r="H556" t="s">
        <v>2024</v>
      </c>
      <c r="I556" t="s">
        <v>2582</v>
      </c>
      <c r="J556" t="s">
        <v>4028</v>
      </c>
      <c r="K556" t="s">
        <v>4047</v>
      </c>
      <c r="L556">
        <v>3368.07</v>
      </c>
      <c r="N556">
        <f t="shared" si="24"/>
        <v>3368.07</v>
      </c>
      <c r="O556" t="s">
        <v>4104</v>
      </c>
      <c r="P556" t="str">
        <f t="shared" si="25"/>
        <v xml:space="preserve"> </v>
      </c>
      <c r="Q556" t="str">
        <f t="shared" si="26"/>
        <v>Favorable</v>
      </c>
    </row>
    <row r="557" spans="1:17">
      <c r="A557" t="s">
        <v>567</v>
      </c>
      <c r="B557" s="2">
        <v>45709</v>
      </c>
      <c r="C557">
        <v>5000</v>
      </c>
      <c r="D557" t="s">
        <v>2013</v>
      </c>
      <c r="E557">
        <v>1354.74</v>
      </c>
      <c r="F557">
        <v>0</v>
      </c>
      <c r="G557" t="s">
        <v>2018</v>
      </c>
      <c r="H557" t="s">
        <v>2023</v>
      </c>
      <c r="I557" t="s">
        <v>2583</v>
      </c>
      <c r="J557" t="s">
        <v>4032</v>
      </c>
      <c r="K557" t="s">
        <v>4061</v>
      </c>
      <c r="L557">
        <v>-1354.74</v>
      </c>
      <c r="N557">
        <f t="shared" si="24"/>
        <v>-1354.74</v>
      </c>
      <c r="O557" t="s">
        <v>4104</v>
      </c>
      <c r="P557" t="str">
        <f t="shared" si="25"/>
        <v xml:space="preserve"> </v>
      </c>
      <c r="Q557" t="str">
        <f t="shared" si="26"/>
        <v>Unfavorable</v>
      </c>
    </row>
    <row r="558" spans="1:17">
      <c r="A558" t="s">
        <v>568</v>
      </c>
      <c r="B558" s="2">
        <v>45577</v>
      </c>
      <c r="C558">
        <v>5010</v>
      </c>
      <c r="D558" t="s">
        <v>2015</v>
      </c>
      <c r="E558">
        <v>421.39</v>
      </c>
      <c r="F558">
        <v>0</v>
      </c>
      <c r="G558" t="s">
        <v>2021</v>
      </c>
      <c r="H558" t="s">
        <v>2025</v>
      </c>
      <c r="I558" t="s">
        <v>2584</v>
      </c>
      <c r="J558" t="s">
        <v>4031</v>
      </c>
      <c r="K558" t="s">
        <v>4059</v>
      </c>
      <c r="L558">
        <v>-421.39</v>
      </c>
      <c r="N558">
        <f t="shared" si="24"/>
        <v>-421.39</v>
      </c>
      <c r="O558" t="s">
        <v>4104</v>
      </c>
      <c r="P558" t="str">
        <f t="shared" si="25"/>
        <v xml:space="preserve"> </v>
      </c>
      <c r="Q558" t="str">
        <f t="shared" si="26"/>
        <v>Unfavorable</v>
      </c>
    </row>
    <row r="559" spans="1:17">
      <c r="A559" t="s">
        <v>569</v>
      </c>
      <c r="B559" s="2">
        <v>45327</v>
      </c>
      <c r="C559">
        <v>5010</v>
      </c>
      <c r="D559" t="s">
        <v>2015</v>
      </c>
      <c r="E559">
        <v>618.39</v>
      </c>
      <c r="F559">
        <v>0</v>
      </c>
      <c r="G559" t="s">
        <v>2018</v>
      </c>
      <c r="H559" t="s">
        <v>2025</v>
      </c>
      <c r="I559" t="s">
        <v>2585</v>
      </c>
      <c r="J559" t="s">
        <v>4028</v>
      </c>
      <c r="K559" t="s">
        <v>4044</v>
      </c>
      <c r="L559">
        <v>-618.39</v>
      </c>
      <c r="N559">
        <f t="shared" si="24"/>
        <v>-618.39</v>
      </c>
      <c r="O559" t="s">
        <v>4104</v>
      </c>
      <c r="P559" t="str">
        <f t="shared" si="25"/>
        <v xml:space="preserve"> </v>
      </c>
      <c r="Q559" t="str">
        <f t="shared" si="26"/>
        <v>Unfavorable</v>
      </c>
    </row>
    <row r="560" spans="1:17">
      <c r="A560" t="s">
        <v>570</v>
      </c>
      <c r="B560" s="2">
        <v>45776</v>
      </c>
      <c r="C560">
        <v>6000</v>
      </c>
      <c r="D560" t="s">
        <v>2014</v>
      </c>
      <c r="E560">
        <v>1649.25</v>
      </c>
      <c r="F560">
        <v>0</v>
      </c>
      <c r="G560" t="s">
        <v>2020</v>
      </c>
      <c r="H560" t="s">
        <v>2024</v>
      </c>
      <c r="I560" t="s">
        <v>2586</v>
      </c>
      <c r="J560" t="s">
        <v>4030</v>
      </c>
      <c r="K560" t="s">
        <v>4045</v>
      </c>
      <c r="L560">
        <v>-1649.25</v>
      </c>
      <c r="N560">
        <f t="shared" si="24"/>
        <v>-1649.25</v>
      </c>
      <c r="O560" t="s">
        <v>4104</v>
      </c>
      <c r="P560" t="str">
        <f t="shared" si="25"/>
        <v xml:space="preserve"> </v>
      </c>
      <c r="Q560" t="str">
        <f t="shared" si="26"/>
        <v>Unfavorable</v>
      </c>
    </row>
    <row r="561" spans="1:17">
      <c r="A561" t="s">
        <v>571</v>
      </c>
      <c r="B561" s="2">
        <v>45710</v>
      </c>
      <c r="C561">
        <v>4000</v>
      </c>
      <c r="D561" t="s">
        <v>2012</v>
      </c>
      <c r="E561">
        <v>0</v>
      </c>
      <c r="F561">
        <v>3741.45</v>
      </c>
      <c r="G561" t="s">
        <v>2020</v>
      </c>
      <c r="H561" t="s">
        <v>2026</v>
      </c>
      <c r="I561" t="s">
        <v>2587</v>
      </c>
      <c r="J561" t="s">
        <v>4028</v>
      </c>
      <c r="K561" t="s">
        <v>4061</v>
      </c>
      <c r="L561">
        <v>3741.45</v>
      </c>
      <c r="N561">
        <f t="shared" si="24"/>
        <v>3741.45</v>
      </c>
      <c r="O561" t="s">
        <v>4104</v>
      </c>
      <c r="P561" t="str">
        <f t="shared" si="25"/>
        <v xml:space="preserve"> </v>
      </c>
      <c r="Q561" t="str">
        <f t="shared" si="26"/>
        <v>Favorable</v>
      </c>
    </row>
    <row r="562" spans="1:17">
      <c r="A562" t="s">
        <v>572</v>
      </c>
      <c r="B562" s="2">
        <v>44982</v>
      </c>
      <c r="C562">
        <v>4000</v>
      </c>
      <c r="D562" t="s">
        <v>2012</v>
      </c>
      <c r="E562">
        <v>0</v>
      </c>
      <c r="F562">
        <v>3563.43</v>
      </c>
      <c r="G562" t="s">
        <v>2018</v>
      </c>
      <c r="H562" t="s">
        <v>2027</v>
      </c>
      <c r="I562" t="s">
        <v>2588</v>
      </c>
      <c r="J562" t="s">
        <v>4031</v>
      </c>
      <c r="K562" t="s">
        <v>4057</v>
      </c>
      <c r="L562">
        <v>3563.43</v>
      </c>
      <c r="N562">
        <f t="shared" si="24"/>
        <v>3563.43</v>
      </c>
      <c r="O562" t="s">
        <v>4104</v>
      </c>
      <c r="P562" t="str">
        <f t="shared" si="25"/>
        <v xml:space="preserve"> </v>
      </c>
      <c r="Q562" t="str">
        <f t="shared" si="26"/>
        <v>Favorable</v>
      </c>
    </row>
    <row r="563" spans="1:17">
      <c r="A563" t="s">
        <v>573</v>
      </c>
      <c r="B563" s="2">
        <v>45620</v>
      </c>
      <c r="C563">
        <v>6000</v>
      </c>
      <c r="D563" t="s">
        <v>2014</v>
      </c>
      <c r="E563">
        <v>1010.12</v>
      </c>
      <c r="F563">
        <v>0</v>
      </c>
      <c r="G563" t="s">
        <v>2018</v>
      </c>
      <c r="H563" t="s">
        <v>2025</v>
      </c>
      <c r="I563" t="s">
        <v>2589</v>
      </c>
      <c r="J563" t="s">
        <v>4031</v>
      </c>
      <c r="K563" t="s">
        <v>4043</v>
      </c>
      <c r="L563">
        <v>-1010.12</v>
      </c>
      <c r="N563">
        <f t="shared" si="24"/>
        <v>-1010.12</v>
      </c>
      <c r="O563" t="s">
        <v>4104</v>
      </c>
      <c r="P563" t="str">
        <f t="shared" si="25"/>
        <v xml:space="preserve"> </v>
      </c>
      <c r="Q563" t="str">
        <f t="shared" si="26"/>
        <v>Unfavorable</v>
      </c>
    </row>
    <row r="564" spans="1:17">
      <c r="A564" t="s">
        <v>574</v>
      </c>
      <c r="B564" s="2">
        <v>45783</v>
      </c>
      <c r="C564">
        <v>4000</v>
      </c>
      <c r="D564" t="s">
        <v>2012</v>
      </c>
      <c r="E564">
        <v>0</v>
      </c>
      <c r="F564">
        <v>4926.55</v>
      </c>
      <c r="G564" t="s">
        <v>2019</v>
      </c>
      <c r="H564" t="s">
        <v>2026</v>
      </c>
      <c r="I564" t="s">
        <v>2590</v>
      </c>
      <c r="J564" t="s">
        <v>4031</v>
      </c>
      <c r="K564" t="s">
        <v>4038</v>
      </c>
      <c r="L564">
        <v>4926.55</v>
      </c>
      <c r="N564">
        <f t="shared" si="24"/>
        <v>4926.55</v>
      </c>
      <c r="O564" t="s">
        <v>4104</v>
      </c>
      <c r="P564" t="str">
        <f t="shared" si="25"/>
        <v xml:space="preserve"> </v>
      </c>
      <c r="Q564" t="str">
        <f t="shared" si="26"/>
        <v>Favorable</v>
      </c>
    </row>
    <row r="565" spans="1:17">
      <c r="A565" t="s">
        <v>575</v>
      </c>
      <c r="B565" s="2">
        <v>45396</v>
      </c>
      <c r="C565">
        <v>4000</v>
      </c>
      <c r="D565" t="s">
        <v>2012</v>
      </c>
      <c r="E565">
        <v>0</v>
      </c>
      <c r="F565">
        <v>3762.76</v>
      </c>
      <c r="G565" t="s">
        <v>2022</v>
      </c>
      <c r="H565" t="s">
        <v>2027</v>
      </c>
      <c r="I565" t="s">
        <v>2591</v>
      </c>
      <c r="J565" t="s">
        <v>4031</v>
      </c>
      <c r="K565" t="s">
        <v>4040</v>
      </c>
      <c r="L565">
        <v>3762.76</v>
      </c>
      <c r="N565">
        <f t="shared" si="24"/>
        <v>3762.76</v>
      </c>
      <c r="O565" t="s">
        <v>4104</v>
      </c>
      <c r="P565" t="str">
        <f t="shared" si="25"/>
        <v xml:space="preserve"> </v>
      </c>
      <c r="Q565" t="str">
        <f t="shared" si="26"/>
        <v>Favorable</v>
      </c>
    </row>
    <row r="566" spans="1:17">
      <c r="A566" t="s">
        <v>576</v>
      </c>
      <c r="B566" s="2">
        <v>45165</v>
      </c>
      <c r="C566">
        <v>5010</v>
      </c>
      <c r="D566" t="s">
        <v>2015</v>
      </c>
      <c r="E566">
        <v>372.65</v>
      </c>
      <c r="F566">
        <v>0</v>
      </c>
      <c r="G566" t="s">
        <v>2018</v>
      </c>
      <c r="H566" t="s">
        <v>2027</v>
      </c>
      <c r="I566" t="s">
        <v>2592</v>
      </c>
      <c r="J566" t="s">
        <v>4030</v>
      </c>
      <c r="K566" t="s">
        <v>4037</v>
      </c>
      <c r="L566">
        <v>-372.65</v>
      </c>
      <c r="N566">
        <f t="shared" si="24"/>
        <v>-372.65</v>
      </c>
      <c r="O566" t="s">
        <v>4104</v>
      </c>
      <c r="P566" t="str">
        <f t="shared" si="25"/>
        <v xml:space="preserve"> </v>
      </c>
      <c r="Q566" t="str">
        <f t="shared" si="26"/>
        <v>Unfavorable</v>
      </c>
    </row>
    <row r="567" spans="1:17">
      <c r="A567" t="s">
        <v>577</v>
      </c>
      <c r="B567" s="2">
        <v>45573</v>
      </c>
      <c r="C567">
        <v>5010</v>
      </c>
      <c r="D567" t="s">
        <v>2015</v>
      </c>
      <c r="E567">
        <v>1040.76</v>
      </c>
      <c r="F567">
        <v>0</v>
      </c>
      <c r="G567" t="s">
        <v>2021</v>
      </c>
      <c r="H567" t="s">
        <v>2025</v>
      </c>
      <c r="I567" t="s">
        <v>2593</v>
      </c>
      <c r="J567" t="s">
        <v>4028</v>
      </c>
      <c r="K567" t="s">
        <v>4059</v>
      </c>
      <c r="L567">
        <v>-1040.76</v>
      </c>
      <c r="N567">
        <f t="shared" si="24"/>
        <v>-1040.76</v>
      </c>
      <c r="O567" t="s">
        <v>4104</v>
      </c>
      <c r="P567" t="str">
        <f t="shared" si="25"/>
        <v xml:space="preserve"> </v>
      </c>
      <c r="Q567" t="str">
        <f t="shared" si="26"/>
        <v>Unfavorable</v>
      </c>
    </row>
    <row r="568" spans="1:17">
      <c r="A568" t="s">
        <v>578</v>
      </c>
      <c r="B568" s="2">
        <v>45625</v>
      </c>
      <c r="C568">
        <v>5010</v>
      </c>
      <c r="D568" t="s">
        <v>2015</v>
      </c>
      <c r="E568">
        <v>1458.37</v>
      </c>
      <c r="F568">
        <v>0</v>
      </c>
      <c r="G568" t="s">
        <v>2019</v>
      </c>
      <c r="H568" t="s">
        <v>2023</v>
      </c>
      <c r="I568" t="s">
        <v>2594</v>
      </c>
      <c r="J568" t="s">
        <v>4030</v>
      </c>
      <c r="K568" t="s">
        <v>4043</v>
      </c>
      <c r="L568">
        <v>-1458.37</v>
      </c>
      <c r="N568">
        <f t="shared" si="24"/>
        <v>-1458.37</v>
      </c>
      <c r="O568" t="s">
        <v>4104</v>
      </c>
      <c r="P568" t="str">
        <f t="shared" si="25"/>
        <v xml:space="preserve"> </v>
      </c>
      <c r="Q568" t="str">
        <f t="shared" si="26"/>
        <v>Unfavorable</v>
      </c>
    </row>
    <row r="569" spans="1:17">
      <c r="A569" t="s">
        <v>579</v>
      </c>
      <c r="B569" s="2">
        <v>45456</v>
      </c>
      <c r="C569">
        <v>4010</v>
      </c>
      <c r="D569" t="s">
        <v>2016</v>
      </c>
      <c r="E569">
        <v>0</v>
      </c>
      <c r="F569">
        <v>529.02</v>
      </c>
      <c r="G569" t="s">
        <v>2021</v>
      </c>
      <c r="H569" t="s">
        <v>2026</v>
      </c>
      <c r="I569" t="s">
        <v>2595</v>
      </c>
      <c r="J569" t="s">
        <v>4028</v>
      </c>
      <c r="K569" t="s">
        <v>4034</v>
      </c>
      <c r="L569">
        <v>529.02</v>
      </c>
      <c r="N569">
        <f t="shared" si="24"/>
        <v>529.02</v>
      </c>
      <c r="O569" t="s">
        <v>4104</v>
      </c>
      <c r="P569" t="str">
        <f t="shared" si="25"/>
        <v xml:space="preserve"> </v>
      </c>
      <c r="Q569" t="str">
        <f t="shared" si="26"/>
        <v>Favorable</v>
      </c>
    </row>
    <row r="570" spans="1:17">
      <c r="A570" t="s">
        <v>580</v>
      </c>
      <c r="B570" s="2">
        <v>45628</v>
      </c>
      <c r="C570">
        <v>4010</v>
      </c>
      <c r="D570" t="s">
        <v>2016</v>
      </c>
      <c r="E570">
        <v>0</v>
      </c>
      <c r="F570">
        <v>4167.67</v>
      </c>
      <c r="G570" t="s">
        <v>2021</v>
      </c>
      <c r="H570" t="s">
        <v>2024</v>
      </c>
      <c r="I570" t="s">
        <v>2596</v>
      </c>
      <c r="J570" t="s">
        <v>4031</v>
      </c>
      <c r="K570" t="s">
        <v>4056</v>
      </c>
      <c r="L570">
        <v>4167.67</v>
      </c>
      <c r="N570">
        <f t="shared" si="24"/>
        <v>4167.67</v>
      </c>
      <c r="O570" t="s">
        <v>4104</v>
      </c>
      <c r="P570" t="str">
        <f t="shared" si="25"/>
        <v xml:space="preserve"> </v>
      </c>
      <c r="Q570" t="str">
        <f t="shared" si="26"/>
        <v>Favorable</v>
      </c>
    </row>
    <row r="571" spans="1:17">
      <c r="A571" t="s">
        <v>581</v>
      </c>
      <c r="B571" s="2">
        <v>45048</v>
      </c>
      <c r="C571">
        <v>5010</v>
      </c>
      <c r="D571" t="s">
        <v>2015</v>
      </c>
      <c r="E571">
        <v>1788.83</v>
      </c>
      <c r="F571">
        <v>0</v>
      </c>
      <c r="G571" t="s">
        <v>2019</v>
      </c>
      <c r="H571" t="s">
        <v>2023</v>
      </c>
      <c r="I571" t="s">
        <v>2597</v>
      </c>
      <c r="J571" t="s">
        <v>4029</v>
      </c>
      <c r="K571" t="s">
        <v>4062</v>
      </c>
      <c r="L571">
        <v>-1788.83</v>
      </c>
      <c r="N571">
        <f t="shared" si="24"/>
        <v>-1788.83</v>
      </c>
      <c r="O571" t="s">
        <v>4104</v>
      </c>
      <c r="P571" t="str">
        <f t="shared" si="25"/>
        <v xml:space="preserve"> </v>
      </c>
      <c r="Q571" t="str">
        <f t="shared" si="26"/>
        <v>Unfavorable</v>
      </c>
    </row>
    <row r="572" spans="1:17">
      <c r="A572" t="s">
        <v>582</v>
      </c>
      <c r="B572" s="2">
        <v>45631</v>
      </c>
      <c r="C572">
        <v>5010</v>
      </c>
      <c r="D572" t="s">
        <v>2015</v>
      </c>
      <c r="E572">
        <v>929.85</v>
      </c>
      <c r="F572">
        <v>0</v>
      </c>
      <c r="G572" t="s">
        <v>2019</v>
      </c>
      <c r="H572" t="s">
        <v>2025</v>
      </c>
      <c r="I572" t="s">
        <v>2598</v>
      </c>
      <c r="J572" t="s">
        <v>4031</v>
      </c>
      <c r="K572" t="s">
        <v>4056</v>
      </c>
      <c r="L572">
        <v>-929.85</v>
      </c>
      <c r="N572">
        <f t="shared" si="24"/>
        <v>-929.85</v>
      </c>
      <c r="O572" t="s">
        <v>4104</v>
      </c>
      <c r="P572" t="str">
        <f t="shared" si="25"/>
        <v xml:space="preserve"> </v>
      </c>
      <c r="Q572" t="str">
        <f t="shared" si="26"/>
        <v>Unfavorable</v>
      </c>
    </row>
    <row r="573" spans="1:17">
      <c r="A573" t="s">
        <v>583</v>
      </c>
      <c r="B573" s="2">
        <v>45355</v>
      </c>
      <c r="C573">
        <v>4000</v>
      </c>
      <c r="D573" t="s">
        <v>2012</v>
      </c>
      <c r="E573">
        <v>0</v>
      </c>
      <c r="F573">
        <v>3706.89</v>
      </c>
      <c r="G573" t="s">
        <v>2019</v>
      </c>
      <c r="H573" t="s">
        <v>2025</v>
      </c>
      <c r="I573" t="s">
        <v>2599</v>
      </c>
      <c r="J573" t="s">
        <v>4032</v>
      </c>
      <c r="K573" t="s">
        <v>4049</v>
      </c>
      <c r="L573">
        <v>3706.89</v>
      </c>
      <c r="N573">
        <f t="shared" si="24"/>
        <v>3706.89</v>
      </c>
      <c r="O573" t="s">
        <v>4104</v>
      </c>
      <c r="P573" t="str">
        <f t="shared" si="25"/>
        <v xml:space="preserve"> </v>
      </c>
      <c r="Q573" t="str">
        <f t="shared" si="26"/>
        <v>Favorable</v>
      </c>
    </row>
    <row r="574" spans="1:17">
      <c r="A574" t="s">
        <v>584</v>
      </c>
      <c r="B574" s="2">
        <v>45720</v>
      </c>
      <c r="C574">
        <v>4000</v>
      </c>
      <c r="D574" t="s">
        <v>2012</v>
      </c>
      <c r="E574">
        <v>0</v>
      </c>
      <c r="F574">
        <v>4692.96</v>
      </c>
      <c r="G574" t="s">
        <v>2019</v>
      </c>
      <c r="H574" t="s">
        <v>2027</v>
      </c>
      <c r="I574" t="s">
        <v>2600</v>
      </c>
      <c r="J574" t="s">
        <v>4032</v>
      </c>
      <c r="K574" t="s">
        <v>4046</v>
      </c>
      <c r="L574">
        <v>4692.96</v>
      </c>
      <c r="N574">
        <f t="shared" si="24"/>
        <v>4692.96</v>
      </c>
      <c r="O574" t="s">
        <v>4104</v>
      </c>
      <c r="P574" t="str">
        <f t="shared" si="25"/>
        <v xml:space="preserve"> </v>
      </c>
      <c r="Q574" t="str">
        <f t="shared" si="26"/>
        <v>Favorable</v>
      </c>
    </row>
    <row r="575" spans="1:17">
      <c r="A575" t="s">
        <v>585</v>
      </c>
      <c r="B575" s="2">
        <v>45524</v>
      </c>
      <c r="C575">
        <v>6000</v>
      </c>
      <c r="D575" t="s">
        <v>2014</v>
      </c>
      <c r="E575">
        <v>179.56</v>
      </c>
      <c r="F575">
        <v>0</v>
      </c>
      <c r="G575" t="s">
        <v>2021</v>
      </c>
      <c r="H575" t="s">
        <v>2023</v>
      </c>
      <c r="I575" t="s">
        <v>2601</v>
      </c>
      <c r="J575" t="s">
        <v>4028</v>
      </c>
      <c r="K575" t="s">
        <v>4058</v>
      </c>
      <c r="L575">
        <v>-179.56</v>
      </c>
      <c r="N575">
        <f t="shared" si="24"/>
        <v>-179.56</v>
      </c>
      <c r="O575" t="s">
        <v>4104</v>
      </c>
      <c r="P575" t="str">
        <f t="shared" si="25"/>
        <v xml:space="preserve"> </v>
      </c>
      <c r="Q575" t="str">
        <f t="shared" si="26"/>
        <v>Unfavorable</v>
      </c>
    </row>
    <row r="576" spans="1:17">
      <c r="A576" t="s">
        <v>586</v>
      </c>
      <c r="B576" s="2">
        <v>45594</v>
      </c>
      <c r="C576">
        <v>5010</v>
      </c>
      <c r="D576" t="s">
        <v>2015</v>
      </c>
      <c r="E576">
        <v>649.71</v>
      </c>
      <c r="F576">
        <v>0</v>
      </c>
      <c r="G576" t="s">
        <v>2017</v>
      </c>
      <c r="H576" t="s">
        <v>2025</v>
      </c>
      <c r="I576" t="s">
        <v>2602</v>
      </c>
      <c r="J576" t="s">
        <v>4028</v>
      </c>
      <c r="K576" t="s">
        <v>4059</v>
      </c>
      <c r="L576">
        <v>-649.71</v>
      </c>
      <c r="N576">
        <f t="shared" si="24"/>
        <v>-649.71</v>
      </c>
      <c r="O576" t="s">
        <v>4104</v>
      </c>
      <c r="P576" t="str">
        <f t="shared" si="25"/>
        <v xml:space="preserve"> </v>
      </c>
      <c r="Q576" t="str">
        <f t="shared" si="26"/>
        <v>Unfavorable</v>
      </c>
    </row>
    <row r="577" spans="1:17">
      <c r="A577" t="s">
        <v>587</v>
      </c>
      <c r="B577" s="2">
        <v>45272</v>
      </c>
      <c r="C577">
        <v>4010</v>
      </c>
      <c r="D577" t="s">
        <v>2016</v>
      </c>
      <c r="E577">
        <v>0</v>
      </c>
      <c r="F577">
        <v>3347.45</v>
      </c>
      <c r="G577" t="s">
        <v>2017</v>
      </c>
      <c r="H577" t="s">
        <v>2023</v>
      </c>
      <c r="I577" t="s">
        <v>2603</v>
      </c>
      <c r="J577" t="s">
        <v>4031</v>
      </c>
      <c r="K577" t="s">
        <v>4039</v>
      </c>
      <c r="L577">
        <v>3347.45</v>
      </c>
      <c r="N577">
        <f t="shared" si="24"/>
        <v>3347.45</v>
      </c>
      <c r="O577" t="s">
        <v>4104</v>
      </c>
      <c r="P577" t="str">
        <f t="shared" si="25"/>
        <v xml:space="preserve"> </v>
      </c>
      <c r="Q577" t="str">
        <f t="shared" si="26"/>
        <v>Favorable</v>
      </c>
    </row>
    <row r="578" spans="1:17">
      <c r="A578" t="s">
        <v>588</v>
      </c>
      <c r="B578" s="2">
        <v>45814</v>
      </c>
      <c r="C578">
        <v>4010</v>
      </c>
      <c r="D578" t="s">
        <v>2016</v>
      </c>
      <c r="E578">
        <v>0</v>
      </c>
      <c r="F578">
        <v>2584</v>
      </c>
      <c r="G578" t="s">
        <v>2018</v>
      </c>
      <c r="H578" t="s">
        <v>2026</v>
      </c>
      <c r="I578" t="s">
        <v>2604</v>
      </c>
      <c r="J578" t="s">
        <v>4029</v>
      </c>
      <c r="K578" t="s">
        <v>4052</v>
      </c>
      <c r="L578">
        <v>2584</v>
      </c>
      <c r="N578">
        <f t="shared" si="24"/>
        <v>2584</v>
      </c>
      <c r="O578" t="s">
        <v>4104</v>
      </c>
      <c r="P578" t="str">
        <f t="shared" si="25"/>
        <v xml:space="preserve"> </v>
      </c>
      <c r="Q578" t="str">
        <f t="shared" si="26"/>
        <v>Favorable</v>
      </c>
    </row>
    <row r="579" spans="1:17">
      <c r="A579" t="s">
        <v>589</v>
      </c>
      <c r="B579" s="2">
        <v>45161</v>
      </c>
      <c r="C579">
        <v>4000</v>
      </c>
      <c r="D579" t="s">
        <v>2012</v>
      </c>
      <c r="E579">
        <v>0</v>
      </c>
      <c r="F579">
        <v>4254.54</v>
      </c>
      <c r="G579" t="s">
        <v>2020</v>
      </c>
      <c r="H579" t="s">
        <v>2024</v>
      </c>
      <c r="I579" t="s">
        <v>2605</v>
      </c>
      <c r="J579" t="s">
        <v>4032</v>
      </c>
      <c r="K579" t="s">
        <v>4037</v>
      </c>
      <c r="L579">
        <v>4254.54</v>
      </c>
      <c r="N579">
        <f t="shared" ref="N579:N642" si="27">L:L-M:M</f>
        <v>4254.54</v>
      </c>
      <c r="O579" t="s">
        <v>4104</v>
      </c>
      <c r="P579" t="str">
        <f t="shared" ref="P579:P642" si="28">IF(AND(ABS(N:N)&gt;10000,M:M&lt;&gt;0),"Material", " ")</f>
        <v xml:space="preserve"> </v>
      </c>
      <c r="Q579" t="str">
        <f t="shared" ref="Q579:Q642" si="29">IF(N:N&gt;0,"Favorable","Unfavorable")</f>
        <v>Favorable</v>
      </c>
    </row>
    <row r="580" spans="1:17">
      <c r="A580" t="s">
        <v>590</v>
      </c>
      <c r="B580" s="2">
        <v>45628</v>
      </c>
      <c r="C580">
        <v>4000</v>
      </c>
      <c r="D580" t="s">
        <v>2012</v>
      </c>
      <c r="E580">
        <v>0</v>
      </c>
      <c r="F580">
        <v>1301.08</v>
      </c>
      <c r="G580" t="s">
        <v>2019</v>
      </c>
      <c r="H580" t="s">
        <v>2026</v>
      </c>
      <c r="I580" t="s">
        <v>2606</v>
      </c>
      <c r="J580" t="s">
        <v>4028</v>
      </c>
      <c r="K580" t="s">
        <v>4056</v>
      </c>
      <c r="L580">
        <v>1301.08</v>
      </c>
      <c r="N580">
        <f t="shared" si="27"/>
        <v>1301.08</v>
      </c>
      <c r="O580" t="s">
        <v>4104</v>
      </c>
      <c r="P580" t="str">
        <f t="shared" si="28"/>
        <v xml:space="preserve"> </v>
      </c>
      <c r="Q580" t="str">
        <f t="shared" si="29"/>
        <v>Favorable</v>
      </c>
    </row>
    <row r="581" spans="1:17">
      <c r="A581" t="s">
        <v>591</v>
      </c>
      <c r="B581" s="2">
        <v>45070</v>
      </c>
      <c r="C581">
        <v>4010</v>
      </c>
      <c r="D581" t="s">
        <v>2016</v>
      </c>
      <c r="E581">
        <v>0</v>
      </c>
      <c r="F581">
        <v>1565.18</v>
      </c>
      <c r="G581" t="s">
        <v>2018</v>
      </c>
      <c r="H581" t="s">
        <v>2025</v>
      </c>
      <c r="I581" t="s">
        <v>2607</v>
      </c>
      <c r="J581" t="s">
        <v>4031</v>
      </c>
      <c r="K581" t="s">
        <v>4062</v>
      </c>
      <c r="L581">
        <v>1565.18</v>
      </c>
      <c r="N581">
        <f t="shared" si="27"/>
        <v>1565.18</v>
      </c>
      <c r="O581" t="s">
        <v>4104</v>
      </c>
      <c r="P581" t="str">
        <f t="shared" si="28"/>
        <v xml:space="preserve"> </v>
      </c>
      <c r="Q581" t="str">
        <f t="shared" si="29"/>
        <v>Favorable</v>
      </c>
    </row>
    <row r="582" spans="1:17">
      <c r="A582" t="s">
        <v>592</v>
      </c>
      <c r="B582" s="2">
        <v>45829</v>
      </c>
      <c r="C582">
        <v>5000</v>
      </c>
      <c r="D582" t="s">
        <v>2013</v>
      </c>
      <c r="E582">
        <v>69.31</v>
      </c>
      <c r="F582">
        <v>0</v>
      </c>
      <c r="G582" t="s">
        <v>2017</v>
      </c>
      <c r="H582" t="s">
        <v>2027</v>
      </c>
      <c r="I582" t="s">
        <v>2608</v>
      </c>
      <c r="J582" t="s">
        <v>4031</v>
      </c>
      <c r="K582" t="s">
        <v>4052</v>
      </c>
      <c r="L582">
        <v>-69.31</v>
      </c>
      <c r="N582">
        <f t="shared" si="27"/>
        <v>-69.31</v>
      </c>
      <c r="O582" t="s">
        <v>4104</v>
      </c>
      <c r="P582" t="str">
        <f t="shared" si="28"/>
        <v xml:space="preserve"> </v>
      </c>
      <c r="Q582" t="str">
        <f t="shared" si="29"/>
        <v>Unfavorable</v>
      </c>
    </row>
    <row r="583" spans="1:17">
      <c r="A583" t="s">
        <v>593</v>
      </c>
      <c r="B583" s="2">
        <v>45587</v>
      </c>
      <c r="C583">
        <v>5000</v>
      </c>
      <c r="D583" t="s">
        <v>2013</v>
      </c>
      <c r="E583">
        <v>1752.75</v>
      </c>
      <c r="F583">
        <v>0</v>
      </c>
      <c r="G583" t="s">
        <v>2018</v>
      </c>
      <c r="H583" t="s">
        <v>2023</v>
      </c>
      <c r="I583" t="s">
        <v>2609</v>
      </c>
      <c r="J583" t="s">
        <v>4032</v>
      </c>
      <c r="K583" t="s">
        <v>4059</v>
      </c>
      <c r="L583">
        <v>-1752.75</v>
      </c>
      <c r="N583">
        <f t="shared" si="27"/>
        <v>-1752.75</v>
      </c>
      <c r="O583" t="s">
        <v>4104</v>
      </c>
      <c r="P583" t="str">
        <f t="shared" si="28"/>
        <v xml:space="preserve"> </v>
      </c>
      <c r="Q583" t="str">
        <f t="shared" si="29"/>
        <v>Unfavorable</v>
      </c>
    </row>
    <row r="584" spans="1:17">
      <c r="A584" t="s">
        <v>594</v>
      </c>
      <c r="B584" s="2">
        <v>45208</v>
      </c>
      <c r="C584">
        <v>4010</v>
      </c>
      <c r="D584" t="s">
        <v>2016</v>
      </c>
      <c r="E584">
        <v>0</v>
      </c>
      <c r="F584">
        <v>759.16</v>
      </c>
      <c r="G584" t="s">
        <v>2022</v>
      </c>
      <c r="H584" t="s">
        <v>2025</v>
      </c>
      <c r="I584" t="s">
        <v>2610</v>
      </c>
      <c r="J584" t="s">
        <v>4032</v>
      </c>
      <c r="K584" t="s">
        <v>4060</v>
      </c>
      <c r="L584">
        <v>759.16</v>
      </c>
      <c r="N584">
        <f t="shared" si="27"/>
        <v>759.16</v>
      </c>
      <c r="O584" t="s">
        <v>4104</v>
      </c>
      <c r="P584" t="str">
        <f t="shared" si="28"/>
        <v xml:space="preserve"> </v>
      </c>
      <c r="Q584" t="str">
        <f t="shared" si="29"/>
        <v>Favorable</v>
      </c>
    </row>
    <row r="585" spans="1:17">
      <c r="A585" t="s">
        <v>595</v>
      </c>
      <c r="B585" s="2">
        <v>45262</v>
      </c>
      <c r="C585">
        <v>6000</v>
      </c>
      <c r="D585" t="s">
        <v>2014</v>
      </c>
      <c r="E585">
        <v>350.75</v>
      </c>
      <c r="F585">
        <v>0</v>
      </c>
      <c r="G585" t="s">
        <v>2021</v>
      </c>
      <c r="H585" t="s">
        <v>2025</v>
      </c>
      <c r="I585" t="s">
        <v>2611</v>
      </c>
      <c r="J585" t="s">
        <v>4032</v>
      </c>
      <c r="K585" t="s">
        <v>4039</v>
      </c>
      <c r="L585">
        <v>-350.75</v>
      </c>
      <c r="N585">
        <f t="shared" si="27"/>
        <v>-350.75</v>
      </c>
      <c r="O585" t="s">
        <v>4104</v>
      </c>
      <c r="P585" t="str">
        <f t="shared" si="28"/>
        <v xml:space="preserve"> </v>
      </c>
      <c r="Q585" t="str">
        <f t="shared" si="29"/>
        <v>Unfavorable</v>
      </c>
    </row>
    <row r="586" spans="1:17">
      <c r="A586" t="s">
        <v>596</v>
      </c>
      <c r="B586" s="2">
        <v>45351</v>
      </c>
      <c r="C586">
        <v>6000</v>
      </c>
      <c r="D586" t="s">
        <v>2014</v>
      </c>
      <c r="E586">
        <v>1991.12</v>
      </c>
      <c r="F586">
        <v>0</v>
      </c>
      <c r="G586" t="s">
        <v>2019</v>
      </c>
      <c r="H586" t="s">
        <v>2027</v>
      </c>
      <c r="I586" t="s">
        <v>2612</v>
      </c>
      <c r="J586" t="s">
        <v>4030</v>
      </c>
      <c r="K586" t="s">
        <v>4044</v>
      </c>
      <c r="L586">
        <v>-1991.12</v>
      </c>
      <c r="N586">
        <f t="shared" si="27"/>
        <v>-1991.12</v>
      </c>
      <c r="O586" t="s">
        <v>4104</v>
      </c>
      <c r="P586" t="str">
        <f t="shared" si="28"/>
        <v xml:space="preserve"> </v>
      </c>
      <c r="Q586" t="str">
        <f t="shared" si="29"/>
        <v>Unfavorable</v>
      </c>
    </row>
    <row r="587" spans="1:17">
      <c r="A587" t="s">
        <v>597</v>
      </c>
      <c r="B587" s="2">
        <v>45055</v>
      </c>
      <c r="C587">
        <v>5000</v>
      </c>
      <c r="D587" t="s">
        <v>2013</v>
      </c>
      <c r="E587">
        <v>661.12</v>
      </c>
      <c r="F587">
        <v>0</v>
      </c>
      <c r="G587" t="s">
        <v>2018</v>
      </c>
      <c r="H587" t="s">
        <v>2027</v>
      </c>
      <c r="I587" t="s">
        <v>2613</v>
      </c>
      <c r="J587" t="s">
        <v>4032</v>
      </c>
      <c r="K587" t="s">
        <v>4062</v>
      </c>
      <c r="L587">
        <v>-661.12</v>
      </c>
      <c r="N587">
        <f t="shared" si="27"/>
        <v>-661.12</v>
      </c>
      <c r="O587" t="s">
        <v>4104</v>
      </c>
      <c r="P587" t="str">
        <f t="shared" si="28"/>
        <v xml:space="preserve"> </v>
      </c>
      <c r="Q587" t="str">
        <f t="shared" si="29"/>
        <v>Unfavorable</v>
      </c>
    </row>
    <row r="588" spans="1:17">
      <c r="A588" t="s">
        <v>598</v>
      </c>
      <c r="B588" s="2">
        <v>45205</v>
      </c>
      <c r="C588">
        <v>5010</v>
      </c>
      <c r="D588" t="s">
        <v>2015</v>
      </c>
      <c r="E588">
        <v>1109.8599999999999</v>
      </c>
      <c r="F588">
        <v>0</v>
      </c>
      <c r="G588" t="s">
        <v>2022</v>
      </c>
      <c r="H588" t="s">
        <v>2023</v>
      </c>
      <c r="I588" t="s">
        <v>2614</v>
      </c>
      <c r="J588" t="s">
        <v>4029</v>
      </c>
      <c r="K588" t="s">
        <v>4060</v>
      </c>
      <c r="L588">
        <v>-1109.8599999999999</v>
      </c>
      <c r="N588">
        <f t="shared" si="27"/>
        <v>-1109.8599999999999</v>
      </c>
      <c r="O588" t="s">
        <v>4104</v>
      </c>
      <c r="P588" t="str">
        <f t="shared" si="28"/>
        <v xml:space="preserve"> </v>
      </c>
      <c r="Q588" t="str">
        <f t="shared" si="29"/>
        <v>Unfavorable</v>
      </c>
    </row>
    <row r="589" spans="1:17">
      <c r="A589" t="s">
        <v>599</v>
      </c>
      <c r="B589" s="2">
        <v>45782</v>
      </c>
      <c r="C589">
        <v>4010</v>
      </c>
      <c r="D589" t="s">
        <v>2016</v>
      </c>
      <c r="E589">
        <v>0</v>
      </c>
      <c r="F589">
        <v>4533.8</v>
      </c>
      <c r="G589" t="s">
        <v>2022</v>
      </c>
      <c r="H589" t="s">
        <v>2026</v>
      </c>
      <c r="I589" t="s">
        <v>2615</v>
      </c>
      <c r="J589" t="s">
        <v>4032</v>
      </c>
      <c r="K589" t="s">
        <v>4038</v>
      </c>
      <c r="L589">
        <v>4533.8</v>
      </c>
      <c r="N589">
        <f t="shared" si="27"/>
        <v>4533.8</v>
      </c>
      <c r="O589" t="s">
        <v>4104</v>
      </c>
      <c r="P589" t="str">
        <f t="shared" si="28"/>
        <v xml:space="preserve"> </v>
      </c>
      <c r="Q589" t="str">
        <f t="shared" si="29"/>
        <v>Favorable</v>
      </c>
    </row>
    <row r="590" spans="1:17">
      <c r="A590" t="s">
        <v>600</v>
      </c>
      <c r="B590" s="2">
        <v>45757</v>
      </c>
      <c r="C590">
        <v>5010</v>
      </c>
      <c r="D590" t="s">
        <v>2015</v>
      </c>
      <c r="E590">
        <v>329.57</v>
      </c>
      <c r="F590">
        <v>0</v>
      </c>
      <c r="G590" t="s">
        <v>2020</v>
      </c>
      <c r="H590" t="s">
        <v>2027</v>
      </c>
      <c r="I590" t="s">
        <v>2616</v>
      </c>
      <c r="J590" t="s">
        <v>4032</v>
      </c>
      <c r="K590" t="s">
        <v>4045</v>
      </c>
      <c r="L590">
        <v>-329.57</v>
      </c>
      <c r="N590">
        <f t="shared" si="27"/>
        <v>-329.57</v>
      </c>
      <c r="O590" t="s">
        <v>4104</v>
      </c>
      <c r="P590" t="str">
        <f t="shared" si="28"/>
        <v xml:space="preserve"> </v>
      </c>
      <c r="Q590" t="str">
        <f t="shared" si="29"/>
        <v>Unfavorable</v>
      </c>
    </row>
    <row r="591" spans="1:17">
      <c r="A591" t="s">
        <v>601</v>
      </c>
      <c r="B591" s="2">
        <v>44992</v>
      </c>
      <c r="C591">
        <v>4000</v>
      </c>
      <c r="D591" t="s">
        <v>2012</v>
      </c>
      <c r="E591">
        <v>0</v>
      </c>
      <c r="F591">
        <v>4725.13</v>
      </c>
      <c r="G591" t="s">
        <v>2021</v>
      </c>
      <c r="H591" t="s">
        <v>2023</v>
      </c>
      <c r="I591" t="s">
        <v>2617</v>
      </c>
      <c r="J591" t="s">
        <v>4029</v>
      </c>
      <c r="K591" t="s">
        <v>4051</v>
      </c>
      <c r="L591">
        <v>4725.13</v>
      </c>
      <c r="N591">
        <f t="shared" si="27"/>
        <v>4725.13</v>
      </c>
      <c r="O591" t="s">
        <v>4104</v>
      </c>
      <c r="P591" t="str">
        <f t="shared" si="28"/>
        <v xml:space="preserve"> </v>
      </c>
      <c r="Q591" t="str">
        <f t="shared" si="29"/>
        <v>Favorable</v>
      </c>
    </row>
    <row r="592" spans="1:17">
      <c r="A592" t="s">
        <v>602</v>
      </c>
      <c r="B592" s="2">
        <v>45121</v>
      </c>
      <c r="C592">
        <v>5010</v>
      </c>
      <c r="D592" t="s">
        <v>2015</v>
      </c>
      <c r="E592">
        <v>206.46</v>
      </c>
      <c r="F592">
        <v>0</v>
      </c>
      <c r="G592" t="s">
        <v>2018</v>
      </c>
      <c r="H592" t="s">
        <v>2026</v>
      </c>
      <c r="I592" t="s">
        <v>2618</v>
      </c>
      <c r="J592" t="s">
        <v>4030</v>
      </c>
      <c r="K592" t="s">
        <v>4050</v>
      </c>
      <c r="L592">
        <v>-206.46</v>
      </c>
      <c r="N592">
        <f t="shared" si="27"/>
        <v>-206.46</v>
      </c>
      <c r="O592" t="s">
        <v>4104</v>
      </c>
      <c r="P592" t="str">
        <f t="shared" si="28"/>
        <v xml:space="preserve"> </v>
      </c>
      <c r="Q592" t="str">
        <f t="shared" si="29"/>
        <v>Unfavorable</v>
      </c>
    </row>
    <row r="593" spans="1:17">
      <c r="A593" t="s">
        <v>603</v>
      </c>
      <c r="B593" s="2">
        <v>45795</v>
      </c>
      <c r="C593">
        <v>6000</v>
      </c>
      <c r="D593" t="s">
        <v>2014</v>
      </c>
      <c r="E593">
        <v>402.92</v>
      </c>
      <c r="F593">
        <v>0</v>
      </c>
      <c r="G593" t="s">
        <v>2022</v>
      </c>
      <c r="H593" t="s">
        <v>2025</v>
      </c>
      <c r="I593" t="s">
        <v>2619</v>
      </c>
      <c r="J593" t="s">
        <v>4028</v>
      </c>
      <c r="K593" t="s">
        <v>4038</v>
      </c>
      <c r="L593">
        <v>-402.92</v>
      </c>
      <c r="N593">
        <f t="shared" si="27"/>
        <v>-402.92</v>
      </c>
      <c r="O593" t="s">
        <v>4104</v>
      </c>
      <c r="P593" t="str">
        <f t="shared" si="28"/>
        <v xml:space="preserve"> </v>
      </c>
      <c r="Q593" t="str">
        <f t="shared" si="29"/>
        <v>Unfavorable</v>
      </c>
    </row>
    <row r="594" spans="1:17">
      <c r="A594" t="s">
        <v>604</v>
      </c>
      <c r="B594" s="2">
        <v>45670</v>
      </c>
      <c r="C594">
        <v>4010</v>
      </c>
      <c r="D594" t="s">
        <v>2016</v>
      </c>
      <c r="E594">
        <v>0</v>
      </c>
      <c r="F594">
        <v>4295.83</v>
      </c>
      <c r="G594" t="s">
        <v>2019</v>
      </c>
      <c r="H594" t="s">
        <v>2023</v>
      </c>
      <c r="I594" t="s">
        <v>2620</v>
      </c>
      <c r="J594" t="s">
        <v>4028</v>
      </c>
      <c r="K594" t="s">
        <v>4035</v>
      </c>
      <c r="L594">
        <v>4295.83</v>
      </c>
      <c r="N594">
        <f t="shared" si="27"/>
        <v>4295.83</v>
      </c>
      <c r="O594" t="s">
        <v>4104</v>
      </c>
      <c r="P594" t="str">
        <f t="shared" si="28"/>
        <v xml:space="preserve"> </v>
      </c>
      <c r="Q594" t="str">
        <f t="shared" si="29"/>
        <v>Favorable</v>
      </c>
    </row>
    <row r="595" spans="1:17">
      <c r="A595" t="s">
        <v>605</v>
      </c>
      <c r="B595" s="2">
        <v>45278</v>
      </c>
      <c r="C595">
        <v>4010</v>
      </c>
      <c r="D595" t="s">
        <v>2016</v>
      </c>
      <c r="E595">
        <v>0</v>
      </c>
      <c r="F595">
        <v>3237.32</v>
      </c>
      <c r="G595" t="s">
        <v>2021</v>
      </c>
      <c r="H595" t="s">
        <v>2025</v>
      </c>
      <c r="I595" t="s">
        <v>2621</v>
      </c>
      <c r="J595" t="s">
        <v>4028</v>
      </c>
      <c r="K595" t="s">
        <v>4039</v>
      </c>
      <c r="L595">
        <v>3237.32</v>
      </c>
      <c r="N595">
        <f t="shared" si="27"/>
        <v>3237.32</v>
      </c>
      <c r="O595" t="s">
        <v>4104</v>
      </c>
      <c r="P595" t="str">
        <f t="shared" si="28"/>
        <v xml:space="preserve"> </v>
      </c>
      <c r="Q595" t="str">
        <f t="shared" si="29"/>
        <v>Favorable</v>
      </c>
    </row>
    <row r="596" spans="1:17">
      <c r="A596" t="s">
        <v>606</v>
      </c>
      <c r="B596" s="2">
        <v>45256</v>
      </c>
      <c r="C596">
        <v>6000</v>
      </c>
      <c r="D596" t="s">
        <v>2014</v>
      </c>
      <c r="E596">
        <v>648.30999999999995</v>
      </c>
      <c r="F596">
        <v>0</v>
      </c>
      <c r="G596" t="s">
        <v>2021</v>
      </c>
      <c r="H596" t="s">
        <v>2024</v>
      </c>
      <c r="I596" t="s">
        <v>2622</v>
      </c>
      <c r="J596" t="s">
        <v>4028</v>
      </c>
      <c r="K596" t="s">
        <v>4042</v>
      </c>
      <c r="L596">
        <v>-648.30999999999995</v>
      </c>
      <c r="N596">
        <f t="shared" si="27"/>
        <v>-648.30999999999995</v>
      </c>
      <c r="O596" t="s">
        <v>4104</v>
      </c>
      <c r="P596" t="str">
        <f t="shared" si="28"/>
        <v xml:space="preserve"> </v>
      </c>
      <c r="Q596" t="str">
        <f t="shared" si="29"/>
        <v>Unfavorable</v>
      </c>
    </row>
    <row r="597" spans="1:17">
      <c r="A597" t="s">
        <v>607</v>
      </c>
      <c r="B597" s="2">
        <v>45418</v>
      </c>
      <c r="C597">
        <v>5000</v>
      </c>
      <c r="D597" t="s">
        <v>2013</v>
      </c>
      <c r="E597">
        <v>710.64</v>
      </c>
      <c r="F597">
        <v>0</v>
      </c>
      <c r="G597" t="s">
        <v>2017</v>
      </c>
      <c r="H597" t="s">
        <v>2023</v>
      </c>
      <c r="I597" t="s">
        <v>2623</v>
      </c>
      <c r="J597" t="s">
        <v>4029</v>
      </c>
      <c r="K597" t="s">
        <v>4033</v>
      </c>
      <c r="L597">
        <v>-710.64</v>
      </c>
      <c r="N597">
        <f t="shared" si="27"/>
        <v>-710.64</v>
      </c>
      <c r="O597" t="s">
        <v>4104</v>
      </c>
      <c r="P597" t="str">
        <f t="shared" si="28"/>
        <v xml:space="preserve"> </v>
      </c>
      <c r="Q597" t="str">
        <f t="shared" si="29"/>
        <v>Unfavorable</v>
      </c>
    </row>
    <row r="598" spans="1:17">
      <c r="A598" t="s">
        <v>608</v>
      </c>
      <c r="B598" s="2">
        <v>45230</v>
      </c>
      <c r="C598">
        <v>5000</v>
      </c>
      <c r="D598" t="s">
        <v>2013</v>
      </c>
      <c r="E598">
        <v>309.33999999999997</v>
      </c>
      <c r="F598">
        <v>0</v>
      </c>
      <c r="G598" t="s">
        <v>2021</v>
      </c>
      <c r="H598" t="s">
        <v>2024</v>
      </c>
      <c r="I598" t="s">
        <v>2624</v>
      </c>
      <c r="J598" t="s">
        <v>4029</v>
      </c>
      <c r="K598" t="s">
        <v>4060</v>
      </c>
      <c r="L598">
        <v>-309.33999999999997</v>
      </c>
      <c r="N598">
        <f t="shared" si="27"/>
        <v>-309.33999999999997</v>
      </c>
      <c r="O598" t="s">
        <v>4104</v>
      </c>
      <c r="P598" t="str">
        <f t="shared" si="28"/>
        <v xml:space="preserve"> </v>
      </c>
      <c r="Q598" t="str">
        <f t="shared" si="29"/>
        <v>Unfavorable</v>
      </c>
    </row>
    <row r="599" spans="1:17">
      <c r="A599" t="s">
        <v>609</v>
      </c>
      <c r="B599" s="2">
        <v>44988</v>
      </c>
      <c r="C599">
        <v>6000</v>
      </c>
      <c r="D599" t="s">
        <v>2014</v>
      </c>
      <c r="E599">
        <v>1657.7</v>
      </c>
      <c r="F599">
        <v>0</v>
      </c>
      <c r="G599" t="s">
        <v>2017</v>
      </c>
      <c r="H599" t="s">
        <v>2024</v>
      </c>
      <c r="I599" t="s">
        <v>2625</v>
      </c>
      <c r="J599" t="s">
        <v>4030</v>
      </c>
      <c r="K599" t="s">
        <v>4051</v>
      </c>
      <c r="L599">
        <v>-1657.7</v>
      </c>
      <c r="N599">
        <f t="shared" si="27"/>
        <v>-1657.7</v>
      </c>
      <c r="O599" t="s">
        <v>4104</v>
      </c>
      <c r="P599" t="str">
        <f t="shared" si="28"/>
        <v xml:space="preserve"> </v>
      </c>
      <c r="Q599" t="str">
        <f t="shared" si="29"/>
        <v>Unfavorable</v>
      </c>
    </row>
    <row r="600" spans="1:17">
      <c r="A600" t="s">
        <v>610</v>
      </c>
      <c r="B600" s="2">
        <v>45271</v>
      </c>
      <c r="C600">
        <v>5010</v>
      </c>
      <c r="D600" t="s">
        <v>2015</v>
      </c>
      <c r="E600">
        <v>1748.81</v>
      </c>
      <c r="F600">
        <v>0</v>
      </c>
      <c r="G600" t="s">
        <v>2021</v>
      </c>
      <c r="H600" t="s">
        <v>2023</v>
      </c>
      <c r="I600" t="s">
        <v>2626</v>
      </c>
      <c r="J600" t="s">
        <v>4029</v>
      </c>
      <c r="K600" t="s">
        <v>4039</v>
      </c>
      <c r="L600">
        <v>-1748.81</v>
      </c>
      <c r="N600">
        <f t="shared" si="27"/>
        <v>-1748.81</v>
      </c>
      <c r="O600" t="s">
        <v>4104</v>
      </c>
      <c r="P600" t="str">
        <f t="shared" si="28"/>
        <v xml:space="preserve"> </v>
      </c>
      <c r="Q600" t="str">
        <f t="shared" si="29"/>
        <v>Unfavorable</v>
      </c>
    </row>
    <row r="601" spans="1:17">
      <c r="A601" t="s">
        <v>611</v>
      </c>
      <c r="B601" s="2">
        <v>45492</v>
      </c>
      <c r="C601">
        <v>6000</v>
      </c>
      <c r="D601" t="s">
        <v>2014</v>
      </c>
      <c r="E601">
        <v>278.26</v>
      </c>
      <c r="F601">
        <v>0</v>
      </c>
      <c r="G601" t="s">
        <v>2017</v>
      </c>
      <c r="H601" t="s">
        <v>2025</v>
      </c>
      <c r="I601" t="s">
        <v>2627</v>
      </c>
      <c r="J601" t="s">
        <v>4031</v>
      </c>
      <c r="K601" t="s">
        <v>4054</v>
      </c>
      <c r="L601">
        <v>-278.26</v>
      </c>
      <c r="N601">
        <f t="shared" si="27"/>
        <v>-278.26</v>
      </c>
      <c r="O601" t="s">
        <v>4104</v>
      </c>
      <c r="P601" t="str">
        <f t="shared" si="28"/>
        <v xml:space="preserve"> </v>
      </c>
      <c r="Q601" t="str">
        <f t="shared" si="29"/>
        <v>Unfavorable</v>
      </c>
    </row>
    <row r="602" spans="1:17">
      <c r="A602" t="s">
        <v>612</v>
      </c>
      <c r="B602" s="2">
        <v>45103</v>
      </c>
      <c r="C602">
        <v>5010</v>
      </c>
      <c r="D602" t="s">
        <v>2015</v>
      </c>
      <c r="E602">
        <v>387.61</v>
      </c>
      <c r="F602">
        <v>0</v>
      </c>
      <c r="G602" t="s">
        <v>2022</v>
      </c>
      <c r="H602" t="s">
        <v>2025</v>
      </c>
      <c r="I602" t="s">
        <v>2628</v>
      </c>
      <c r="J602" t="s">
        <v>4028</v>
      </c>
      <c r="K602" t="s">
        <v>4055</v>
      </c>
      <c r="L602">
        <v>-387.61</v>
      </c>
      <c r="N602">
        <f t="shared" si="27"/>
        <v>-387.61</v>
      </c>
      <c r="O602" t="s">
        <v>4104</v>
      </c>
      <c r="P602" t="str">
        <f t="shared" si="28"/>
        <v xml:space="preserve"> </v>
      </c>
      <c r="Q602" t="str">
        <f t="shared" si="29"/>
        <v>Unfavorable</v>
      </c>
    </row>
    <row r="603" spans="1:17">
      <c r="A603" t="s">
        <v>613</v>
      </c>
      <c r="B603" s="2">
        <v>45717</v>
      </c>
      <c r="C603">
        <v>5000</v>
      </c>
      <c r="D603" t="s">
        <v>2013</v>
      </c>
      <c r="E603">
        <v>930.92</v>
      </c>
      <c r="F603">
        <v>0</v>
      </c>
      <c r="G603" t="s">
        <v>2018</v>
      </c>
      <c r="H603" t="s">
        <v>2023</v>
      </c>
      <c r="I603" t="s">
        <v>2629</v>
      </c>
      <c r="J603" t="s">
        <v>4032</v>
      </c>
      <c r="K603" t="s">
        <v>4046</v>
      </c>
      <c r="L603">
        <v>-930.92</v>
      </c>
      <c r="N603">
        <f t="shared" si="27"/>
        <v>-930.92</v>
      </c>
      <c r="O603" t="s">
        <v>4104</v>
      </c>
      <c r="P603" t="str">
        <f t="shared" si="28"/>
        <v xml:space="preserve"> </v>
      </c>
      <c r="Q603" t="str">
        <f t="shared" si="29"/>
        <v>Unfavorable</v>
      </c>
    </row>
    <row r="604" spans="1:17">
      <c r="A604" t="s">
        <v>614</v>
      </c>
      <c r="B604" s="2">
        <v>45772</v>
      </c>
      <c r="C604">
        <v>5000</v>
      </c>
      <c r="D604" t="s">
        <v>2013</v>
      </c>
      <c r="E604">
        <v>1231.94</v>
      </c>
      <c r="F604">
        <v>0</v>
      </c>
      <c r="G604" t="s">
        <v>2020</v>
      </c>
      <c r="H604" t="s">
        <v>2024</v>
      </c>
      <c r="I604" t="s">
        <v>2630</v>
      </c>
      <c r="J604" t="s">
        <v>4028</v>
      </c>
      <c r="K604" t="s">
        <v>4045</v>
      </c>
      <c r="L604">
        <v>-1231.94</v>
      </c>
      <c r="N604">
        <f t="shared" si="27"/>
        <v>-1231.94</v>
      </c>
      <c r="O604" t="s">
        <v>4104</v>
      </c>
      <c r="P604" t="str">
        <f t="shared" si="28"/>
        <v xml:space="preserve"> </v>
      </c>
      <c r="Q604" t="str">
        <f t="shared" si="29"/>
        <v>Unfavorable</v>
      </c>
    </row>
    <row r="605" spans="1:17">
      <c r="A605" t="s">
        <v>615</v>
      </c>
      <c r="B605" s="2">
        <v>45691</v>
      </c>
      <c r="C605">
        <v>5010</v>
      </c>
      <c r="D605" t="s">
        <v>2015</v>
      </c>
      <c r="E605">
        <v>1911.86</v>
      </c>
      <c r="F605">
        <v>0</v>
      </c>
      <c r="G605" t="s">
        <v>2022</v>
      </c>
      <c r="H605" t="s">
        <v>2026</v>
      </c>
      <c r="I605" t="s">
        <v>2631</v>
      </c>
      <c r="J605" t="s">
        <v>4032</v>
      </c>
      <c r="K605" t="s">
        <v>4061</v>
      </c>
      <c r="L605">
        <v>-1911.86</v>
      </c>
      <c r="N605">
        <f t="shared" si="27"/>
        <v>-1911.86</v>
      </c>
      <c r="O605" t="s">
        <v>4104</v>
      </c>
      <c r="P605" t="str">
        <f t="shared" si="28"/>
        <v xml:space="preserve"> </v>
      </c>
      <c r="Q605" t="str">
        <f t="shared" si="29"/>
        <v>Unfavorable</v>
      </c>
    </row>
    <row r="606" spans="1:17">
      <c r="A606" t="s">
        <v>616</v>
      </c>
      <c r="B606" s="2">
        <v>45059</v>
      </c>
      <c r="C606">
        <v>4010</v>
      </c>
      <c r="D606" t="s">
        <v>2016</v>
      </c>
      <c r="E606">
        <v>0</v>
      </c>
      <c r="F606">
        <v>1161.8599999999999</v>
      </c>
      <c r="G606" t="s">
        <v>2020</v>
      </c>
      <c r="H606" t="s">
        <v>2025</v>
      </c>
      <c r="I606" t="s">
        <v>2632</v>
      </c>
      <c r="J606" t="s">
        <v>4030</v>
      </c>
      <c r="K606" t="s">
        <v>4062</v>
      </c>
      <c r="L606">
        <v>1161.8599999999999</v>
      </c>
      <c r="N606">
        <f t="shared" si="27"/>
        <v>1161.8599999999999</v>
      </c>
      <c r="O606" t="s">
        <v>4104</v>
      </c>
      <c r="P606" t="str">
        <f t="shared" si="28"/>
        <v xml:space="preserve"> </v>
      </c>
      <c r="Q606" t="str">
        <f t="shared" si="29"/>
        <v>Favorable</v>
      </c>
    </row>
    <row r="607" spans="1:17">
      <c r="A607" t="s">
        <v>617</v>
      </c>
      <c r="B607" s="2">
        <v>45194</v>
      </c>
      <c r="C607">
        <v>5010</v>
      </c>
      <c r="D607" t="s">
        <v>2015</v>
      </c>
      <c r="E607">
        <v>622.09</v>
      </c>
      <c r="F607">
        <v>0</v>
      </c>
      <c r="G607" t="s">
        <v>2022</v>
      </c>
      <c r="H607" t="s">
        <v>2027</v>
      </c>
      <c r="I607" t="s">
        <v>2633</v>
      </c>
      <c r="J607" t="s">
        <v>4028</v>
      </c>
      <c r="K607" t="s">
        <v>4036</v>
      </c>
      <c r="L607">
        <v>-622.09</v>
      </c>
      <c r="N607">
        <f t="shared" si="27"/>
        <v>-622.09</v>
      </c>
      <c r="O607" t="s">
        <v>4104</v>
      </c>
      <c r="P607" t="str">
        <f t="shared" si="28"/>
        <v xml:space="preserve"> </v>
      </c>
      <c r="Q607" t="str">
        <f t="shared" si="29"/>
        <v>Unfavorable</v>
      </c>
    </row>
    <row r="608" spans="1:17">
      <c r="A608" t="s">
        <v>618</v>
      </c>
      <c r="B608" s="2">
        <v>45006</v>
      </c>
      <c r="C608">
        <v>6000</v>
      </c>
      <c r="D608" t="s">
        <v>2014</v>
      </c>
      <c r="E608">
        <v>895.07</v>
      </c>
      <c r="F608">
        <v>0</v>
      </c>
      <c r="G608" t="s">
        <v>2022</v>
      </c>
      <c r="H608" t="s">
        <v>2026</v>
      </c>
      <c r="I608" t="s">
        <v>2634</v>
      </c>
      <c r="J608" t="s">
        <v>4031</v>
      </c>
      <c r="K608" t="s">
        <v>4051</v>
      </c>
      <c r="L608">
        <v>-895.07</v>
      </c>
      <c r="N608">
        <f t="shared" si="27"/>
        <v>-895.07</v>
      </c>
      <c r="O608" t="s">
        <v>4104</v>
      </c>
      <c r="P608" t="str">
        <f t="shared" si="28"/>
        <v xml:space="preserve"> </v>
      </c>
      <c r="Q608" t="str">
        <f t="shared" si="29"/>
        <v>Unfavorable</v>
      </c>
    </row>
    <row r="609" spans="1:17">
      <c r="A609" t="s">
        <v>619</v>
      </c>
      <c r="B609" s="2">
        <v>45334</v>
      </c>
      <c r="C609">
        <v>6000</v>
      </c>
      <c r="D609" t="s">
        <v>2014</v>
      </c>
      <c r="E609">
        <v>1093.48</v>
      </c>
      <c r="F609">
        <v>0</v>
      </c>
      <c r="G609" t="s">
        <v>2021</v>
      </c>
      <c r="H609" t="s">
        <v>2024</v>
      </c>
      <c r="I609" t="s">
        <v>2635</v>
      </c>
      <c r="J609" t="s">
        <v>4032</v>
      </c>
      <c r="K609" t="s">
        <v>4044</v>
      </c>
      <c r="L609">
        <v>-1093.48</v>
      </c>
      <c r="N609">
        <f t="shared" si="27"/>
        <v>-1093.48</v>
      </c>
      <c r="O609" t="s">
        <v>4104</v>
      </c>
      <c r="P609" t="str">
        <f t="shared" si="28"/>
        <v xml:space="preserve"> </v>
      </c>
      <c r="Q609" t="str">
        <f t="shared" si="29"/>
        <v>Unfavorable</v>
      </c>
    </row>
    <row r="610" spans="1:17">
      <c r="A610" t="s">
        <v>620</v>
      </c>
      <c r="B610" s="2">
        <v>45224</v>
      </c>
      <c r="C610">
        <v>4000</v>
      </c>
      <c r="D610" t="s">
        <v>2012</v>
      </c>
      <c r="E610">
        <v>0</v>
      </c>
      <c r="F610">
        <v>1178.75</v>
      </c>
      <c r="G610" t="s">
        <v>2017</v>
      </c>
      <c r="H610" t="s">
        <v>2027</v>
      </c>
      <c r="I610" t="s">
        <v>2636</v>
      </c>
      <c r="J610" t="s">
        <v>4030</v>
      </c>
      <c r="K610" t="s">
        <v>4060</v>
      </c>
      <c r="L610">
        <v>1178.75</v>
      </c>
      <c r="N610">
        <f t="shared" si="27"/>
        <v>1178.75</v>
      </c>
      <c r="O610" t="s">
        <v>4104</v>
      </c>
      <c r="P610" t="str">
        <f t="shared" si="28"/>
        <v xml:space="preserve"> </v>
      </c>
      <c r="Q610" t="str">
        <f t="shared" si="29"/>
        <v>Favorable</v>
      </c>
    </row>
    <row r="611" spans="1:17">
      <c r="A611" t="s">
        <v>621</v>
      </c>
      <c r="B611" s="2">
        <v>45584</v>
      </c>
      <c r="C611">
        <v>4010</v>
      </c>
      <c r="D611" t="s">
        <v>2016</v>
      </c>
      <c r="E611">
        <v>0</v>
      </c>
      <c r="F611">
        <v>1843.27</v>
      </c>
      <c r="G611" t="s">
        <v>2017</v>
      </c>
      <c r="H611" t="s">
        <v>2024</v>
      </c>
      <c r="I611" t="s">
        <v>2637</v>
      </c>
      <c r="J611" t="s">
        <v>4032</v>
      </c>
      <c r="K611" t="s">
        <v>4059</v>
      </c>
      <c r="L611">
        <v>1843.27</v>
      </c>
      <c r="N611">
        <f t="shared" si="27"/>
        <v>1843.27</v>
      </c>
      <c r="O611" t="s">
        <v>4104</v>
      </c>
      <c r="P611" t="str">
        <f t="shared" si="28"/>
        <v xml:space="preserve"> </v>
      </c>
      <c r="Q611" t="str">
        <f t="shared" si="29"/>
        <v>Favorable</v>
      </c>
    </row>
    <row r="612" spans="1:17">
      <c r="A612" t="s">
        <v>622</v>
      </c>
      <c r="B612" s="2">
        <v>45468</v>
      </c>
      <c r="C612">
        <v>6000</v>
      </c>
      <c r="D612" t="s">
        <v>2014</v>
      </c>
      <c r="E612">
        <v>1239.45</v>
      </c>
      <c r="F612">
        <v>0</v>
      </c>
      <c r="G612" t="s">
        <v>2019</v>
      </c>
      <c r="H612" t="s">
        <v>2024</v>
      </c>
      <c r="I612" t="s">
        <v>2638</v>
      </c>
      <c r="J612" t="s">
        <v>4029</v>
      </c>
      <c r="K612" t="s">
        <v>4034</v>
      </c>
      <c r="L612">
        <v>-1239.45</v>
      </c>
      <c r="N612">
        <f t="shared" si="27"/>
        <v>-1239.45</v>
      </c>
      <c r="O612" t="s">
        <v>4104</v>
      </c>
      <c r="P612" t="str">
        <f t="shared" si="28"/>
        <v xml:space="preserve"> </v>
      </c>
      <c r="Q612" t="str">
        <f t="shared" si="29"/>
        <v>Unfavorable</v>
      </c>
    </row>
    <row r="613" spans="1:17">
      <c r="A613" t="s">
        <v>623</v>
      </c>
      <c r="B613" s="2">
        <v>44943</v>
      </c>
      <c r="C613">
        <v>4000</v>
      </c>
      <c r="D613" t="s">
        <v>2012</v>
      </c>
      <c r="E613">
        <v>0</v>
      </c>
      <c r="F613">
        <v>3317.75</v>
      </c>
      <c r="G613" t="s">
        <v>2017</v>
      </c>
      <c r="H613" t="s">
        <v>2024</v>
      </c>
      <c r="I613" t="s">
        <v>2639</v>
      </c>
      <c r="J613" t="s">
        <v>4029</v>
      </c>
      <c r="K613" t="s">
        <v>4047</v>
      </c>
      <c r="L613">
        <v>3317.75</v>
      </c>
      <c r="N613">
        <f t="shared" si="27"/>
        <v>3317.75</v>
      </c>
      <c r="O613" t="s">
        <v>4104</v>
      </c>
      <c r="P613" t="str">
        <f t="shared" si="28"/>
        <v xml:space="preserve"> </v>
      </c>
      <c r="Q613" t="str">
        <f t="shared" si="29"/>
        <v>Favorable</v>
      </c>
    </row>
    <row r="614" spans="1:17">
      <c r="A614" t="s">
        <v>624</v>
      </c>
      <c r="B614" s="2">
        <v>45736</v>
      </c>
      <c r="C614">
        <v>4000</v>
      </c>
      <c r="D614" t="s">
        <v>2012</v>
      </c>
      <c r="E614">
        <v>0</v>
      </c>
      <c r="F614">
        <v>493.21</v>
      </c>
      <c r="G614" t="s">
        <v>2020</v>
      </c>
      <c r="H614" t="s">
        <v>2024</v>
      </c>
      <c r="I614" t="s">
        <v>2640</v>
      </c>
      <c r="J614" t="s">
        <v>4032</v>
      </c>
      <c r="K614" t="s">
        <v>4046</v>
      </c>
      <c r="L614">
        <v>493.21</v>
      </c>
      <c r="N614">
        <f t="shared" si="27"/>
        <v>493.21</v>
      </c>
      <c r="O614" t="s">
        <v>4104</v>
      </c>
      <c r="P614" t="str">
        <f t="shared" si="28"/>
        <v xml:space="preserve"> </v>
      </c>
      <c r="Q614" t="str">
        <f t="shared" si="29"/>
        <v>Favorable</v>
      </c>
    </row>
    <row r="615" spans="1:17">
      <c r="A615" t="s">
        <v>625</v>
      </c>
      <c r="B615" s="2">
        <v>45000</v>
      </c>
      <c r="C615">
        <v>6000</v>
      </c>
      <c r="D615" t="s">
        <v>2014</v>
      </c>
      <c r="E615">
        <v>1638.5</v>
      </c>
      <c r="F615">
        <v>0</v>
      </c>
      <c r="G615" t="s">
        <v>2019</v>
      </c>
      <c r="H615" t="s">
        <v>2023</v>
      </c>
      <c r="I615" t="s">
        <v>2641</v>
      </c>
      <c r="J615" t="s">
        <v>4028</v>
      </c>
      <c r="K615" t="s">
        <v>4051</v>
      </c>
      <c r="L615">
        <v>-1638.5</v>
      </c>
      <c r="N615">
        <f t="shared" si="27"/>
        <v>-1638.5</v>
      </c>
      <c r="O615" t="s">
        <v>4104</v>
      </c>
      <c r="P615" t="str">
        <f t="shared" si="28"/>
        <v xml:space="preserve"> </v>
      </c>
      <c r="Q615" t="str">
        <f t="shared" si="29"/>
        <v>Unfavorable</v>
      </c>
    </row>
    <row r="616" spans="1:17">
      <c r="A616" t="s">
        <v>626</v>
      </c>
      <c r="B616" s="2">
        <v>45291</v>
      </c>
      <c r="C616">
        <v>4000</v>
      </c>
      <c r="D616" t="s">
        <v>2012</v>
      </c>
      <c r="E616">
        <v>0</v>
      </c>
      <c r="F616">
        <v>1848.61</v>
      </c>
      <c r="G616" t="s">
        <v>2018</v>
      </c>
      <c r="H616" t="s">
        <v>2024</v>
      </c>
      <c r="I616" t="s">
        <v>2642</v>
      </c>
      <c r="J616" t="s">
        <v>4028</v>
      </c>
      <c r="K616" t="s">
        <v>4039</v>
      </c>
      <c r="L616">
        <v>1848.61</v>
      </c>
      <c r="N616">
        <f t="shared" si="27"/>
        <v>1848.61</v>
      </c>
      <c r="O616" t="s">
        <v>4104</v>
      </c>
      <c r="P616" t="str">
        <f t="shared" si="28"/>
        <v xml:space="preserve"> </v>
      </c>
      <c r="Q616" t="str">
        <f t="shared" si="29"/>
        <v>Favorable</v>
      </c>
    </row>
    <row r="617" spans="1:17">
      <c r="A617" t="s">
        <v>627</v>
      </c>
      <c r="B617" s="2">
        <v>45022</v>
      </c>
      <c r="C617">
        <v>5010</v>
      </c>
      <c r="D617" t="s">
        <v>2015</v>
      </c>
      <c r="E617">
        <v>436.93</v>
      </c>
      <c r="F617">
        <v>0</v>
      </c>
      <c r="G617" t="s">
        <v>2018</v>
      </c>
      <c r="H617" t="s">
        <v>2026</v>
      </c>
      <c r="I617" t="s">
        <v>2643</v>
      </c>
      <c r="J617" t="s">
        <v>4032</v>
      </c>
      <c r="K617" t="s">
        <v>4041</v>
      </c>
      <c r="L617">
        <v>-436.93</v>
      </c>
      <c r="N617">
        <f t="shared" si="27"/>
        <v>-436.93</v>
      </c>
      <c r="O617" t="s">
        <v>4104</v>
      </c>
      <c r="P617" t="str">
        <f t="shared" si="28"/>
        <v xml:space="preserve"> </v>
      </c>
      <c r="Q617" t="str">
        <f t="shared" si="29"/>
        <v>Unfavorable</v>
      </c>
    </row>
    <row r="618" spans="1:17">
      <c r="A618" t="s">
        <v>628</v>
      </c>
      <c r="B618" s="2">
        <v>45475</v>
      </c>
      <c r="C618">
        <v>5000</v>
      </c>
      <c r="D618" t="s">
        <v>2013</v>
      </c>
      <c r="E618">
        <v>1498.49</v>
      </c>
      <c r="F618">
        <v>0</v>
      </c>
      <c r="G618" t="s">
        <v>2018</v>
      </c>
      <c r="H618" t="s">
        <v>2025</v>
      </c>
      <c r="I618" t="s">
        <v>2644</v>
      </c>
      <c r="J618" t="s">
        <v>4031</v>
      </c>
      <c r="K618" t="s">
        <v>4054</v>
      </c>
      <c r="L618">
        <v>-1498.49</v>
      </c>
      <c r="N618">
        <f t="shared" si="27"/>
        <v>-1498.49</v>
      </c>
      <c r="O618" t="s">
        <v>4104</v>
      </c>
      <c r="P618" t="str">
        <f t="shared" si="28"/>
        <v xml:space="preserve"> </v>
      </c>
      <c r="Q618" t="str">
        <f t="shared" si="29"/>
        <v>Unfavorable</v>
      </c>
    </row>
    <row r="619" spans="1:17">
      <c r="A619" t="s">
        <v>629</v>
      </c>
      <c r="B619" s="2">
        <v>45781</v>
      </c>
      <c r="C619">
        <v>6000</v>
      </c>
      <c r="D619" t="s">
        <v>2014</v>
      </c>
      <c r="E619">
        <v>1030.46</v>
      </c>
      <c r="F619">
        <v>0</v>
      </c>
      <c r="G619" t="s">
        <v>2019</v>
      </c>
      <c r="H619" t="s">
        <v>2023</v>
      </c>
      <c r="I619" t="s">
        <v>2645</v>
      </c>
      <c r="J619" t="s">
        <v>4031</v>
      </c>
      <c r="K619" t="s">
        <v>4038</v>
      </c>
      <c r="L619">
        <v>-1030.46</v>
      </c>
      <c r="N619">
        <f t="shared" si="27"/>
        <v>-1030.46</v>
      </c>
      <c r="O619" t="s">
        <v>4104</v>
      </c>
      <c r="P619" t="str">
        <f t="shared" si="28"/>
        <v xml:space="preserve"> </v>
      </c>
      <c r="Q619" t="str">
        <f t="shared" si="29"/>
        <v>Unfavorable</v>
      </c>
    </row>
    <row r="620" spans="1:17">
      <c r="A620" t="s">
        <v>630</v>
      </c>
      <c r="B620" s="2">
        <v>45838</v>
      </c>
      <c r="C620">
        <v>4010</v>
      </c>
      <c r="D620" t="s">
        <v>2016</v>
      </c>
      <c r="E620">
        <v>0</v>
      </c>
      <c r="F620">
        <v>2665.08</v>
      </c>
      <c r="G620" t="s">
        <v>2021</v>
      </c>
      <c r="H620" t="s">
        <v>2023</v>
      </c>
      <c r="I620" t="s">
        <v>2646</v>
      </c>
      <c r="J620" t="s">
        <v>4032</v>
      </c>
      <c r="K620" t="s">
        <v>4052</v>
      </c>
      <c r="L620">
        <v>2665.08</v>
      </c>
      <c r="N620">
        <f t="shared" si="27"/>
        <v>2665.08</v>
      </c>
      <c r="O620" t="s">
        <v>4104</v>
      </c>
      <c r="P620" t="str">
        <f t="shared" si="28"/>
        <v xml:space="preserve"> </v>
      </c>
      <c r="Q620" t="str">
        <f t="shared" si="29"/>
        <v>Favorable</v>
      </c>
    </row>
    <row r="621" spans="1:17">
      <c r="A621" t="s">
        <v>631</v>
      </c>
      <c r="B621" s="2">
        <v>45509</v>
      </c>
      <c r="C621">
        <v>5010</v>
      </c>
      <c r="D621" t="s">
        <v>2015</v>
      </c>
      <c r="E621">
        <v>416.41</v>
      </c>
      <c r="F621">
        <v>0</v>
      </c>
      <c r="G621" t="s">
        <v>2020</v>
      </c>
      <c r="H621" t="s">
        <v>2024</v>
      </c>
      <c r="I621" t="s">
        <v>2647</v>
      </c>
      <c r="J621" t="s">
        <v>4032</v>
      </c>
      <c r="K621" t="s">
        <v>4058</v>
      </c>
      <c r="L621">
        <v>-416.41</v>
      </c>
      <c r="N621">
        <f t="shared" si="27"/>
        <v>-416.41</v>
      </c>
      <c r="O621" t="s">
        <v>4104</v>
      </c>
      <c r="P621" t="str">
        <f t="shared" si="28"/>
        <v xml:space="preserve"> </v>
      </c>
      <c r="Q621" t="str">
        <f t="shared" si="29"/>
        <v>Unfavorable</v>
      </c>
    </row>
    <row r="622" spans="1:17">
      <c r="A622" t="s">
        <v>632</v>
      </c>
      <c r="B622" s="2">
        <v>45696</v>
      </c>
      <c r="C622">
        <v>4000</v>
      </c>
      <c r="D622" t="s">
        <v>2012</v>
      </c>
      <c r="E622">
        <v>0</v>
      </c>
      <c r="F622">
        <v>2058.4</v>
      </c>
      <c r="G622" t="s">
        <v>2019</v>
      </c>
      <c r="H622" t="s">
        <v>2026</v>
      </c>
      <c r="I622" t="s">
        <v>2648</v>
      </c>
      <c r="J622" t="s">
        <v>4028</v>
      </c>
      <c r="K622" t="s">
        <v>4061</v>
      </c>
      <c r="L622">
        <v>2058.4</v>
      </c>
      <c r="N622">
        <f t="shared" si="27"/>
        <v>2058.4</v>
      </c>
      <c r="O622" t="s">
        <v>4104</v>
      </c>
      <c r="P622" t="str">
        <f t="shared" si="28"/>
        <v xml:space="preserve"> </v>
      </c>
      <c r="Q622" t="str">
        <f t="shared" si="29"/>
        <v>Favorable</v>
      </c>
    </row>
    <row r="623" spans="1:17">
      <c r="A623" t="s">
        <v>633</v>
      </c>
      <c r="B623" s="2">
        <v>45669</v>
      </c>
      <c r="C623">
        <v>4000</v>
      </c>
      <c r="D623" t="s">
        <v>2012</v>
      </c>
      <c r="E623">
        <v>0</v>
      </c>
      <c r="F623">
        <v>203.81</v>
      </c>
      <c r="G623" t="s">
        <v>2022</v>
      </c>
      <c r="H623" t="s">
        <v>2023</v>
      </c>
      <c r="I623" t="s">
        <v>2649</v>
      </c>
      <c r="J623" t="s">
        <v>4030</v>
      </c>
      <c r="K623" t="s">
        <v>4035</v>
      </c>
      <c r="L623">
        <v>203.81</v>
      </c>
      <c r="N623">
        <f t="shared" si="27"/>
        <v>203.81</v>
      </c>
      <c r="O623" t="s">
        <v>4104</v>
      </c>
      <c r="P623" t="str">
        <f t="shared" si="28"/>
        <v xml:space="preserve"> </v>
      </c>
      <c r="Q623" t="str">
        <f t="shared" si="29"/>
        <v>Favorable</v>
      </c>
    </row>
    <row r="624" spans="1:17">
      <c r="A624" t="s">
        <v>634</v>
      </c>
      <c r="B624" s="2">
        <v>45595</v>
      </c>
      <c r="C624">
        <v>5010</v>
      </c>
      <c r="D624" t="s">
        <v>2015</v>
      </c>
      <c r="E624">
        <v>1876.28</v>
      </c>
      <c r="F624">
        <v>0</v>
      </c>
      <c r="G624" t="s">
        <v>2021</v>
      </c>
      <c r="H624" t="s">
        <v>2025</v>
      </c>
      <c r="I624" t="s">
        <v>2650</v>
      </c>
      <c r="J624" t="s">
        <v>4032</v>
      </c>
      <c r="K624" t="s">
        <v>4059</v>
      </c>
      <c r="L624">
        <v>-1876.28</v>
      </c>
      <c r="N624">
        <f t="shared" si="27"/>
        <v>-1876.28</v>
      </c>
      <c r="O624" t="s">
        <v>4104</v>
      </c>
      <c r="P624" t="str">
        <f t="shared" si="28"/>
        <v xml:space="preserve"> </v>
      </c>
      <c r="Q624" t="str">
        <f t="shared" si="29"/>
        <v>Unfavorable</v>
      </c>
    </row>
    <row r="625" spans="1:17">
      <c r="A625" t="s">
        <v>635</v>
      </c>
      <c r="B625" s="2">
        <v>45202</v>
      </c>
      <c r="C625">
        <v>5000</v>
      </c>
      <c r="D625" t="s">
        <v>2013</v>
      </c>
      <c r="E625">
        <v>1047.55</v>
      </c>
      <c r="F625">
        <v>0</v>
      </c>
      <c r="G625" t="s">
        <v>2018</v>
      </c>
      <c r="H625" t="s">
        <v>2025</v>
      </c>
      <c r="I625" t="s">
        <v>2651</v>
      </c>
      <c r="J625" t="s">
        <v>4030</v>
      </c>
      <c r="K625" t="s">
        <v>4060</v>
      </c>
      <c r="L625">
        <v>-1047.55</v>
      </c>
      <c r="N625">
        <f t="shared" si="27"/>
        <v>-1047.55</v>
      </c>
      <c r="O625" t="s">
        <v>4104</v>
      </c>
      <c r="P625" t="str">
        <f t="shared" si="28"/>
        <v xml:space="preserve"> </v>
      </c>
      <c r="Q625" t="str">
        <f t="shared" si="29"/>
        <v>Unfavorable</v>
      </c>
    </row>
    <row r="626" spans="1:17">
      <c r="A626" t="s">
        <v>636</v>
      </c>
      <c r="B626" s="2">
        <v>44943</v>
      </c>
      <c r="C626">
        <v>4000</v>
      </c>
      <c r="D626" t="s">
        <v>2012</v>
      </c>
      <c r="E626">
        <v>0</v>
      </c>
      <c r="F626">
        <v>3567.5</v>
      </c>
      <c r="G626" t="s">
        <v>2021</v>
      </c>
      <c r="H626" t="s">
        <v>2026</v>
      </c>
      <c r="I626" t="s">
        <v>2652</v>
      </c>
      <c r="J626" t="s">
        <v>4029</v>
      </c>
      <c r="K626" t="s">
        <v>4047</v>
      </c>
      <c r="L626">
        <v>3567.5</v>
      </c>
      <c r="N626">
        <f t="shared" si="27"/>
        <v>3567.5</v>
      </c>
      <c r="O626" t="s">
        <v>4104</v>
      </c>
      <c r="P626" t="str">
        <f t="shared" si="28"/>
        <v xml:space="preserve"> </v>
      </c>
      <c r="Q626" t="str">
        <f t="shared" si="29"/>
        <v>Favorable</v>
      </c>
    </row>
    <row r="627" spans="1:17">
      <c r="A627" t="s">
        <v>637</v>
      </c>
      <c r="B627" s="2">
        <v>45338</v>
      </c>
      <c r="C627">
        <v>4000</v>
      </c>
      <c r="D627" t="s">
        <v>2012</v>
      </c>
      <c r="E627">
        <v>0</v>
      </c>
      <c r="F627">
        <v>1073.3499999999999</v>
      </c>
      <c r="G627" t="s">
        <v>2018</v>
      </c>
      <c r="H627" t="s">
        <v>2023</v>
      </c>
      <c r="I627" t="s">
        <v>2653</v>
      </c>
      <c r="J627" t="s">
        <v>4032</v>
      </c>
      <c r="K627" t="s">
        <v>4044</v>
      </c>
      <c r="L627">
        <v>1073.3499999999999</v>
      </c>
      <c r="N627">
        <f t="shared" si="27"/>
        <v>1073.3499999999999</v>
      </c>
      <c r="O627" t="s">
        <v>4104</v>
      </c>
      <c r="P627" t="str">
        <f t="shared" si="28"/>
        <v xml:space="preserve"> </v>
      </c>
      <c r="Q627" t="str">
        <f t="shared" si="29"/>
        <v>Favorable</v>
      </c>
    </row>
    <row r="628" spans="1:17">
      <c r="A628" t="s">
        <v>638</v>
      </c>
      <c r="B628" s="2">
        <v>45709</v>
      </c>
      <c r="C628">
        <v>6000</v>
      </c>
      <c r="D628" t="s">
        <v>2014</v>
      </c>
      <c r="E628">
        <v>1340.18</v>
      </c>
      <c r="F628">
        <v>0</v>
      </c>
      <c r="G628" t="s">
        <v>2017</v>
      </c>
      <c r="H628" t="s">
        <v>2023</v>
      </c>
      <c r="I628" t="s">
        <v>2654</v>
      </c>
      <c r="J628" t="s">
        <v>4031</v>
      </c>
      <c r="K628" t="s">
        <v>4061</v>
      </c>
      <c r="L628">
        <v>-1340.18</v>
      </c>
      <c r="N628">
        <f t="shared" si="27"/>
        <v>-1340.18</v>
      </c>
      <c r="O628" t="s">
        <v>4104</v>
      </c>
      <c r="P628" t="str">
        <f t="shared" si="28"/>
        <v xml:space="preserve"> </v>
      </c>
      <c r="Q628" t="str">
        <f t="shared" si="29"/>
        <v>Unfavorable</v>
      </c>
    </row>
    <row r="629" spans="1:17">
      <c r="A629" t="s">
        <v>639</v>
      </c>
      <c r="B629" s="2">
        <v>45367</v>
      </c>
      <c r="C629">
        <v>4010</v>
      </c>
      <c r="D629" t="s">
        <v>2016</v>
      </c>
      <c r="E629">
        <v>0</v>
      </c>
      <c r="F629">
        <v>2847.98</v>
      </c>
      <c r="G629" t="s">
        <v>2017</v>
      </c>
      <c r="H629" t="s">
        <v>2027</v>
      </c>
      <c r="I629" t="s">
        <v>2655</v>
      </c>
      <c r="J629" t="s">
        <v>4031</v>
      </c>
      <c r="K629" t="s">
        <v>4049</v>
      </c>
      <c r="L629">
        <v>2847.98</v>
      </c>
      <c r="N629">
        <f t="shared" si="27"/>
        <v>2847.98</v>
      </c>
      <c r="O629" t="s">
        <v>4104</v>
      </c>
      <c r="P629" t="str">
        <f t="shared" si="28"/>
        <v xml:space="preserve"> </v>
      </c>
      <c r="Q629" t="str">
        <f t="shared" si="29"/>
        <v>Favorable</v>
      </c>
    </row>
    <row r="630" spans="1:17">
      <c r="A630" t="s">
        <v>640</v>
      </c>
      <c r="B630" s="2">
        <v>45681</v>
      </c>
      <c r="C630">
        <v>5000</v>
      </c>
      <c r="D630" t="s">
        <v>2013</v>
      </c>
      <c r="E630">
        <v>1084.3800000000001</v>
      </c>
      <c r="F630">
        <v>0</v>
      </c>
      <c r="G630" t="s">
        <v>2022</v>
      </c>
      <c r="H630" t="s">
        <v>2023</v>
      </c>
      <c r="I630" t="s">
        <v>2656</v>
      </c>
      <c r="J630" t="s">
        <v>4028</v>
      </c>
      <c r="K630" t="s">
        <v>4035</v>
      </c>
      <c r="L630">
        <v>-1084.3800000000001</v>
      </c>
      <c r="N630">
        <f t="shared" si="27"/>
        <v>-1084.3800000000001</v>
      </c>
      <c r="O630" t="s">
        <v>4104</v>
      </c>
      <c r="P630" t="str">
        <f t="shared" si="28"/>
        <v xml:space="preserve"> </v>
      </c>
      <c r="Q630" t="str">
        <f t="shared" si="29"/>
        <v>Unfavorable</v>
      </c>
    </row>
    <row r="631" spans="1:17">
      <c r="A631" t="s">
        <v>641</v>
      </c>
      <c r="B631" s="2">
        <v>45809</v>
      </c>
      <c r="C631">
        <v>5000</v>
      </c>
      <c r="D631" t="s">
        <v>2013</v>
      </c>
      <c r="E631">
        <v>1437.11</v>
      </c>
      <c r="F631">
        <v>0</v>
      </c>
      <c r="G631" t="s">
        <v>2021</v>
      </c>
      <c r="H631" t="s">
        <v>2026</v>
      </c>
      <c r="I631" t="s">
        <v>2657</v>
      </c>
      <c r="J631" t="s">
        <v>4031</v>
      </c>
      <c r="K631" t="s">
        <v>4052</v>
      </c>
      <c r="L631">
        <v>-1437.11</v>
      </c>
      <c r="N631">
        <f t="shared" si="27"/>
        <v>-1437.11</v>
      </c>
      <c r="O631" t="s">
        <v>4104</v>
      </c>
      <c r="P631" t="str">
        <f t="shared" si="28"/>
        <v xml:space="preserve"> </v>
      </c>
      <c r="Q631" t="str">
        <f t="shared" si="29"/>
        <v>Unfavorable</v>
      </c>
    </row>
    <row r="632" spans="1:17">
      <c r="A632" t="s">
        <v>642</v>
      </c>
      <c r="B632" s="2">
        <v>45470</v>
      </c>
      <c r="C632">
        <v>4000</v>
      </c>
      <c r="D632" t="s">
        <v>2012</v>
      </c>
      <c r="E632">
        <v>0</v>
      </c>
      <c r="F632">
        <v>4116.3900000000003</v>
      </c>
      <c r="G632" t="s">
        <v>2018</v>
      </c>
      <c r="H632" t="s">
        <v>2027</v>
      </c>
      <c r="I632" t="s">
        <v>2658</v>
      </c>
      <c r="J632" t="s">
        <v>4028</v>
      </c>
      <c r="K632" t="s">
        <v>4034</v>
      </c>
      <c r="L632">
        <v>4116.3900000000003</v>
      </c>
      <c r="N632">
        <f t="shared" si="27"/>
        <v>4116.3900000000003</v>
      </c>
      <c r="O632" t="s">
        <v>4104</v>
      </c>
      <c r="P632" t="str">
        <f t="shared" si="28"/>
        <v xml:space="preserve"> </v>
      </c>
      <c r="Q632" t="str">
        <f t="shared" si="29"/>
        <v>Favorable</v>
      </c>
    </row>
    <row r="633" spans="1:17">
      <c r="A633" t="s">
        <v>643</v>
      </c>
      <c r="B633" s="2">
        <v>44979</v>
      </c>
      <c r="C633">
        <v>5010</v>
      </c>
      <c r="D633" t="s">
        <v>2015</v>
      </c>
      <c r="E633">
        <v>1732.79</v>
      </c>
      <c r="F633">
        <v>0</v>
      </c>
      <c r="G633" t="s">
        <v>2018</v>
      </c>
      <c r="H633" t="s">
        <v>2025</v>
      </c>
      <c r="I633" t="s">
        <v>2659</v>
      </c>
      <c r="J633" t="s">
        <v>4032</v>
      </c>
      <c r="K633" t="s">
        <v>4057</v>
      </c>
      <c r="L633">
        <v>-1732.79</v>
      </c>
      <c r="N633">
        <f t="shared" si="27"/>
        <v>-1732.79</v>
      </c>
      <c r="O633" t="s">
        <v>4104</v>
      </c>
      <c r="P633" t="str">
        <f t="shared" si="28"/>
        <v xml:space="preserve"> </v>
      </c>
      <c r="Q633" t="str">
        <f t="shared" si="29"/>
        <v>Unfavorable</v>
      </c>
    </row>
    <row r="634" spans="1:17">
      <c r="A634" t="s">
        <v>644</v>
      </c>
      <c r="B634" s="2">
        <v>45298</v>
      </c>
      <c r="C634">
        <v>5000</v>
      </c>
      <c r="D634" t="s">
        <v>2013</v>
      </c>
      <c r="E634">
        <v>1107.71</v>
      </c>
      <c r="F634">
        <v>0</v>
      </c>
      <c r="G634" t="s">
        <v>2022</v>
      </c>
      <c r="H634" t="s">
        <v>2024</v>
      </c>
      <c r="I634" t="s">
        <v>2660</v>
      </c>
      <c r="J634" t="s">
        <v>4028</v>
      </c>
      <c r="K634" t="s">
        <v>4053</v>
      </c>
      <c r="L634">
        <v>-1107.71</v>
      </c>
      <c r="N634">
        <f t="shared" si="27"/>
        <v>-1107.71</v>
      </c>
      <c r="O634" t="s">
        <v>4104</v>
      </c>
      <c r="P634" t="str">
        <f t="shared" si="28"/>
        <v xml:space="preserve"> </v>
      </c>
      <c r="Q634" t="str">
        <f t="shared" si="29"/>
        <v>Unfavorable</v>
      </c>
    </row>
    <row r="635" spans="1:17">
      <c r="A635" t="s">
        <v>645</v>
      </c>
      <c r="B635" s="2">
        <v>45145</v>
      </c>
      <c r="C635">
        <v>4010</v>
      </c>
      <c r="D635" t="s">
        <v>2016</v>
      </c>
      <c r="E635">
        <v>0</v>
      </c>
      <c r="F635">
        <v>303.27</v>
      </c>
      <c r="G635" t="s">
        <v>2018</v>
      </c>
      <c r="H635" t="s">
        <v>2026</v>
      </c>
      <c r="I635" t="s">
        <v>2661</v>
      </c>
      <c r="J635" t="s">
        <v>4030</v>
      </c>
      <c r="K635" t="s">
        <v>4037</v>
      </c>
      <c r="L635">
        <v>303.27</v>
      </c>
      <c r="N635">
        <f t="shared" si="27"/>
        <v>303.27</v>
      </c>
      <c r="O635" t="s">
        <v>4104</v>
      </c>
      <c r="P635" t="str">
        <f t="shared" si="28"/>
        <v xml:space="preserve"> </v>
      </c>
      <c r="Q635" t="str">
        <f t="shared" si="29"/>
        <v>Favorable</v>
      </c>
    </row>
    <row r="636" spans="1:17">
      <c r="A636" t="s">
        <v>646</v>
      </c>
      <c r="B636" s="2">
        <v>44933</v>
      </c>
      <c r="C636">
        <v>5000</v>
      </c>
      <c r="D636" t="s">
        <v>2013</v>
      </c>
      <c r="E636">
        <v>608.84</v>
      </c>
      <c r="F636">
        <v>0</v>
      </c>
      <c r="G636" t="s">
        <v>2022</v>
      </c>
      <c r="H636" t="s">
        <v>2027</v>
      </c>
      <c r="I636" t="s">
        <v>2662</v>
      </c>
      <c r="J636" t="s">
        <v>4030</v>
      </c>
      <c r="K636" t="s">
        <v>4047</v>
      </c>
      <c r="L636">
        <v>-608.84</v>
      </c>
      <c r="N636">
        <f t="shared" si="27"/>
        <v>-608.84</v>
      </c>
      <c r="O636" t="s">
        <v>4104</v>
      </c>
      <c r="P636" t="str">
        <f t="shared" si="28"/>
        <v xml:space="preserve"> </v>
      </c>
      <c r="Q636" t="str">
        <f t="shared" si="29"/>
        <v>Unfavorable</v>
      </c>
    </row>
    <row r="637" spans="1:17">
      <c r="A637" t="s">
        <v>647</v>
      </c>
      <c r="B637" s="2">
        <v>45104</v>
      </c>
      <c r="C637">
        <v>6000</v>
      </c>
      <c r="D637" t="s">
        <v>2014</v>
      </c>
      <c r="E637">
        <v>1438.43</v>
      </c>
      <c r="F637">
        <v>0</v>
      </c>
      <c r="G637" t="s">
        <v>2018</v>
      </c>
      <c r="H637" t="s">
        <v>2025</v>
      </c>
      <c r="I637" t="s">
        <v>2663</v>
      </c>
      <c r="J637" t="s">
        <v>4032</v>
      </c>
      <c r="K637" t="s">
        <v>4055</v>
      </c>
      <c r="L637">
        <v>-1438.43</v>
      </c>
      <c r="N637">
        <f t="shared" si="27"/>
        <v>-1438.43</v>
      </c>
      <c r="O637" t="s">
        <v>4104</v>
      </c>
      <c r="P637" t="str">
        <f t="shared" si="28"/>
        <v xml:space="preserve"> </v>
      </c>
      <c r="Q637" t="str">
        <f t="shared" si="29"/>
        <v>Unfavorable</v>
      </c>
    </row>
    <row r="638" spans="1:17">
      <c r="A638" t="s">
        <v>648</v>
      </c>
      <c r="B638" s="2">
        <v>44989</v>
      </c>
      <c r="C638">
        <v>4000</v>
      </c>
      <c r="D638" t="s">
        <v>2012</v>
      </c>
      <c r="E638">
        <v>0</v>
      </c>
      <c r="F638">
        <v>1141.46</v>
      </c>
      <c r="G638" t="s">
        <v>2021</v>
      </c>
      <c r="H638" t="s">
        <v>2027</v>
      </c>
      <c r="I638" t="s">
        <v>2664</v>
      </c>
      <c r="J638" t="s">
        <v>4029</v>
      </c>
      <c r="K638" t="s">
        <v>4051</v>
      </c>
      <c r="L638">
        <v>1141.46</v>
      </c>
      <c r="N638">
        <f t="shared" si="27"/>
        <v>1141.46</v>
      </c>
      <c r="O638" t="s">
        <v>4104</v>
      </c>
      <c r="P638" t="str">
        <f t="shared" si="28"/>
        <v xml:space="preserve"> </v>
      </c>
      <c r="Q638" t="str">
        <f t="shared" si="29"/>
        <v>Favorable</v>
      </c>
    </row>
    <row r="639" spans="1:17">
      <c r="A639" t="s">
        <v>649</v>
      </c>
      <c r="B639" s="2">
        <v>45523</v>
      </c>
      <c r="C639">
        <v>6000</v>
      </c>
      <c r="D639" t="s">
        <v>2014</v>
      </c>
      <c r="E639">
        <v>1263.43</v>
      </c>
      <c r="F639">
        <v>0</v>
      </c>
      <c r="G639" t="s">
        <v>2021</v>
      </c>
      <c r="H639" t="s">
        <v>2024</v>
      </c>
      <c r="I639" t="s">
        <v>2665</v>
      </c>
      <c r="J639" t="s">
        <v>4032</v>
      </c>
      <c r="K639" t="s">
        <v>4058</v>
      </c>
      <c r="L639">
        <v>-1263.43</v>
      </c>
      <c r="N639">
        <f t="shared" si="27"/>
        <v>-1263.43</v>
      </c>
      <c r="O639" t="s">
        <v>4104</v>
      </c>
      <c r="P639" t="str">
        <f t="shared" si="28"/>
        <v xml:space="preserve"> </v>
      </c>
      <c r="Q639" t="str">
        <f t="shared" si="29"/>
        <v>Unfavorable</v>
      </c>
    </row>
    <row r="640" spans="1:17">
      <c r="A640" t="s">
        <v>650</v>
      </c>
      <c r="B640" s="2">
        <v>45121</v>
      </c>
      <c r="C640">
        <v>4000</v>
      </c>
      <c r="D640" t="s">
        <v>2012</v>
      </c>
      <c r="E640">
        <v>0</v>
      </c>
      <c r="F640">
        <v>3107.95</v>
      </c>
      <c r="G640" t="s">
        <v>2018</v>
      </c>
      <c r="H640" t="s">
        <v>2023</v>
      </c>
      <c r="I640" t="s">
        <v>2666</v>
      </c>
      <c r="J640" t="s">
        <v>4028</v>
      </c>
      <c r="K640" t="s">
        <v>4050</v>
      </c>
      <c r="L640">
        <v>3107.95</v>
      </c>
      <c r="N640">
        <f t="shared" si="27"/>
        <v>3107.95</v>
      </c>
      <c r="O640" t="s">
        <v>4104</v>
      </c>
      <c r="P640" t="str">
        <f t="shared" si="28"/>
        <v xml:space="preserve"> </v>
      </c>
      <c r="Q640" t="str">
        <f t="shared" si="29"/>
        <v>Favorable</v>
      </c>
    </row>
    <row r="641" spans="1:17">
      <c r="A641" t="s">
        <v>651</v>
      </c>
      <c r="B641" s="2">
        <v>45589</v>
      </c>
      <c r="C641">
        <v>5000</v>
      </c>
      <c r="D641" t="s">
        <v>2013</v>
      </c>
      <c r="E641">
        <v>1600.99</v>
      </c>
      <c r="F641">
        <v>0</v>
      </c>
      <c r="G641" t="s">
        <v>2021</v>
      </c>
      <c r="H641" t="s">
        <v>2027</v>
      </c>
      <c r="I641" t="s">
        <v>2667</v>
      </c>
      <c r="J641" t="s">
        <v>4032</v>
      </c>
      <c r="K641" t="s">
        <v>4059</v>
      </c>
      <c r="L641">
        <v>-1600.99</v>
      </c>
      <c r="N641">
        <f t="shared" si="27"/>
        <v>-1600.99</v>
      </c>
      <c r="O641" t="s">
        <v>4104</v>
      </c>
      <c r="P641" t="str">
        <f t="shared" si="28"/>
        <v xml:space="preserve"> </v>
      </c>
      <c r="Q641" t="str">
        <f t="shared" si="29"/>
        <v>Unfavorable</v>
      </c>
    </row>
    <row r="642" spans="1:17">
      <c r="A642" t="s">
        <v>652</v>
      </c>
      <c r="B642" s="2">
        <v>45632</v>
      </c>
      <c r="C642">
        <v>5000</v>
      </c>
      <c r="D642" t="s">
        <v>2013</v>
      </c>
      <c r="E642">
        <v>563.6</v>
      </c>
      <c r="F642">
        <v>0</v>
      </c>
      <c r="G642" t="s">
        <v>2017</v>
      </c>
      <c r="H642" t="s">
        <v>2026</v>
      </c>
      <c r="I642" t="s">
        <v>2668</v>
      </c>
      <c r="J642" t="s">
        <v>4031</v>
      </c>
      <c r="K642" t="s">
        <v>4056</v>
      </c>
      <c r="L642">
        <v>-563.6</v>
      </c>
      <c r="N642">
        <f t="shared" si="27"/>
        <v>-563.6</v>
      </c>
      <c r="O642" t="s">
        <v>4104</v>
      </c>
      <c r="P642" t="str">
        <f t="shared" si="28"/>
        <v xml:space="preserve"> </v>
      </c>
      <c r="Q642" t="str">
        <f t="shared" si="29"/>
        <v>Unfavorable</v>
      </c>
    </row>
    <row r="643" spans="1:17">
      <c r="A643" t="s">
        <v>653</v>
      </c>
      <c r="B643" s="2">
        <v>45096</v>
      </c>
      <c r="C643">
        <v>5000</v>
      </c>
      <c r="D643" t="s">
        <v>2013</v>
      </c>
      <c r="E643">
        <v>961.83</v>
      </c>
      <c r="F643">
        <v>0</v>
      </c>
      <c r="G643" t="s">
        <v>2020</v>
      </c>
      <c r="H643" t="s">
        <v>2027</v>
      </c>
      <c r="I643" t="s">
        <v>2669</v>
      </c>
      <c r="J643" t="s">
        <v>4028</v>
      </c>
      <c r="K643" t="s">
        <v>4055</v>
      </c>
      <c r="L643">
        <v>-961.83</v>
      </c>
      <c r="N643">
        <f t="shared" ref="N643:N706" si="30">L:L-M:M</f>
        <v>-961.83</v>
      </c>
      <c r="O643" t="s">
        <v>4104</v>
      </c>
      <c r="P643" t="str">
        <f t="shared" ref="P643:P706" si="31">IF(AND(ABS(N:N)&gt;10000,M:M&lt;&gt;0),"Material", " ")</f>
        <v xml:space="preserve"> </v>
      </c>
      <c r="Q643" t="str">
        <f t="shared" ref="Q643:Q706" si="32">IF(N:N&gt;0,"Favorable","Unfavorable")</f>
        <v>Unfavorable</v>
      </c>
    </row>
    <row r="644" spans="1:17">
      <c r="A644" t="s">
        <v>654</v>
      </c>
      <c r="B644" s="2">
        <v>45779</v>
      </c>
      <c r="C644">
        <v>6000</v>
      </c>
      <c r="D644" t="s">
        <v>2014</v>
      </c>
      <c r="E644">
        <v>1455.41</v>
      </c>
      <c r="F644">
        <v>0</v>
      </c>
      <c r="G644" t="s">
        <v>2021</v>
      </c>
      <c r="H644" t="s">
        <v>2025</v>
      </c>
      <c r="I644" t="s">
        <v>2670</v>
      </c>
      <c r="J644" t="s">
        <v>4031</v>
      </c>
      <c r="K644" t="s">
        <v>4038</v>
      </c>
      <c r="L644">
        <v>-1455.41</v>
      </c>
      <c r="N644">
        <f t="shared" si="30"/>
        <v>-1455.41</v>
      </c>
      <c r="O644" t="s">
        <v>4104</v>
      </c>
      <c r="P644" t="str">
        <f t="shared" si="31"/>
        <v xml:space="preserve"> </v>
      </c>
      <c r="Q644" t="str">
        <f t="shared" si="32"/>
        <v>Unfavorable</v>
      </c>
    </row>
    <row r="645" spans="1:17">
      <c r="A645" t="s">
        <v>655</v>
      </c>
      <c r="B645" s="2">
        <v>44956</v>
      </c>
      <c r="C645">
        <v>5000</v>
      </c>
      <c r="D645" t="s">
        <v>2013</v>
      </c>
      <c r="E645">
        <v>1057.3599999999999</v>
      </c>
      <c r="F645">
        <v>0</v>
      </c>
      <c r="G645" t="s">
        <v>2017</v>
      </c>
      <c r="H645" t="s">
        <v>2024</v>
      </c>
      <c r="I645" t="s">
        <v>2671</v>
      </c>
      <c r="J645" t="s">
        <v>4031</v>
      </c>
      <c r="K645" t="s">
        <v>4047</v>
      </c>
      <c r="L645">
        <v>-1057.3599999999999</v>
      </c>
      <c r="N645">
        <f t="shared" si="30"/>
        <v>-1057.3599999999999</v>
      </c>
      <c r="O645" t="s">
        <v>4104</v>
      </c>
      <c r="P645" t="str">
        <f t="shared" si="31"/>
        <v xml:space="preserve"> </v>
      </c>
      <c r="Q645" t="str">
        <f t="shared" si="32"/>
        <v>Unfavorable</v>
      </c>
    </row>
    <row r="646" spans="1:17">
      <c r="A646" t="s">
        <v>656</v>
      </c>
      <c r="B646" s="2">
        <v>45432</v>
      </c>
      <c r="C646">
        <v>4010</v>
      </c>
      <c r="D646" t="s">
        <v>2016</v>
      </c>
      <c r="E646">
        <v>0</v>
      </c>
      <c r="F646">
        <v>3358.16</v>
      </c>
      <c r="G646" t="s">
        <v>2018</v>
      </c>
      <c r="H646" t="s">
        <v>2027</v>
      </c>
      <c r="I646" t="s">
        <v>2672</v>
      </c>
      <c r="J646" t="s">
        <v>4029</v>
      </c>
      <c r="K646" t="s">
        <v>4033</v>
      </c>
      <c r="L646">
        <v>3358.16</v>
      </c>
      <c r="N646">
        <f t="shared" si="30"/>
        <v>3358.16</v>
      </c>
      <c r="O646" t="s">
        <v>4104</v>
      </c>
      <c r="P646" t="str">
        <f t="shared" si="31"/>
        <v xml:space="preserve"> </v>
      </c>
      <c r="Q646" t="str">
        <f t="shared" si="32"/>
        <v>Favorable</v>
      </c>
    </row>
    <row r="647" spans="1:17">
      <c r="A647" t="s">
        <v>657</v>
      </c>
      <c r="B647" s="2">
        <v>45055</v>
      </c>
      <c r="C647">
        <v>4010</v>
      </c>
      <c r="D647" t="s">
        <v>2016</v>
      </c>
      <c r="E647">
        <v>0</v>
      </c>
      <c r="F647">
        <v>1525.47</v>
      </c>
      <c r="G647" t="s">
        <v>2019</v>
      </c>
      <c r="H647" t="s">
        <v>2026</v>
      </c>
      <c r="I647" t="s">
        <v>2673</v>
      </c>
      <c r="J647" t="s">
        <v>4028</v>
      </c>
      <c r="K647" t="s">
        <v>4062</v>
      </c>
      <c r="L647">
        <v>1525.47</v>
      </c>
      <c r="N647">
        <f t="shared" si="30"/>
        <v>1525.47</v>
      </c>
      <c r="O647" t="s">
        <v>4104</v>
      </c>
      <c r="P647" t="str">
        <f t="shared" si="31"/>
        <v xml:space="preserve"> </v>
      </c>
      <c r="Q647" t="str">
        <f t="shared" si="32"/>
        <v>Favorable</v>
      </c>
    </row>
    <row r="648" spans="1:17">
      <c r="A648" t="s">
        <v>658</v>
      </c>
      <c r="B648" s="2">
        <v>44993</v>
      </c>
      <c r="C648">
        <v>5010</v>
      </c>
      <c r="D648" t="s">
        <v>2015</v>
      </c>
      <c r="E648">
        <v>707.2</v>
      </c>
      <c r="F648">
        <v>0</v>
      </c>
      <c r="G648" t="s">
        <v>2021</v>
      </c>
      <c r="H648" t="s">
        <v>2023</v>
      </c>
      <c r="I648" t="s">
        <v>2674</v>
      </c>
      <c r="J648" t="s">
        <v>4029</v>
      </c>
      <c r="K648" t="s">
        <v>4051</v>
      </c>
      <c r="L648">
        <v>-707.2</v>
      </c>
      <c r="N648">
        <f t="shared" si="30"/>
        <v>-707.2</v>
      </c>
      <c r="O648" t="s">
        <v>4104</v>
      </c>
      <c r="P648" t="str">
        <f t="shared" si="31"/>
        <v xml:space="preserve"> </v>
      </c>
      <c r="Q648" t="str">
        <f t="shared" si="32"/>
        <v>Unfavorable</v>
      </c>
    </row>
    <row r="649" spans="1:17">
      <c r="A649" t="s">
        <v>659</v>
      </c>
      <c r="B649" s="2">
        <v>45227</v>
      </c>
      <c r="C649">
        <v>6000</v>
      </c>
      <c r="D649" t="s">
        <v>2014</v>
      </c>
      <c r="E649">
        <v>1209.72</v>
      </c>
      <c r="F649">
        <v>0</v>
      </c>
      <c r="G649" t="s">
        <v>2019</v>
      </c>
      <c r="H649" t="s">
        <v>2025</v>
      </c>
      <c r="I649" t="s">
        <v>2675</v>
      </c>
      <c r="J649" t="s">
        <v>4030</v>
      </c>
      <c r="K649" t="s">
        <v>4060</v>
      </c>
      <c r="L649">
        <v>-1209.72</v>
      </c>
      <c r="N649">
        <f t="shared" si="30"/>
        <v>-1209.72</v>
      </c>
      <c r="O649" t="s">
        <v>4104</v>
      </c>
      <c r="P649" t="str">
        <f t="shared" si="31"/>
        <v xml:space="preserve"> </v>
      </c>
      <c r="Q649" t="str">
        <f t="shared" si="32"/>
        <v>Unfavorable</v>
      </c>
    </row>
    <row r="650" spans="1:17">
      <c r="A650" t="s">
        <v>660</v>
      </c>
      <c r="B650" s="2">
        <v>45441</v>
      </c>
      <c r="C650">
        <v>5000</v>
      </c>
      <c r="D650" t="s">
        <v>2013</v>
      </c>
      <c r="E650">
        <v>1696.57</v>
      </c>
      <c r="F650">
        <v>0</v>
      </c>
      <c r="G650" t="s">
        <v>2017</v>
      </c>
      <c r="H650" t="s">
        <v>2025</v>
      </c>
      <c r="I650" t="s">
        <v>2676</v>
      </c>
      <c r="J650" t="s">
        <v>4028</v>
      </c>
      <c r="K650" t="s">
        <v>4033</v>
      </c>
      <c r="L650">
        <v>-1696.57</v>
      </c>
      <c r="N650">
        <f t="shared" si="30"/>
        <v>-1696.57</v>
      </c>
      <c r="O650" t="s">
        <v>4104</v>
      </c>
      <c r="P650" t="str">
        <f t="shared" si="31"/>
        <v xml:space="preserve"> </v>
      </c>
      <c r="Q650" t="str">
        <f t="shared" si="32"/>
        <v>Unfavorable</v>
      </c>
    </row>
    <row r="651" spans="1:17">
      <c r="A651" t="s">
        <v>661</v>
      </c>
      <c r="B651" s="2">
        <v>45341</v>
      </c>
      <c r="C651">
        <v>4000</v>
      </c>
      <c r="D651" t="s">
        <v>2012</v>
      </c>
      <c r="E651">
        <v>0</v>
      </c>
      <c r="F651">
        <v>2657.38</v>
      </c>
      <c r="G651" t="s">
        <v>2022</v>
      </c>
      <c r="H651" t="s">
        <v>2024</v>
      </c>
      <c r="I651" t="s">
        <v>2677</v>
      </c>
      <c r="J651" t="s">
        <v>4028</v>
      </c>
      <c r="K651" t="s">
        <v>4044</v>
      </c>
      <c r="L651">
        <v>2657.38</v>
      </c>
      <c r="N651">
        <f t="shared" si="30"/>
        <v>2657.38</v>
      </c>
      <c r="O651" t="s">
        <v>4104</v>
      </c>
      <c r="P651" t="str">
        <f t="shared" si="31"/>
        <v xml:space="preserve"> </v>
      </c>
      <c r="Q651" t="str">
        <f t="shared" si="32"/>
        <v>Favorable</v>
      </c>
    </row>
    <row r="652" spans="1:17">
      <c r="A652" t="s">
        <v>662</v>
      </c>
      <c r="B652" s="2">
        <v>45742</v>
      </c>
      <c r="C652">
        <v>4000</v>
      </c>
      <c r="D652" t="s">
        <v>2012</v>
      </c>
      <c r="E652">
        <v>0</v>
      </c>
      <c r="F652">
        <v>4294.0600000000004</v>
      </c>
      <c r="G652" t="s">
        <v>2018</v>
      </c>
      <c r="H652" t="s">
        <v>2026</v>
      </c>
      <c r="I652" t="s">
        <v>2678</v>
      </c>
      <c r="J652" t="s">
        <v>4031</v>
      </c>
      <c r="K652" t="s">
        <v>4046</v>
      </c>
      <c r="L652">
        <v>4294.0600000000004</v>
      </c>
      <c r="N652">
        <f t="shared" si="30"/>
        <v>4294.0600000000004</v>
      </c>
      <c r="O652" t="s">
        <v>4104</v>
      </c>
      <c r="P652" t="str">
        <f t="shared" si="31"/>
        <v xml:space="preserve"> </v>
      </c>
      <c r="Q652" t="str">
        <f t="shared" si="32"/>
        <v>Favorable</v>
      </c>
    </row>
    <row r="653" spans="1:17">
      <c r="A653" t="s">
        <v>663</v>
      </c>
      <c r="B653" s="2">
        <v>45253</v>
      </c>
      <c r="C653">
        <v>4000</v>
      </c>
      <c r="D653" t="s">
        <v>2012</v>
      </c>
      <c r="E653">
        <v>0</v>
      </c>
      <c r="F653">
        <v>451.28</v>
      </c>
      <c r="G653" t="s">
        <v>2021</v>
      </c>
      <c r="H653" t="s">
        <v>2024</v>
      </c>
      <c r="I653" t="s">
        <v>2679</v>
      </c>
      <c r="J653" t="s">
        <v>4031</v>
      </c>
      <c r="K653" t="s">
        <v>4042</v>
      </c>
      <c r="L653">
        <v>451.28</v>
      </c>
      <c r="N653">
        <f t="shared" si="30"/>
        <v>451.28</v>
      </c>
      <c r="O653" t="s">
        <v>4104</v>
      </c>
      <c r="P653" t="str">
        <f t="shared" si="31"/>
        <v xml:space="preserve"> </v>
      </c>
      <c r="Q653" t="str">
        <f t="shared" si="32"/>
        <v>Favorable</v>
      </c>
    </row>
    <row r="654" spans="1:17">
      <c r="A654" t="s">
        <v>664</v>
      </c>
      <c r="B654" s="2">
        <v>45527</v>
      </c>
      <c r="C654">
        <v>5010</v>
      </c>
      <c r="D654" t="s">
        <v>2015</v>
      </c>
      <c r="E654">
        <v>1730.45</v>
      </c>
      <c r="F654">
        <v>0</v>
      </c>
      <c r="G654" t="s">
        <v>2018</v>
      </c>
      <c r="H654" t="s">
        <v>2026</v>
      </c>
      <c r="I654" t="s">
        <v>2680</v>
      </c>
      <c r="J654" t="s">
        <v>4031</v>
      </c>
      <c r="K654" t="s">
        <v>4058</v>
      </c>
      <c r="L654">
        <v>-1730.45</v>
      </c>
      <c r="N654">
        <f t="shared" si="30"/>
        <v>-1730.45</v>
      </c>
      <c r="O654" t="s">
        <v>4104</v>
      </c>
      <c r="P654" t="str">
        <f t="shared" si="31"/>
        <v xml:space="preserve"> </v>
      </c>
      <c r="Q654" t="str">
        <f t="shared" si="32"/>
        <v>Unfavorable</v>
      </c>
    </row>
    <row r="655" spans="1:17">
      <c r="A655" t="s">
        <v>665</v>
      </c>
      <c r="B655" s="2">
        <v>44927</v>
      </c>
      <c r="C655">
        <v>4000</v>
      </c>
      <c r="D655" t="s">
        <v>2012</v>
      </c>
      <c r="E655">
        <v>0</v>
      </c>
      <c r="F655">
        <v>4570.1099999999997</v>
      </c>
      <c r="G655" t="s">
        <v>2021</v>
      </c>
      <c r="H655" t="s">
        <v>2027</v>
      </c>
      <c r="I655" t="s">
        <v>2681</v>
      </c>
      <c r="J655" t="s">
        <v>4031</v>
      </c>
      <c r="K655" t="s">
        <v>4047</v>
      </c>
      <c r="L655">
        <v>4570.1099999999997</v>
      </c>
      <c r="N655">
        <f t="shared" si="30"/>
        <v>4570.1099999999997</v>
      </c>
      <c r="O655" t="s">
        <v>4104</v>
      </c>
      <c r="P655" t="str">
        <f t="shared" si="31"/>
        <v xml:space="preserve"> </v>
      </c>
      <c r="Q655" t="str">
        <f t="shared" si="32"/>
        <v>Favorable</v>
      </c>
    </row>
    <row r="656" spans="1:17">
      <c r="A656" t="s">
        <v>666</v>
      </c>
      <c r="B656" s="2">
        <v>45638</v>
      </c>
      <c r="C656">
        <v>5010</v>
      </c>
      <c r="D656" t="s">
        <v>2015</v>
      </c>
      <c r="E656">
        <v>1200.67</v>
      </c>
      <c r="F656">
        <v>0</v>
      </c>
      <c r="G656" t="s">
        <v>2022</v>
      </c>
      <c r="H656" t="s">
        <v>2023</v>
      </c>
      <c r="I656" t="s">
        <v>2682</v>
      </c>
      <c r="J656" t="s">
        <v>4032</v>
      </c>
      <c r="K656" t="s">
        <v>4056</v>
      </c>
      <c r="L656">
        <v>-1200.67</v>
      </c>
      <c r="N656">
        <f t="shared" si="30"/>
        <v>-1200.67</v>
      </c>
      <c r="O656" t="s">
        <v>4104</v>
      </c>
      <c r="P656" t="str">
        <f t="shared" si="31"/>
        <v xml:space="preserve"> </v>
      </c>
      <c r="Q656" t="str">
        <f t="shared" si="32"/>
        <v>Unfavorable</v>
      </c>
    </row>
    <row r="657" spans="1:17">
      <c r="A657" t="s">
        <v>667</v>
      </c>
      <c r="B657" s="2">
        <v>45388</v>
      </c>
      <c r="C657">
        <v>5000</v>
      </c>
      <c r="D657" t="s">
        <v>2013</v>
      </c>
      <c r="E657">
        <v>1429.26</v>
      </c>
      <c r="F657">
        <v>0</v>
      </c>
      <c r="G657" t="s">
        <v>2022</v>
      </c>
      <c r="H657" t="s">
        <v>2026</v>
      </c>
      <c r="I657" t="s">
        <v>2683</v>
      </c>
      <c r="J657" t="s">
        <v>4029</v>
      </c>
      <c r="K657" t="s">
        <v>4040</v>
      </c>
      <c r="L657">
        <v>-1429.26</v>
      </c>
      <c r="N657">
        <f t="shared" si="30"/>
        <v>-1429.26</v>
      </c>
      <c r="O657" t="s">
        <v>4104</v>
      </c>
      <c r="P657" t="str">
        <f t="shared" si="31"/>
        <v xml:space="preserve"> </v>
      </c>
      <c r="Q657" t="str">
        <f t="shared" si="32"/>
        <v>Unfavorable</v>
      </c>
    </row>
    <row r="658" spans="1:17">
      <c r="A658" t="s">
        <v>668</v>
      </c>
      <c r="B658" s="2">
        <v>45143</v>
      </c>
      <c r="C658">
        <v>5010</v>
      </c>
      <c r="D658" t="s">
        <v>2015</v>
      </c>
      <c r="E658">
        <v>1489.09</v>
      </c>
      <c r="F658">
        <v>0</v>
      </c>
      <c r="G658" t="s">
        <v>2017</v>
      </c>
      <c r="H658" t="s">
        <v>2025</v>
      </c>
      <c r="I658" t="s">
        <v>2684</v>
      </c>
      <c r="J658" t="s">
        <v>4029</v>
      </c>
      <c r="K658" t="s">
        <v>4037</v>
      </c>
      <c r="L658">
        <v>-1489.09</v>
      </c>
      <c r="N658">
        <f t="shared" si="30"/>
        <v>-1489.09</v>
      </c>
      <c r="O658" t="s">
        <v>4104</v>
      </c>
      <c r="P658" t="str">
        <f t="shared" si="31"/>
        <v xml:space="preserve"> </v>
      </c>
      <c r="Q658" t="str">
        <f t="shared" si="32"/>
        <v>Unfavorable</v>
      </c>
    </row>
    <row r="659" spans="1:17">
      <c r="A659" t="s">
        <v>669</v>
      </c>
      <c r="B659" s="2">
        <v>45438</v>
      </c>
      <c r="C659">
        <v>4000</v>
      </c>
      <c r="D659" t="s">
        <v>2012</v>
      </c>
      <c r="E659">
        <v>0</v>
      </c>
      <c r="F659">
        <v>1528.95</v>
      </c>
      <c r="G659" t="s">
        <v>2020</v>
      </c>
      <c r="H659" t="s">
        <v>2027</v>
      </c>
      <c r="I659" t="s">
        <v>2685</v>
      </c>
      <c r="J659" t="s">
        <v>4032</v>
      </c>
      <c r="K659" t="s">
        <v>4033</v>
      </c>
      <c r="L659">
        <v>1528.95</v>
      </c>
      <c r="N659">
        <f t="shared" si="30"/>
        <v>1528.95</v>
      </c>
      <c r="O659" t="s">
        <v>4104</v>
      </c>
      <c r="P659" t="str">
        <f t="shared" si="31"/>
        <v xml:space="preserve"> </v>
      </c>
      <c r="Q659" t="str">
        <f t="shared" si="32"/>
        <v>Favorable</v>
      </c>
    </row>
    <row r="660" spans="1:17">
      <c r="A660" t="s">
        <v>670</v>
      </c>
      <c r="B660" s="2">
        <v>45620</v>
      </c>
      <c r="C660">
        <v>4010</v>
      </c>
      <c r="D660" t="s">
        <v>2016</v>
      </c>
      <c r="E660">
        <v>0</v>
      </c>
      <c r="F660">
        <v>4139.3100000000004</v>
      </c>
      <c r="G660" t="s">
        <v>2018</v>
      </c>
      <c r="H660" t="s">
        <v>2024</v>
      </c>
      <c r="I660" t="s">
        <v>2686</v>
      </c>
      <c r="J660" t="s">
        <v>4032</v>
      </c>
      <c r="K660" t="s">
        <v>4043</v>
      </c>
      <c r="L660">
        <v>4139.3100000000004</v>
      </c>
      <c r="N660">
        <f t="shared" si="30"/>
        <v>4139.3100000000004</v>
      </c>
      <c r="O660" t="s">
        <v>4104</v>
      </c>
      <c r="P660" t="str">
        <f t="shared" si="31"/>
        <v xml:space="preserve"> </v>
      </c>
      <c r="Q660" t="str">
        <f t="shared" si="32"/>
        <v>Favorable</v>
      </c>
    </row>
    <row r="661" spans="1:17">
      <c r="A661" t="s">
        <v>671</v>
      </c>
      <c r="B661" s="2">
        <v>45463</v>
      </c>
      <c r="C661">
        <v>6000</v>
      </c>
      <c r="D661" t="s">
        <v>2014</v>
      </c>
      <c r="E661">
        <v>1781.01</v>
      </c>
      <c r="F661">
        <v>0</v>
      </c>
      <c r="G661" t="s">
        <v>2017</v>
      </c>
      <c r="H661" t="s">
        <v>2027</v>
      </c>
      <c r="I661" t="s">
        <v>2687</v>
      </c>
      <c r="J661" t="s">
        <v>4032</v>
      </c>
      <c r="K661" t="s">
        <v>4034</v>
      </c>
      <c r="L661">
        <v>-1781.01</v>
      </c>
      <c r="N661">
        <f t="shared" si="30"/>
        <v>-1781.01</v>
      </c>
      <c r="O661" t="s">
        <v>4104</v>
      </c>
      <c r="P661" t="str">
        <f t="shared" si="31"/>
        <v xml:space="preserve"> </v>
      </c>
      <c r="Q661" t="str">
        <f t="shared" si="32"/>
        <v>Unfavorable</v>
      </c>
    </row>
    <row r="662" spans="1:17">
      <c r="A662" t="s">
        <v>672</v>
      </c>
      <c r="B662" s="2">
        <v>45188</v>
      </c>
      <c r="C662">
        <v>5000</v>
      </c>
      <c r="D662" t="s">
        <v>2013</v>
      </c>
      <c r="E662">
        <v>1659.6</v>
      </c>
      <c r="F662">
        <v>0</v>
      </c>
      <c r="G662" t="s">
        <v>2018</v>
      </c>
      <c r="H662" t="s">
        <v>2026</v>
      </c>
      <c r="I662" t="s">
        <v>2688</v>
      </c>
      <c r="J662" t="s">
        <v>4028</v>
      </c>
      <c r="K662" t="s">
        <v>4036</v>
      </c>
      <c r="L662">
        <v>-1659.6</v>
      </c>
      <c r="N662">
        <f t="shared" si="30"/>
        <v>-1659.6</v>
      </c>
      <c r="O662" t="s">
        <v>4104</v>
      </c>
      <c r="P662" t="str">
        <f t="shared" si="31"/>
        <v xml:space="preserve"> </v>
      </c>
      <c r="Q662" t="str">
        <f t="shared" si="32"/>
        <v>Unfavorable</v>
      </c>
    </row>
    <row r="663" spans="1:17">
      <c r="A663" t="s">
        <v>673</v>
      </c>
      <c r="B663" s="2">
        <v>45777</v>
      </c>
      <c r="C663">
        <v>6000</v>
      </c>
      <c r="D663" t="s">
        <v>2014</v>
      </c>
      <c r="E663">
        <v>1220.3</v>
      </c>
      <c r="F663">
        <v>0</v>
      </c>
      <c r="G663" t="s">
        <v>2019</v>
      </c>
      <c r="H663" t="s">
        <v>2024</v>
      </c>
      <c r="I663" t="s">
        <v>2689</v>
      </c>
      <c r="J663" t="s">
        <v>4031</v>
      </c>
      <c r="K663" t="s">
        <v>4045</v>
      </c>
      <c r="L663">
        <v>-1220.3</v>
      </c>
      <c r="N663">
        <f t="shared" si="30"/>
        <v>-1220.3</v>
      </c>
      <c r="O663" t="s">
        <v>4104</v>
      </c>
      <c r="P663" t="str">
        <f t="shared" si="31"/>
        <v xml:space="preserve"> </v>
      </c>
      <c r="Q663" t="str">
        <f t="shared" si="32"/>
        <v>Unfavorable</v>
      </c>
    </row>
    <row r="664" spans="1:17">
      <c r="A664" t="s">
        <v>674</v>
      </c>
      <c r="B664" s="2">
        <v>45569</v>
      </c>
      <c r="C664">
        <v>5000</v>
      </c>
      <c r="D664" t="s">
        <v>2013</v>
      </c>
      <c r="E664">
        <v>1327.71</v>
      </c>
      <c r="F664">
        <v>0</v>
      </c>
      <c r="G664" t="s">
        <v>2020</v>
      </c>
      <c r="H664" t="s">
        <v>2026</v>
      </c>
      <c r="I664" t="s">
        <v>2690</v>
      </c>
      <c r="J664" t="s">
        <v>4029</v>
      </c>
      <c r="K664" t="s">
        <v>4059</v>
      </c>
      <c r="L664">
        <v>-1327.71</v>
      </c>
      <c r="N664">
        <f t="shared" si="30"/>
        <v>-1327.71</v>
      </c>
      <c r="O664" t="s">
        <v>4104</v>
      </c>
      <c r="P664" t="str">
        <f t="shared" si="31"/>
        <v xml:space="preserve"> </v>
      </c>
      <c r="Q664" t="str">
        <f t="shared" si="32"/>
        <v>Unfavorable</v>
      </c>
    </row>
    <row r="665" spans="1:17">
      <c r="A665" t="s">
        <v>675</v>
      </c>
      <c r="B665" s="2">
        <v>45631</v>
      </c>
      <c r="C665">
        <v>5000</v>
      </c>
      <c r="D665" t="s">
        <v>2013</v>
      </c>
      <c r="E665">
        <v>1760.57</v>
      </c>
      <c r="F665">
        <v>0</v>
      </c>
      <c r="G665" t="s">
        <v>2020</v>
      </c>
      <c r="H665" t="s">
        <v>2024</v>
      </c>
      <c r="I665" t="s">
        <v>2691</v>
      </c>
      <c r="J665" t="s">
        <v>4028</v>
      </c>
      <c r="K665" t="s">
        <v>4056</v>
      </c>
      <c r="L665">
        <v>-1760.57</v>
      </c>
      <c r="N665">
        <f t="shared" si="30"/>
        <v>-1760.57</v>
      </c>
      <c r="O665" t="s">
        <v>4104</v>
      </c>
      <c r="P665" t="str">
        <f t="shared" si="31"/>
        <v xml:space="preserve"> </v>
      </c>
      <c r="Q665" t="str">
        <f t="shared" si="32"/>
        <v>Unfavorable</v>
      </c>
    </row>
    <row r="666" spans="1:17">
      <c r="A666" t="s">
        <v>676</v>
      </c>
      <c r="B666" s="2">
        <v>45367</v>
      </c>
      <c r="C666">
        <v>6000</v>
      </c>
      <c r="D666" t="s">
        <v>2014</v>
      </c>
      <c r="E666">
        <v>832.19</v>
      </c>
      <c r="F666">
        <v>0</v>
      </c>
      <c r="G666" t="s">
        <v>2019</v>
      </c>
      <c r="H666" t="s">
        <v>2023</v>
      </c>
      <c r="I666" t="s">
        <v>2692</v>
      </c>
      <c r="J666" t="s">
        <v>4030</v>
      </c>
      <c r="K666" t="s">
        <v>4049</v>
      </c>
      <c r="L666">
        <v>-832.19</v>
      </c>
      <c r="N666">
        <f t="shared" si="30"/>
        <v>-832.19</v>
      </c>
      <c r="O666" t="s">
        <v>4104</v>
      </c>
      <c r="P666" t="str">
        <f t="shared" si="31"/>
        <v xml:space="preserve"> </v>
      </c>
      <c r="Q666" t="str">
        <f t="shared" si="32"/>
        <v>Unfavorable</v>
      </c>
    </row>
    <row r="667" spans="1:17">
      <c r="A667" t="s">
        <v>677</v>
      </c>
      <c r="B667" s="2">
        <v>44951</v>
      </c>
      <c r="C667">
        <v>5000</v>
      </c>
      <c r="D667" t="s">
        <v>2013</v>
      </c>
      <c r="E667">
        <v>243.79</v>
      </c>
      <c r="F667">
        <v>0</v>
      </c>
      <c r="G667" t="s">
        <v>2018</v>
      </c>
      <c r="H667" t="s">
        <v>2025</v>
      </c>
      <c r="I667" t="s">
        <v>2693</v>
      </c>
      <c r="J667" t="s">
        <v>4032</v>
      </c>
      <c r="K667" t="s">
        <v>4047</v>
      </c>
      <c r="L667">
        <v>-243.79</v>
      </c>
      <c r="N667">
        <f t="shared" si="30"/>
        <v>-243.79</v>
      </c>
      <c r="O667" t="s">
        <v>4104</v>
      </c>
      <c r="P667" t="str">
        <f t="shared" si="31"/>
        <v xml:space="preserve"> </v>
      </c>
      <c r="Q667" t="str">
        <f t="shared" si="32"/>
        <v>Unfavorable</v>
      </c>
    </row>
    <row r="668" spans="1:17">
      <c r="A668" t="s">
        <v>678</v>
      </c>
      <c r="B668" s="2">
        <v>45770</v>
      </c>
      <c r="C668">
        <v>5010</v>
      </c>
      <c r="D668" t="s">
        <v>2015</v>
      </c>
      <c r="E668">
        <v>560.62</v>
      </c>
      <c r="F668">
        <v>0</v>
      </c>
      <c r="G668" t="s">
        <v>2017</v>
      </c>
      <c r="H668" t="s">
        <v>2024</v>
      </c>
      <c r="I668" t="s">
        <v>2694</v>
      </c>
      <c r="J668" t="s">
        <v>4030</v>
      </c>
      <c r="K668" t="s">
        <v>4045</v>
      </c>
      <c r="L668">
        <v>-560.62</v>
      </c>
      <c r="N668">
        <f t="shared" si="30"/>
        <v>-560.62</v>
      </c>
      <c r="O668" t="s">
        <v>4104</v>
      </c>
      <c r="P668" t="str">
        <f t="shared" si="31"/>
        <v xml:space="preserve"> </v>
      </c>
      <c r="Q668" t="str">
        <f t="shared" si="32"/>
        <v>Unfavorable</v>
      </c>
    </row>
    <row r="669" spans="1:17">
      <c r="A669" t="s">
        <v>679</v>
      </c>
      <c r="B669" s="2">
        <v>45224</v>
      </c>
      <c r="C669">
        <v>4010</v>
      </c>
      <c r="D669" t="s">
        <v>2016</v>
      </c>
      <c r="E669">
        <v>0</v>
      </c>
      <c r="F669">
        <v>4106.57</v>
      </c>
      <c r="G669" t="s">
        <v>2020</v>
      </c>
      <c r="H669" t="s">
        <v>2023</v>
      </c>
      <c r="I669" t="s">
        <v>2695</v>
      </c>
      <c r="J669" t="s">
        <v>4028</v>
      </c>
      <c r="K669" t="s">
        <v>4060</v>
      </c>
      <c r="L669">
        <v>4106.57</v>
      </c>
      <c r="N669">
        <f t="shared" si="30"/>
        <v>4106.57</v>
      </c>
      <c r="O669" t="s">
        <v>4104</v>
      </c>
      <c r="P669" t="str">
        <f t="shared" si="31"/>
        <v xml:space="preserve"> </v>
      </c>
      <c r="Q669" t="str">
        <f t="shared" si="32"/>
        <v>Favorable</v>
      </c>
    </row>
    <row r="670" spans="1:17">
      <c r="A670" t="s">
        <v>680</v>
      </c>
      <c r="B670" s="2">
        <v>45724</v>
      </c>
      <c r="C670">
        <v>5010</v>
      </c>
      <c r="D670" t="s">
        <v>2015</v>
      </c>
      <c r="E670">
        <v>873.19</v>
      </c>
      <c r="F670">
        <v>0</v>
      </c>
      <c r="G670" t="s">
        <v>2019</v>
      </c>
      <c r="H670" t="s">
        <v>2024</v>
      </c>
      <c r="I670" t="s">
        <v>2696</v>
      </c>
      <c r="J670" t="s">
        <v>4028</v>
      </c>
      <c r="K670" t="s">
        <v>4046</v>
      </c>
      <c r="L670">
        <v>-873.19</v>
      </c>
      <c r="N670">
        <f t="shared" si="30"/>
        <v>-873.19</v>
      </c>
      <c r="O670" t="s">
        <v>4104</v>
      </c>
      <c r="P670" t="str">
        <f t="shared" si="31"/>
        <v xml:space="preserve"> </v>
      </c>
      <c r="Q670" t="str">
        <f t="shared" si="32"/>
        <v>Unfavorable</v>
      </c>
    </row>
    <row r="671" spans="1:17">
      <c r="A671" t="s">
        <v>681</v>
      </c>
      <c r="B671" s="2">
        <v>45223</v>
      </c>
      <c r="C671">
        <v>4010</v>
      </c>
      <c r="D671" t="s">
        <v>2016</v>
      </c>
      <c r="E671">
        <v>0</v>
      </c>
      <c r="F671">
        <v>541.23</v>
      </c>
      <c r="G671" t="s">
        <v>2020</v>
      </c>
      <c r="H671" t="s">
        <v>2025</v>
      </c>
      <c r="I671" t="s">
        <v>2697</v>
      </c>
      <c r="J671" t="s">
        <v>4032</v>
      </c>
      <c r="K671" t="s">
        <v>4060</v>
      </c>
      <c r="L671">
        <v>541.23</v>
      </c>
      <c r="N671">
        <f t="shared" si="30"/>
        <v>541.23</v>
      </c>
      <c r="O671" t="s">
        <v>4104</v>
      </c>
      <c r="P671" t="str">
        <f t="shared" si="31"/>
        <v xml:space="preserve"> </v>
      </c>
      <c r="Q671" t="str">
        <f t="shared" si="32"/>
        <v>Favorable</v>
      </c>
    </row>
    <row r="672" spans="1:17">
      <c r="A672" t="s">
        <v>682</v>
      </c>
      <c r="B672" s="2">
        <v>45402</v>
      </c>
      <c r="C672">
        <v>5000</v>
      </c>
      <c r="D672" t="s">
        <v>2013</v>
      </c>
      <c r="E672">
        <v>793.98</v>
      </c>
      <c r="F672">
        <v>0</v>
      </c>
      <c r="G672" t="s">
        <v>2019</v>
      </c>
      <c r="H672" t="s">
        <v>2026</v>
      </c>
      <c r="I672" t="s">
        <v>2698</v>
      </c>
      <c r="J672" t="s">
        <v>4029</v>
      </c>
      <c r="K672" t="s">
        <v>4040</v>
      </c>
      <c r="L672">
        <v>-793.98</v>
      </c>
      <c r="N672">
        <f t="shared" si="30"/>
        <v>-793.98</v>
      </c>
      <c r="O672" t="s">
        <v>4104</v>
      </c>
      <c r="P672" t="str">
        <f t="shared" si="31"/>
        <v xml:space="preserve"> </v>
      </c>
      <c r="Q672" t="str">
        <f t="shared" si="32"/>
        <v>Unfavorable</v>
      </c>
    </row>
    <row r="673" spans="1:17">
      <c r="A673" t="s">
        <v>683</v>
      </c>
      <c r="B673" s="2">
        <v>45099</v>
      </c>
      <c r="C673">
        <v>5010</v>
      </c>
      <c r="D673" t="s">
        <v>2015</v>
      </c>
      <c r="E673">
        <v>644.58000000000004</v>
      </c>
      <c r="F673">
        <v>0</v>
      </c>
      <c r="G673" t="s">
        <v>2022</v>
      </c>
      <c r="H673" t="s">
        <v>2025</v>
      </c>
      <c r="I673" t="s">
        <v>2699</v>
      </c>
      <c r="J673" t="s">
        <v>4031</v>
      </c>
      <c r="K673" t="s">
        <v>4055</v>
      </c>
      <c r="L673">
        <v>-644.58000000000004</v>
      </c>
      <c r="N673">
        <f t="shared" si="30"/>
        <v>-644.58000000000004</v>
      </c>
      <c r="O673" t="s">
        <v>4104</v>
      </c>
      <c r="P673" t="str">
        <f t="shared" si="31"/>
        <v xml:space="preserve"> </v>
      </c>
      <c r="Q673" t="str">
        <f t="shared" si="32"/>
        <v>Unfavorable</v>
      </c>
    </row>
    <row r="674" spans="1:17">
      <c r="A674" t="s">
        <v>684</v>
      </c>
      <c r="B674" s="2">
        <v>44969</v>
      </c>
      <c r="C674">
        <v>5010</v>
      </c>
      <c r="D674" t="s">
        <v>2015</v>
      </c>
      <c r="E674">
        <v>222.19</v>
      </c>
      <c r="F674">
        <v>0</v>
      </c>
      <c r="G674" t="s">
        <v>2020</v>
      </c>
      <c r="H674" t="s">
        <v>2026</v>
      </c>
      <c r="I674" t="s">
        <v>2700</v>
      </c>
      <c r="J674" t="s">
        <v>4028</v>
      </c>
      <c r="K674" t="s">
        <v>4057</v>
      </c>
      <c r="L674">
        <v>-222.19</v>
      </c>
      <c r="N674">
        <f t="shared" si="30"/>
        <v>-222.19</v>
      </c>
      <c r="O674" t="s">
        <v>4104</v>
      </c>
      <c r="P674" t="str">
        <f t="shared" si="31"/>
        <v xml:space="preserve"> </v>
      </c>
      <c r="Q674" t="str">
        <f t="shared" si="32"/>
        <v>Unfavorable</v>
      </c>
    </row>
    <row r="675" spans="1:17">
      <c r="A675" t="s">
        <v>685</v>
      </c>
      <c r="B675" s="2">
        <v>45381</v>
      </c>
      <c r="C675">
        <v>6000</v>
      </c>
      <c r="D675" t="s">
        <v>2014</v>
      </c>
      <c r="E675">
        <v>296.98</v>
      </c>
      <c r="F675">
        <v>0</v>
      </c>
      <c r="G675" t="s">
        <v>2022</v>
      </c>
      <c r="H675" t="s">
        <v>2027</v>
      </c>
      <c r="I675" t="s">
        <v>2701</v>
      </c>
      <c r="J675" t="s">
        <v>4030</v>
      </c>
      <c r="K675" t="s">
        <v>4049</v>
      </c>
      <c r="L675">
        <v>-296.98</v>
      </c>
      <c r="N675">
        <f t="shared" si="30"/>
        <v>-296.98</v>
      </c>
      <c r="O675" t="s">
        <v>4104</v>
      </c>
      <c r="P675" t="str">
        <f t="shared" si="31"/>
        <v xml:space="preserve"> </v>
      </c>
      <c r="Q675" t="str">
        <f t="shared" si="32"/>
        <v>Unfavorable</v>
      </c>
    </row>
    <row r="676" spans="1:17">
      <c r="A676" t="s">
        <v>686</v>
      </c>
      <c r="B676" s="2">
        <v>45408</v>
      </c>
      <c r="C676">
        <v>5010</v>
      </c>
      <c r="D676" t="s">
        <v>2015</v>
      </c>
      <c r="E676">
        <v>1919.89</v>
      </c>
      <c r="F676">
        <v>0</v>
      </c>
      <c r="G676" t="s">
        <v>2017</v>
      </c>
      <c r="H676" t="s">
        <v>2026</v>
      </c>
      <c r="I676" t="s">
        <v>2702</v>
      </c>
      <c r="J676" t="s">
        <v>4032</v>
      </c>
      <c r="K676" t="s">
        <v>4040</v>
      </c>
      <c r="L676">
        <v>-1919.89</v>
      </c>
      <c r="N676">
        <f t="shared" si="30"/>
        <v>-1919.89</v>
      </c>
      <c r="O676" t="s">
        <v>4104</v>
      </c>
      <c r="P676" t="str">
        <f t="shared" si="31"/>
        <v xml:space="preserve"> </v>
      </c>
      <c r="Q676" t="str">
        <f t="shared" si="32"/>
        <v>Unfavorable</v>
      </c>
    </row>
    <row r="677" spans="1:17">
      <c r="A677" t="s">
        <v>687</v>
      </c>
      <c r="B677" s="2">
        <v>45467</v>
      </c>
      <c r="C677">
        <v>4010</v>
      </c>
      <c r="D677" t="s">
        <v>2016</v>
      </c>
      <c r="E677">
        <v>0</v>
      </c>
      <c r="F677">
        <v>3948.96</v>
      </c>
      <c r="G677" t="s">
        <v>2020</v>
      </c>
      <c r="H677" t="s">
        <v>2026</v>
      </c>
      <c r="I677" t="s">
        <v>2703</v>
      </c>
      <c r="J677" t="s">
        <v>4029</v>
      </c>
      <c r="K677" t="s">
        <v>4034</v>
      </c>
      <c r="L677">
        <v>3948.96</v>
      </c>
      <c r="N677">
        <f t="shared" si="30"/>
        <v>3948.96</v>
      </c>
      <c r="O677" t="s">
        <v>4104</v>
      </c>
      <c r="P677" t="str">
        <f t="shared" si="31"/>
        <v xml:space="preserve"> </v>
      </c>
      <c r="Q677" t="str">
        <f t="shared" si="32"/>
        <v>Favorable</v>
      </c>
    </row>
    <row r="678" spans="1:17">
      <c r="A678" t="s">
        <v>688</v>
      </c>
      <c r="B678" s="2">
        <v>45165</v>
      </c>
      <c r="C678">
        <v>4000</v>
      </c>
      <c r="D678" t="s">
        <v>2012</v>
      </c>
      <c r="E678">
        <v>0</v>
      </c>
      <c r="F678">
        <v>1952.91</v>
      </c>
      <c r="G678" t="s">
        <v>2021</v>
      </c>
      <c r="H678" t="s">
        <v>2023</v>
      </c>
      <c r="I678" t="s">
        <v>2704</v>
      </c>
      <c r="J678" t="s">
        <v>4029</v>
      </c>
      <c r="K678" t="s">
        <v>4037</v>
      </c>
      <c r="L678">
        <v>1952.91</v>
      </c>
      <c r="N678">
        <f t="shared" si="30"/>
        <v>1952.91</v>
      </c>
      <c r="O678" t="s">
        <v>4104</v>
      </c>
      <c r="P678" t="str">
        <f t="shared" si="31"/>
        <v xml:space="preserve"> </v>
      </c>
      <c r="Q678" t="str">
        <f t="shared" si="32"/>
        <v>Favorable</v>
      </c>
    </row>
    <row r="679" spans="1:17">
      <c r="A679" t="s">
        <v>689</v>
      </c>
      <c r="B679" s="2">
        <v>45278</v>
      </c>
      <c r="C679">
        <v>4000</v>
      </c>
      <c r="D679" t="s">
        <v>2012</v>
      </c>
      <c r="E679">
        <v>0</v>
      </c>
      <c r="F679">
        <v>4819.25</v>
      </c>
      <c r="G679" t="s">
        <v>2022</v>
      </c>
      <c r="H679" t="s">
        <v>2023</v>
      </c>
      <c r="I679" t="s">
        <v>2705</v>
      </c>
      <c r="J679" t="s">
        <v>4031</v>
      </c>
      <c r="K679" t="s">
        <v>4039</v>
      </c>
      <c r="L679">
        <v>4819.25</v>
      </c>
      <c r="N679">
        <f t="shared" si="30"/>
        <v>4819.25</v>
      </c>
      <c r="O679" t="s">
        <v>4104</v>
      </c>
      <c r="P679" t="str">
        <f t="shared" si="31"/>
        <v xml:space="preserve"> </v>
      </c>
      <c r="Q679" t="str">
        <f t="shared" si="32"/>
        <v>Favorable</v>
      </c>
    </row>
    <row r="680" spans="1:17">
      <c r="A680" t="s">
        <v>690</v>
      </c>
      <c r="B680" s="2">
        <v>45061</v>
      </c>
      <c r="C680">
        <v>6000</v>
      </c>
      <c r="D680" t="s">
        <v>2014</v>
      </c>
      <c r="E680">
        <v>385.69</v>
      </c>
      <c r="F680">
        <v>0</v>
      </c>
      <c r="G680" t="s">
        <v>2020</v>
      </c>
      <c r="H680" t="s">
        <v>2027</v>
      </c>
      <c r="I680" t="s">
        <v>2706</v>
      </c>
      <c r="J680" t="s">
        <v>4030</v>
      </c>
      <c r="K680" t="s">
        <v>4062</v>
      </c>
      <c r="L680">
        <v>-385.69</v>
      </c>
      <c r="N680">
        <f t="shared" si="30"/>
        <v>-385.69</v>
      </c>
      <c r="O680" t="s">
        <v>4104</v>
      </c>
      <c r="P680" t="str">
        <f t="shared" si="31"/>
        <v xml:space="preserve"> </v>
      </c>
      <c r="Q680" t="str">
        <f t="shared" si="32"/>
        <v>Unfavorable</v>
      </c>
    </row>
    <row r="681" spans="1:17">
      <c r="A681" t="s">
        <v>691</v>
      </c>
      <c r="B681" s="2">
        <v>44949</v>
      </c>
      <c r="C681">
        <v>5010</v>
      </c>
      <c r="D681" t="s">
        <v>2015</v>
      </c>
      <c r="E681">
        <v>269.3</v>
      </c>
      <c r="F681">
        <v>0</v>
      </c>
      <c r="G681" t="s">
        <v>2021</v>
      </c>
      <c r="H681" t="s">
        <v>2027</v>
      </c>
      <c r="I681" t="s">
        <v>2707</v>
      </c>
      <c r="J681" t="s">
        <v>4029</v>
      </c>
      <c r="K681" t="s">
        <v>4047</v>
      </c>
      <c r="L681">
        <v>-269.3</v>
      </c>
      <c r="N681">
        <f t="shared" si="30"/>
        <v>-269.3</v>
      </c>
      <c r="O681" t="s">
        <v>4104</v>
      </c>
      <c r="P681" t="str">
        <f t="shared" si="31"/>
        <v xml:space="preserve"> </v>
      </c>
      <c r="Q681" t="str">
        <f t="shared" si="32"/>
        <v>Unfavorable</v>
      </c>
    </row>
    <row r="682" spans="1:17">
      <c r="A682" t="s">
        <v>692</v>
      </c>
      <c r="B682" s="2">
        <v>45504</v>
      </c>
      <c r="C682">
        <v>4010</v>
      </c>
      <c r="D682" t="s">
        <v>2016</v>
      </c>
      <c r="E682">
        <v>0</v>
      </c>
      <c r="F682">
        <v>4910.29</v>
      </c>
      <c r="G682" t="s">
        <v>2017</v>
      </c>
      <c r="H682" t="s">
        <v>2027</v>
      </c>
      <c r="I682" t="s">
        <v>2708</v>
      </c>
      <c r="J682" t="s">
        <v>4028</v>
      </c>
      <c r="K682" t="s">
        <v>4054</v>
      </c>
      <c r="L682">
        <v>4910.29</v>
      </c>
      <c r="N682">
        <f t="shared" si="30"/>
        <v>4910.29</v>
      </c>
      <c r="O682" t="s">
        <v>4104</v>
      </c>
      <c r="P682" t="str">
        <f t="shared" si="31"/>
        <v xml:space="preserve"> </v>
      </c>
      <c r="Q682" t="str">
        <f t="shared" si="32"/>
        <v>Favorable</v>
      </c>
    </row>
    <row r="683" spans="1:17">
      <c r="A683" t="s">
        <v>693</v>
      </c>
      <c r="B683" s="2">
        <v>45397</v>
      </c>
      <c r="C683">
        <v>4010</v>
      </c>
      <c r="D683" t="s">
        <v>2016</v>
      </c>
      <c r="E683">
        <v>0</v>
      </c>
      <c r="F683">
        <v>2866.16</v>
      </c>
      <c r="G683" t="s">
        <v>2021</v>
      </c>
      <c r="H683" t="s">
        <v>2026</v>
      </c>
      <c r="I683" t="s">
        <v>2709</v>
      </c>
      <c r="J683" t="s">
        <v>4030</v>
      </c>
      <c r="K683" t="s">
        <v>4040</v>
      </c>
      <c r="L683">
        <v>2866.16</v>
      </c>
      <c r="N683">
        <f t="shared" si="30"/>
        <v>2866.16</v>
      </c>
      <c r="O683" t="s">
        <v>4104</v>
      </c>
      <c r="P683" t="str">
        <f t="shared" si="31"/>
        <v xml:space="preserve"> </v>
      </c>
      <c r="Q683" t="str">
        <f t="shared" si="32"/>
        <v>Favorable</v>
      </c>
    </row>
    <row r="684" spans="1:17">
      <c r="A684" t="s">
        <v>694</v>
      </c>
      <c r="B684" s="2">
        <v>45832</v>
      </c>
      <c r="C684">
        <v>5010</v>
      </c>
      <c r="D684" t="s">
        <v>2015</v>
      </c>
      <c r="E684">
        <v>151.68</v>
      </c>
      <c r="F684">
        <v>0</v>
      </c>
      <c r="G684" t="s">
        <v>2019</v>
      </c>
      <c r="H684" t="s">
        <v>2026</v>
      </c>
      <c r="I684" t="s">
        <v>2710</v>
      </c>
      <c r="J684" t="s">
        <v>4030</v>
      </c>
      <c r="K684" t="s">
        <v>4052</v>
      </c>
      <c r="L684">
        <v>-151.68</v>
      </c>
      <c r="N684">
        <f t="shared" si="30"/>
        <v>-151.68</v>
      </c>
      <c r="O684" t="s">
        <v>4104</v>
      </c>
      <c r="P684" t="str">
        <f t="shared" si="31"/>
        <v xml:space="preserve"> </v>
      </c>
      <c r="Q684" t="str">
        <f t="shared" si="32"/>
        <v>Unfavorable</v>
      </c>
    </row>
    <row r="685" spans="1:17">
      <c r="A685" t="s">
        <v>695</v>
      </c>
      <c r="B685" s="2">
        <v>45149</v>
      </c>
      <c r="C685">
        <v>4010</v>
      </c>
      <c r="D685" t="s">
        <v>2016</v>
      </c>
      <c r="E685">
        <v>0</v>
      </c>
      <c r="F685">
        <v>1246.53</v>
      </c>
      <c r="G685" t="s">
        <v>2019</v>
      </c>
      <c r="H685" t="s">
        <v>2025</v>
      </c>
      <c r="I685" t="s">
        <v>2711</v>
      </c>
      <c r="J685" t="s">
        <v>4031</v>
      </c>
      <c r="K685" t="s">
        <v>4037</v>
      </c>
      <c r="L685">
        <v>1246.53</v>
      </c>
      <c r="N685">
        <f t="shared" si="30"/>
        <v>1246.53</v>
      </c>
      <c r="O685" t="s">
        <v>4104</v>
      </c>
      <c r="P685" t="str">
        <f t="shared" si="31"/>
        <v xml:space="preserve"> </v>
      </c>
      <c r="Q685" t="str">
        <f t="shared" si="32"/>
        <v>Favorable</v>
      </c>
    </row>
    <row r="686" spans="1:17">
      <c r="A686" t="s">
        <v>696</v>
      </c>
      <c r="B686" s="2">
        <v>45646</v>
      </c>
      <c r="C686">
        <v>6000</v>
      </c>
      <c r="D686" t="s">
        <v>2014</v>
      </c>
      <c r="E686">
        <v>1724.65</v>
      </c>
      <c r="F686">
        <v>0</v>
      </c>
      <c r="G686" t="s">
        <v>2021</v>
      </c>
      <c r="H686" t="s">
        <v>2023</v>
      </c>
      <c r="I686" t="s">
        <v>2712</v>
      </c>
      <c r="J686" t="s">
        <v>4028</v>
      </c>
      <c r="K686" t="s">
        <v>4056</v>
      </c>
      <c r="L686">
        <v>-1724.65</v>
      </c>
      <c r="N686">
        <f t="shared" si="30"/>
        <v>-1724.65</v>
      </c>
      <c r="O686" t="s">
        <v>4104</v>
      </c>
      <c r="P686" t="str">
        <f t="shared" si="31"/>
        <v xml:space="preserve"> </v>
      </c>
      <c r="Q686" t="str">
        <f t="shared" si="32"/>
        <v>Unfavorable</v>
      </c>
    </row>
    <row r="687" spans="1:17">
      <c r="A687" t="s">
        <v>697</v>
      </c>
      <c r="B687" s="2">
        <v>45716</v>
      </c>
      <c r="C687">
        <v>5010</v>
      </c>
      <c r="D687" t="s">
        <v>2015</v>
      </c>
      <c r="E687">
        <v>1411.99</v>
      </c>
      <c r="F687">
        <v>0</v>
      </c>
      <c r="G687" t="s">
        <v>2017</v>
      </c>
      <c r="H687" t="s">
        <v>2026</v>
      </c>
      <c r="I687" t="s">
        <v>2713</v>
      </c>
      <c r="J687" t="s">
        <v>4031</v>
      </c>
      <c r="K687" t="s">
        <v>4061</v>
      </c>
      <c r="L687">
        <v>-1411.99</v>
      </c>
      <c r="N687">
        <f t="shared" si="30"/>
        <v>-1411.99</v>
      </c>
      <c r="O687" t="s">
        <v>4104</v>
      </c>
      <c r="P687" t="str">
        <f t="shared" si="31"/>
        <v xml:space="preserve"> </v>
      </c>
      <c r="Q687" t="str">
        <f t="shared" si="32"/>
        <v>Unfavorable</v>
      </c>
    </row>
    <row r="688" spans="1:17">
      <c r="A688" t="s">
        <v>698</v>
      </c>
      <c r="B688" s="2">
        <v>45299</v>
      </c>
      <c r="C688">
        <v>5010</v>
      </c>
      <c r="D688" t="s">
        <v>2015</v>
      </c>
      <c r="E688">
        <v>753.12</v>
      </c>
      <c r="F688">
        <v>0</v>
      </c>
      <c r="G688" t="s">
        <v>2021</v>
      </c>
      <c r="H688" t="s">
        <v>2025</v>
      </c>
      <c r="I688" t="s">
        <v>2714</v>
      </c>
      <c r="J688" t="s">
        <v>4031</v>
      </c>
      <c r="K688" t="s">
        <v>4053</v>
      </c>
      <c r="L688">
        <v>-753.12</v>
      </c>
      <c r="N688">
        <f t="shared" si="30"/>
        <v>-753.12</v>
      </c>
      <c r="O688" t="s">
        <v>4104</v>
      </c>
      <c r="P688" t="str">
        <f t="shared" si="31"/>
        <v xml:space="preserve"> </v>
      </c>
      <c r="Q688" t="str">
        <f t="shared" si="32"/>
        <v>Unfavorable</v>
      </c>
    </row>
    <row r="689" spans="1:17">
      <c r="A689" t="s">
        <v>699</v>
      </c>
      <c r="B689" s="2">
        <v>45613</v>
      </c>
      <c r="C689">
        <v>4000</v>
      </c>
      <c r="D689" t="s">
        <v>2012</v>
      </c>
      <c r="E689">
        <v>0</v>
      </c>
      <c r="F689">
        <v>3744.19</v>
      </c>
      <c r="G689" t="s">
        <v>2021</v>
      </c>
      <c r="H689" t="s">
        <v>2027</v>
      </c>
      <c r="I689" t="s">
        <v>2715</v>
      </c>
      <c r="J689" t="s">
        <v>4029</v>
      </c>
      <c r="K689" t="s">
        <v>4043</v>
      </c>
      <c r="L689">
        <v>3744.19</v>
      </c>
      <c r="N689">
        <f t="shared" si="30"/>
        <v>3744.19</v>
      </c>
      <c r="O689" t="s">
        <v>4104</v>
      </c>
      <c r="P689" t="str">
        <f t="shared" si="31"/>
        <v xml:space="preserve"> </v>
      </c>
      <c r="Q689" t="str">
        <f t="shared" si="32"/>
        <v>Favorable</v>
      </c>
    </row>
    <row r="690" spans="1:17">
      <c r="A690" t="s">
        <v>700</v>
      </c>
      <c r="B690" s="2">
        <v>45365</v>
      </c>
      <c r="C690">
        <v>5000</v>
      </c>
      <c r="D690" t="s">
        <v>2013</v>
      </c>
      <c r="E690">
        <v>906.55</v>
      </c>
      <c r="F690">
        <v>0</v>
      </c>
      <c r="G690" t="s">
        <v>2017</v>
      </c>
      <c r="H690" t="s">
        <v>2026</v>
      </c>
      <c r="I690" t="s">
        <v>2716</v>
      </c>
      <c r="J690" t="s">
        <v>4032</v>
      </c>
      <c r="K690" t="s">
        <v>4049</v>
      </c>
      <c r="L690">
        <v>-906.55</v>
      </c>
      <c r="N690">
        <f t="shared" si="30"/>
        <v>-906.55</v>
      </c>
      <c r="O690" t="s">
        <v>4104</v>
      </c>
      <c r="P690" t="str">
        <f t="shared" si="31"/>
        <v xml:space="preserve"> </v>
      </c>
      <c r="Q690" t="str">
        <f t="shared" si="32"/>
        <v>Unfavorable</v>
      </c>
    </row>
    <row r="691" spans="1:17">
      <c r="A691" t="s">
        <v>701</v>
      </c>
      <c r="B691" s="2">
        <v>44982</v>
      </c>
      <c r="C691">
        <v>5010</v>
      </c>
      <c r="D691" t="s">
        <v>2015</v>
      </c>
      <c r="E691">
        <v>215.69</v>
      </c>
      <c r="F691">
        <v>0</v>
      </c>
      <c r="G691" t="s">
        <v>2019</v>
      </c>
      <c r="H691" t="s">
        <v>2024</v>
      </c>
      <c r="I691" t="s">
        <v>2717</v>
      </c>
      <c r="J691" t="s">
        <v>4030</v>
      </c>
      <c r="K691" t="s">
        <v>4057</v>
      </c>
      <c r="L691">
        <v>-215.69</v>
      </c>
      <c r="N691">
        <f t="shared" si="30"/>
        <v>-215.69</v>
      </c>
      <c r="O691" t="s">
        <v>4104</v>
      </c>
      <c r="P691" t="str">
        <f t="shared" si="31"/>
        <v xml:space="preserve"> </v>
      </c>
      <c r="Q691" t="str">
        <f t="shared" si="32"/>
        <v>Unfavorable</v>
      </c>
    </row>
    <row r="692" spans="1:17">
      <c r="A692" t="s">
        <v>702</v>
      </c>
      <c r="B692" s="2">
        <v>45631</v>
      </c>
      <c r="C692">
        <v>5000</v>
      </c>
      <c r="D692" t="s">
        <v>2013</v>
      </c>
      <c r="E692">
        <v>1478.7</v>
      </c>
      <c r="F692">
        <v>0</v>
      </c>
      <c r="G692" t="s">
        <v>2018</v>
      </c>
      <c r="H692" t="s">
        <v>2027</v>
      </c>
      <c r="I692" t="s">
        <v>2718</v>
      </c>
      <c r="J692" t="s">
        <v>4030</v>
      </c>
      <c r="K692" t="s">
        <v>4056</v>
      </c>
      <c r="L692">
        <v>-1478.7</v>
      </c>
      <c r="N692">
        <f t="shared" si="30"/>
        <v>-1478.7</v>
      </c>
      <c r="O692" t="s">
        <v>4104</v>
      </c>
      <c r="P692" t="str">
        <f t="shared" si="31"/>
        <v xml:space="preserve"> </v>
      </c>
      <c r="Q692" t="str">
        <f t="shared" si="32"/>
        <v>Unfavorable</v>
      </c>
    </row>
    <row r="693" spans="1:17">
      <c r="A693" t="s">
        <v>703</v>
      </c>
      <c r="B693" s="2">
        <v>45733</v>
      </c>
      <c r="C693">
        <v>4000</v>
      </c>
      <c r="D693" t="s">
        <v>2012</v>
      </c>
      <c r="E693">
        <v>0</v>
      </c>
      <c r="F693">
        <v>3502.79</v>
      </c>
      <c r="G693" t="s">
        <v>2022</v>
      </c>
      <c r="H693" t="s">
        <v>2023</v>
      </c>
      <c r="I693" t="s">
        <v>2719</v>
      </c>
      <c r="J693" t="s">
        <v>4028</v>
      </c>
      <c r="K693" t="s">
        <v>4046</v>
      </c>
      <c r="L693">
        <v>3502.79</v>
      </c>
      <c r="N693">
        <f t="shared" si="30"/>
        <v>3502.79</v>
      </c>
      <c r="O693" t="s">
        <v>4104</v>
      </c>
      <c r="P693" t="str">
        <f t="shared" si="31"/>
        <v xml:space="preserve"> </v>
      </c>
      <c r="Q693" t="str">
        <f t="shared" si="32"/>
        <v>Favorable</v>
      </c>
    </row>
    <row r="694" spans="1:17">
      <c r="A694" t="s">
        <v>704</v>
      </c>
      <c r="B694" s="2">
        <v>45367</v>
      </c>
      <c r="C694">
        <v>4000</v>
      </c>
      <c r="D694" t="s">
        <v>2012</v>
      </c>
      <c r="E694">
        <v>0</v>
      </c>
      <c r="F694">
        <v>2828.86</v>
      </c>
      <c r="G694" t="s">
        <v>2017</v>
      </c>
      <c r="H694" t="s">
        <v>2023</v>
      </c>
      <c r="I694" t="s">
        <v>2720</v>
      </c>
      <c r="J694" t="s">
        <v>4031</v>
      </c>
      <c r="K694" t="s">
        <v>4049</v>
      </c>
      <c r="L694">
        <v>2828.86</v>
      </c>
      <c r="N694">
        <f t="shared" si="30"/>
        <v>2828.86</v>
      </c>
      <c r="O694" t="s">
        <v>4104</v>
      </c>
      <c r="P694" t="str">
        <f t="shared" si="31"/>
        <v xml:space="preserve"> </v>
      </c>
      <c r="Q694" t="str">
        <f t="shared" si="32"/>
        <v>Favorable</v>
      </c>
    </row>
    <row r="695" spans="1:17">
      <c r="A695" t="s">
        <v>705</v>
      </c>
      <c r="B695" s="2">
        <v>45025</v>
      </c>
      <c r="C695">
        <v>6000</v>
      </c>
      <c r="D695" t="s">
        <v>2014</v>
      </c>
      <c r="E695">
        <v>130.63999999999999</v>
      </c>
      <c r="F695">
        <v>0</v>
      </c>
      <c r="G695" t="s">
        <v>2021</v>
      </c>
      <c r="H695" t="s">
        <v>2023</v>
      </c>
      <c r="I695" t="s">
        <v>2721</v>
      </c>
      <c r="J695" t="s">
        <v>4029</v>
      </c>
      <c r="K695" t="s">
        <v>4041</v>
      </c>
      <c r="L695">
        <v>-130.63999999999999</v>
      </c>
      <c r="N695">
        <f t="shared" si="30"/>
        <v>-130.63999999999999</v>
      </c>
      <c r="O695" t="s">
        <v>4104</v>
      </c>
      <c r="P695" t="str">
        <f t="shared" si="31"/>
        <v xml:space="preserve"> </v>
      </c>
      <c r="Q695" t="str">
        <f t="shared" si="32"/>
        <v>Unfavorable</v>
      </c>
    </row>
    <row r="696" spans="1:17">
      <c r="A696" t="s">
        <v>706</v>
      </c>
      <c r="B696" s="2">
        <v>45423</v>
      </c>
      <c r="C696">
        <v>6000</v>
      </c>
      <c r="D696" t="s">
        <v>2014</v>
      </c>
      <c r="E696">
        <v>1824.18</v>
      </c>
      <c r="F696">
        <v>0</v>
      </c>
      <c r="G696" t="s">
        <v>2019</v>
      </c>
      <c r="H696" t="s">
        <v>2024</v>
      </c>
      <c r="I696" t="s">
        <v>2722</v>
      </c>
      <c r="J696" t="s">
        <v>4032</v>
      </c>
      <c r="K696" t="s">
        <v>4033</v>
      </c>
      <c r="L696">
        <v>-1824.18</v>
      </c>
      <c r="N696">
        <f t="shared" si="30"/>
        <v>-1824.18</v>
      </c>
      <c r="O696" t="s">
        <v>4104</v>
      </c>
      <c r="P696" t="str">
        <f t="shared" si="31"/>
        <v xml:space="preserve"> </v>
      </c>
      <c r="Q696" t="str">
        <f t="shared" si="32"/>
        <v>Unfavorable</v>
      </c>
    </row>
    <row r="697" spans="1:17">
      <c r="A697" t="s">
        <v>707</v>
      </c>
      <c r="B697" s="2">
        <v>45634</v>
      </c>
      <c r="C697">
        <v>4010</v>
      </c>
      <c r="D697" t="s">
        <v>2016</v>
      </c>
      <c r="E697">
        <v>0</v>
      </c>
      <c r="F697">
        <v>2401.06</v>
      </c>
      <c r="G697" t="s">
        <v>2017</v>
      </c>
      <c r="H697" t="s">
        <v>2023</v>
      </c>
      <c r="I697" t="s">
        <v>2723</v>
      </c>
      <c r="J697" t="s">
        <v>4029</v>
      </c>
      <c r="K697" t="s">
        <v>4056</v>
      </c>
      <c r="L697">
        <v>2401.06</v>
      </c>
      <c r="N697">
        <f t="shared" si="30"/>
        <v>2401.06</v>
      </c>
      <c r="O697" t="s">
        <v>4104</v>
      </c>
      <c r="P697" t="str">
        <f t="shared" si="31"/>
        <v xml:space="preserve"> </v>
      </c>
      <c r="Q697" t="str">
        <f t="shared" si="32"/>
        <v>Favorable</v>
      </c>
    </row>
    <row r="698" spans="1:17">
      <c r="A698" t="s">
        <v>708</v>
      </c>
      <c r="B698" s="2">
        <v>45226</v>
      </c>
      <c r="C698">
        <v>4010</v>
      </c>
      <c r="D698" t="s">
        <v>2016</v>
      </c>
      <c r="E698">
        <v>0</v>
      </c>
      <c r="F698">
        <v>3086.33</v>
      </c>
      <c r="G698" t="s">
        <v>2018</v>
      </c>
      <c r="H698" t="s">
        <v>2025</v>
      </c>
      <c r="I698" t="s">
        <v>2724</v>
      </c>
      <c r="J698" t="s">
        <v>4029</v>
      </c>
      <c r="K698" t="s">
        <v>4060</v>
      </c>
      <c r="L698">
        <v>3086.33</v>
      </c>
      <c r="N698">
        <f t="shared" si="30"/>
        <v>3086.33</v>
      </c>
      <c r="O698" t="s">
        <v>4104</v>
      </c>
      <c r="P698" t="str">
        <f t="shared" si="31"/>
        <v xml:space="preserve"> </v>
      </c>
      <c r="Q698" t="str">
        <f t="shared" si="32"/>
        <v>Favorable</v>
      </c>
    </row>
    <row r="699" spans="1:17">
      <c r="A699" t="s">
        <v>709</v>
      </c>
      <c r="B699" s="2">
        <v>45681</v>
      </c>
      <c r="C699">
        <v>5000</v>
      </c>
      <c r="D699" t="s">
        <v>2013</v>
      </c>
      <c r="E699">
        <v>1546.69</v>
      </c>
      <c r="F699">
        <v>0</v>
      </c>
      <c r="G699" t="s">
        <v>2018</v>
      </c>
      <c r="H699" t="s">
        <v>2026</v>
      </c>
      <c r="I699" t="s">
        <v>2725</v>
      </c>
      <c r="J699" t="s">
        <v>4028</v>
      </c>
      <c r="K699" t="s">
        <v>4035</v>
      </c>
      <c r="L699">
        <v>-1546.69</v>
      </c>
      <c r="N699">
        <f t="shared" si="30"/>
        <v>-1546.69</v>
      </c>
      <c r="O699" t="s">
        <v>4104</v>
      </c>
      <c r="P699" t="str">
        <f t="shared" si="31"/>
        <v xml:space="preserve"> </v>
      </c>
      <c r="Q699" t="str">
        <f t="shared" si="32"/>
        <v>Unfavorable</v>
      </c>
    </row>
    <row r="700" spans="1:17">
      <c r="A700" t="s">
        <v>710</v>
      </c>
      <c r="B700" s="2">
        <v>45369</v>
      </c>
      <c r="C700">
        <v>4010</v>
      </c>
      <c r="D700" t="s">
        <v>2016</v>
      </c>
      <c r="E700">
        <v>0</v>
      </c>
      <c r="F700">
        <v>2135.0700000000002</v>
      </c>
      <c r="G700" t="s">
        <v>2019</v>
      </c>
      <c r="H700" t="s">
        <v>2024</v>
      </c>
      <c r="I700" t="s">
        <v>2726</v>
      </c>
      <c r="J700" t="s">
        <v>4031</v>
      </c>
      <c r="K700" t="s">
        <v>4049</v>
      </c>
      <c r="L700">
        <v>2135.0700000000002</v>
      </c>
      <c r="N700">
        <f t="shared" si="30"/>
        <v>2135.0700000000002</v>
      </c>
      <c r="O700" t="s">
        <v>4104</v>
      </c>
      <c r="P700" t="str">
        <f t="shared" si="31"/>
        <v xml:space="preserve"> </v>
      </c>
      <c r="Q700" t="str">
        <f t="shared" si="32"/>
        <v>Favorable</v>
      </c>
    </row>
    <row r="701" spans="1:17">
      <c r="A701" t="s">
        <v>711</v>
      </c>
      <c r="B701" s="2">
        <v>45030</v>
      </c>
      <c r="C701">
        <v>4000</v>
      </c>
      <c r="D701" t="s">
        <v>2012</v>
      </c>
      <c r="E701">
        <v>0</v>
      </c>
      <c r="F701">
        <v>337.27</v>
      </c>
      <c r="G701" t="s">
        <v>2021</v>
      </c>
      <c r="H701" t="s">
        <v>2026</v>
      </c>
      <c r="I701" t="s">
        <v>2727</v>
      </c>
      <c r="J701" t="s">
        <v>4029</v>
      </c>
      <c r="K701" t="s">
        <v>4041</v>
      </c>
      <c r="L701">
        <v>337.27</v>
      </c>
      <c r="N701">
        <f t="shared" si="30"/>
        <v>337.27</v>
      </c>
      <c r="O701" t="s">
        <v>4104</v>
      </c>
      <c r="P701" t="str">
        <f t="shared" si="31"/>
        <v xml:space="preserve"> </v>
      </c>
      <c r="Q701" t="str">
        <f t="shared" si="32"/>
        <v>Favorable</v>
      </c>
    </row>
    <row r="702" spans="1:17">
      <c r="A702" t="s">
        <v>712</v>
      </c>
      <c r="B702" s="2">
        <v>44988</v>
      </c>
      <c r="C702">
        <v>4010</v>
      </c>
      <c r="D702" t="s">
        <v>2016</v>
      </c>
      <c r="E702">
        <v>0</v>
      </c>
      <c r="F702">
        <v>4145.3100000000004</v>
      </c>
      <c r="G702" t="s">
        <v>2020</v>
      </c>
      <c r="H702" t="s">
        <v>2027</v>
      </c>
      <c r="I702" t="s">
        <v>2728</v>
      </c>
      <c r="J702" t="s">
        <v>4028</v>
      </c>
      <c r="K702" t="s">
        <v>4051</v>
      </c>
      <c r="L702">
        <v>4145.3100000000004</v>
      </c>
      <c r="N702">
        <f t="shared" si="30"/>
        <v>4145.3100000000004</v>
      </c>
      <c r="O702" t="s">
        <v>4104</v>
      </c>
      <c r="P702" t="str">
        <f t="shared" si="31"/>
        <v xml:space="preserve"> </v>
      </c>
      <c r="Q702" t="str">
        <f t="shared" si="32"/>
        <v>Favorable</v>
      </c>
    </row>
    <row r="703" spans="1:17">
      <c r="A703" t="s">
        <v>713</v>
      </c>
      <c r="B703" s="2">
        <v>45249</v>
      </c>
      <c r="C703">
        <v>5010</v>
      </c>
      <c r="D703" t="s">
        <v>2015</v>
      </c>
      <c r="E703">
        <v>322.43</v>
      </c>
      <c r="F703">
        <v>0</v>
      </c>
      <c r="G703" t="s">
        <v>2021</v>
      </c>
      <c r="H703" t="s">
        <v>2026</v>
      </c>
      <c r="I703" t="s">
        <v>2729</v>
      </c>
      <c r="J703" t="s">
        <v>4032</v>
      </c>
      <c r="K703" t="s">
        <v>4042</v>
      </c>
      <c r="L703">
        <v>-322.43</v>
      </c>
      <c r="N703">
        <f t="shared" si="30"/>
        <v>-322.43</v>
      </c>
      <c r="O703" t="s">
        <v>4104</v>
      </c>
      <c r="P703" t="str">
        <f t="shared" si="31"/>
        <v xml:space="preserve"> </v>
      </c>
      <c r="Q703" t="str">
        <f t="shared" si="32"/>
        <v>Unfavorable</v>
      </c>
    </row>
    <row r="704" spans="1:17">
      <c r="A704" t="s">
        <v>714</v>
      </c>
      <c r="B704" s="2">
        <v>45474</v>
      </c>
      <c r="C704">
        <v>6000</v>
      </c>
      <c r="D704" t="s">
        <v>2014</v>
      </c>
      <c r="E704">
        <v>1350.68</v>
      </c>
      <c r="F704">
        <v>0</v>
      </c>
      <c r="G704" t="s">
        <v>2017</v>
      </c>
      <c r="H704" t="s">
        <v>2026</v>
      </c>
      <c r="I704" t="s">
        <v>2730</v>
      </c>
      <c r="J704" t="s">
        <v>4031</v>
      </c>
      <c r="K704" t="s">
        <v>4054</v>
      </c>
      <c r="L704">
        <v>-1350.68</v>
      </c>
      <c r="N704">
        <f t="shared" si="30"/>
        <v>-1350.68</v>
      </c>
      <c r="O704" t="s">
        <v>4104</v>
      </c>
      <c r="P704" t="str">
        <f t="shared" si="31"/>
        <v xml:space="preserve"> </v>
      </c>
      <c r="Q704" t="str">
        <f t="shared" si="32"/>
        <v>Unfavorable</v>
      </c>
    </row>
    <row r="705" spans="1:17">
      <c r="A705" t="s">
        <v>715</v>
      </c>
      <c r="B705" s="2">
        <v>45264</v>
      </c>
      <c r="C705">
        <v>6000</v>
      </c>
      <c r="D705" t="s">
        <v>2014</v>
      </c>
      <c r="E705">
        <v>1038.71</v>
      </c>
      <c r="F705">
        <v>0</v>
      </c>
      <c r="G705" t="s">
        <v>2019</v>
      </c>
      <c r="H705" t="s">
        <v>2024</v>
      </c>
      <c r="I705" t="s">
        <v>2731</v>
      </c>
      <c r="J705" t="s">
        <v>4029</v>
      </c>
      <c r="K705" t="s">
        <v>4039</v>
      </c>
      <c r="L705">
        <v>-1038.71</v>
      </c>
      <c r="N705">
        <f t="shared" si="30"/>
        <v>-1038.71</v>
      </c>
      <c r="O705" t="s">
        <v>4104</v>
      </c>
      <c r="P705" t="str">
        <f t="shared" si="31"/>
        <v xml:space="preserve"> </v>
      </c>
      <c r="Q705" t="str">
        <f t="shared" si="32"/>
        <v>Unfavorable</v>
      </c>
    </row>
    <row r="706" spans="1:17">
      <c r="A706" t="s">
        <v>716</v>
      </c>
      <c r="B706" s="2">
        <v>45672</v>
      </c>
      <c r="C706">
        <v>5000</v>
      </c>
      <c r="D706" t="s">
        <v>2013</v>
      </c>
      <c r="E706">
        <v>1455.61</v>
      </c>
      <c r="F706">
        <v>0</v>
      </c>
      <c r="G706" t="s">
        <v>2019</v>
      </c>
      <c r="H706" t="s">
        <v>2023</v>
      </c>
      <c r="I706" t="s">
        <v>2732</v>
      </c>
      <c r="J706" t="s">
        <v>4029</v>
      </c>
      <c r="K706" t="s">
        <v>4035</v>
      </c>
      <c r="L706">
        <v>-1455.61</v>
      </c>
      <c r="N706">
        <f t="shared" si="30"/>
        <v>-1455.61</v>
      </c>
      <c r="O706" t="s">
        <v>4104</v>
      </c>
      <c r="P706" t="str">
        <f t="shared" si="31"/>
        <v xml:space="preserve"> </v>
      </c>
      <c r="Q706" t="str">
        <f t="shared" si="32"/>
        <v>Unfavorable</v>
      </c>
    </row>
    <row r="707" spans="1:17">
      <c r="A707" t="s">
        <v>717</v>
      </c>
      <c r="B707" s="2">
        <v>45303</v>
      </c>
      <c r="C707">
        <v>6000</v>
      </c>
      <c r="D707" t="s">
        <v>2014</v>
      </c>
      <c r="E707">
        <v>1723.07</v>
      </c>
      <c r="F707">
        <v>0</v>
      </c>
      <c r="G707" t="s">
        <v>2022</v>
      </c>
      <c r="H707" t="s">
        <v>2027</v>
      </c>
      <c r="I707" t="s">
        <v>2733</v>
      </c>
      <c r="J707" t="s">
        <v>4028</v>
      </c>
      <c r="K707" t="s">
        <v>4053</v>
      </c>
      <c r="L707">
        <v>-1723.07</v>
      </c>
      <c r="N707">
        <f t="shared" ref="N707:N770" si="33">L:L-M:M</f>
        <v>-1723.07</v>
      </c>
      <c r="O707" t="s">
        <v>4104</v>
      </c>
      <c r="P707" t="str">
        <f t="shared" ref="P707:P770" si="34">IF(AND(ABS(N:N)&gt;10000,M:M&lt;&gt;0),"Material", " ")</f>
        <v xml:space="preserve"> </v>
      </c>
      <c r="Q707" t="str">
        <f t="shared" ref="Q707:Q770" si="35">IF(N:N&gt;0,"Favorable","Unfavorable")</f>
        <v>Unfavorable</v>
      </c>
    </row>
    <row r="708" spans="1:17">
      <c r="A708" t="s">
        <v>718</v>
      </c>
      <c r="B708" s="2">
        <v>45282</v>
      </c>
      <c r="C708">
        <v>4010</v>
      </c>
      <c r="D708" t="s">
        <v>2016</v>
      </c>
      <c r="E708">
        <v>0</v>
      </c>
      <c r="F708">
        <v>965.55</v>
      </c>
      <c r="G708" t="s">
        <v>2017</v>
      </c>
      <c r="H708" t="s">
        <v>2024</v>
      </c>
      <c r="I708" t="s">
        <v>2734</v>
      </c>
      <c r="J708" t="s">
        <v>4029</v>
      </c>
      <c r="K708" t="s">
        <v>4039</v>
      </c>
      <c r="L708">
        <v>965.55</v>
      </c>
      <c r="N708">
        <f t="shared" si="33"/>
        <v>965.55</v>
      </c>
      <c r="O708" t="s">
        <v>4104</v>
      </c>
      <c r="P708" t="str">
        <f t="shared" si="34"/>
        <v xml:space="preserve"> </v>
      </c>
      <c r="Q708" t="str">
        <f t="shared" si="35"/>
        <v>Favorable</v>
      </c>
    </row>
    <row r="709" spans="1:17">
      <c r="A709" t="s">
        <v>719</v>
      </c>
      <c r="B709" s="2">
        <v>45656</v>
      </c>
      <c r="C709">
        <v>4010</v>
      </c>
      <c r="D709" t="s">
        <v>2016</v>
      </c>
      <c r="E709">
        <v>0</v>
      </c>
      <c r="F709">
        <v>1927.89</v>
      </c>
      <c r="G709" t="s">
        <v>2018</v>
      </c>
      <c r="H709" t="s">
        <v>2023</v>
      </c>
      <c r="I709" t="s">
        <v>2735</v>
      </c>
      <c r="J709" t="s">
        <v>4028</v>
      </c>
      <c r="K709" t="s">
        <v>4056</v>
      </c>
      <c r="L709">
        <v>1927.89</v>
      </c>
      <c r="N709">
        <f t="shared" si="33"/>
        <v>1927.89</v>
      </c>
      <c r="O709" t="s">
        <v>4104</v>
      </c>
      <c r="P709" t="str">
        <f t="shared" si="34"/>
        <v xml:space="preserve"> </v>
      </c>
      <c r="Q709" t="str">
        <f t="shared" si="35"/>
        <v>Favorable</v>
      </c>
    </row>
    <row r="710" spans="1:17">
      <c r="A710" t="s">
        <v>720</v>
      </c>
      <c r="B710" s="2">
        <v>45827</v>
      </c>
      <c r="C710">
        <v>5010</v>
      </c>
      <c r="D710" t="s">
        <v>2015</v>
      </c>
      <c r="E710">
        <v>1789.3</v>
      </c>
      <c r="F710">
        <v>0</v>
      </c>
      <c r="G710" t="s">
        <v>2020</v>
      </c>
      <c r="H710" t="s">
        <v>2027</v>
      </c>
      <c r="I710" t="s">
        <v>2736</v>
      </c>
      <c r="J710" t="s">
        <v>4029</v>
      </c>
      <c r="K710" t="s">
        <v>4052</v>
      </c>
      <c r="L710">
        <v>-1789.3</v>
      </c>
      <c r="N710">
        <f t="shared" si="33"/>
        <v>-1789.3</v>
      </c>
      <c r="O710" t="s">
        <v>4104</v>
      </c>
      <c r="P710" t="str">
        <f t="shared" si="34"/>
        <v xml:space="preserve"> </v>
      </c>
      <c r="Q710" t="str">
        <f t="shared" si="35"/>
        <v>Unfavorable</v>
      </c>
    </row>
    <row r="711" spans="1:17">
      <c r="A711" t="s">
        <v>721</v>
      </c>
      <c r="B711" s="2">
        <v>45362</v>
      </c>
      <c r="C711">
        <v>4010</v>
      </c>
      <c r="D711" t="s">
        <v>2016</v>
      </c>
      <c r="E711">
        <v>0</v>
      </c>
      <c r="F711">
        <v>1155.8499999999999</v>
      </c>
      <c r="G711" t="s">
        <v>2021</v>
      </c>
      <c r="H711" t="s">
        <v>2027</v>
      </c>
      <c r="I711" t="s">
        <v>2737</v>
      </c>
      <c r="J711" t="s">
        <v>4032</v>
      </c>
      <c r="K711" t="s">
        <v>4049</v>
      </c>
      <c r="L711">
        <v>1155.8499999999999</v>
      </c>
      <c r="N711">
        <f t="shared" si="33"/>
        <v>1155.8499999999999</v>
      </c>
      <c r="O711" t="s">
        <v>4104</v>
      </c>
      <c r="P711" t="str">
        <f t="shared" si="34"/>
        <v xml:space="preserve"> </v>
      </c>
      <c r="Q711" t="str">
        <f t="shared" si="35"/>
        <v>Favorable</v>
      </c>
    </row>
    <row r="712" spans="1:17">
      <c r="A712" t="s">
        <v>722</v>
      </c>
      <c r="B712" s="2">
        <v>45068</v>
      </c>
      <c r="C712">
        <v>4000</v>
      </c>
      <c r="D712" t="s">
        <v>2012</v>
      </c>
      <c r="E712">
        <v>0</v>
      </c>
      <c r="F712">
        <v>1701.37</v>
      </c>
      <c r="G712" t="s">
        <v>2020</v>
      </c>
      <c r="H712" t="s">
        <v>2025</v>
      </c>
      <c r="I712" t="s">
        <v>2738</v>
      </c>
      <c r="J712" t="s">
        <v>4031</v>
      </c>
      <c r="K712" t="s">
        <v>4062</v>
      </c>
      <c r="L712">
        <v>1701.37</v>
      </c>
      <c r="N712">
        <f t="shared" si="33"/>
        <v>1701.37</v>
      </c>
      <c r="O712" t="s">
        <v>4104</v>
      </c>
      <c r="P712" t="str">
        <f t="shared" si="34"/>
        <v xml:space="preserve"> </v>
      </c>
      <c r="Q712" t="str">
        <f t="shared" si="35"/>
        <v>Favorable</v>
      </c>
    </row>
    <row r="713" spans="1:17">
      <c r="A713" t="s">
        <v>723</v>
      </c>
      <c r="B713" s="2">
        <v>45803</v>
      </c>
      <c r="C713">
        <v>5010</v>
      </c>
      <c r="D713" t="s">
        <v>2015</v>
      </c>
      <c r="E713">
        <v>706.44</v>
      </c>
      <c r="F713">
        <v>0</v>
      </c>
      <c r="G713" t="s">
        <v>2018</v>
      </c>
      <c r="H713" t="s">
        <v>2025</v>
      </c>
      <c r="I713" t="s">
        <v>2739</v>
      </c>
      <c r="J713" t="s">
        <v>4031</v>
      </c>
      <c r="K713" t="s">
        <v>4038</v>
      </c>
      <c r="L713">
        <v>-706.44</v>
      </c>
      <c r="N713">
        <f t="shared" si="33"/>
        <v>-706.44</v>
      </c>
      <c r="O713" t="s">
        <v>4104</v>
      </c>
      <c r="P713" t="str">
        <f t="shared" si="34"/>
        <v xml:space="preserve"> </v>
      </c>
      <c r="Q713" t="str">
        <f t="shared" si="35"/>
        <v>Unfavorable</v>
      </c>
    </row>
    <row r="714" spans="1:17">
      <c r="A714" t="s">
        <v>724</v>
      </c>
      <c r="B714" s="2">
        <v>45588</v>
      </c>
      <c r="C714">
        <v>4000</v>
      </c>
      <c r="D714" t="s">
        <v>2012</v>
      </c>
      <c r="E714">
        <v>0</v>
      </c>
      <c r="F714">
        <v>734.04</v>
      </c>
      <c r="G714" t="s">
        <v>2017</v>
      </c>
      <c r="H714" t="s">
        <v>2027</v>
      </c>
      <c r="I714" t="s">
        <v>2740</v>
      </c>
      <c r="J714" t="s">
        <v>4030</v>
      </c>
      <c r="K714" t="s">
        <v>4059</v>
      </c>
      <c r="L714">
        <v>734.04</v>
      </c>
      <c r="N714">
        <f t="shared" si="33"/>
        <v>734.04</v>
      </c>
      <c r="O714" t="s">
        <v>4104</v>
      </c>
      <c r="P714" t="str">
        <f t="shared" si="34"/>
        <v xml:space="preserve"> </v>
      </c>
      <c r="Q714" t="str">
        <f t="shared" si="35"/>
        <v>Favorable</v>
      </c>
    </row>
    <row r="715" spans="1:17">
      <c r="A715" t="s">
        <v>725</v>
      </c>
      <c r="B715" s="2">
        <v>45752</v>
      </c>
      <c r="C715">
        <v>5010</v>
      </c>
      <c r="D715" t="s">
        <v>2015</v>
      </c>
      <c r="E715">
        <v>1551.77</v>
      </c>
      <c r="F715">
        <v>0</v>
      </c>
      <c r="G715" t="s">
        <v>2017</v>
      </c>
      <c r="H715" t="s">
        <v>2025</v>
      </c>
      <c r="I715" t="s">
        <v>2741</v>
      </c>
      <c r="J715" t="s">
        <v>4030</v>
      </c>
      <c r="K715" t="s">
        <v>4045</v>
      </c>
      <c r="L715">
        <v>-1551.77</v>
      </c>
      <c r="N715">
        <f t="shared" si="33"/>
        <v>-1551.77</v>
      </c>
      <c r="O715" t="s">
        <v>4104</v>
      </c>
      <c r="P715" t="str">
        <f t="shared" si="34"/>
        <v xml:space="preserve"> </v>
      </c>
      <c r="Q715" t="str">
        <f t="shared" si="35"/>
        <v>Unfavorable</v>
      </c>
    </row>
    <row r="716" spans="1:17">
      <c r="A716" t="s">
        <v>726</v>
      </c>
      <c r="B716" s="2">
        <v>45368</v>
      </c>
      <c r="C716">
        <v>6000</v>
      </c>
      <c r="D716" t="s">
        <v>2014</v>
      </c>
      <c r="E716">
        <v>176.54</v>
      </c>
      <c r="F716">
        <v>0</v>
      </c>
      <c r="G716" t="s">
        <v>2022</v>
      </c>
      <c r="H716" t="s">
        <v>2026</v>
      </c>
      <c r="I716" t="s">
        <v>2742</v>
      </c>
      <c r="J716" t="s">
        <v>4029</v>
      </c>
      <c r="K716" t="s">
        <v>4049</v>
      </c>
      <c r="L716">
        <v>-176.54</v>
      </c>
      <c r="N716">
        <f t="shared" si="33"/>
        <v>-176.54</v>
      </c>
      <c r="O716" t="s">
        <v>4104</v>
      </c>
      <c r="P716" t="str">
        <f t="shared" si="34"/>
        <v xml:space="preserve"> </v>
      </c>
      <c r="Q716" t="str">
        <f t="shared" si="35"/>
        <v>Unfavorable</v>
      </c>
    </row>
    <row r="717" spans="1:17">
      <c r="A717" t="s">
        <v>727</v>
      </c>
      <c r="B717" s="2">
        <v>45222</v>
      </c>
      <c r="C717">
        <v>4010</v>
      </c>
      <c r="D717" t="s">
        <v>2016</v>
      </c>
      <c r="E717">
        <v>0</v>
      </c>
      <c r="F717">
        <v>1019.92</v>
      </c>
      <c r="G717" t="s">
        <v>2019</v>
      </c>
      <c r="H717" t="s">
        <v>2024</v>
      </c>
      <c r="I717" t="s">
        <v>2743</v>
      </c>
      <c r="J717" t="s">
        <v>4030</v>
      </c>
      <c r="K717" t="s">
        <v>4060</v>
      </c>
      <c r="L717">
        <v>1019.92</v>
      </c>
      <c r="N717">
        <f t="shared" si="33"/>
        <v>1019.92</v>
      </c>
      <c r="O717" t="s">
        <v>4104</v>
      </c>
      <c r="P717" t="str">
        <f t="shared" si="34"/>
        <v xml:space="preserve"> </v>
      </c>
      <c r="Q717" t="str">
        <f t="shared" si="35"/>
        <v>Favorable</v>
      </c>
    </row>
    <row r="718" spans="1:17">
      <c r="A718" t="s">
        <v>728</v>
      </c>
      <c r="B718" s="2">
        <v>45476</v>
      </c>
      <c r="C718">
        <v>6000</v>
      </c>
      <c r="D718" t="s">
        <v>2014</v>
      </c>
      <c r="E718">
        <v>1858.28</v>
      </c>
      <c r="F718">
        <v>0</v>
      </c>
      <c r="G718" t="s">
        <v>2022</v>
      </c>
      <c r="H718" t="s">
        <v>2025</v>
      </c>
      <c r="I718" t="s">
        <v>2744</v>
      </c>
      <c r="J718" t="s">
        <v>4031</v>
      </c>
      <c r="K718" t="s">
        <v>4054</v>
      </c>
      <c r="L718">
        <v>-1858.28</v>
      </c>
      <c r="N718">
        <f t="shared" si="33"/>
        <v>-1858.28</v>
      </c>
      <c r="O718" t="s">
        <v>4104</v>
      </c>
      <c r="P718" t="str">
        <f t="shared" si="34"/>
        <v xml:space="preserve"> </v>
      </c>
      <c r="Q718" t="str">
        <f t="shared" si="35"/>
        <v>Unfavorable</v>
      </c>
    </row>
    <row r="719" spans="1:17">
      <c r="A719" t="s">
        <v>729</v>
      </c>
      <c r="B719" s="2">
        <v>45718</v>
      </c>
      <c r="C719">
        <v>6000</v>
      </c>
      <c r="D719" t="s">
        <v>2014</v>
      </c>
      <c r="E719">
        <v>682.74</v>
      </c>
      <c r="F719">
        <v>0</v>
      </c>
      <c r="G719" t="s">
        <v>2017</v>
      </c>
      <c r="H719" t="s">
        <v>2026</v>
      </c>
      <c r="I719" t="s">
        <v>2745</v>
      </c>
      <c r="J719" t="s">
        <v>4031</v>
      </c>
      <c r="K719" t="s">
        <v>4046</v>
      </c>
      <c r="L719">
        <v>-682.74</v>
      </c>
      <c r="N719">
        <f t="shared" si="33"/>
        <v>-682.74</v>
      </c>
      <c r="O719" t="s">
        <v>4104</v>
      </c>
      <c r="P719" t="str">
        <f t="shared" si="34"/>
        <v xml:space="preserve"> </v>
      </c>
      <c r="Q719" t="str">
        <f t="shared" si="35"/>
        <v>Unfavorable</v>
      </c>
    </row>
    <row r="720" spans="1:17">
      <c r="A720" t="s">
        <v>730</v>
      </c>
      <c r="B720" s="2">
        <v>45689</v>
      </c>
      <c r="C720">
        <v>6000</v>
      </c>
      <c r="D720" t="s">
        <v>2014</v>
      </c>
      <c r="E720">
        <v>958.28</v>
      </c>
      <c r="F720">
        <v>0</v>
      </c>
      <c r="G720" t="s">
        <v>2020</v>
      </c>
      <c r="H720" t="s">
        <v>2023</v>
      </c>
      <c r="I720" t="s">
        <v>2746</v>
      </c>
      <c r="J720" t="s">
        <v>4031</v>
      </c>
      <c r="K720" t="s">
        <v>4061</v>
      </c>
      <c r="L720">
        <v>-958.28</v>
      </c>
      <c r="N720">
        <f t="shared" si="33"/>
        <v>-958.28</v>
      </c>
      <c r="O720" t="s">
        <v>4104</v>
      </c>
      <c r="P720" t="str">
        <f t="shared" si="34"/>
        <v xml:space="preserve"> </v>
      </c>
      <c r="Q720" t="str">
        <f t="shared" si="35"/>
        <v>Unfavorable</v>
      </c>
    </row>
    <row r="721" spans="1:17">
      <c r="A721" t="s">
        <v>731</v>
      </c>
      <c r="B721" s="2">
        <v>45641</v>
      </c>
      <c r="C721">
        <v>4010</v>
      </c>
      <c r="D721" t="s">
        <v>2016</v>
      </c>
      <c r="E721">
        <v>0</v>
      </c>
      <c r="F721">
        <v>3448.25</v>
      </c>
      <c r="G721" t="s">
        <v>2021</v>
      </c>
      <c r="H721" t="s">
        <v>2027</v>
      </c>
      <c r="I721" t="s">
        <v>2747</v>
      </c>
      <c r="J721" t="s">
        <v>4031</v>
      </c>
      <c r="K721" t="s">
        <v>4056</v>
      </c>
      <c r="L721">
        <v>3448.25</v>
      </c>
      <c r="N721">
        <f t="shared" si="33"/>
        <v>3448.25</v>
      </c>
      <c r="O721" t="s">
        <v>4104</v>
      </c>
      <c r="P721" t="str">
        <f t="shared" si="34"/>
        <v xml:space="preserve"> </v>
      </c>
      <c r="Q721" t="str">
        <f t="shared" si="35"/>
        <v>Favorable</v>
      </c>
    </row>
    <row r="722" spans="1:17">
      <c r="A722" t="s">
        <v>732</v>
      </c>
      <c r="B722" s="2">
        <v>45700</v>
      </c>
      <c r="C722">
        <v>5000</v>
      </c>
      <c r="D722" t="s">
        <v>2013</v>
      </c>
      <c r="E722">
        <v>863.44</v>
      </c>
      <c r="F722">
        <v>0</v>
      </c>
      <c r="G722" t="s">
        <v>2020</v>
      </c>
      <c r="H722" t="s">
        <v>2026</v>
      </c>
      <c r="I722" t="s">
        <v>2748</v>
      </c>
      <c r="J722" t="s">
        <v>4031</v>
      </c>
      <c r="K722" t="s">
        <v>4061</v>
      </c>
      <c r="L722">
        <v>-863.44</v>
      </c>
      <c r="N722">
        <f t="shared" si="33"/>
        <v>-863.44</v>
      </c>
      <c r="O722" t="s">
        <v>4104</v>
      </c>
      <c r="P722" t="str">
        <f t="shared" si="34"/>
        <v xml:space="preserve"> </v>
      </c>
      <c r="Q722" t="str">
        <f t="shared" si="35"/>
        <v>Unfavorable</v>
      </c>
    </row>
    <row r="723" spans="1:17">
      <c r="A723" t="s">
        <v>733</v>
      </c>
      <c r="B723" s="2">
        <v>44987</v>
      </c>
      <c r="C723">
        <v>6000</v>
      </c>
      <c r="D723" t="s">
        <v>2014</v>
      </c>
      <c r="E723">
        <v>1764.03</v>
      </c>
      <c r="F723">
        <v>0</v>
      </c>
      <c r="G723" t="s">
        <v>2018</v>
      </c>
      <c r="H723" t="s">
        <v>2023</v>
      </c>
      <c r="I723" t="s">
        <v>2749</v>
      </c>
      <c r="J723" t="s">
        <v>4030</v>
      </c>
      <c r="K723" t="s">
        <v>4051</v>
      </c>
      <c r="L723">
        <v>-1764.03</v>
      </c>
      <c r="N723">
        <f t="shared" si="33"/>
        <v>-1764.03</v>
      </c>
      <c r="O723" t="s">
        <v>4104</v>
      </c>
      <c r="P723" t="str">
        <f t="shared" si="34"/>
        <v xml:space="preserve"> </v>
      </c>
      <c r="Q723" t="str">
        <f t="shared" si="35"/>
        <v>Unfavorable</v>
      </c>
    </row>
    <row r="724" spans="1:17">
      <c r="A724" t="s">
        <v>734</v>
      </c>
      <c r="B724" s="2">
        <v>45632</v>
      </c>
      <c r="C724">
        <v>5010</v>
      </c>
      <c r="D724" t="s">
        <v>2015</v>
      </c>
      <c r="E724">
        <v>1182.72</v>
      </c>
      <c r="F724">
        <v>0</v>
      </c>
      <c r="G724" t="s">
        <v>2021</v>
      </c>
      <c r="H724" t="s">
        <v>2027</v>
      </c>
      <c r="I724" t="s">
        <v>2750</v>
      </c>
      <c r="J724" t="s">
        <v>4029</v>
      </c>
      <c r="K724" t="s">
        <v>4056</v>
      </c>
      <c r="L724">
        <v>-1182.72</v>
      </c>
      <c r="N724">
        <f t="shared" si="33"/>
        <v>-1182.72</v>
      </c>
      <c r="O724" t="s">
        <v>4104</v>
      </c>
      <c r="P724" t="str">
        <f t="shared" si="34"/>
        <v xml:space="preserve"> </v>
      </c>
      <c r="Q724" t="str">
        <f t="shared" si="35"/>
        <v>Unfavorable</v>
      </c>
    </row>
    <row r="725" spans="1:17">
      <c r="A725" t="s">
        <v>735</v>
      </c>
      <c r="B725" s="2">
        <v>45756</v>
      </c>
      <c r="C725">
        <v>6000</v>
      </c>
      <c r="D725" t="s">
        <v>2014</v>
      </c>
      <c r="E725">
        <v>1094.9100000000001</v>
      </c>
      <c r="F725">
        <v>0</v>
      </c>
      <c r="G725" t="s">
        <v>2018</v>
      </c>
      <c r="H725" t="s">
        <v>2025</v>
      </c>
      <c r="I725" t="s">
        <v>2751</v>
      </c>
      <c r="J725" t="s">
        <v>4028</v>
      </c>
      <c r="K725" t="s">
        <v>4045</v>
      </c>
      <c r="L725">
        <v>-1094.9100000000001</v>
      </c>
      <c r="N725">
        <f t="shared" si="33"/>
        <v>-1094.9100000000001</v>
      </c>
      <c r="O725" t="s">
        <v>4104</v>
      </c>
      <c r="P725" t="str">
        <f t="shared" si="34"/>
        <v xml:space="preserve"> </v>
      </c>
      <c r="Q725" t="str">
        <f t="shared" si="35"/>
        <v>Unfavorable</v>
      </c>
    </row>
    <row r="726" spans="1:17">
      <c r="A726" t="s">
        <v>736</v>
      </c>
      <c r="B726" s="2">
        <v>45821</v>
      </c>
      <c r="C726">
        <v>5010</v>
      </c>
      <c r="D726" t="s">
        <v>2015</v>
      </c>
      <c r="E726">
        <v>889.16</v>
      </c>
      <c r="F726">
        <v>0</v>
      </c>
      <c r="G726" t="s">
        <v>2018</v>
      </c>
      <c r="H726" t="s">
        <v>2027</v>
      </c>
      <c r="I726" t="s">
        <v>2752</v>
      </c>
      <c r="J726" t="s">
        <v>4028</v>
      </c>
      <c r="K726" t="s">
        <v>4052</v>
      </c>
      <c r="L726">
        <v>-889.16</v>
      </c>
      <c r="N726">
        <f t="shared" si="33"/>
        <v>-889.16</v>
      </c>
      <c r="O726" t="s">
        <v>4104</v>
      </c>
      <c r="P726" t="str">
        <f t="shared" si="34"/>
        <v xml:space="preserve"> </v>
      </c>
      <c r="Q726" t="str">
        <f t="shared" si="35"/>
        <v>Unfavorable</v>
      </c>
    </row>
    <row r="727" spans="1:17">
      <c r="A727" t="s">
        <v>737</v>
      </c>
      <c r="B727" s="2">
        <v>45442</v>
      </c>
      <c r="C727">
        <v>5000</v>
      </c>
      <c r="D727" t="s">
        <v>2013</v>
      </c>
      <c r="E727">
        <v>1474.83</v>
      </c>
      <c r="F727">
        <v>0</v>
      </c>
      <c r="G727" t="s">
        <v>2018</v>
      </c>
      <c r="H727" t="s">
        <v>2026</v>
      </c>
      <c r="I727" t="s">
        <v>2753</v>
      </c>
      <c r="J727" t="s">
        <v>4031</v>
      </c>
      <c r="K727" t="s">
        <v>4033</v>
      </c>
      <c r="L727">
        <v>-1474.83</v>
      </c>
      <c r="N727">
        <f t="shared" si="33"/>
        <v>-1474.83</v>
      </c>
      <c r="O727" t="s">
        <v>4104</v>
      </c>
      <c r="P727" t="str">
        <f t="shared" si="34"/>
        <v xml:space="preserve"> </v>
      </c>
      <c r="Q727" t="str">
        <f t="shared" si="35"/>
        <v>Unfavorable</v>
      </c>
    </row>
    <row r="728" spans="1:17">
      <c r="A728" t="s">
        <v>738</v>
      </c>
      <c r="B728" s="2">
        <v>45326</v>
      </c>
      <c r="C728">
        <v>5000</v>
      </c>
      <c r="D728" t="s">
        <v>2013</v>
      </c>
      <c r="E728">
        <v>1846.14</v>
      </c>
      <c r="F728">
        <v>0</v>
      </c>
      <c r="G728" t="s">
        <v>2018</v>
      </c>
      <c r="H728" t="s">
        <v>2024</v>
      </c>
      <c r="I728" t="s">
        <v>2754</v>
      </c>
      <c r="J728" t="s">
        <v>4032</v>
      </c>
      <c r="K728" t="s">
        <v>4044</v>
      </c>
      <c r="L728">
        <v>-1846.14</v>
      </c>
      <c r="N728">
        <f t="shared" si="33"/>
        <v>-1846.14</v>
      </c>
      <c r="O728" t="s">
        <v>4104</v>
      </c>
      <c r="P728" t="str">
        <f t="shared" si="34"/>
        <v xml:space="preserve"> </v>
      </c>
      <c r="Q728" t="str">
        <f t="shared" si="35"/>
        <v>Unfavorable</v>
      </c>
    </row>
    <row r="729" spans="1:17">
      <c r="A729" t="s">
        <v>739</v>
      </c>
      <c r="B729" s="2">
        <v>45704</v>
      </c>
      <c r="C729">
        <v>4000</v>
      </c>
      <c r="D729" t="s">
        <v>2012</v>
      </c>
      <c r="E729">
        <v>0</v>
      </c>
      <c r="F729">
        <v>4903.1499999999996</v>
      </c>
      <c r="G729" t="s">
        <v>2019</v>
      </c>
      <c r="H729" t="s">
        <v>2025</v>
      </c>
      <c r="I729" t="s">
        <v>2755</v>
      </c>
      <c r="J729" t="s">
        <v>4030</v>
      </c>
      <c r="K729" t="s">
        <v>4061</v>
      </c>
      <c r="L729">
        <v>4903.1499999999996</v>
      </c>
      <c r="N729">
        <f t="shared" si="33"/>
        <v>4903.1499999999996</v>
      </c>
      <c r="O729" t="s">
        <v>4104</v>
      </c>
      <c r="P729" t="str">
        <f t="shared" si="34"/>
        <v xml:space="preserve"> </v>
      </c>
      <c r="Q729" t="str">
        <f t="shared" si="35"/>
        <v>Favorable</v>
      </c>
    </row>
    <row r="730" spans="1:17">
      <c r="A730" t="s">
        <v>740</v>
      </c>
      <c r="B730" s="2">
        <v>45615</v>
      </c>
      <c r="C730">
        <v>4000</v>
      </c>
      <c r="D730" t="s">
        <v>2012</v>
      </c>
      <c r="E730">
        <v>0</v>
      </c>
      <c r="F730">
        <v>2093.2399999999998</v>
      </c>
      <c r="G730" t="s">
        <v>2022</v>
      </c>
      <c r="H730" t="s">
        <v>2027</v>
      </c>
      <c r="I730" t="s">
        <v>2756</v>
      </c>
      <c r="J730" t="s">
        <v>4030</v>
      </c>
      <c r="K730" t="s">
        <v>4043</v>
      </c>
      <c r="L730">
        <v>2093.2399999999998</v>
      </c>
      <c r="N730">
        <f t="shared" si="33"/>
        <v>2093.2399999999998</v>
      </c>
      <c r="O730" t="s">
        <v>4104</v>
      </c>
      <c r="P730" t="str">
        <f t="shared" si="34"/>
        <v xml:space="preserve"> </v>
      </c>
      <c r="Q730" t="str">
        <f t="shared" si="35"/>
        <v>Favorable</v>
      </c>
    </row>
    <row r="731" spans="1:17">
      <c r="A731" t="s">
        <v>741</v>
      </c>
      <c r="B731" s="2">
        <v>45450</v>
      </c>
      <c r="C731">
        <v>6000</v>
      </c>
      <c r="D731" t="s">
        <v>2014</v>
      </c>
      <c r="E731">
        <v>1171.3</v>
      </c>
      <c r="F731">
        <v>0</v>
      </c>
      <c r="G731" t="s">
        <v>2017</v>
      </c>
      <c r="H731" t="s">
        <v>2023</v>
      </c>
      <c r="I731" t="s">
        <v>2757</v>
      </c>
      <c r="J731" t="s">
        <v>4032</v>
      </c>
      <c r="K731" t="s">
        <v>4034</v>
      </c>
      <c r="L731">
        <v>-1171.3</v>
      </c>
      <c r="N731">
        <f t="shared" si="33"/>
        <v>-1171.3</v>
      </c>
      <c r="O731" t="s">
        <v>4104</v>
      </c>
      <c r="P731" t="str">
        <f t="shared" si="34"/>
        <v xml:space="preserve"> </v>
      </c>
      <c r="Q731" t="str">
        <f t="shared" si="35"/>
        <v>Unfavorable</v>
      </c>
    </row>
    <row r="732" spans="1:17">
      <c r="A732" t="s">
        <v>742</v>
      </c>
      <c r="B732" s="2">
        <v>45540</v>
      </c>
      <c r="C732">
        <v>5010</v>
      </c>
      <c r="D732" t="s">
        <v>2015</v>
      </c>
      <c r="E732">
        <v>930.25</v>
      </c>
      <c r="F732">
        <v>0</v>
      </c>
      <c r="G732" t="s">
        <v>2019</v>
      </c>
      <c r="H732" t="s">
        <v>2023</v>
      </c>
      <c r="I732" t="s">
        <v>2758</v>
      </c>
      <c r="J732" t="s">
        <v>4028</v>
      </c>
      <c r="K732" t="s">
        <v>4048</v>
      </c>
      <c r="L732">
        <v>-930.25</v>
      </c>
      <c r="N732">
        <f t="shared" si="33"/>
        <v>-930.25</v>
      </c>
      <c r="O732" t="s">
        <v>4104</v>
      </c>
      <c r="P732" t="str">
        <f t="shared" si="34"/>
        <v xml:space="preserve"> </v>
      </c>
      <c r="Q732" t="str">
        <f t="shared" si="35"/>
        <v>Unfavorable</v>
      </c>
    </row>
    <row r="733" spans="1:17">
      <c r="A733" t="s">
        <v>743</v>
      </c>
      <c r="B733" s="2">
        <v>45543</v>
      </c>
      <c r="C733">
        <v>4000</v>
      </c>
      <c r="D733" t="s">
        <v>2012</v>
      </c>
      <c r="E733">
        <v>0</v>
      </c>
      <c r="F733">
        <v>4977.82</v>
      </c>
      <c r="G733" t="s">
        <v>2019</v>
      </c>
      <c r="H733" t="s">
        <v>2025</v>
      </c>
      <c r="I733" t="s">
        <v>2759</v>
      </c>
      <c r="J733" t="s">
        <v>4032</v>
      </c>
      <c r="K733" t="s">
        <v>4048</v>
      </c>
      <c r="L733">
        <v>4977.82</v>
      </c>
      <c r="N733">
        <f t="shared" si="33"/>
        <v>4977.82</v>
      </c>
      <c r="O733" t="s">
        <v>4104</v>
      </c>
      <c r="P733" t="str">
        <f t="shared" si="34"/>
        <v xml:space="preserve"> </v>
      </c>
      <c r="Q733" t="str">
        <f t="shared" si="35"/>
        <v>Favorable</v>
      </c>
    </row>
    <row r="734" spans="1:17">
      <c r="A734" t="s">
        <v>744</v>
      </c>
      <c r="B734" s="2">
        <v>45080</v>
      </c>
      <c r="C734">
        <v>5010</v>
      </c>
      <c r="D734" t="s">
        <v>2015</v>
      </c>
      <c r="E734">
        <v>1937.34</v>
      </c>
      <c r="F734">
        <v>0</v>
      </c>
      <c r="G734" t="s">
        <v>2020</v>
      </c>
      <c r="H734" t="s">
        <v>2027</v>
      </c>
      <c r="I734" t="s">
        <v>2760</v>
      </c>
      <c r="J734" t="s">
        <v>4030</v>
      </c>
      <c r="K734" t="s">
        <v>4055</v>
      </c>
      <c r="L734">
        <v>-1937.34</v>
      </c>
      <c r="N734">
        <f t="shared" si="33"/>
        <v>-1937.34</v>
      </c>
      <c r="O734" t="s">
        <v>4104</v>
      </c>
      <c r="P734" t="str">
        <f t="shared" si="34"/>
        <v xml:space="preserve"> </v>
      </c>
      <c r="Q734" t="str">
        <f t="shared" si="35"/>
        <v>Unfavorable</v>
      </c>
    </row>
    <row r="735" spans="1:17">
      <c r="A735" t="s">
        <v>745</v>
      </c>
      <c r="B735" s="2">
        <v>45794</v>
      </c>
      <c r="C735">
        <v>4000</v>
      </c>
      <c r="D735" t="s">
        <v>2012</v>
      </c>
      <c r="E735">
        <v>0</v>
      </c>
      <c r="F735">
        <v>1978.42</v>
      </c>
      <c r="G735" t="s">
        <v>2020</v>
      </c>
      <c r="H735" t="s">
        <v>2027</v>
      </c>
      <c r="I735" t="s">
        <v>2761</v>
      </c>
      <c r="J735" t="s">
        <v>4029</v>
      </c>
      <c r="K735" t="s">
        <v>4038</v>
      </c>
      <c r="L735">
        <v>1978.42</v>
      </c>
      <c r="N735">
        <f t="shared" si="33"/>
        <v>1978.42</v>
      </c>
      <c r="O735" t="s">
        <v>4104</v>
      </c>
      <c r="P735" t="str">
        <f t="shared" si="34"/>
        <v xml:space="preserve"> </v>
      </c>
      <c r="Q735" t="str">
        <f t="shared" si="35"/>
        <v>Favorable</v>
      </c>
    </row>
    <row r="736" spans="1:17">
      <c r="A736" t="s">
        <v>746</v>
      </c>
      <c r="B736" s="2">
        <v>45445</v>
      </c>
      <c r="C736">
        <v>6000</v>
      </c>
      <c r="D736" t="s">
        <v>2014</v>
      </c>
      <c r="E736">
        <v>678.83</v>
      </c>
      <c r="F736">
        <v>0</v>
      </c>
      <c r="G736" t="s">
        <v>2021</v>
      </c>
      <c r="H736" t="s">
        <v>2026</v>
      </c>
      <c r="I736" t="s">
        <v>2762</v>
      </c>
      <c r="J736" t="s">
        <v>4030</v>
      </c>
      <c r="K736" t="s">
        <v>4034</v>
      </c>
      <c r="L736">
        <v>-678.83</v>
      </c>
      <c r="N736">
        <f t="shared" si="33"/>
        <v>-678.83</v>
      </c>
      <c r="O736" t="s">
        <v>4104</v>
      </c>
      <c r="P736" t="str">
        <f t="shared" si="34"/>
        <v xml:space="preserve"> </v>
      </c>
      <c r="Q736" t="str">
        <f t="shared" si="35"/>
        <v>Unfavorable</v>
      </c>
    </row>
    <row r="737" spans="1:17">
      <c r="A737" t="s">
        <v>747</v>
      </c>
      <c r="B737" s="2">
        <v>45344</v>
      </c>
      <c r="C737">
        <v>4010</v>
      </c>
      <c r="D737" t="s">
        <v>2016</v>
      </c>
      <c r="E737">
        <v>0</v>
      </c>
      <c r="F737">
        <v>463.02</v>
      </c>
      <c r="G737" t="s">
        <v>2022</v>
      </c>
      <c r="H737" t="s">
        <v>2023</v>
      </c>
      <c r="I737" t="s">
        <v>2763</v>
      </c>
      <c r="J737" t="s">
        <v>4028</v>
      </c>
      <c r="K737" t="s">
        <v>4044</v>
      </c>
      <c r="L737">
        <v>463.02</v>
      </c>
      <c r="N737">
        <f t="shared" si="33"/>
        <v>463.02</v>
      </c>
      <c r="O737" t="s">
        <v>4104</v>
      </c>
      <c r="P737" t="str">
        <f t="shared" si="34"/>
        <v xml:space="preserve"> </v>
      </c>
      <c r="Q737" t="str">
        <f t="shared" si="35"/>
        <v>Favorable</v>
      </c>
    </row>
    <row r="738" spans="1:17">
      <c r="A738" t="s">
        <v>748</v>
      </c>
      <c r="B738" s="2">
        <v>45403</v>
      </c>
      <c r="C738">
        <v>5010</v>
      </c>
      <c r="D738" t="s">
        <v>2015</v>
      </c>
      <c r="E738">
        <v>1296.07</v>
      </c>
      <c r="F738">
        <v>0</v>
      </c>
      <c r="G738" t="s">
        <v>2018</v>
      </c>
      <c r="H738" t="s">
        <v>2027</v>
      </c>
      <c r="I738" t="s">
        <v>2764</v>
      </c>
      <c r="J738" t="s">
        <v>4030</v>
      </c>
      <c r="K738" t="s">
        <v>4040</v>
      </c>
      <c r="L738">
        <v>-1296.07</v>
      </c>
      <c r="N738">
        <f t="shared" si="33"/>
        <v>-1296.07</v>
      </c>
      <c r="O738" t="s">
        <v>4104</v>
      </c>
      <c r="P738" t="str">
        <f t="shared" si="34"/>
        <v xml:space="preserve"> </v>
      </c>
      <c r="Q738" t="str">
        <f t="shared" si="35"/>
        <v>Unfavorable</v>
      </c>
    </row>
    <row r="739" spans="1:17">
      <c r="A739" t="s">
        <v>749</v>
      </c>
      <c r="B739" s="2">
        <v>45271</v>
      </c>
      <c r="C739">
        <v>4010</v>
      </c>
      <c r="D739" t="s">
        <v>2016</v>
      </c>
      <c r="E739">
        <v>0</v>
      </c>
      <c r="F739">
        <v>3270.5</v>
      </c>
      <c r="G739" t="s">
        <v>2017</v>
      </c>
      <c r="H739" t="s">
        <v>2024</v>
      </c>
      <c r="I739" t="s">
        <v>2765</v>
      </c>
      <c r="J739" t="s">
        <v>4029</v>
      </c>
      <c r="K739" t="s">
        <v>4039</v>
      </c>
      <c r="L739">
        <v>3270.5</v>
      </c>
      <c r="N739">
        <f t="shared" si="33"/>
        <v>3270.5</v>
      </c>
      <c r="O739" t="s">
        <v>4104</v>
      </c>
      <c r="P739" t="str">
        <f t="shared" si="34"/>
        <v xml:space="preserve"> </v>
      </c>
      <c r="Q739" t="str">
        <f t="shared" si="35"/>
        <v>Favorable</v>
      </c>
    </row>
    <row r="740" spans="1:17">
      <c r="A740" t="s">
        <v>750</v>
      </c>
      <c r="B740" s="2">
        <v>45380</v>
      </c>
      <c r="C740">
        <v>4010</v>
      </c>
      <c r="D740" t="s">
        <v>2016</v>
      </c>
      <c r="E740">
        <v>0</v>
      </c>
      <c r="F740">
        <v>2188.77</v>
      </c>
      <c r="G740" t="s">
        <v>2021</v>
      </c>
      <c r="H740" t="s">
        <v>2026</v>
      </c>
      <c r="I740" t="s">
        <v>2766</v>
      </c>
      <c r="J740" t="s">
        <v>4032</v>
      </c>
      <c r="K740" t="s">
        <v>4049</v>
      </c>
      <c r="L740">
        <v>2188.77</v>
      </c>
      <c r="N740">
        <f t="shared" si="33"/>
        <v>2188.77</v>
      </c>
      <c r="O740" t="s">
        <v>4104</v>
      </c>
      <c r="P740" t="str">
        <f t="shared" si="34"/>
        <v xml:space="preserve"> </v>
      </c>
      <c r="Q740" t="str">
        <f t="shared" si="35"/>
        <v>Favorable</v>
      </c>
    </row>
    <row r="741" spans="1:17">
      <c r="A741" t="s">
        <v>751</v>
      </c>
      <c r="B741" s="2">
        <v>45569</v>
      </c>
      <c r="C741">
        <v>5000</v>
      </c>
      <c r="D741" t="s">
        <v>2013</v>
      </c>
      <c r="E741">
        <v>655.77</v>
      </c>
      <c r="F741">
        <v>0</v>
      </c>
      <c r="G741" t="s">
        <v>2018</v>
      </c>
      <c r="H741" t="s">
        <v>2027</v>
      </c>
      <c r="I741" t="s">
        <v>2767</v>
      </c>
      <c r="J741" t="s">
        <v>4030</v>
      </c>
      <c r="K741" t="s">
        <v>4059</v>
      </c>
      <c r="L741">
        <v>-655.77</v>
      </c>
      <c r="N741">
        <f t="shared" si="33"/>
        <v>-655.77</v>
      </c>
      <c r="O741" t="s">
        <v>4104</v>
      </c>
      <c r="P741" t="str">
        <f t="shared" si="34"/>
        <v xml:space="preserve"> </v>
      </c>
      <c r="Q741" t="str">
        <f t="shared" si="35"/>
        <v>Unfavorable</v>
      </c>
    </row>
    <row r="742" spans="1:17">
      <c r="A742" t="s">
        <v>752</v>
      </c>
      <c r="B742" s="2">
        <v>45524</v>
      </c>
      <c r="C742">
        <v>6000</v>
      </c>
      <c r="D742" t="s">
        <v>2014</v>
      </c>
      <c r="E742">
        <v>407.27</v>
      </c>
      <c r="F742">
        <v>0</v>
      </c>
      <c r="G742" t="s">
        <v>2021</v>
      </c>
      <c r="H742" t="s">
        <v>2026</v>
      </c>
      <c r="I742" t="s">
        <v>2768</v>
      </c>
      <c r="J742" t="s">
        <v>4028</v>
      </c>
      <c r="K742" t="s">
        <v>4058</v>
      </c>
      <c r="L742">
        <v>-407.27</v>
      </c>
      <c r="N742">
        <f t="shared" si="33"/>
        <v>-407.27</v>
      </c>
      <c r="O742" t="s">
        <v>4104</v>
      </c>
      <c r="P742" t="str">
        <f t="shared" si="34"/>
        <v xml:space="preserve"> </v>
      </c>
      <c r="Q742" t="str">
        <f t="shared" si="35"/>
        <v>Unfavorable</v>
      </c>
    </row>
    <row r="743" spans="1:17">
      <c r="A743" t="s">
        <v>753</v>
      </c>
      <c r="B743" s="2">
        <v>45273</v>
      </c>
      <c r="C743">
        <v>5010</v>
      </c>
      <c r="D743" t="s">
        <v>2015</v>
      </c>
      <c r="E743">
        <v>744.16</v>
      </c>
      <c r="F743">
        <v>0</v>
      </c>
      <c r="G743" t="s">
        <v>2018</v>
      </c>
      <c r="H743" t="s">
        <v>2023</v>
      </c>
      <c r="I743" t="s">
        <v>2769</v>
      </c>
      <c r="J743" t="s">
        <v>4028</v>
      </c>
      <c r="K743" t="s">
        <v>4039</v>
      </c>
      <c r="L743">
        <v>-744.16</v>
      </c>
      <c r="N743">
        <f t="shared" si="33"/>
        <v>-744.16</v>
      </c>
      <c r="O743" t="s">
        <v>4104</v>
      </c>
      <c r="P743" t="str">
        <f t="shared" si="34"/>
        <v xml:space="preserve"> </v>
      </c>
      <c r="Q743" t="str">
        <f t="shared" si="35"/>
        <v>Unfavorable</v>
      </c>
    </row>
    <row r="744" spans="1:17">
      <c r="A744" t="s">
        <v>754</v>
      </c>
      <c r="B744" s="2">
        <v>45139</v>
      </c>
      <c r="C744">
        <v>4010</v>
      </c>
      <c r="D744" t="s">
        <v>2016</v>
      </c>
      <c r="E744">
        <v>0</v>
      </c>
      <c r="F744">
        <v>4474.66</v>
      </c>
      <c r="G744" t="s">
        <v>2018</v>
      </c>
      <c r="H744" t="s">
        <v>2024</v>
      </c>
      <c r="I744" t="s">
        <v>2770</v>
      </c>
      <c r="J744" t="s">
        <v>4028</v>
      </c>
      <c r="K744" t="s">
        <v>4037</v>
      </c>
      <c r="L744">
        <v>4474.66</v>
      </c>
      <c r="N744">
        <f t="shared" si="33"/>
        <v>4474.66</v>
      </c>
      <c r="O744" t="s">
        <v>4104</v>
      </c>
      <c r="P744" t="str">
        <f t="shared" si="34"/>
        <v xml:space="preserve"> </v>
      </c>
      <c r="Q744" t="str">
        <f t="shared" si="35"/>
        <v>Favorable</v>
      </c>
    </row>
    <row r="745" spans="1:17">
      <c r="A745" t="s">
        <v>755</v>
      </c>
      <c r="B745" s="2">
        <v>45754</v>
      </c>
      <c r="C745">
        <v>5000</v>
      </c>
      <c r="D745" t="s">
        <v>2013</v>
      </c>
      <c r="E745">
        <v>75.27</v>
      </c>
      <c r="F745">
        <v>0</v>
      </c>
      <c r="G745" t="s">
        <v>2022</v>
      </c>
      <c r="H745" t="s">
        <v>2025</v>
      </c>
      <c r="I745" t="s">
        <v>2771</v>
      </c>
      <c r="J745" t="s">
        <v>4029</v>
      </c>
      <c r="K745" t="s">
        <v>4045</v>
      </c>
      <c r="L745">
        <v>-75.27</v>
      </c>
      <c r="N745">
        <f t="shared" si="33"/>
        <v>-75.27</v>
      </c>
      <c r="O745" t="s">
        <v>4104</v>
      </c>
      <c r="P745" t="str">
        <f t="shared" si="34"/>
        <v xml:space="preserve"> </v>
      </c>
      <c r="Q745" t="str">
        <f t="shared" si="35"/>
        <v>Unfavorable</v>
      </c>
    </row>
    <row r="746" spans="1:17">
      <c r="A746" t="s">
        <v>756</v>
      </c>
      <c r="B746" s="2">
        <v>45663</v>
      </c>
      <c r="C746">
        <v>5000</v>
      </c>
      <c r="D746" t="s">
        <v>2013</v>
      </c>
      <c r="E746">
        <v>1164.26</v>
      </c>
      <c r="F746">
        <v>0</v>
      </c>
      <c r="G746" t="s">
        <v>2018</v>
      </c>
      <c r="H746" t="s">
        <v>2025</v>
      </c>
      <c r="I746" t="s">
        <v>2772</v>
      </c>
      <c r="J746" t="s">
        <v>4029</v>
      </c>
      <c r="K746" t="s">
        <v>4035</v>
      </c>
      <c r="L746">
        <v>-1164.26</v>
      </c>
      <c r="N746">
        <f t="shared" si="33"/>
        <v>-1164.26</v>
      </c>
      <c r="O746" t="s">
        <v>4104</v>
      </c>
      <c r="P746" t="str">
        <f t="shared" si="34"/>
        <v xml:space="preserve"> </v>
      </c>
      <c r="Q746" t="str">
        <f t="shared" si="35"/>
        <v>Unfavorable</v>
      </c>
    </row>
    <row r="747" spans="1:17">
      <c r="A747" t="s">
        <v>757</v>
      </c>
      <c r="B747" s="2">
        <v>44988</v>
      </c>
      <c r="C747">
        <v>5000</v>
      </c>
      <c r="D747" t="s">
        <v>2013</v>
      </c>
      <c r="E747">
        <v>937.56</v>
      </c>
      <c r="F747">
        <v>0</v>
      </c>
      <c r="G747" t="s">
        <v>2017</v>
      </c>
      <c r="H747" t="s">
        <v>2027</v>
      </c>
      <c r="I747" t="s">
        <v>2773</v>
      </c>
      <c r="J747" t="s">
        <v>4030</v>
      </c>
      <c r="K747" t="s">
        <v>4051</v>
      </c>
      <c r="L747">
        <v>-937.56</v>
      </c>
      <c r="N747">
        <f t="shared" si="33"/>
        <v>-937.56</v>
      </c>
      <c r="O747" t="s">
        <v>4104</v>
      </c>
      <c r="P747" t="str">
        <f t="shared" si="34"/>
        <v xml:space="preserve"> </v>
      </c>
      <c r="Q747" t="str">
        <f t="shared" si="35"/>
        <v>Unfavorable</v>
      </c>
    </row>
    <row r="748" spans="1:17">
      <c r="A748" t="s">
        <v>758</v>
      </c>
      <c r="B748" s="2">
        <v>45578</v>
      </c>
      <c r="C748">
        <v>4010</v>
      </c>
      <c r="D748" t="s">
        <v>2016</v>
      </c>
      <c r="E748">
        <v>0</v>
      </c>
      <c r="F748">
        <v>4164.95</v>
      </c>
      <c r="G748" t="s">
        <v>2017</v>
      </c>
      <c r="H748" t="s">
        <v>2024</v>
      </c>
      <c r="I748" t="s">
        <v>2774</v>
      </c>
      <c r="J748" t="s">
        <v>4028</v>
      </c>
      <c r="K748" t="s">
        <v>4059</v>
      </c>
      <c r="L748">
        <v>4164.95</v>
      </c>
      <c r="N748">
        <f t="shared" si="33"/>
        <v>4164.95</v>
      </c>
      <c r="O748" t="s">
        <v>4104</v>
      </c>
      <c r="P748" t="str">
        <f t="shared" si="34"/>
        <v xml:space="preserve"> </v>
      </c>
      <c r="Q748" t="str">
        <f t="shared" si="35"/>
        <v>Favorable</v>
      </c>
    </row>
    <row r="749" spans="1:17">
      <c r="A749" t="s">
        <v>759</v>
      </c>
      <c r="B749" s="2">
        <v>44949</v>
      </c>
      <c r="C749">
        <v>4000</v>
      </c>
      <c r="D749" t="s">
        <v>2012</v>
      </c>
      <c r="E749">
        <v>0</v>
      </c>
      <c r="F749">
        <v>2820.1</v>
      </c>
      <c r="G749" t="s">
        <v>2021</v>
      </c>
      <c r="H749" t="s">
        <v>2026</v>
      </c>
      <c r="I749" t="s">
        <v>2775</v>
      </c>
      <c r="J749" t="s">
        <v>4028</v>
      </c>
      <c r="K749" t="s">
        <v>4047</v>
      </c>
      <c r="L749">
        <v>2820.1</v>
      </c>
      <c r="N749">
        <f t="shared" si="33"/>
        <v>2820.1</v>
      </c>
      <c r="O749" t="s">
        <v>4104</v>
      </c>
      <c r="P749" t="str">
        <f t="shared" si="34"/>
        <v xml:space="preserve"> </v>
      </c>
      <c r="Q749" t="str">
        <f t="shared" si="35"/>
        <v>Favorable</v>
      </c>
    </row>
    <row r="750" spans="1:17">
      <c r="A750" t="s">
        <v>760</v>
      </c>
      <c r="B750" s="2">
        <v>45019</v>
      </c>
      <c r="C750">
        <v>4000</v>
      </c>
      <c r="D750" t="s">
        <v>2012</v>
      </c>
      <c r="E750">
        <v>0</v>
      </c>
      <c r="F750">
        <v>2983.93</v>
      </c>
      <c r="G750" t="s">
        <v>2019</v>
      </c>
      <c r="H750" t="s">
        <v>2023</v>
      </c>
      <c r="I750" t="s">
        <v>2776</v>
      </c>
      <c r="J750" t="s">
        <v>4030</v>
      </c>
      <c r="K750" t="s">
        <v>4041</v>
      </c>
      <c r="L750">
        <v>2983.93</v>
      </c>
      <c r="N750">
        <f t="shared" si="33"/>
        <v>2983.93</v>
      </c>
      <c r="O750" t="s">
        <v>4104</v>
      </c>
      <c r="P750" t="str">
        <f t="shared" si="34"/>
        <v xml:space="preserve"> </v>
      </c>
      <c r="Q750" t="str">
        <f t="shared" si="35"/>
        <v>Favorable</v>
      </c>
    </row>
    <row r="751" spans="1:17">
      <c r="A751" t="s">
        <v>761</v>
      </c>
      <c r="B751" s="2">
        <v>45350</v>
      </c>
      <c r="C751">
        <v>5000</v>
      </c>
      <c r="D751" t="s">
        <v>2013</v>
      </c>
      <c r="E751">
        <v>319.47000000000003</v>
      </c>
      <c r="F751">
        <v>0</v>
      </c>
      <c r="G751" t="s">
        <v>2019</v>
      </c>
      <c r="H751" t="s">
        <v>2027</v>
      </c>
      <c r="I751" t="s">
        <v>2777</v>
      </c>
      <c r="J751" t="s">
        <v>4028</v>
      </c>
      <c r="K751" t="s">
        <v>4044</v>
      </c>
      <c r="L751">
        <v>-319.47000000000003</v>
      </c>
      <c r="N751">
        <f t="shared" si="33"/>
        <v>-319.47000000000003</v>
      </c>
      <c r="O751" t="s">
        <v>4104</v>
      </c>
      <c r="P751" t="str">
        <f t="shared" si="34"/>
        <v xml:space="preserve"> </v>
      </c>
      <c r="Q751" t="str">
        <f t="shared" si="35"/>
        <v>Unfavorable</v>
      </c>
    </row>
    <row r="752" spans="1:17">
      <c r="A752" t="s">
        <v>762</v>
      </c>
      <c r="B752" s="2">
        <v>45268</v>
      </c>
      <c r="C752">
        <v>4000</v>
      </c>
      <c r="D752" t="s">
        <v>2012</v>
      </c>
      <c r="E752">
        <v>0</v>
      </c>
      <c r="F752">
        <v>1222.08</v>
      </c>
      <c r="G752" t="s">
        <v>2018</v>
      </c>
      <c r="H752" t="s">
        <v>2023</v>
      </c>
      <c r="I752" t="s">
        <v>2778</v>
      </c>
      <c r="J752" t="s">
        <v>4031</v>
      </c>
      <c r="K752" t="s">
        <v>4039</v>
      </c>
      <c r="L752">
        <v>1222.08</v>
      </c>
      <c r="N752">
        <f t="shared" si="33"/>
        <v>1222.08</v>
      </c>
      <c r="O752" t="s">
        <v>4104</v>
      </c>
      <c r="P752" t="str">
        <f t="shared" si="34"/>
        <v xml:space="preserve"> </v>
      </c>
      <c r="Q752" t="str">
        <f t="shared" si="35"/>
        <v>Favorable</v>
      </c>
    </row>
    <row r="753" spans="1:17">
      <c r="A753" t="s">
        <v>763</v>
      </c>
      <c r="B753" s="2">
        <v>45161</v>
      </c>
      <c r="C753">
        <v>5010</v>
      </c>
      <c r="D753" t="s">
        <v>2015</v>
      </c>
      <c r="E753">
        <v>199.77</v>
      </c>
      <c r="F753">
        <v>0</v>
      </c>
      <c r="G753" t="s">
        <v>2022</v>
      </c>
      <c r="H753" t="s">
        <v>2024</v>
      </c>
      <c r="I753" t="s">
        <v>2779</v>
      </c>
      <c r="J753" t="s">
        <v>4030</v>
      </c>
      <c r="K753" t="s">
        <v>4037</v>
      </c>
      <c r="L753">
        <v>-199.77</v>
      </c>
      <c r="N753">
        <f t="shared" si="33"/>
        <v>-199.77</v>
      </c>
      <c r="O753" t="s">
        <v>4104</v>
      </c>
      <c r="P753" t="str">
        <f t="shared" si="34"/>
        <v xml:space="preserve"> </v>
      </c>
      <c r="Q753" t="str">
        <f t="shared" si="35"/>
        <v>Unfavorable</v>
      </c>
    </row>
    <row r="754" spans="1:17">
      <c r="A754" t="s">
        <v>764</v>
      </c>
      <c r="B754" s="2">
        <v>44957</v>
      </c>
      <c r="C754">
        <v>4000</v>
      </c>
      <c r="D754" t="s">
        <v>2012</v>
      </c>
      <c r="E754">
        <v>0</v>
      </c>
      <c r="F754">
        <v>4349.28</v>
      </c>
      <c r="G754" t="s">
        <v>2018</v>
      </c>
      <c r="H754" t="s">
        <v>2024</v>
      </c>
      <c r="I754" t="s">
        <v>2780</v>
      </c>
      <c r="J754" t="s">
        <v>4030</v>
      </c>
      <c r="K754" t="s">
        <v>4047</v>
      </c>
      <c r="L754">
        <v>4349.28</v>
      </c>
      <c r="N754">
        <f t="shared" si="33"/>
        <v>4349.28</v>
      </c>
      <c r="O754" t="s">
        <v>4104</v>
      </c>
      <c r="P754" t="str">
        <f t="shared" si="34"/>
        <v xml:space="preserve"> </v>
      </c>
      <c r="Q754" t="str">
        <f t="shared" si="35"/>
        <v>Favorable</v>
      </c>
    </row>
    <row r="755" spans="1:17">
      <c r="A755" t="s">
        <v>765</v>
      </c>
      <c r="B755" s="2">
        <v>45702</v>
      </c>
      <c r="C755">
        <v>5010</v>
      </c>
      <c r="D755" t="s">
        <v>2015</v>
      </c>
      <c r="E755">
        <v>1496.23</v>
      </c>
      <c r="F755">
        <v>0</v>
      </c>
      <c r="G755" t="s">
        <v>2019</v>
      </c>
      <c r="H755" t="s">
        <v>2027</v>
      </c>
      <c r="I755" t="s">
        <v>2781</v>
      </c>
      <c r="J755" t="s">
        <v>4029</v>
      </c>
      <c r="K755" t="s">
        <v>4061</v>
      </c>
      <c r="L755">
        <v>-1496.23</v>
      </c>
      <c r="N755">
        <f t="shared" si="33"/>
        <v>-1496.23</v>
      </c>
      <c r="O755" t="s">
        <v>4104</v>
      </c>
      <c r="P755" t="str">
        <f t="shared" si="34"/>
        <v xml:space="preserve"> </v>
      </c>
      <c r="Q755" t="str">
        <f t="shared" si="35"/>
        <v>Unfavorable</v>
      </c>
    </row>
    <row r="756" spans="1:17">
      <c r="A756" t="s">
        <v>766</v>
      </c>
      <c r="B756" s="2">
        <v>45710</v>
      </c>
      <c r="C756">
        <v>4010</v>
      </c>
      <c r="D756" t="s">
        <v>2016</v>
      </c>
      <c r="E756">
        <v>0</v>
      </c>
      <c r="F756">
        <v>324.7</v>
      </c>
      <c r="G756" t="s">
        <v>2017</v>
      </c>
      <c r="H756" t="s">
        <v>2024</v>
      </c>
      <c r="I756" t="s">
        <v>2782</v>
      </c>
      <c r="J756" t="s">
        <v>4029</v>
      </c>
      <c r="K756" t="s">
        <v>4061</v>
      </c>
      <c r="L756">
        <v>324.7</v>
      </c>
      <c r="N756">
        <f t="shared" si="33"/>
        <v>324.7</v>
      </c>
      <c r="O756" t="s">
        <v>4104</v>
      </c>
      <c r="P756" t="str">
        <f t="shared" si="34"/>
        <v xml:space="preserve"> </v>
      </c>
      <c r="Q756" t="str">
        <f t="shared" si="35"/>
        <v>Favorable</v>
      </c>
    </row>
    <row r="757" spans="1:17">
      <c r="A757" t="s">
        <v>767</v>
      </c>
      <c r="B757" s="2">
        <v>44947</v>
      </c>
      <c r="C757">
        <v>5000</v>
      </c>
      <c r="D757" t="s">
        <v>2013</v>
      </c>
      <c r="E757">
        <v>1504.62</v>
      </c>
      <c r="F757">
        <v>0</v>
      </c>
      <c r="G757" t="s">
        <v>2017</v>
      </c>
      <c r="H757" t="s">
        <v>2026</v>
      </c>
      <c r="I757" t="s">
        <v>2783</v>
      </c>
      <c r="J757" t="s">
        <v>4031</v>
      </c>
      <c r="K757" t="s">
        <v>4047</v>
      </c>
      <c r="L757">
        <v>-1504.62</v>
      </c>
      <c r="N757">
        <f t="shared" si="33"/>
        <v>-1504.62</v>
      </c>
      <c r="O757" t="s">
        <v>4104</v>
      </c>
      <c r="P757" t="str">
        <f t="shared" si="34"/>
        <v xml:space="preserve"> </v>
      </c>
      <c r="Q757" t="str">
        <f t="shared" si="35"/>
        <v>Unfavorable</v>
      </c>
    </row>
    <row r="758" spans="1:17">
      <c r="A758" t="s">
        <v>768</v>
      </c>
      <c r="B758" s="2">
        <v>45740</v>
      </c>
      <c r="C758">
        <v>4010</v>
      </c>
      <c r="D758" t="s">
        <v>2016</v>
      </c>
      <c r="E758">
        <v>0</v>
      </c>
      <c r="F758">
        <v>2507.58</v>
      </c>
      <c r="G758" t="s">
        <v>2022</v>
      </c>
      <c r="H758" t="s">
        <v>2024</v>
      </c>
      <c r="I758" t="s">
        <v>2784</v>
      </c>
      <c r="J758" t="s">
        <v>4030</v>
      </c>
      <c r="K758" t="s">
        <v>4046</v>
      </c>
      <c r="L758">
        <v>2507.58</v>
      </c>
      <c r="N758">
        <f t="shared" si="33"/>
        <v>2507.58</v>
      </c>
      <c r="O758" t="s">
        <v>4104</v>
      </c>
      <c r="P758" t="str">
        <f t="shared" si="34"/>
        <v xml:space="preserve"> </v>
      </c>
      <c r="Q758" t="str">
        <f t="shared" si="35"/>
        <v>Favorable</v>
      </c>
    </row>
    <row r="759" spans="1:17">
      <c r="A759" t="s">
        <v>769</v>
      </c>
      <c r="B759" s="2">
        <v>45202</v>
      </c>
      <c r="C759">
        <v>5010</v>
      </c>
      <c r="D759" t="s">
        <v>2015</v>
      </c>
      <c r="E759">
        <v>837.65</v>
      </c>
      <c r="F759">
        <v>0</v>
      </c>
      <c r="G759" t="s">
        <v>2018</v>
      </c>
      <c r="H759" t="s">
        <v>2026</v>
      </c>
      <c r="I759" t="s">
        <v>2785</v>
      </c>
      <c r="J759" t="s">
        <v>4029</v>
      </c>
      <c r="K759" t="s">
        <v>4060</v>
      </c>
      <c r="L759">
        <v>-837.65</v>
      </c>
      <c r="N759">
        <f t="shared" si="33"/>
        <v>-837.65</v>
      </c>
      <c r="O759" t="s">
        <v>4104</v>
      </c>
      <c r="P759" t="str">
        <f t="shared" si="34"/>
        <v xml:space="preserve"> </v>
      </c>
      <c r="Q759" t="str">
        <f t="shared" si="35"/>
        <v>Unfavorable</v>
      </c>
    </row>
    <row r="760" spans="1:17">
      <c r="A760" t="s">
        <v>770</v>
      </c>
      <c r="B760" s="2">
        <v>45533</v>
      </c>
      <c r="C760">
        <v>6000</v>
      </c>
      <c r="D760" t="s">
        <v>2014</v>
      </c>
      <c r="E760">
        <v>787.73</v>
      </c>
      <c r="F760">
        <v>0</v>
      </c>
      <c r="G760" t="s">
        <v>2017</v>
      </c>
      <c r="H760" t="s">
        <v>2024</v>
      </c>
      <c r="I760" t="s">
        <v>2786</v>
      </c>
      <c r="J760" t="s">
        <v>4031</v>
      </c>
      <c r="K760" t="s">
        <v>4058</v>
      </c>
      <c r="L760">
        <v>-787.73</v>
      </c>
      <c r="N760">
        <f t="shared" si="33"/>
        <v>-787.73</v>
      </c>
      <c r="O760" t="s">
        <v>4104</v>
      </c>
      <c r="P760" t="str">
        <f t="shared" si="34"/>
        <v xml:space="preserve"> </v>
      </c>
      <c r="Q760" t="str">
        <f t="shared" si="35"/>
        <v>Unfavorable</v>
      </c>
    </row>
    <row r="761" spans="1:17">
      <c r="A761" t="s">
        <v>771</v>
      </c>
      <c r="B761" s="2">
        <v>45609</v>
      </c>
      <c r="C761">
        <v>6000</v>
      </c>
      <c r="D761" t="s">
        <v>2014</v>
      </c>
      <c r="E761">
        <v>910.72</v>
      </c>
      <c r="F761">
        <v>0</v>
      </c>
      <c r="G761" t="s">
        <v>2020</v>
      </c>
      <c r="H761" t="s">
        <v>2023</v>
      </c>
      <c r="I761" t="s">
        <v>2787</v>
      </c>
      <c r="J761" t="s">
        <v>4030</v>
      </c>
      <c r="K761" t="s">
        <v>4043</v>
      </c>
      <c r="L761">
        <v>-910.72</v>
      </c>
      <c r="N761">
        <f t="shared" si="33"/>
        <v>-910.72</v>
      </c>
      <c r="O761" t="s">
        <v>4104</v>
      </c>
      <c r="P761" t="str">
        <f t="shared" si="34"/>
        <v xml:space="preserve"> </v>
      </c>
      <c r="Q761" t="str">
        <f t="shared" si="35"/>
        <v>Unfavorable</v>
      </c>
    </row>
    <row r="762" spans="1:17">
      <c r="A762" t="s">
        <v>772</v>
      </c>
      <c r="B762" s="2">
        <v>44929</v>
      </c>
      <c r="C762">
        <v>5010</v>
      </c>
      <c r="D762" t="s">
        <v>2015</v>
      </c>
      <c r="E762">
        <v>1362.52</v>
      </c>
      <c r="F762">
        <v>0</v>
      </c>
      <c r="G762" t="s">
        <v>2020</v>
      </c>
      <c r="H762" t="s">
        <v>2023</v>
      </c>
      <c r="I762" t="s">
        <v>2788</v>
      </c>
      <c r="J762" t="s">
        <v>4031</v>
      </c>
      <c r="K762" t="s">
        <v>4047</v>
      </c>
      <c r="L762">
        <v>-1362.52</v>
      </c>
      <c r="N762">
        <f t="shared" si="33"/>
        <v>-1362.52</v>
      </c>
      <c r="O762" t="s">
        <v>4104</v>
      </c>
      <c r="P762" t="str">
        <f t="shared" si="34"/>
        <v xml:space="preserve"> </v>
      </c>
      <c r="Q762" t="str">
        <f t="shared" si="35"/>
        <v>Unfavorable</v>
      </c>
    </row>
    <row r="763" spans="1:17">
      <c r="A763" t="s">
        <v>773</v>
      </c>
      <c r="B763" s="2">
        <v>45661</v>
      </c>
      <c r="C763">
        <v>5000</v>
      </c>
      <c r="D763" t="s">
        <v>2013</v>
      </c>
      <c r="E763">
        <v>1261.48</v>
      </c>
      <c r="F763">
        <v>0</v>
      </c>
      <c r="G763" t="s">
        <v>2020</v>
      </c>
      <c r="H763" t="s">
        <v>2024</v>
      </c>
      <c r="I763" t="s">
        <v>2789</v>
      </c>
      <c r="J763" t="s">
        <v>4031</v>
      </c>
      <c r="K763" t="s">
        <v>4035</v>
      </c>
      <c r="L763">
        <v>-1261.48</v>
      </c>
      <c r="N763">
        <f t="shared" si="33"/>
        <v>-1261.48</v>
      </c>
      <c r="O763" t="s">
        <v>4104</v>
      </c>
      <c r="P763" t="str">
        <f t="shared" si="34"/>
        <v xml:space="preserve"> </v>
      </c>
      <c r="Q763" t="str">
        <f t="shared" si="35"/>
        <v>Unfavorable</v>
      </c>
    </row>
    <row r="764" spans="1:17">
      <c r="A764" t="s">
        <v>774</v>
      </c>
      <c r="B764" s="2">
        <v>45823</v>
      </c>
      <c r="C764">
        <v>4010</v>
      </c>
      <c r="D764" t="s">
        <v>2016</v>
      </c>
      <c r="E764">
        <v>0</v>
      </c>
      <c r="F764">
        <v>3519.33</v>
      </c>
      <c r="G764" t="s">
        <v>2021</v>
      </c>
      <c r="H764" t="s">
        <v>2025</v>
      </c>
      <c r="I764" t="s">
        <v>2790</v>
      </c>
      <c r="J764" t="s">
        <v>4028</v>
      </c>
      <c r="K764" t="s">
        <v>4052</v>
      </c>
      <c r="L764">
        <v>3519.33</v>
      </c>
      <c r="N764">
        <f t="shared" si="33"/>
        <v>3519.33</v>
      </c>
      <c r="O764" t="s">
        <v>4104</v>
      </c>
      <c r="P764" t="str">
        <f t="shared" si="34"/>
        <v xml:space="preserve"> </v>
      </c>
      <c r="Q764" t="str">
        <f t="shared" si="35"/>
        <v>Favorable</v>
      </c>
    </row>
    <row r="765" spans="1:17">
      <c r="A765" t="s">
        <v>775</v>
      </c>
      <c r="B765" s="2">
        <v>45706</v>
      </c>
      <c r="C765">
        <v>5000</v>
      </c>
      <c r="D765" t="s">
        <v>2013</v>
      </c>
      <c r="E765">
        <v>1425.68</v>
      </c>
      <c r="F765">
        <v>0</v>
      </c>
      <c r="G765" t="s">
        <v>2019</v>
      </c>
      <c r="H765" t="s">
        <v>2024</v>
      </c>
      <c r="I765" t="s">
        <v>2791</v>
      </c>
      <c r="J765" t="s">
        <v>4031</v>
      </c>
      <c r="K765" t="s">
        <v>4061</v>
      </c>
      <c r="L765">
        <v>-1425.68</v>
      </c>
      <c r="N765">
        <f t="shared" si="33"/>
        <v>-1425.68</v>
      </c>
      <c r="O765" t="s">
        <v>4104</v>
      </c>
      <c r="P765" t="str">
        <f t="shared" si="34"/>
        <v xml:space="preserve"> </v>
      </c>
      <c r="Q765" t="str">
        <f t="shared" si="35"/>
        <v>Unfavorable</v>
      </c>
    </row>
    <row r="766" spans="1:17">
      <c r="A766" t="s">
        <v>776</v>
      </c>
      <c r="B766" s="2">
        <v>45492</v>
      </c>
      <c r="C766">
        <v>4010</v>
      </c>
      <c r="D766" t="s">
        <v>2016</v>
      </c>
      <c r="E766">
        <v>0</v>
      </c>
      <c r="F766">
        <v>4831.59</v>
      </c>
      <c r="G766" t="s">
        <v>2022</v>
      </c>
      <c r="H766" t="s">
        <v>2027</v>
      </c>
      <c r="I766" t="s">
        <v>2792</v>
      </c>
      <c r="J766" t="s">
        <v>4032</v>
      </c>
      <c r="K766" t="s">
        <v>4054</v>
      </c>
      <c r="L766">
        <v>4831.59</v>
      </c>
      <c r="N766">
        <f t="shared" si="33"/>
        <v>4831.59</v>
      </c>
      <c r="O766" t="s">
        <v>4104</v>
      </c>
      <c r="P766" t="str">
        <f t="shared" si="34"/>
        <v xml:space="preserve"> </v>
      </c>
      <c r="Q766" t="str">
        <f t="shared" si="35"/>
        <v>Favorable</v>
      </c>
    </row>
    <row r="767" spans="1:17">
      <c r="A767" t="s">
        <v>777</v>
      </c>
      <c r="B767" s="2">
        <v>45444</v>
      </c>
      <c r="C767">
        <v>4010</v>
      </c>
      <c r="D767" t="s">
        <v>2016</v>
      </c>
      <c r="E767">
        <v>0</v>
      </c>
      <c r="F767">
        <v>3282.7</v>
      </c>
      <c r="G767" t="s">
        <v>2021</v>
      </c>
      <c r="H767" t="s">
        <v>2023</v>
      </c>
      <c r="I767" t="s">
        <v>2793</v>
      </c>
      <c r="J767" t="s">
        <v>4030</v>
      </c>
      <c r="K767" t="s">
        <v>4034</v>
      </c>
      <c r="L767">
        <v>3282.7</v>
      </c>
      <c r="N767">
        <f t="shared" si="33"/>
        <v>3282.7</v>
      </c>
      <c r="O767" t="s">
        <v>4104</v>
      </c>
      <c r="P767" t="str">
        <f t="shared" si="34"/>
        <v xml:space="preserve"> </v>
      </c>
      <c r="Q767" t="str">
        <f t="shared" si="35"/>
        <v>Favorable</v>
      </c>
    </row>
    <row r="768" spans="1:17">
      <c r="A768" t="s">
        <v>778</v>
      </c>
      <c r="B768" s="2">
        <v>45800</v>
      </c>
      <c r="C768">
        <v>5000</v>
      </c>
      <c r="D768" t="s">
        <v>2013</v>
      </c>
      <c r="E768">
        <v>1789.76</v>
      </c>
      <c r="F768">
        <v>0</v>
      </c>
      <c r="G768" t="s">
        <v>2019</v>
      </c>
      <c r="H768" t="s">
        <v>2025</v>
      </c>
      <c r="I768" t="s">
        <v>2794</v>
      </c>
      <c r="J768" t="s">
        <v>4030</v>
      </c>
      <c r="K768" t="s">
        <v>4038</v>
      </c>
      <c r="L768">
        <v>-1789.76</v>
      </c>
      <c r="N768">
        <f t="shared" si="33"/>
        <v>-1789.76</v>
      </c>
      <c r="O768" t="s">
        <v>4104</v>
      </c>
      <c r="P768" t="str">
        <f t="shared" si="34"/>
        <v xml:space="preserve"> </v>
      </c>
      <c r="Q768" t="str">
        <f t="shared" si="35"/>
        <v>Unfavorable</v>
      </c>
    </row>
    <row r="769" spans="1:17">
      <c r="A769" t="s">
        <v>779</v>
      </c>
      <c r="B769" s="2">
        <v>44992</v>
      </c>
      <c r="C769">
        <v>5000</v>
      </c>
      <c r="D769" t="s">
        <v>2013</v>
      </c>
      <c r="E769">
        <v>1557.62</v>
      </c>
      <c r="F769">
        <v>0</v>
      </c>
      <c r="G769" t="s">
        <v>2021</v>
      </c>
      <c r="H769" t="s">
        <v>2026</v>
      </c>
      <c r="I769" t="s">
        <v>2795</v>
      </c>
      <c r="J769" t="s">
        <v>4029</v>
      </c>
      <c r="K769" t="s">
        <v>4051</v>
      </c>
      <c r="L769">
        <v>-1557.62</v>
      </c>
      <c r="N769">
        <f t="shared" si="33"/>
        <v>-1557.62</v>
      </c>
      <c r="O769" t="s">
        <v>4104</v>
      </c>
      <c r="P769" t="str">
        <f t="shared" si="34"/>
        <v xml:space="preserve"> </v>
      </c>
      <c r="Q769" t="str">
        <f t="shared" si="35"/>
        <v>Unfavorable</v>
      </c>
    </row>
    <row r="770" spans="1:17">
      <c r="A770" t="s">
        <v>780</v>
      </c>
      <c r="B770" s="2">
        <v>45720</v>
      </c>
      <c r="C770">
        <v>4000</v>
      </c>
      <c r="D770" t="s">
        <v>2012</v>
      </c>
      <c r="E770">
        <v>0</v>
      </c>
      <c r="F770">
        <v>4262.2299999999996</v>
      </c>
      <c r="G770" t="s">
        <v>2022</v>
      </c>
      <c r="H770" t="s">
        <v>2024</v>
      </c>
      <c r="I770" t="s">
        <v>2796</v>
      </c>
      <c r="J770" t="s">
        <v>4029</v>
      </c>
      <c r="K770" t="s">
        <v>4046</v>
      </c>
      <c r="L770">
        <v>4262.2299999999996</v>
      </c>
      <c r="N770">
        <f t="shared" si="33"/>
        <v>4262.2299999999996</v>
      </c>
      <c r="O770" t="s">
        <v>4104</v>
      </c>
      <c r="P770" t="str">
        <f t="shared" si="34"/>
        <v xml:space="preserve"> </v>
      </c>
      <c r="Q770" t="str">
        <f t="shared" si="35"/>
        <v>Favorable</v>
      </c>
    </row>
    <row r="771" spans="1:17">
      <c r="A771" t="s">
        <v>781</v>
      </c>
      <c r="B771" s="2">
        <v>45445</v>
      </c>
      <c r="C771">
        <v>5000</v>
      </c>
      <c r="D771" t="s">
        <v>2013</v>
      </c>
      <c r="E771">
        <v>1754.04</v>
      </c>
      <c r="F771">
        <v>0</v>
      </c>
      <c r="G771" t="s">
        <v>2020</v>
      </c>
      <c r="H771" t="s">
        <v>2026</v>
      </c>
      <c r="I771" t="s">
        <v>2797</v>
      </c>
      <c r="J771" t="s">
        <v>4029</v>
      </c>
      <c r="K771" t="s">
        <v>4034</v>
      </c>
      <c r="L771">
        <v>-1754.04</v>
      </c>
      <c r="N771">
        <f t="shared" ref="N771:N834" si="36">L:L-M:M</f>
        <v>-1754.04</v>
      </c>
      <c r="O771" t="s">
        <v>4104</v>
      </c>
      <c r="P771" t="str">
        <f t="shared" ref="P771:P834" si="37">IF(AND(ABS(N:N)&gt;10000,M:M&lt;&gt;0),"Material", " ")</f>
        <v xml:space="preserve"> </v>
      </c>
      <c r="Q771" t="str">
        <f t="shared" ref="Q771:Q834" si="38">IF(N:N&gt;0,"Favorable","Unfavorable")</f>
        <v>Unfavorable</v>
      </c>
    </row>
    <row r="772" spans="1:17">
      <c r="A772" t="s">
        <v>782</v>
      </c>
      <c r="B772" s="2">
        <v>45624</v>
      </c>
      <c r="C772">
        <v>5010</v>
      </c>
      <c r="D772" t="s">
        <v>2015</v>
      </c>
      <c r="E772">
        <v>604.27</v>
      </c>
      <c r="F772">
        <v>0</v>
      </c>
      <c r="G772" t="s">
        <v>2022</v>
      </c>
      <c r="H772" t="s">
        <v>2026</v>
      </c>
      <c r="I772" t="s">
        <v>2798</v>
      </c>
      <c r="J772" t="s">
        <v>4029</v>
      </c>
      <c r="K772" t="s">
        <v>4043</v>
      </c>
      <c r="L772">
        <v>-604.27</v>
      </c>
      <c r="N772">
        <f t="shared" si="36"/>
        <v>-604.27</v>
      </c>
      <c r="O772" t="s">
        <v>4104</v>
      </c>
      <c r="P772" t="str">
        <f t="shared" si="37"/>
        <v xml:space="preserve"> </v>
      </c>
      <c r="Q772" t="str">
        <f t="shared" si="38"/>
        <v>Unfavorable</v>
      </c>
    </row>
    <row r="773" spans="1:17">
      <c r="A773" t="s">
        <v>783</v>
      </c>
      <c r="B773" s="2">
        <v>45571</v>
      </c>
      <c r="C773">
        <v>5010</v>
      </c>
      <c r="D773" t="s">
        <v>2015</v>
      </c>
      <c r="E773">
        <v>788.46</v>
      </c>
      <c r="F773">
        <v>0</v>
      </c>
      <c r="G773" t="s">
        <v>2021</v>
      </c>
      <c r="H773" t="s">
        <v>2026</v>
      </c>
      <c r="I773" t="s">
        <v>2799</v>
      </c>
      <c r="J773" t="s">
        <v>4032</v>
      </c>
      <c r="K773" t="s">
        <v>4059</v>
      </c>
      <c r="L773">
        <v>-788.46</v>
      </c>
      <c r="N773">
        <f t="shared" si="36"/>
        <v>-788.46</v>
      </c>
      <c r="O773" t="s">
        <v>4104</v>
      </c>
      <c r="P773" t="str">
        <f t="shared" si="37"/>
        <v xml:space="preserve"> </v>
      </c>
      <c r="Q773" t="str">
        <f t="shared" si="38"/>
        <v>Unfavorable</v>
      </c>
    </row>
    <row r="774" spans="1:17">
      <c r="A774" t="s">
        <v>784</v>
      </c>
      <c r="B774" s="2">
        <v>45166</v>
      </c>
      <c r="C774">
        <v>4000</v>
      </c>
      <c r="D774" t="s">
        <v>2012</v>
      </c>
      <c r="E774">
        <v>0</v>
      </c>
      <c r="F774">
        <v>1493.92</v>
      </c>
      <c r="G774" t="s">
        <v>2018</v>
      </c>
      <c r="H774" t="s">
        <v>2024</v>
      </c>
      <c r="I774" t="s">
        <v>2800</v>
      </c>
      <c r="J774" t="s">
        <v>4031</v>
      </c>
      <c r="K774" t="s">
        <v>4037</v>
      </c>
      <c r="L774">
        <v>1493.92</v>
      </c>
      <c r="N774">
        <f t="shared" si="36"/>
        <v>1493.92</v>
      </c>
      <c r="O774" t="s">
        <v>4104</v>
      </c>
      <c r="P774" t="str">
        <f t="shared" si="37"/>
        <v xml:space="preserve"> </v>
      </c>
      <c r="Q774" t="str">
        <f t="shared" si="38"/>
        <v>Favorable</v>
      </c>
    </row>
    <row r="775" spans="1:17">
      <c r="A775" t="s">
        <v>785</v>
      </c>
      <c r="B775" s="2">
        <v>45423</v>
      </c>
      <c r="C775">
        <v>5000</v>
      </c>
      <c r="D775" t="s">
        <v>2013</v>
      </c>
      <c r="E775">
        <v>588.44000000000005</v>
      </c>
      <c r="F775">
        <v>0</v>
      </c>
      <c r="G775" t="s">
        <v>2020</v>
      </c>
      <c r="H775" t="s">
        <v>2024</v>
      </c>
      <c r="I775" t="s">
        <v>2801</v>
      </c>
      <c r="J775" t="s">
        <v>4032</v>
      </c>
      <c r="K775" t="s">
        <v>4033</v>
      </c>
      <c r="L775">
        <v>-588.44000000000005</v>
      </c>
      <c r="N775">
        <f t="shared" si="36"/>
        <v>-588.44000000000005</v>
      </c>
      <c r="O775" t="s">
        <v>4104</v>
      </c>
      <c r="P775" t="str">
        <f t="shared" si="37"/>
        <v xml:space="preserve"> </v>
      </c>
      <c r="Q775" t="str">
        <f t="shared" si="38"/>
        <v>Unfavorable</v>
      </c>
    </row>
    <row r="776" spans="1:17">
      <c r="A776" t="s">
        <v>786</v>
      </c>
      <c r="B776" s="2">
        <v>45538</v>
      </c>
      <c r="C776">
        <v>5000</v>
      </c>
      <c r="D776" t="s">
        <v>2013</v>
      </c>
      <c r="E776">
        <v>1078.52</v>
      </c>
      <c r="F776">
        <v>0</v>
      </c>
      <c r="G776" t="s">
        <v>2020</v>
      </c>
      <c r="H776" t="s">
        <v>2024</v>
      </c>
      <c r="I776" t="s">
        <v>2802</v>
      </c>
      <c r="J776" t="s">
        <v>4030</v>
      </c>
      <c r="K776" t="s">
        <v>4048</v>
      </c>
      <c r="L776">
        <v>-1078.52</v>
      </c>
      <c r="N776">
        <f t="shared" si="36"/>
        <v>-1078.52</v>
      </c>
      <c r="O776" t="s">
        <v>4104</v>
      </c>
      <c r="P776" t="str">
        <f t="shared" si="37"/>
        <v xml:space="preserve"> </v>
      </c>
      <c r="Q776" t="str">
        <f t="shared" si="38"/>
        <v>Unfavorable</v>
      </c>
    </row>
    <row r="777" spans="1:17">
      <c r="A777" t="s">
        <v>787</v>
      </c>
      <c r="B777" s="2">
        <v>45400</v>
      </c>
      <c r="C777">
        <v>4010</v>
      </c>
      <c r="D777" t="s">
        <v>2016</v>
      </c>
      <c r="E777">
        <v>0</v>
      </c>
      <c r="F777">
        <v>4324.54</v>
      </c>
      <c r="G777" t="s">
        <v>2019</v>
      </c>
      <c r="H777" t="s">
        <v>2023</v>
      </c>
      <c r="I777" t="s">
        <v>2803</v>
      </c>
      <c r="J777" t="s">
        <v>4029</v>
      </c>
      <c r="K777" t="s">
        <v>4040</v>
      </c>
      <c r="L777">
        <v>4324.54</v>
      </c>
      <c r="N777">
        <f t="shared" si="36"/>
        <v>4324.54</v>
      </c>
      <c r="O777" t="s">
        <v>4104</v>
      </c>
      <c r="P777" t="str">
        <f t="shared" si="37"/>
        <v xml:space="preserve"> </v>
      </c>
      <c r="Q777" t="str">
        <f t="shared" si="38"/>
        <v>Favorable</v>
      </c>
    </row>
    <row r="778" spans="1:17">
      <c r="A778" t="s">
        <v>788</v>
      </c>
      <c r="B778" s="2">
        <v>45472</v>
      </c>
      <c r="C778">
        <v>4010</v>
      </c>
      <c r="D778" t="s">
        <v>2016</v>
      </c>
      <c r="E778">
        <v>0</v>
      </c>
      <c r="F778">
        <v>2300.21</v>
      </c>
      <c r="G778" t="s">
        <v>2021</v>
      </c>
      <c r="H778" t="s">
        <v>2024</v>
      </c>
      <c r="I778" t="s">
        <v>2804</v>
      </c>
      <c r="J778" t="s">
        <v>4028</v>
      </c>
      <c r="K778" t="s">
        <v>4034</v>
      </c>
      <c r="L778">
        <v>2300.21</v>
      </c>
      <c r="N778">
        <f t="shared" si="36"/>
        <v>2300.21</v>
      </c>
      <c r="O778" t="s">
        <v>4104</v>
      </c>
      <c r="P778" t="str">
        <f t="shared" si="37"/>
        <v xml:space="preserve"> </v>
      </c>
      <c r="Q778" t="str">
        <f t="shared" si="38"/>
        <v>Favorable</v>
      </c>
    </row>
    <row r="779" spans="1:17">
      <c r="A779" t="s">
        <v>789</v>
      </c>
      <c r="B779" s="2">
        <v>45170</v>
      </c>
      <c r="C779">
        <v>6000</v>
      </c>
      <c r="D779" t="s">
        <v>2014</v>
      </c>
      <c r="E779">
        <v>446.19</v>
      </c>
      <c r="F779">
        <v>0</v>
      </c>
      <c r="G779" t="s">
        <v>2022</v>
      </c>
      <c r="H779" t="s">
        <v>2026</v>
      </c>
      <c r="I779" t="s">
        <v>2805</v>
      </c>
      <c r="J779" t="s">
        <v>4028</v>
      </c>
      <c r="K779" t="s">
        <v>4036</v>
      </c>
      <c r="L779">
        <v>-446.19</v>
      </c>
      <c r="N779">
        <f t="shared" si="36"/>
        <v>-446.19</v>
      </c>
      <c r="O779" t="s">
        <v>4104</v>
      </c>
      <c r="P779" t="str">
        <f t="shared" si="37"/>
        <v xml:space="preserve"> </v>
      </c>
      <c r="Q779" t="str">
        <f t="shared" si="38"/>
        <v>Unfavorable</v>
      </c>
    </row>
    <row r="780" spans="1:17">
      <c r="A780" t="s">
        <v>790</v>
      </c>
      <c r="B780" s="2">
        <v>45367</v>
      </c>
      <c r="C780">
        <v>4000</v>
      </c>
      <c r="D780" t="s">
        <v>2012</v>
      </c>
      <c r="E780">
        <v>0</v>
      </c>
      <c r="F780">
        <v>1518.24</v>
      </c>
      <c r="G780" t="s">
        <v>2020</v>
      </c>
      <c r="H780" t="s">
        <v>2026</v>
      </c>
      <c r="I780" t="s">
        <v>2806</v>
      </c>
      <c r="J780" t="s">
        <v>4030</v>
      </c>
      <c r="K780" t="s">
        <v>4049</v>
      </c>
      <c r="L780">
        <v>1518.24</v>
      </c>
      <c r="N780">
        <f t="shared" si="36"/>
        <v>1518.24</v>
      </c>
      <c r="O780" t="s">
        <v>4104</v>
      </c>
      <c r="P780" t="str">
        <f t="shared" si="37"/>
        <v xml:space="preserve"> </v>
      </c>
      <c r="Q780" t="str">
        <f t="shared" si="38"/>
        <v>Favorable</v>
      </c>
    </row>
    <row r="781" spans="1:17">
      <c r="A781" t="s">
        <v>791</v>
      </c>
      <c r="B781" s="2">
        <v>45386</v>
      </c>
      <c r="C781">
        <v>6000</v>
      </c>
      <c r="D781" t="s">
        <v>2014</v>
      </c>
      <c r="E781">
        <v>1385.02</v>
      </c>
      <c r="F781">
        <v>0</v>
      </c>
      <c r="G781" t="s">
        <v>2020</v>
      </c>
      <c r="H781" t="s">
        <v>2026</v>
      </c>
      <c r="I781" t="s">
        <v>2807</v>
      </c>
      <c r="J781" t="s">
        <v>4030</v>
      </c>
      <c r="K781" t="s">
        <v>4040</v>
      </c>
      <c r="L781">
        <v>-1385.02</v>
      </c>
      <c r="N781">
        <f t="shared" si="36"/>
        <v>-1385.02</v>
      </c>
      <c r="O781" t="s">
        <v>4104</v>
      </c>
      <c r="P781" t="str">
        <f t="shared" si="37"/>
        <v xml:space="preserve"> </v>
      </c>
      <c r="Q781" t="str">
        <f t="shared" si="38"/>
        <v>Unfavorable</v>
      </c>
    </row>
    <row r="782" spans="1:17">
      <c r="A782" t="s">
        <v>792</v>
      </c>
      <c r="B782" s="2">
        <v>45446</v>
      </c>
      <c r="C782">
        <v>6000</v>
      </c>
      <c r="D782" t="s">
        <v>2014</v>
      </c>
      <c r="E782">
        <v>1887.31</v>
      </c>
      <c r="F782">
        <v>0</v>
      </c>
      <c r="G782" t="s">
        <v>2020</v>
      </c>
      <c r="H782" t="s">
        <v>2023</v>
      </c>
      <c r="I782" t="s">
        <v>2808</v>
      </c>
      <c r="J782" t="s">
        <v>4028</v>
      </c>
      <c r="K782" t="s">
        <v>4034</v>
      </c>
      <c r="L782">
        <v>-1887.31</v>
      </c>
      <c r="N782">
        <f t="shared" si="36"/>
        <v>-1887.31</v>
      </c>
      <c r="O782" t="s">
        <v>4104</v>
      </c>
      <c r="P782" t="str">
        <f t="shared" si="37"/>
        <v xml:space="preserve"> </v>
      </c>
      <c r="Q782" t="str">
        <f t="shared" si="38"/>
        <v>Unfavorable</v>
      </c>
    </row>
    <row r="783" spans="1:17">
      <c r="A783" t="s">
        <v>793</v>
      </c>
      <c r="B783" s="2">
        <v>45528</v>
      </c>
      <c r="C783">
        <v>4000</v>
      </c>
      <c r="D783" t="s">
        <v>2012</v>
      </c>
      <c r="E783">
        <v>0</v>
      </c>
      <c r="F783">
        <v>4476.07</v>
      </c>
      <c r="G783" t="s">
        <v>2022</v>
      </c>
      <c r="H783" t="s">
        <v>2026</v>
      </c>
      <c r="I783" t="s">
        <v>2809</v>
      </c>
      <c r="J783" t="s">
        <v>4030</v>
      </c>
      <c r="K783" t="s">
        <v>4058</v>
      </c>
      <c r="L783">
        <v>4476.07</v>
      </c>
      <c r="N783">
        <f t="shared" si="36"/>
        <v>4476.07</v>
      </c>
      <c r="O783" t="s">
        <v>4104</v>
      </c>
      <c r="P783" t="str">
        <f t="shared" si="37"/>
        <v xml:space="preserve"> </v>
      </c>
      <c r="Q783" t="str">
        <f t="shared" si="38"/>
        <v>Favorable</v>
      </c>
    </row>
    <row r="784" spans="1:17">
      <c r="A784" t="s">
        <v>794</v>
      </c>
      <c r="B784" s="2">
        <v>45421</v>
      </c>
      <c r="C784">
        <v>6000</v>
      </c>
      <c r="D784" t="s">
        <v>2014</v>
      </c>
      <c r="E784">
        <v>170.41</v>
      </c>
      <c r="F784">
        <v>0</v>
      </c>
      <c r="G784" t="s">
        <v>2022</v>
      </c>
      <c r="H784" t="s">
        <v>2026</v>
      </c>
      <c r="I784" t="s">
        <v>2810</v>
      </c>
      <c r="J784" t="s">
        <v>4031</v>
      </c>
      <c r="K784" t="s">
        <v>4033</v>
      </c>
      <c r="L784">
        <v>-170.41</v>
      </c>
      <c r="N784">
        <f t="shared" si="36"/>
        <v>-170.41</v>
      </c>
      <c r="O784" t="s">
        <v>4104</v>
      </c>
      <c r="P784" t="str">
        <f t="shared" si="37"/>
        <v xml:space="preserve"> </v>
      </c>
      <c r="Q784" t="str">
        <f t="shared" si="38"/>
        <v>Unfavorable</v>
      </c>
    </row>
    <row r="785" spans="1:17">
      <c r="A785" t="s">
        <v>795</v>
      </c>
      <c r="B785" s="2">
        <v>45016</v>
      </c>
      <c r="C785">
        <v>5010</v>
      </c>
      <c r="D785" t="s">
        <v>2015</v>
      </c>
      <c r="E785">
        <v>1650.02</v>
      </c>
      <c r="F785">
        <v>0</v>
      </c>
      <c r="G785" t="s">
        <v>2022</v>
      </c>
      <c r="H785" t="s">
        <v>2025</v>
      </c>
      <c r="I785" t="s">
        <v>2811</v>
      </c>
      <c r="J785" t="s">
        <v>4028</v>
      </c>
      <c r="K785" t="s">
        <v>4051</v>
      </c>
      <c r="L785">
        <v>-1650.02</v>
      </c>
      <c r="N785">
        <f t="shared" si="36"/>
        <v>-1650.02</v>
      </c>
      <c r="O785" t="s">
        <v>4104</v>
      </c>
      <c r="P785" t="str">
        <f t="shared" si="37"/>
        <v xml:space="preserve"> </v>
      </c>
      <c r="Q785" t="str">
        <f t="shared" si="38"/>
        <v>Unfavorable</v>
      </c>
    </row>
    <row r="786" spans="1:17">
      <c r="A786" t="s">
        <v>796</v>
      </c>
      <c r="B786" s="2">
        <v>45826</v>
      </c>
      <c r="C786">
        <v>4010</v>
      </c>
      <c r="D786" t="s">
        <v>2016</v>
      </c>
      <c r="E786">
        <v>0</v>
      </c>
      <c r="F786">
        <v>3235.44</v>
      </c>
      <c r="G786" t="s">
        <v>2017</v>
      </c>
      <c r="H786" t="s">
        <v>2023</v>
      </c>
      <c r="I786" t="s">
        <v>2812</v>
      </c>
      <c r="J786" t="s">
        <v>4030</v>
      </c>
      <c r="K786" t="s">
        <v>4052</v>
      </c>
      <c r="L786">
        <v>3235.44</v>
      </c>
      <c r="N786">
        <f t="shared" si="36"/>
        <v>3235.44</v>
      </c>
      <c r="O786" t="s">
        <v>4104</v>
      </c>
      <c r="P786" t="str">
        <f t="shared" si="37"/>
        <v xml:space="preserve"> </v>
      </c>
      <c r="Q786" t="str">
        <f t="shared" si="38"/>
        <v>Favorable</v>
      </c>
    </row>
    <row r="787" spans="1:17">
      <c r="A787" t="s">
        <v>797</v>
      </c>
      <c r="B787" s="2">
        <v>45312</v>
      </c>
      <c r="C787">
        <v>5000</v>
      </c>
      <c r="D787" t="s">
        <v>2013</v>
      </c>
      <c r="E787">
        <v>459.65</v>
      </c>
      <c r="F787">
        <v>0</v>
      </c>
      <c r="G787" t="s">
        <v>2017</v>
      </c>
      <c r="H787" t="s">
        <v>2023</v>
      </c>
      <c r="I787" t="s">
        <v>2813</v>
      </c>
      <c r="J787" t="s">
        <v>4032</v>
      </c>
      <c r="K787" t="s">
        <v>4053</v>
      </c>
      <c r="L787">
        <v>-459.65</v>
      </c>
      <c r="N787">
        <f t="shared" si="36"/>
        <v>-459.65</v>
      </c>
      <c r="O787" t="s">
        <v>4104</v>
      </c>
      <c r="P787" t="str">
        <f t="shared" si="37"/>
        <v xml:space="preserve"> </v>
      </c>
      <c r="Q787" t="str">
        <f t="shared" si="38"/>
        <v>Unfavorable</v>
      </c>
    </row>
    <row r="788" spans="1:17">
      <c r="A788" t="s">
        <v>798</v>
      </c>
      <c r="B788" s="2">
        <v>45226</v>
      </c>
      <c r="C788">
        <v>5010</v>
      </c>
      <c r="D788" t="s">
        <v>2015</v>
      </c>
      <c r="E788">
        <v>882.11</v>
      </c>
      <c r="F788">
        <v>0</v>
      </c>
      <c r="G788" t="s">
        <v>2022</v>
      </c>
      <c r="H788" t="s">
        <v>2026</v>
      </c>
      <c r="I788" t="s">
        <v>2814</v>
      </c>
      <c r="J788" t="s">
        <v>4032</v>
      </c>
      <c r="K788" t="s">
        <v>4060</v>
      </c>
      <c r="L788">
        <v>-882.11</v>
      </c>
      <c r="N788">
        <f t="shared" si="36"/>
        <v>-882.11</v>
      </c>
      <c r="O788" t="s">
        <v>4104</v>
      </c>
      <c r="P788" t="str">
        <f t="shared" si="37"/>
        <v xml:space="preserve"> </v>
      </c>
      <c r="Q788" t="str">
        <f t="shared" si="38"/>
        <v>Unfavorable</v>
      </c>
    </row>
    <row r="789" spans="1:17">
      <c r="A789" t="s">
        <v>799</v>
      </c>
      <c r="B789" s="2">
        <v>45597</v>
      </c>
      <c r="C789">
        <v>6000</v>
      </c>
      <c r="D789" t="s">
        <v>2014</v>
      </c>
      <c r="E789">
        <v>1023.17</v>
      </c>
      <c r="F789">
        <v>0</v>
      </c>
      <c r="G789" t="s">
        <v>2022</v>
      </c>
      <c r="H789" t="s">
        <v>2026</v>
      </c>
      <c r="I789" t="s">
        <v>2815</v>
      </c>
      <c r="J789" t="s">
        <v>4028</v>
      </c>
      <c r="K789" t="s">
        <v>4043</v>
      </c>
      <c r="L789">
        <v>-1023.17</v>
      </c>
      <c r="N789">
        <f t="shared" si="36"/>
        <v>-1023.17</v>
      </c>
      <c r="O789" t="s">
        <v>4104</v>
      </c>
      <c r="P789" t="str">
        <f t="shared" si="37"/>
        <v xml:space="preserve"> </v>
      </c>
      <c r="Q789" t="str">
        <f t="shared" si="38"/>
        <v>Unfavorable</v>
      </c>
    </row>
    <row r="790" spans="1:17">
      <c r="A790" t="s">
        <v>800</v>
      </c>
      <c r="B790" s="2">
        <v>45378</v>
      </c>
      <c r="C790">
        <v>5010</v>
      </c>
      <c r="D790" t="s">
        <v>2015</v>
      </c>
      <c r="E790">
        <v>510.05</v>
      </c>
      <c r="F790">
        <v>0</v>
      </c>
      <c r="G790" t="s">
        <v>2020</v>
      </c>
      <c r="H790" t="s">
        <v>2023</v>
      </c>
      <c r="I790" t="s">
        <v>2816</v>
      </c>
      <c r="J790" t="s">
        <v>4032</v>
      </c>
      <c r="K790" t="s">
        <v>4049</v>
      </c>
      <c r="L790">
        <v>-510.05</v>
      </c>
      <c r="N790">
        <f t="shared" si="36"/>
        <v>-510.05</v>
      </c>
      <c r="O790" t="s">
        <v>4104</v>
      </c>
      <c r="P790" t="str">
        <f t="shared" si="37"/>
        <v xml:space="preserve"> </v>
      </c>
      <c r="Q790" t="str">
        <f t="shared" si="38"/>
        <v>Unfavorable</v>
      </c>
    </row>
    <row r="791" spans="1:17">
      <c r="A791" t="s">
        <v>801</v>
      </c>
      <c r="B791" s="2">
        <v>45008</v>
      </c>
      <c r="C791">
        <v>4010</v>
      </c>
      <c r="D791" t="s">
        <v>2016</v>
      </c>
      <c r="E791">
        <v>0</v>
      </c>
      <c r="F791">
        <v>3848.25</v>
      </c>
      <c r="G791" t="s">
        <v>2017</v>
      </c>
      <c r="H791" t="s">
        <v>2024</v>
      </c>
      <c r="I791" t="s">
        <v>2817</v>
      </c>
      <c r="J791" t="s">
        <v>4030</v>
      </c>
      <c r="K791" t="s">
        <v>4051</v>
      </c>
      <c r="L791">
        <v>3848.25</v>
      </c>
      <c r="N791">
        <f t="shared" si="36"/>
        <v>3848.25</v>
      </c>
      <c r="O791" t="s">
        <v>4104</v>
      </c>
      <c r="P791" t="str">
        <f t="shared" si="37"/>
        <v xml:space="preserve"> </v>
      </c>
      <c r="Q791" t="str">
        <f t="shared" si="38"/>
        <v>Favorable</v>
      </c>
    </row>
    <row r="792" spans="1:17">
      <c r="A792" t="s">
        <v>802</v>
      </c>
      <c r="B792" s="2">
        <v>45389</v>
      </c>
      <c r="C792">
        <v>5000</v>
      </c>
      <c r="D792" t="s">
        <v>2013</v>
      </c>
      <c r="E792">
        <v>315.25</v>
      </c>
      <c r="F792">
        <v>0</v>
      </c>
      <c r="G792" t="s">
        <v>2020</v>
      </c>
      <c r="H792" t="s">
        <v>2026</v>
      </c>
      <c r="I792" t="s">
        <v>2818</v>
      </c>
      <c r="J792" t="s">
        <v>4030</v>
      </c>
      <c r="K792" t="s">
        <v>4040</v>
      </c>
      <c r="L792">
        <v>-315.25</v>
      </c>
      <c r="N792">
        <f t="shared" si="36"/>
        <v>-315.25</v>
      </c>
      <c r="O792" t="s">
        <v>4104</v>
      </c>
      <c r="P792" t="str">
        <f t="shared" si="37"/>
        <v xml:space="preserve"> </v>
      </c>
      <c r="Q792" t="str">
        <f t="shared" si="38"/>
        <v>Unfavorable</v>
      </c>
    </row>
    <row r="793" spans="1:17">
      <c r="A793" t="s">
        <v>803</v>
      </c>
      <c r="B793" s="2">
        <v>45385</v>
      </c>
      <c r="C793">
        <v>4010</v>
      </c>
      <c r="D793" t="s">
        <v>2016</v>
      </c>
      <c r="E793">
        <v>0</v>
      </c>
      <c r="F793">
        <v>4030.96</v>
      </c>
      <c r="G793" t="s">
        <v>2022</v>
      </c>
      <c r="H793" t="s">
        <v>2024</v>
      </c>
      <c r="I793" t="s">
        <v>2819</v>
      </c>
      <c r="J793" t="s">
        <v>4031</v>
      </c>
      <c r="K793" t="s">
        <v>4040</v>
      </c>
      <c r="L793">
        <v>4030.96</v>
      </c>
      <c r="N793">
        <f t="shared" si="36"/>
        <v>4030.96</v>
      </c>
      <c r="O793" t="s">
        <v>4104</v>
      </c>
      <c r="P793" t="str">
        <f t="shared" si="37"/>
        <v xml:space="preserve"> </v>
      </c>
      <c r="Q793" t="str">
        <f t="shared" si="38"/>
        <v>Favorable</v>
      </c>
    </row>
    <row r="794" spans="1:17">
      <c r="A794" t="s">
        <v>804</v>
      </c>
      <c r="B794" s="2">
        <v>44965</v>
      </c>
      <c r="C794">
        <v>4000</v>
      </c>
      <c r="D794" t="s">
        <v>2012</v>
      </c>
      <c r="E794">
        <v>0</v>
      </c>
      <c r="F794">
        <v>1965.39</v>
      </c>
      <c r="G794" t="s">
        <v>2020</v>
      </c>
      <c r="H794" t="s">
        <v>2024</v>
      </c>
      <c r="I794" t="s">
        <v>2820</v>
      </c>
      <c r="J794" t="s">
        <v>4032</v>
      </c>
      <c r="K794" t="s">
        <v>4057</v>
      </c>
      <c r="L794">
        <v>1965.39</v>
      </c>
      <c r="N794">
        <f t="shared" si="36"/>
        <v>1965.39</v>
      </c>
      <c r="O794" t="s">
        <v>4104</v>
      </c>
      <c r="P794" t="str">
        <f t="shared" si="37"/>
        <v xml:space="preserve"> </v>
      </c>
      <c r="Q794" t="str">
        <f t="shared" si="38"/>
        <v>Favorable</v>
      </c>
    </row>
    <row r="795" spans="1:17">
      <c r="A795" t="s">
        <v>805</v>
      </c>
      <c r="B795" s="2">
        <v>45516</v>
      </c>
      <c r="C795">
        <v>4010</v>
      </c>
      <c r="D795" t="s">
        <v>2016</v>
      </c>
      <c r="E795">
        <v>0</v>
      </c>
      <c r="F795">
        <v>3170.84</v>
      </c>
      <c r="G795" t="s">
        <v>2021</v>
      </c>
      <c r="H795" t="s">
        <v>2027</v>
      </c>
      <c r="I795" t="s">
        <v>2821</v>
      </c>
      <c r="J795" t="s">
        <v>4031</v>
      </c>
      <c r="K795" t="s">
        <v>4058</v>
      </c>
      <c r="L795">
        <v>3170.84</v>
      </c>
      <c r="N795">
        <f t="shared" si="36"/>
        <v>3170.84</v>
      </c>
      <c r="O795" t="s">
        <v>4104</v>
      </c>
      <c r="P795" t="str">
        <f t="shared" si="37"/>
        <v xml:space="preserve"> </v>
      </c>
      <c r="Q795" t="str">
        <f t="shared" si="38"/>
        <v>Favorable</v>
      </c>
    </row>
    <row r="796" spans="1:17">
      <c r="A796" t="s">
        <v>806</v>
      </c>
      <c r="B796" s="2">
        <v>45397</v>
      </c>
      <c r="C796">
        <v>4010</v>
      </c>
      <c r="D796" t="s">
        <v>2016</v>
      </c>
      <c r="E796">
        <v>0</v>
      </c>
      <c r="F796">
        <v>3010.78</v>
      </c>
      <c r="G796" t="s">
        <v>2020</v>
      </c>
      <c r="H796" t="s">
        <v>2024</v>
      </c>
      <c r="I796" t="s">
        <v>2822</v>
      </c>
      <c r="J796" t="s">
        <v>4031</v>
      </c>
      <c r="K796" t="s">
        <v>4040</v>
      </c>
      <c r="L796">
        <v>3010.78</v>
      </c>
      <c r="N796">
        <f t="shared" si="36"/>
        <v>3010.78</v>
      </c>
      <c r="O796" t="s">
        <v>4104</v>
      </c>
      <c r="P796" t="str">
        <f t="shared" si="37"/>
        <v xml:space="preserve"> </v>
      </c>
      <c r="Q796" t="str">
        <f t="shared" si="38"/>
        <v>Favorable</v>
      </c>
    </row>
    <row r="797" spans="1:17">
      <c r="A797" t="s">
        <v>807</v>
      </c>
      <c r="B797" s="2">
        <v>45747</v>
      </c>
      <c r="C797">
        <v>6000</v>
      </c>
      <c r="D797" t="s">
        <v>2014</v>
      </c>
      <c r="E797">
        <v>1953.3</v>
      </c>
      <c r="F797">
        <v>0</v>
      </c>
      <c r="G797" t="s">
        <v>2021</v>
      </c>
      <c r="H797" t="s">
        <v>2024</v>
      </c>
      <c r="I797" t="s">
        <v>2823</v>
      </c>
      <c r="J797" t="s">
        <v>4032</v>
      </c>
      <c r="K797" t="s">
        <v>4046</v>
      </c>
      <c r="L797">
        <v>-1953.3</v>
      </c>
      <c r="N797">
        <f t="shared" si="36"/>
        <v>-1953.3</v>
      </c>
      <c r="O797" t="s">
        <v>4104</v>
      </c>
      <c r="P797" t="str">
        <f t="shared" si="37"/>
        <v xml:space="preserve"> </v>
      </c>
      <c r="Q797" t="str">
        <f t="shared" si="38"/>
        <v>Unfavorable</v>
      </c>
    </row>
    <row r="798" spans="1:17">
      <c r="A798" t="s">
        <v>808</v>
      </c>
      <c r="B798" s="2">
        <v>45494</v>
      </c>
      <c r="C798">
        <v>5010</v>
      </c>
      <c r="D798" t="s">
        <v>2015</v>
      </c>
      <c r="E798">
        <v>1420.92</v>
      </c>
      <c r="F798">
        <v>0</v>
      </c>
      <c r="G798" t="s">
        <v>2021</v>
      </c>
      <c r="H798" t="s">
        <v>2023</v>
      </c>
      <c r="I798" t="s">
        <v>2824</v>
      </c>
      <c r="J798" t="s">
        <v>4030</v>
      </c>
      <c r="K798" t="s">
        <v>4054</v>
      </c>
      <c r="L798">
        <v>-1420.92</v>
      </c>
      <c r="N798">
        <f t="shared" si="36"/>
        <v>-1420.92</v>
      </c>
      <c r="O798" t="s">
        <v>4104</v>
      </c>
      <c r="P798" t="str">
        <f t="shared" si="37"/>
        <v xml:space="preserve"> </v>
      </c>
      <c r="Q798" t="str">
        <f t="shared" si="38"/>
        <v>Unfavorable</v>
      </c>
    </row>
    <row r="799" spans="1:17">
      <c r="A799" t="s">
        <v>809</v>
      </c>
      <c r="B799" s="2">
        <v>45294</v>
      </c>
      <c r="C799">
        <v>6000</v>
      </c>
      <c r="D799" t="s">
        <v>2014</v>
      </c>
      <c r="E799">
        <v>203.96</v>
      </c>
      <c r="F799">
        <v>0</v>
      </c>
      <c r="G799" t="s">
        <v>2022</v>
      </c>
      <c r="H799" t="s">
        <v>2025</v>
      </c>
      <c r="I799" t="s">
        <v>2825</v>
      </c>
      <c r="J799" t="s">
        <v>4031</v>
      </c>
      <c r="K799" t="s">
        <v>4053</v>
      </c>
      <c r="L799">
        <v>-203.96</v>
      </c>
      <c r="N799">
        <f t="shared" si="36"/>
        <v>-203.96</v>
      </c>
      <c r="O799" t="s">
        <v>4104</v>
      </c>
      <c r="P799" t="str">
        <f t="shared" si="37"/>
        <v xml:space="preserve"> </v>
      </c>
      <c r="Q799" t="str">
        <f t="shared" si="38"/>
        <v>Unfavorable</v>
      </c>
    </row>
    <row r="800" spans="1:17">
      <c r="A800" t="s">
        <v>810</v>
      </c>
      <c r="B800" s="2">
        <v>45082</v>
      </c>
      <c r="C800">
        <v>4010</v>
      </c>
      <c r="D800" t="s">
        <v>2016</v>
      </c>
      <c r="E800">
        <v>0</v>
      </c>
      <c r="F800">
        <v>2860.2</v>
      </c>
      <c r="G800" t="s">
        <v>2020</v>
      </c>
      <c r="H800" t="s">
        <v>2024</v>
      </c>
      <c r="I800" t="s">
        <v>2826</v>
      </c>
      <c r="J800" t="s">
        <v>4032</v>
      </c>
      <c r="K800" t="s">
        <v>4055</v>
      </c>
      <c r="L800">
        <v>2860.2</v>
      </c>
      <c r="N800">
        <f t="shared" si="36"/>
        <v>2860.2</v>
      </c>
      <c r="O800" t="s">
        <v>4104</v>
      </c>
      <c r="P800" t="str">
        <f t="shared" si="37"/>
        <v xml:space="preserve"> </v>
      </c>
      <c r="Q800" t="str">
        <f t="shared" si="38"/>
        <v>Favorable</v>
      </c>
    </row>
    <row r="801" spans="1:17">
      <c r="A801" t="s">
        <v>811</v>
      </c>
      <c r="B801" s="2">
        <v>45159</v>
      </c>
      <c r="C801">
        <v>5010</v>
      </c>
      <c r="D801" t="s">
        <v>2015</v>
      </c>
      <c r="E801">
        <v>1363.92</v>
      </c>
      <c r="F801">
        <v>0</v>
      </c>
      <c r="G801" t="s">
        <v>2022</v>
      </c>
      <c r="H801" t="s">
        <v>2024</v>
      </c>
      <c r="I801" t="s">
        <v>2827</v>
      </c>
      <c r="J801" t="s">
        <v>4032</v>
      </c>
      <c r="K801" t="s">
        <v>4037</v>
      </c>
      <c r="L801">
        <v>-1363.92</v>
      </c>
      <c r="N801">
        <f t="shared" si="36"/>
        <v>-1363.92</v>
      </c>
      <c r="O801" t="s">
        <v>4104</v>
      </c>
      <c r="P801" t="str">
        <f t="shared" si="37"/>
        <v xml:space="preserve"> </v>
      </c>
      <c r="Q801" t="str">
        <f t="shared" si="38"/>
        <v>Unfavorable</v>
      </c>
    </row>
    <row r="802" spans="1:17">
      <c r="A802" t="s">
        <v>812</v>
      </c>
      <c r="B802" s="2">
        <v>45303</v>
      </c>
      <c r="C802">
        <v>4000</v>
      </c>
      <c r="D802" t="s">
        <v>2012</v>
      </c>
      <c r="E802">
        <v>0</v>
      </c>
      <c r="F802">
        <v>4449.82</v>
      </c>
      <c r="G802" t="s">
        <v>2020</v>
      </c>
      <c r="H802" t="s">
        <v>2024</v>
      </c>
      <c r="I802" t="s">
        <v>2828</v>
      </c>
      <c r="J802" t="s">
        <v>4032</v>
      </c>
      <c r="K802" t="s">
        <v>4053</v>
      </c>
      <c r="L802">
        <v>4449.82</v>
      </c>
      <c r="N802">
        <f t="shared" si="36"/>
        <v>4449.82</v>
      </c>
      <c r="O802" t="s">
        <v>4104</v>
      </c>
      <c r="P802" t="str">
        <f t="shared" si="37"/>
        <v xml:space="preserve"> </v>
      </c>
      <c r="Q802" t="str">
        <f t="shared" si="38"/>
        <v>Favorable</v>
      </c>
    </row>
    <row r="803" spans="1:17">
      <c r="A803" t="s">
        <v>813</v>
      </c>
      <c r="B803" s="2">
        <v>45056</v>
      </c>
      <c r="C803">
        <v>5010</v>
      </c>
      <c r="D803" t="s">
        <v>2015</v>
      </c>
      <c r="E803">
        <v>256.63</v>
      </c>
      <c r="F803">
        <v>0</v>
      </c>
      <c r="G803" t="s">
        <v>2020</v>
      </c>
      <c r="H803" t="s">
        <v>2026</v>
      </c>
      <c r="I803" t="s">
        <v>2829</v>
      </c>
      <c r="J803" t="s">
        <v>4030</v>
      </c>
      <c r="K803" t="s">
        <v>4062</v>
      </c>
      <c r="L803">
        <v>-256.63</v>
      </c>
      <c r="N803">
        <f t="shared" si="36"/>
        <v>-256.63</v>
      </c>
      <c r="O803" t="s">
        <v>4104</v>
      </c>
      <c r="P803" t="str">
        <f t="shared" si="37"/>
        <v xml:space="preserve"> </v>
      </c>
      <c r="Q803" t="str">
        <f t="shared" si="38"/>
        <v>Unfavorable</v>
      </c>
    </row>
    <row r="804" spans="1:17">
      <c r="A804" t="s">
        <v>814</v>
      </c>
      <c r="B804" s="2">
        <v>45504</v>
      </c>
      <c r="C804">
        <v>4000</v>
      </c>
      <c r="D804" t="s">
        <v>2012</v>
      </c>
      <c r="E804">
        <v>0</v>
      </c>
      <c r="F804">
        <v>303.74</v>
      </c>
      <c r="G804" t="s">
        <v>2017</v>
      </c>
      <c r="H804" t="s">
        <v>2026</v>
      </c>
      <c r="I804" t="s">
        <v>2830</v>
      </c>
      <c r="J804" t="s">
        <v>4029</v>
      </c>
      <c r="K804" t="s">
        <v>4054</v>
      </c>
      <c r="L804">
        <v>303.74</v>
      </c>
      <c r="N804">
        <f t="shared" si="36"/>
        <v>303.74</v>
      </c>
      <c r="O804" t="s">
        <v>4104</v>
      </c>
      <c r="P804" t="str">
        <f t="shared" si="37"/>
        <v xml:space="preserve"> </v>
      </c>
      <c r="Q804" t="str">
        <f t="shared" si="38"/>
        <v>Favorable</v>
      </c>
    </row>
    <row r="805" spans="1:17">
      <c r="A805" t="s">
        <v>815</v>
      </c>
      <c r="B805" s="2">
        <v>45600</v>
      </c>
      <c r="C805">
        <v>5000</v>
      </c>
      <c r="D805" t="s">
        <v>2013</v>
      </c>
      <c r="E805">
        <v>1181.69</v>
      </c>
      <c r="F805">
        <v>0</v>
      </c>
      <c r="G805" t="s">
        <v>2017</v>
      </c>
      <c r="H805" t="s">
        <v>2027</v>
      </c>
      <c r="I805" t="s">
        <v>2831</v>
      </c>
      <c r="J805" t="s">
        <v>4028</v>
      </c>
      <c r="K805" t="s">
        <v>4043</v>
      </c>
      <c r="L805">
        <v>-1181.69</v>
      </c>
      <c r="N805">
        <f t="shared" si="36"/>
        <v>-1181.69</v>
      </c>
      <c r="O805" t="s">
        <v>4104</v>
      </c>
      <c r="P805" t="str">
        <f t="shared" si="37"/>
        <v xml:space="preserve"> </v>
      </c>
      <c r="Q805" t="str">
        <f t="shared" si="38"/>
        <v>Unfavorable</v>
      </c>
    </row>
    <row r="806" spans="1:17">
      <c r="A806" t="s">
        <v>816</v>
      </c>
      <c r="B806" s="2">
        <v>45200</v>
      </c>
      <c r="C806">
        <v>4010</v>
      </c>
      <c r="D806" t="s">
        <v>2016</v>
      </c>
      <c r="E806">
        <v>0</v>
      </c>
      <c r="F806">
        <v>2568.02</v>
      </c>
      <c r="G806" t="s">
        <v>2022</v>
      </c>
      <c r="H806" t="s">
        <v>2023</v>
      </c>
      <c r="I806" t="s">
        <v>2832</v>
      </c>
      <c r="J806" t="s">
        <v>4030</v>
      </c>
      <c r="K806" t="s">
        <v>4060</v>
      </c>
      <c r="L806">
        <v>2568.02</v>
      </c>
      <c r="N806">
        <f t="shared" si="36"/>
        <v>2568.02</v>
      </c>
      <c r="O806" t="s">
        <v>4104</v>
      </c>
      <c r="P806" t="str">
        <f t="shared" si="37"/>
        <v xml:space="preserve"> </v>
      </c>
      <c r="Q806" t="str">
        <f t="shared" si="38"/>
        <v>Favorable</v>
      </c>
    </row>
    <row r="807" spans="1:17">
      <c r="A807" t="s">
        <v>817</v>
      </c>
      <c r="B807" s="2">
        <v>45209</v>
      </c>
      <c r="C807">
        <v>5000</v>
      </c>
      <c r="D807" t="s">
        <v>2013</v>
      </c>
      <c r="E807">
        <v>1567.28</v>
      </c>
      <c r="F807">
        <v>0</v>
      </c>
      <c r="G807" t="s">
        <v>2020</v>
      </c>
      <c r="H807" t="s">
        <v>2027</v>
      </c>
      <c r="I807" t="s">
        <v>2833</v>
      </c>
      <c r="J807" t="s">
        <v>4030</v>
      </c>
      <c r="K807" t="s">
        <v>4060</v>
      </c>
      <c r="L807">
        <v>-1567.28</v>
      </c>
      <c r="N807">
        <f t="shared" si="36"/>
        <v>-1567.28</v>
      </c>
      <c r="O807" t="s">
        <v>4104</v>
      </c>
      <c r="P807" t="str">
        <f t="shared" si="37"/>
        <v xml:space="preserve"> </v>
      </c>
      <c r="Q807" t="str">
        <f t="shared" si="38"/>
        <v>Unfavorable</v>
      </c>
    </row>
    <row r="808" spans="1:17">
      <c r="A808" t="s">
        <v>818</v>
      </c>
      <c r="B808" s="2">
        <v>45772</v>
      </c>
      <c r="C808">
        <v>4010</v>
      </c>
      <c r="D808" t="s">
        <v>2016</v>
      </c>
      <c r="E808">
        <v>0</v>
      </c>
      <c r="F808">
        <v>1614.33</v>
      </c>
      <c r="G808" t="s">
        <v>2017</v>
      </c>
      <c r="H808" t="s">
        <v>2026</v>
      </c>
      <c r="I808" t="s">
        <v>2834</v>
      </c>
      <c r="J808" t="s">
        <v>4028</v>
      </c>
      <c r="K808" t="s">
        <v>4045</v>
      </c>
      <c r="L808">
        <v>1614.33</v>
      </c>
      <c r="N808">
        <f t="shared" si="36"/>
        <v>1614.33</v>
      </c>
      <c r="O808" t="s">
        <v>4104</v>
      </c>
      <c r="P808" t="str">
        <f t="shared" si="37"/>
        <v xml:space="preserve"> </v>
      </c>
      <c r="Q808" t="str">
        <f t="shared" si="38"/>
        <v>Favorable</v>
      </c>
    </row>
    <row r="809" spans="1:17">
      <c r="A809" t="s">
        <v>819</v>
      </c>
      <c r="B809" s="2">
        <v>45485</v>
      </c>
      <c r="C809">
        <v>6000</v>
      </c>
      <c r="D809" t="s">
        <v>2014</v>
      </c>
      <c r="E809">
        <v>335.31</v>
      </c>
      <c r="F809">
        <v>0</v>
      </c>
      <c r="G809" t="s">
        <v>2017</v>
      </c>
      <c r="H809" t="s">
        <v>2023</v>
      </c>
      <c r="I809" t="s">
        <v>2835</v>
      </c>
      <c r="J809" t="s">
        <v>4028</v>
      </c>
      <c r="K809" t="s">
        <v>4054</v>
      </c>
      <c r="L809">
        <v>-335.31</v>
      </c>
      <c r="N809">
        <f t="shared" si="36"/>
        <v>-335.31</v>
      </c>
      <c r="O809" t="s">
        <v>4104</v>
      </c>
      <c r="P809" t="str">
        <f t="shared" si="37"/>
        <v xml:space="preserve"> </v>
      </c>
      <c r="Q809" t="str">
        <f t="shared" si="38"/>
        <v>Unfavorable</v>
      </c>
    </row>
    <row r="810" spans="1:17">
      <c r="A810" t="s">
        <v>820</v>
      </c>
      <c r="B810" s="2">
        <v>45832</v>
      </c>
      <c r="C810">
        <v>5010</v>
      </c>
      <c r="D810" t="s">
        <v>2015</v>
      </c>
      <c r="E810">
        <v>1491.54</v>
      </c>
      <c r="F810">
        <v>0</v>
      </c>
      <c r="G810" t="s">
        <v>2020</v>
      </c>
      <c r="H810" t="s">
        <v>2027</v>
      </c>
      <c r="I810" t="s">
        <v>2836</v>
      </c>
      <c r="J810" t="s">
        <v>4031</v>
      </c>
      <c r="K810" t="s">
        <v>4052</v>
      </c>
      <c r="L810">
        <v>-1491.54</v>
      </c>
      <c r="N810">
        <f t="shared" si="36"/>
        <v>-1491.54</v>
      </c>
      <c r="O810" t="s">
        <v>4104</v>
      </c>
      <c r="P810" t="str">
        <f t="shared" si="37"/>
        <v xml:space="preserve"> </v>
      </c>
      <c r="Q810" t="str">
        <f t="shared" si="38"/>
        <v>Unfavorable</v>
      </c>
    </row>
    <row r="811" spans="1:17">
      <c r="A811" t="s">
        <v>821</v>
      </c>
      <c r="B811" s="2">
        <v>45699</v>
      </c>
      <c r="C811">
        <v>4010</v>
      </c>
      <c r="D811" t="s">
        <v>2016</v>
      </c>
      <c r="E811">
        <v>0</v>
      </c>
      <c r="F811">
        <v>2809.76</v>
      </c>
      <c r="G811" t="s">
        <v>2021</v>
      </c>
      <c r="H811" t="s">
        <v>2024</v>
      </c>
      <c r="I811" t="s">
        <v>2837</v>
      </c>
      <c r="J811" t="s">
        <v>4031</v>
      </c>
      <c r="K811" t="s">
        <v>4061</v>
      </c>
      <c r="L811">
        <v>2809.76</v>
      </c>
      <c r="N811">
        <f t="shared" si="36"/>
        <v>2809.76</v>
      </c>
      <c r="O811" t="s">
        <v>4104</v>
      </c>
      <c r="P811" t="str">
        <f t="shared" si="37"/>
        <v xml:space="preserve"> </v>
      </c>
      <c r="Q811" t="str">
        <f t="shared" si="38"/>
        <v>Favorable</v>
      </c>
    </row>
    <row r="812" spans="1:17">
      <c r="A812" t="s">
        <v>822</v>
      </c>
      <c r="B812" s="2">
        <v>45229</v>
      </c>
      <c r="C812">
        <v>4000</v>
      </c>
      <c r="D812" t="s">
        <v>2012</v>
      </c>
      <c r="E812">
        <v>0</v>
      </c>
      <c r="F812">
        <v>460.23</v>
      </c>
      <c r="G812" t="s">
        <v>2019</v>
      </c>
      <c r="H812" t="s">
        <v>2026</v>
      </c>
      <c r="I812" t="s">
        <v>2838</v>
      </c>
      <c r="J812" t="s">
        <v>4031</v>
      </c>
      <c r="K812" t="s">
        <v>4060</v>
      </c>
      <c r="L812">
        <v>460.23</v>
      </c>
      <c r="N812">
        <f t="shared" si="36"/>
        <v>460.23</v>
      </c>
      <c r="O812" t="s">
        <v>4104</v>
      </c>
      <c r="P812" t="str">
        <f t="shared" si="37"/>
        <v xml:space="preserve"> </v>
      </c>
      <c r="Q812" t="str">
        <f t="shared" si="38"/>
        <v>Favorable</v>
      </c>
    </row>
    <row r="813" spans="1:17">
      <c r="A813" t="s">
        <v>823</v>
      </c>
      <c r="B813" s="2">
        <v>45181</v>
      </c>
      <c r="C813">
        <v>4010</v>
      </c>
      <c r="D813" t="s">
        <v>2016</v>
      </c>
      <c r="E813">
        <v>0</v>
      </c>
      <c r="F813">
        <v>2788.91</v>
      </c>
      <c r="G813" t="s">
        <v>2022</v>
      </c>
      <c r="H813" t="s">
        <v>2026</v>
      </c>
      <c r="I813" t="s">
        <v>2839</v>
      </c>
      <c r="J813" t="s">
        <v>4028</v>
      </c>
      <c r="K813" t="s">
        <v>4036</v>
      </c>
      <c r="L813">
        <v>2788.91</v>
      </c>
      <c r="N813">
        <f t="shared" si="36"/>
        <v>2788.91</v>
      </c>
      <c r="O813" t="s">
        <v>4104</v>
      </c>
      <c r="P813" t="str">
        <f t="shared" si="37"/>
        <v xml:space="preserve"> </v>
      </c>
      <c r="Q813" t="str">
        <f t="shared" si="38"/>
        <v>Favorable</v>
      </c>
    </row>
    <row r="814" spans="1:17">
      <c r="A814" t="s">
        <v>824</v>
      </c>
      <c r="B814" s="2">
        <v>45775</v>
      </c>
      <c r="C814">
        <v>6000</v>
      </c>
      <c r="D814" t="s">
        <v>2014</v>
      </c>
      <c r="E814">
        <v>695.92</v>
      </c>
      <c r="F814">
        <v>0</v>
      </c>
      <c r="G814" t="s">
        <v>2018</v>
      </c>
      <c r="H814" t="s">
        <v>2025</v>
      </c>
      <c r="I814" t="s">
        <v>2840</v>
      </c>
      <c r="J814" t="s">
        <v>4028</v>
      </c>
      <c r="K814" t="s">
        <v>4045</v>
      </c>
      <c r="L814">
        <v>-695.92</v>
      </c>
      <c r="N814">
        <f t="shared" si="36"/>
        <v>-695.92</v>
      </c>
      <c r="O814" t="s">
        <v>4104</v>
      </c>
      <c r="P814" t="str">
        <f t="shared" si="37"/>
        <v xml:space="preserve"> </v>
      </c>
      <c r="Q814" t="str">
        <f t="shared" si="38"/>
        <v>Unfavorable</v>
      </c>
    </row>
    <row r="815" spans="1:17">
      <c r="A815" t="s">
        <v>825</v>
      </c>
      <c r="B815" s="2">
        <v>45764</v>
      </c>
      <c r="C815">
        <v>5010</v>
      </c>
      <c r="D815" t="s">
        <v>2015</v>
      </c>
      <c r="E815">
        <v>1845.75</v>
      </c>
      <c r="F815">
        <v>0</v>
      </c>
      <c r="G815" t="s">
        <v>2017</v>
      </c>
      <c r="H815" t="s">
        <v>2026</v>
      </c>
      <c r="I815" t="s">
        <v>2841</v>
      </c>
      <c r="J815" t="s">
        <v>4028</v>
      </c>
      <c r="K815" t="s">
        <v>4045</v>
      </c>
      <c r="L815">
        <v>-1845.75</v>
      </c>
      <c r="N815">
        <f t="shared" si="36"/>
        <v>-1845.75</v>
      </c>
      <c r="O815" t="s">
        <v>4104</v>
      </c>
      <c r="P815" t="str">
        <f t="shared" si="37"/>
        <v xml:space="preserve"> </v>
      </c>
      <c r="Q815" t="str">
        <f t="shared" si="38"/>
        <v>Unfavorable</v>
      </c>
    </row>
    <row r="816" spans="1:17">
      <c r="A816" t="s">
        <v>826</v>
      </c>
      <c r="B816" s="2">
        <v>45687</v>
      </c>
      <c r="C816">
        <v>5000</v>
      </c>
      <c r="D816" t="s">
        <v>2013</v>
      </c>
      <c r="E816">
        <v>892.42</v>
      </c>
      <c r="F816">
        <v>0</v>
      </c>
      <c r="G816" t="s">
        <v>2021</v>
      </c>
      <c r="H816" t="s">
        <v>2023</v>
      </c>
      <c r="I816" t="s">
        <v>2842</v>
      </c>
      <c r="J816" t="s">
        <v>4032</v>
      </c>
      <c r="K816" t="s">
        <v>4035</v>
      </c>
      <c r="L816">
        <v>-892.42</v>
      </c>
      <c r="N816">
        <f t="shared" si="36"/>
        <v>-892.42</v>
      </c>
      <c r="O816" t="s">
        <v>4104</v>
      </c>
      <c r="P816" t="str">
        <f t="shared" si="37"/>
        <v xml:space="preserve"> </v>
      </c>
      <c r="Q816" t="str">
        <f t="shared" si="38"/>
        <v>Unfavorable</v>
      </c>
    </row>
    <row r="817" spans="1:17">
      <c r="A817" t="s">
        <v>827</v>
      </c>
      <c r="B817" s="2">
        <v>45170</v>
      </c>
      <c r="C817">
        <v>5010</v>
      </c>
      <c r="D817" t="s">
        <v>2015</v>
      </c>
      <c r="E817">
        <v>1024.68</v>
      </c>
      <c r="F817">
        <v>0</v>
      </c>
      <c r="G817" t="s">
        <v>2018</v>
      </c>
      <c r="H817" t="s">
        <v>2023</v>
      </c>
      <c r="I817" t="s">
        <v>2843</v>
      </c>
      <c r="J817" t="s">
        <v>4028</v>
      </c>
      <c r="K817" t="s">
        <v>4036</v>
      </c>
      <c r="L817">
        <v>-1024.68</v>
      </c>
      <c r="N817">
        <f t="shared" si="36"/>
        <v>-1024.68</v>
      </c>
      <c r="O817" t="s">
        <v>4104</v>
      </c>
      <c r="P817" t="str">
        <f t="shared" si="37"/>
        <v xml:space="preserve"> </v>
      </c>
      <c r="Q817" t="str">
        <f t="shared" si="38"/>
        <v>Unfavorable</v>
      </c>
    </row>
    <row r="818" spans="1:17">
      <c r="A818" t="s">
        <v>828</v>
      </c>
      <c r="B818" s="2">
        <v>45231</v>
      </c>
      <c r="C818">
        <v>6000</v>
      </c>
      <c r="D818" t="s">
        <v>2014</v>
      </c>
      <c r="E818">
        <v>927.04</v>
      </c>
      <c r="F818">
        <v>0</v>
      </c>
      <c r="G818" t="s">
        <v>2020</v>
      </c>
      <c r="H818" t="s">
        <v>2026</v>
      </c>
      <c r="I818" t="s">
        <v>2844</v>
      </c>
      <c r="J818" t="s">
        <v>4032</v>
      </c>
      <c r="K818" t="s">
        <v>4042</v>
      </c>
      <c r="L818">
        <v>-927.04</v>
      </c>
      <c r="N818">
        <f t="shared" si="36"/>
        <v>-927.04</v>
      </c>
      <c r="O818" t="s">
        <v>4104</v>
      </c>
      <c r="P818" t="str">
        <f t="shared" si="37"/>
        <v xml:space="preserve"> </v>
      </c>
      <c r="Q818" t="str">
        <f t="shared" si="38"/>
        <v>Unfavorable</v>
      </c>
    </row>
    <row r="819" spans="1:17">
      <c r="A819" t="s">
        <v>829</v>
      </c>
      <c r="B819" s="2">
        <v>45376</v>
      </c>
      <c r="C819">
        <v>4000</v>
      </c>
      <c r="D819" t="s">
        <v>2012</v>
      </c>
      <c r="E819">
        <v>0</v>
      </c>
      <c r="F819">
        <v>3540.18</v>
      </c>
      <c r="G819" t="s">
        <v>2020</v>
      </c>
      <c r="H819" t="s">
        <v>2023</v>
      </c>
      <c r="I819" t="s">
        <v>2845</v>
      </c>
      <c r="J819" t="s">
        <v>4032</v>
      </c>
      <c r="K819" t="s">
        <v>4049</v>
      </c>
      <c r="L819">
        <v>3540.18</v>
      </c>
      <c r="N819">
        <f t="shared" si="36"/>
        <v>3540.18</v>
      </c>
      <c r="O819" t="s">
        <v>4104</v>
      </c>
      <c r="P819" t="str">
        <f t="shared" si="37"/>
        <v xml:space="preserve"> </v>
      </c>
      <c r="Q819" t="str">
        <f t="shared" si="38"/>
        <v>Favorable</v>
      </c>
    </row>
    <row r="820" spans="1:17">
      <c r="A820" t="s">
        <v>830</v>
      </c>
      <c r="B820" s="2">
        <v>45635</v>
      </c>
      <c r="C820">
        <v>4010</v>
      </c>
      <c r="D820" t="s">
        <v>2016</v>
      </c>
      <c r="E820">
        <v>0</v>
      </c>
      <c r="F820">
        <v>4254.72</v>
      </c>
      <c r="G820" t="s">
        <v>2019</v>
      </c>
      <c r="H820" t="s">
        <v>2023</v>
      </c>
      <c r="I820" t="s">
        <v>2846</v>
      </c>
      <c r="J820" t="s">
        <v>4028</v>
      </c>
      <c r="K820" t="s">
        <v>4056</v>
      </c>
      <c r="L820">
        <v>4254.72</v>
      </c>
      <c r="N820">
        <f t="shared" si="36"/>
        <v>4254.72</v>
      </c>
      <c r="O820" t="s">
        <v>4104</v>
      </c>
      <c r="P820" t="str">
        <f t="shared" si="37"/>
        <v xml:space="preserve"> </v>
      </c>
      <c r="Q820" t="str">
        <f t="shared" si="38"/>
        <v>Favorable</v>
      </c>
    </row>
    <row r="821" spans="1:17">
      <c r="A821" t="s">
        <v>831</v>
      </c>
      <c r="B821" s="2">
        <v>45211</v>
      </c>
      <c r="C821">
        <v>5010</v>
      </c>
      <c r="D821" t="s">
        <v>2015</v>
      </c>
      <c r="E821">
        <v>1013.65</v>
      </c>
      <c r="F821">
        <v>0</v>
      </c>
      <c r="G821" t="s">
        <v>2017</v>
      </c>
      <c r="H821" t="s">
        <v>2026</v>
      </c>
      <c r="I821" t="s">
        <v>2847</v>
      </c>
      <c r="J821" t="s">
        <v>4030</v>
      </c>
      <c r="K821" t="s">
        <v>4060</v>
      </c>
      <c r="L821">
        <v>-1013.65</v>
      </c>
      <c r="N821">
        <f t="shared" si="36"/>
        <v>-1013.65</v>
      </c>
      <c r="O821" t="s">
        <v>4104</v>
      </c>
      <c r="P821" t="str">
        <f t="shared" si="37"/>
        <v xml:space="preserve"> </v>
      </c>
      <c r="Q821" t="str">
        <f t="shared" si="38"/>
        <v>Unfavorable</v>
      </c>
    </row>
    <row r="822" spans="1:17">
      <c r="A822" t="s">
        <v>832</v>
      </c>
      <c r="B822" s="2">
        <v>45067</v>
      </c>
      <c r="C822">
        <v>4010</v>
      </c>
      <c r="D822" t="s">
        <v>2016</v>
      </c>
      <c r="E822">
        <v>0</v>
      </c>
      <c r="F822">
        <v>2994.63</v>
      </c>
      <c r="G822" t="s">
        <v>2019</v>
      </c>
      <c r="H822" t="s">
        <v>2026</v>
      </c>
      <c r="I822" t="s">
        <v>2848</v>
      </c>
      <c r="J822" t="s">
        <v>4031</v>
      </c>
      <c r="K822" t="s">
        <v>4062</v>
      </c>
      <c r="L822">
        <v>2994.63</v>
      </c>
      <c r="N822">
        <f t="shared" si="36"/>
        <v>2994.63</v>
      </c>
      <c r="O822" t="s">
        <v>4104</v>
      </c>
      <c r="P822" t="str">
        <f t="shared" si="37"/>
        <v xml:space="preserve"> </v>
      </c>
      <c r="Q822" t="str">
        <f t="shared" si="38"/>
        <v>Favorable</v>
      </c>
    </row>
    <row r="823" spans="1:17">
      <c r="A823" t="s">
        <v>833</v>
      </c>
      <c r="B823" s="2">
        <v>45187</v>
      </c>
      <c r="C823">
        <v>4000</v>
      </c>
      <c r="D823" t="s">
        <v>2012</v>
      </c>
      <c r="E823">
        <v>0</v>
      </c>
      <c r="F823">
        <v>4094.14</v>
      </c>
      <c r="G823" t="s">
        <v>2021</v>
      </c>
      <c r="H823" t="s">
        <v>2023</v>
      </c>
      <c r="I823" t="s">
        <v>2849</v>
      </c>
      <c r="J823" t="s">
        <v>4031</v>
      </c>
      <c r="K823" t="s">
        <v>4036</v>
      </c>
      <c r="L823">
        <v>4094.14</v>
      </c>
      <c r="N823">
        <f t="shared" si="36"/>
        <v>4094.14</v>
      </c>
      <c r="O823" t="s">
        <v>4104</v>
      </c>
      <c r="P823" t="str">
        <f t="shared" si="37"/>
        <v xml:space="preserve"> </v>
      </c>
      <c r="Q823" t="str">
        <f t="shared" si="38"/>
        <v>Favorable</v>
      </c>
    </row>
    <row r="824" spans="1:17">
      <c r="A824" t="s">
        <v>834</v>
      </c>
      <c r="B824" s="2">
        <v>45174</v>
      </c>
      <c r="C824">
        <v>6000</v>
      </c>
      <c r="D824" t="s">
        <v>2014</v>
      </c>
      <c r="E824">
        <v>784.89</v>
      </c>
      <c r="F824">
        <v>0</v>
      </c>
      <c r="G824" t="s">
        <v>2018</v>
      </c>
      <c r="H824" t="s">
        <v>2024</v>
      </c>
      <c r="I824" t="s">
        <v>2850</v>
      </c>
      <c r="J824" t="s">
        <v>4030</v>
      </c>
      <c r="K824" t="s">
        <v>4036</v>
      </c>
      <c r="L824">
        <v>-784.89</v>
      </c>
      <c r="N824">
        <f t="shared" si="36"/>
        <v>-784.89</v>
      </c>
      <c r="O824" t="s">
        <v>4104</v>
      </c>
      <c r="P824" t="str">
        <f t="shared" si="37"/>
        <v xml:space="preserve"> </v>
      </c>
      <c r="Q824" t="str">
        <f t="shared" si="38"/>
        <v>Unfavorable</v>
      </c>
    </row>
    <row r="825" spans="1:17">
      <c r="A825" t="s">
        <v>835</v>
      </c>
      <c r="B825" s="2">
        <v>45709</v>
      </c>
      <c r="C825">
        <v>5000</v>
      </c>
      <c r="D825" t="s">
        <v>2013</v>
      </c>
      <c r="E825">
        <v>219.41</v>
      </c>
      <c r="F825">
        <v>0</v>
      </c>
      <c r="G825" t="s">
        <v>2019</v>
      </c>
      <c r="H825" t="s">
        <v>2023</v>
      </c>
      <c r="I825" t="s">
        <v>2851</v>
      </c>
      <c r="J825" t="s">
        <v>4030</v>
      </c>
      <c r="K825" t="s">
        <v>4061</v>
      </c>
      <c r="L825">
        <v>-219.41</v>
      </c>
      <c r="N825">
        <f t="shared" si="36"/>
        <v>-219.41</v>
      </c>
      <c r="O825" t="s">
        <v>4104</v>
      </c>
      <c r="P825" t="str">
        <f t="shared" si="37"/>
        <v xml:space="preserve"> </v>
      </c>
      <c r="Q825" t="str">
        <f t="shared" si="38"/>
        <v>Unfavorable</v>
      </c>
    </row>
    <row r="826" spans="1:17">
      <c r="A826" t="s">
        <v>836</v>
      </c>
      <c r="B826" s="2">
        <v>45551</v>
      </c>
      <c r="C826">
        <v>4000</v>
      </c>
      <c r="D826" t="s">
        <v>2012</v>
      </c>
      <c r="E826">
        <v>0</v>
      </c>
      <c r="F826">
        <v>1558.82</v>
      </c>
      <c r="G826" t="s">
        <v>2021</v>
      </c>
      <c r="H826" t="s">
        <v>2026</v>
      </c>
      <c r="I826" t="s">
        <v>2852</v>
      </c>
      <c r="J826" t="s">
        <v>4029</v>
      </c>
      <c r="K826" t="s">
        <v>4048</v>
      </c>
      <c r="L826">
        <v>1558.82</v>
      </c>
      <c r="N826">
        <f t="shared" si="36"/>
        <v>1558.82</v>
      </c>
      <c r="O826" t="s">
        <v>4104</v>
      </c>
      <c r="P826" t="str">
        <f t="shared" si="37"/>
        <v xml:space="preserve"> </v>
      </c>
      <c r="Q826" t="str">
        <f t="shared" si="38"/>
        <v>Favorable</v>
      </c>
    </row>
    <row r="827" spans="1:17">
      <c r="A827" t="s">
        <v>837</v>
      </c>
      <c r="B827" s="2">
        <v>45699</v>
      </c>
      <c r="C827">
        <v>6000</v>
      </c>
      <c r="D827" t="s">
        <v>2014</v>
      </c>
      <c r="E827">
        <v>723.9</v>
      </c>
      <c r="F827">
        <v>0</v>
      </c>
      <c r="G827" t="s">
        <v>2019</v>
      </c>
      <c r="H827" t="s">
        <v>2025</v>
      </c>
      <c r="I827" t="s">
        <v>2853</v>
      </c>
      <c r="J827" t="s">
        <v>4032</v>
      </c>
      <c r="K827" t="s">
        <v>4061</v>
      </c>
      <c r="L827">
        <v>-723.9</v>
      </c>
      <c r="N827">
        <f t="shared" si="36"/>
        <v>-723.9</v>
      </c>
      <c r="O827" t="s">
        <v>4104</v>
      </c>
      <c r="P827" t="str">
        <f t="shared" si="37"/>
        <v xml:space="preserve"> </v>
      </c>
      <c r="Q827" t="str">
        <f t="shared" si="38"/>
        <v>Unfavorable</v>
      </c>
    </row>
    <row r="828" spans="1:17">
      <c r="A828" t="s">
        <v>838</v>
      </c>
      <c r="B828" s="2">
        <v>45613</v>
      </c>
      <c r="C828">
        <v>4010</v>
      </c>
      <c r="D828" t="s">
        <v>2016</v>
      </c>
      <c r="E828">
        <v>0</v>
      </c>
      <c r="F828">
        <v>2447.66</v>
      </c>
      <c r="G828" t="s">
        <v>2022</v>
      </c>
      <c r="H828" t="s">
        <v>2024</v>
      </c>
      <c r="I828" t="s">
        <v>2854</v>
      </c>
      <c r="J828" t="s">
        <v>4030</v>
      </c>
      <c r="K828" t="s">
        <v>4043</v>
      </c>
      <c r="L828">
        <v>2447.66</v>
      </c>
      <c r="N828">
        <f t="shared" si="36"/>
        <v>2447.66</v>
      </c>
      <c r="O828" t="s">
        <v>4104</v>
      </c>
      <c r="P828" t="str">
        <f t="shared" si="37"/>
        <v xml:space="preserve"> </v>
      </c>
      <c r="Q828" t="str">
        <f t="shared" si="38"/>
        <v>Favorable</v>
      </c>
    </row>
    <row r="829" spans="1:17">
      <c r="A829" t="s">
        <v>839</v>
      </c>
      <c r="B829" s="2">
        <v>45016</v>
      </c>
      <c r="C829">
        <v>4000</v>
      </c>
      <c r="D829" t="s">
        <v>2012</v>
      </c>
      <c r="E829">
        <v>0</v>
      </c>
      <c r="F829">
        <v>1067.43</v>
      </c>
      <c r="G829" t="s">
        <v>2022</v>
      </c>
      <c r="H829" t="s">
        <v>2023</v>
      </c>
      <c r="I829" t="s">
        <v>2855</v>
      </c>
      <c r="J829" t="s">
        <v>4029</v>
      </c>
      <c r="K829" t="s">
        <v>4051</v>
      </c>
      <c r="L829">
        <v>1067.43</v>
      </c>
      <c r="N829">
        <f t="shared" si="36"/>
        <v>1067.43</v>
      </c>
      <c r="O829" t="s">
        <v>4104</v>
      </c>
      <c r="P829" t="str">
        <f t="shared" si="37"/>
        <v xml:space="preserve"> </v>
      </c>
      <c r="Q829" t="str">
        <f t="shared" si="38"/>
        <v>Favorable</v>
      </c>
    </row>
    <row r="830" spans="1:17">
      <c r="A830" t="s">
        <v>840</v>
      </c>
      <c r="B830" s="2">
        <v>45068</v>
      </c>
      <c r="C830">
        <v>5010</v>
      </c>
      <c r="D830" t="s">
        <v>2015</v>
      </c>
      <c r="E830">
        <v>977.48</v>
      </c>
      <c r="F830">
        <v>0</v>
      </c>
      <c r="G830" t="s">
        <v>2018</v>
      </c>
      <c r="H830" t="s">
        <v>2026</v>
      </c>
      <c r="I830" t="s">
        <v>2856</v>
      </c>
      <c r="J830" t="s">
        <v>4030</v>
      </c>
      <c r="K830" t="s">
        <v>4062</v>
      </c>
      <c r="L830">
        <v>-977.48</v>
      </c>
      <c r="N830">
        <f t="shared" si="36"/>
        <v>-977.48</v>
      </c>
      <c r="O830" t="s">
        <v>4104</v>
      </c>
      <c r="P830" t="str">
        <f t="shared" si="37"/>
        <v xml:space="preserve"> </v>
      </c>
      <c r="Q830" t="str">
        <f t="shared" si="38"/>
        <v>Unfavorable</v>
      </c>
    </row>
    <row r="831" spans="1:17">
      <c r="A831" t="s">
        <v>841</v>
      </c>
      <c r="B831" s="2">
        <v>45730</v>
      </c>
      <c r="C831">
        <v>6000</v>
      </c>
      <c r="D831" t="s">
        <v>2014</v>
      </c>
      <c r="E831">
        <v>1331.39</v>
      </c>
      <c r="F831">
        <v>0</v>
      </c>
      <c r="G831" t="s">
        <v>2017</v>
      </c>
      <c r="H831" t="s">
        <v>2023</v>
      </c>
      <c r="I831" t="s">
        <v>2857</v>
      </c>
      <c r="J831" t="s">
        <v>4031</v>
      </c>
      <c r="K831" t="s">
        <v>4046</v>
      </c>
      <c r="L831">
        <v>-1331.39</v>
      </c>
      <c r="N831">
        <f t="shared" si="36"/>
        <v>-1331.39</v>
      </c>
      <c r="O831" t="s">
        <v>4104</v>
      </c>
      <c r="P831" t="str">
        <f t="shared" si="37"/>
        <v xml:space="preserve"> </v>
      </c>
      <c r="Q831" t="str">
        <f t="shared" si="38"/>
        <v>Unfavorable</v>
      </c>
    </row>
    <row r="832" spans="1:17">
      <c r="A832" t="s">
        <v>842</v>
      </c>
      <c r="B832" s="2">
        <v>45017</v>
      </c>
      <c r="C832">
        <v>4010</v>
      </c>
      <c r="D832" t="s">
        <v>2016</v>
      </c>
      <c r="E832">
        <v>0</v>
      </c>
      <c r="F832">
        <v>4756.54</v>
      </c>
      <c r="G832" t="s">
        <v>2018</v>
      </c>
      <c r="H832" t="s">
        <v>2025</v>
      </c>
      <c r="I832" t="s">
        <v>2858</v>
      </c>
      <c r="J832" t="s">
        <v>4029</v>
      </c>
      <c r="K832" t="s">
        <v>4041</v>
      </c>
      <c r="L832">
        <v>4756.54</v>
      </c>
      <c r="N832">
        <f t="shared" si="36"/>
        <v>4756.54</v>
      </c>
      <c r="O832" t="s">
        <v>4104</v>
      </c>
      <c r="P832" t="str">
        <f t="shared" si="37"/>
        <v xml:space="preserve"> </v>
      </c>
      <c r="Q832" t="str">
        <f t="shared" si="38"/>
        <v>Favorable</v>
      </c>
    </row>
    <row r="833" spans="1:17">
      <c r="A833" t="s">
        <v>843</v>
      </c>
      <c r="B833" s="2">
        <v>45134</v>
      </c>
      <c r="C833">
        <v>5000</v>
      </c>
      <c r="D833" t="s">
        <v>2013</v>
      </c>
      <c r="E833">
        <v>543</v>
      </c>
      <c r="F833">
        <v>0</v>
      </c>
      <c r="G833" t="s">
        <v>2019</v>
      </c>
      <c r="H833" t="s">
        <v>2024</v>
      </c>
      <c r="I833" t="s">
        <v>2859</v>
      </c>
      <c r="J833" t="s">
        <v>4031</v>
      </c>
      <c r="K833" t="s">
        <v>4050</v>
      </c>
      <c r="L833">
        <v>-543</v>
      </c>
      <c r="N833">
        <f t="shared" si="36"/>
        <v>-543</v>
      </c>
      <c r="O833" t="s">
        <v>4104</v>
      </c>
      <c r="P833" t="str">
        <f t="shared" si="37"/>
        <v xml:space="preserve"> </v>
      </c>
      <c r="Q833" t="str">
        <f t="shared" si="38"/>
        <v>Unfavorable</v>
      </c>
    </row>
    <row r="834" spans="1:17">
      <c r="A834" t="s">
        <v>844</v>
      </c>
      <c r="B834" s="2">
        <v>45684</v>
      </c>
      <c r="C834">
        <v>5010</v>
      </c>
      <c r="D834" t="s">
        <v>2015</v>
      </c>
      <c r="E834">
        <v>635.02</v>
      </c>
      <c r="F834">
        <v>0</v>
      </c>
      <c r="G834" t="s">
        <v>2020</v>
      </c>
      <c r="H834" t="s">
        <v>2025</v>
      </c>
      <c r="I834" t="s">
        <v>2860</v>
      </c>
      <c r="J834" t="s">
        <v>4032</v>
      </c>
      <c r="K834" t="s">
        <v>4035</v>
      </c>
      <c r="L834">
        <v>-635.02</v>
      </c>
      <c r="N834">
        <f t="shared" si="36"/>
        <v>-635.02</v>
      </c>
      <c r="O834" t="s">
        <v>4104</v>
      </c>
      <c r="P834" t="str">
        <f t="shared" si="37"/>
        <v xml:space="preserve"> </v>
      </c>
      <c r="Q834" t="str">
        <f t="shared" si="38"/>
        <v>Unfavorable</v>
      </c>
    </row>
    <row r="835" spans="1:17">
      <c r="A835" t="s">
        <v>845</v>
      </c>
      <c r="B835" s="2">
        <v>45342</v>
      </c>
      <c r="C835">
        <v>6000</v>
      </c>
      <c r="D835" t="s">
        <v>2014</v>
      </c>
      <c r="E835">
        <v>1114.53</v>
      </c>
      <c r="F835">
        <v>0</v>
      </c>
      <c r="G835" t="s">
        <v>2020</v>
      </c>
      <c r="H835" t="s">
        <v>2024</v>
      </c>
      <c r="I835" t="s">
        <v>2861</v>
      </c>
      <c r="J835" t="s">
        <v>4030</v>
      </c>
      <c r="K835" t="s">
        <v>4044</v>
      </c>
      <c r="L835">
        <v>-1114.53</v>
      </c>
      <c r="N835">
        <f t="shared" ref="N835:N898" si="39">L:L-M:M</f>
        <v>-1114.53</v>
      </c>
      <c r="O835" t="s">
        <v>4104</v>
      </c>
      <c r="P835" t="str">
        <f t="shared" ref="P835:P898" si="40">IF(AND(ABS(N:N)&gt;10000,M:M&lt;&gt;0),"Material", " ")</f>
        <v xml:space="preserve"> </v>
      </c>
      <c r="Q835" t="str">
        <f t="shared" ref="Q835:Q898" si="41">IF(N:N&gt;0,"Favorable","Unfavorable")</f>
        <v>Unfavorable</v>
      </c>
    </row>
    <row r="836" spans="1:17">
      <c r="A836" t="s">
        <v>846</v>
      </c>
      <c r="B836" s="2">
        <v>45626</v>
      </c>
      <c r="C836">
        <v>4000</v>
      </c>
      <c r="D836" t="s">
        <v>2012</v>
      </c>
      <c r="E836">
        <v>0</v>
      </c>
      <c r="F836">
        <v>1484.62</v>
      </c>
      <c r="G836" t="s">
        <v>2020</v>
      </c>
      <c r="H836" t="s">
        <v>2026</v>
      </c>
      <c r="I836" t="s">
        <v>2862</v>
      </c>
      <c r="J836" t="s">
        <v>4028</v>
      </c>
      <c r="K836" t="s">
        <v>4043</v>
      </c>
      <c r="L836">
        <v>1484.62</v>
      </c>
      <c r="N836">
        <f t="shared" si="39"/>
        <v>1484.62</v>
      </c>
      <c r="O836" t="s">
        <v>4104</v>
      </c>
      <c r="P836" t="str">
        <f t="shared" si="40"/>
        <v xml:space="preserve"> </v>
      </c>
      <c r="Q836" t="str">
        <f t="shared" si="41"/>
        <v>Favorable</v>
      </c>
    </row>
    <row r="837" spans="1:17">
      <c r="A837" t="s">
        <v>847</v>
      </c>
      <c r="B837" s="2">
        <v>45505</v>
      </c>
      <c r="C837">
        <v>6000</v>
      </c>
      <c r="D837" t="s">
        <v>2014</v>
      </c>
      <c r="E837">
        <v>742.51</v>
      </c>
      <c r="F837">
        <v>0</v>
      </c>
      <c r="G837" t="s">
        <v>2021</v>
      </c>
      <c r="H837" t="s">
        <v>2025</v>
      </c>
      <c r="I837" t="s">
        <v>2863</v>
      </c>
      <c r="J837" t="s">
        <v>4028</v>
      </c>
      <c r="K837" t="s">
        <v>4058</v>
      </c>
      <c r="L837">
        <v>-742.51</v>
      </c>
      <c r="N837">
        <f t="shared" si="39"/>
        <v>-742.51</v>
      </c>
      <c r="O837" t="s">
        <v>4104</v>
      </c>
      <c r="P837" t="str">
        <f t="shared" si="40"/>
        <v xml:space="preserve"> </v>
      </c>
      <c r="Q837" t="str">
        <f t="shared" si="41"/>
        <v>Unfavorable</v>
      </c>
    </row>
    <row r="838" spans="1:17">
      <c r="A838" t="s">
        <v>848</v>
      </c>
      <c r="B838" s="2">
        <v>45465</v>
      </c>
      <c r="C838">
        <v>4000</v>
      </c>
      <c r="D838" t="s">
        <v>2012</v>
      </c>
      <c r="E838">
        <v>0</v>
      </c>
      <c r="F838">
        <v>3933.89</v>
      </c>
      <c r="G838" t="s">
        <v>2018</v>
      </c>
      <c r="H838" t="s">
        <v>2026</v>
      </c>
      <c r="I838" t="s">
        <v>2864</v>
      </c>
      <c r="J838" t="s">
        <v>4032</v>
      </c>
      <c r="K838" t="s">
        <v>4034</v>
      </c>
      <c r="L838">
        <v>3933.89</v>
      </c>
      <c r="N838">
        <f t="shared" si="39"/>
        <v>3933.89</v>
      </c>
      <c r="O838" t="s">
        <v>4104</v>
      </c>
      <c r="P838" t="str">
        <f t="shared" si="40"/>
        <v xml:space="preserve"> </v>
      </c>
      <c r="Q838" t="str">
        <f t="shared" si="41"/>
        <v>Favorable</v>
      </c>
    </row>
    <row r="839" spans="1:17">
      <c r="A839" t="s">
        <v>849</v>
      </c>
      <c r="B839" s="2">
        <v>45370</v>
      </c>
      <c r="C839">
        <v>4010</v>
      </c>
      <c r="D839" t="s">
        <v>2016</v>
      </c>
      <c r="E839">
        <v>0</v>
      </c>
      <c r="F839">
        <v>4092.61</v>
      </c>
      <c r="G839" t="s">
        <v>2022</v>
      </c>
      <c r="H839" t="s">
        <v>2025</v>
      </c>
      <c r="I839" t="s">
        <v>2865</v>
      </c>
      <c r="J839" t="s">
        <v>4029</v>
      </c>
      <c r="K839" t="s">
        <v>4049</v>
      </c>
      <c r="L839">
        <v>4092.61</v>
      </c>
      <c r="N839">
        <f t="shared" si="39"/>
        <v>4092.61</v>
      </c>
      <c r="O839" t="s">
        <v>4104</v>
      </c>
      <c r="P839" t="str">
        <f t="shared" si="40"/>
        <v xml:space="preserve"> </v>
      </c>
      <c r="Q839" t="str">
        <f t="shared" si="41"/>
        <v>Favorable</v>
      </c>
    </row>
    <row r="840" spans="1:17">
      <c r="A840" t="s">
        <v>850</v>
      </c>
      <c r="B840" s="2">
        <v>45198</v>
      </c>
      <c r="C840">
        <v>4010</v>
      </c>
      <c r="D840" t="s">
        <v>2016</v>
      </c>
      <c r="E840">
        <v>0</v>
      </c>
      <c r="F840">
        <v>4772.83</v>
      </c>
      <c r="G840" t="s">
        <v>2020</v>
      </c>
      <c r="H840" t="s">
        <v>2025</v>
      </c>
      <c r="I840" t="s">
        <v>2866</v>
      </c>
      <c r="J840" t="s">
        <v>4031</v>
      </c>
      <c r="K840" t="s">
        <v>4036</v>
      </c>
      <c r="L840">
        <v>4772.83</v>
      </c>
      <c r="N840">
        <f t="shared" si="39"/>
        <v>4772.83</v>
      </c>
      <c r="O840" t="s">
        <v>4104</v>
      </c>
      <c r="P840" t="str">
        <f t="shared" si="40"/>
        <v xml:space="preserve"> </v>
      </c>
      <c r="Q840" t="str">
        <f t="shared" si="41"/>
        <v>Favorable</v>
      </c>
    </row>
    <row r="841" spans="1:17">
      <c r="A841" t="s">
        <v>851</v>
      </c>
      <c r="B841" s="2">
        <v>45836</v>
      </c>
      <c r="C841">
        <v>5010</v>
      </c>
      <c r="D841" t="s">
        <v>2015</v>
      </c>
      <c r="E841">
        <v>1965.5</v>
      </c>
      <c r="F841">
        <v>0</v>
      </c>
      <c r="G841" t="s">
        <v>2020</v>
      </c>
      <c r="H841" t="s">
        <v>2025</v>
      </c>
      <c r="I841" t="s">
        <v>2867</v>
      </c>
      <c r="J841" t="s">
        <v>4031</v>
      </c>
      <c r="K841" t="s">
        <v>4052</v>
      </c>
      <c r="L841">
        <v>-1965.5</v>
      </c>
      <c r="N841">
        <f t="shared" si="39"/>
        <v>-1965.5</v>
      </c>
      <c r="O841" t="s">
        <v>4104</v>
      </c>
      <c r="P841" t="str">
        <f t="shared" si="40"/>
        <v xml:space="preserve"> </v>
      </c>
      <c r="Q841" t="str">
        <f t="shared" si="41"/>
        <v>Unfavorable</v>
      </c>
    </row>
    <row r="842" spans="1:17">
      <c r="A842" t="s">
        <v>852</v>
      </c>
      <c r="B842" s="2">
        <v>45498</v>
      </c>
      <c r="C842">
        <v>6000</v>
      </c>
      <c r="D842" t="s">
        <v>2014</v>
      </c>
      <c r="E842">
        <v>1386.65</v>
      </c>
      <c r="F842">
        <v>0</v>
      </c>
      <c r="G842" t="s">
        <v>2021</v>
      </c>
      <c r="H842" t="s">
        <v>2024</v>
      </c>
      <c r="I842" t="s">
        <v>2868</v>
      </c>
      <c r="J842" t="s">
        <v>4031</v>
      </c>
      <c r="K842" t="s">
        <v>4054</v>
      </c>
      <c r="L842">
        <v>-1386.65</v>
      </c>
      <c r="N842">
        <f t="shared" si="39"/>
        <v>-1386.65</v>
      </c>
      <c r="O842" t="s">
        <v>4104</v>
      </c>
      <c r="P842" t="str">
        <f t="shared" si="40"/>
        <v xml:space="preserve"> </v>
      </c>
      <c r="Q842" t="str">
        <f t="shared" si="41"/>
        <v>Unfavorable</v>
      </c>
    </row>
    <row r="843" spans="1:17">
      <c r="A843" t="s">
        <v>853</v>
      </c>
      <c r="B843" s="2">
        <v>45052</v>
      </c>
      <c r="C843">
        <v>4010</v>
      </c>
      <c r="D843" t="s">
        <v>2016</v>
      </c>
      <c r="E843">
        <v>0</v>
      </c>
      <c r="F843">
        <v>872.06</v>
      </c>
      <c r="G843" t="s">
        <v>2018</v>
      </c>
      <c r="H843" t="s">
        <v>2023</v>
      </c>
      <c r="I843" t="s">
        <v>2869</v>
      </c>
      <c r="J843" t="s">
        <v>4028</v>
      </c>
      <c r="K843" t="s">
        <v>4062</v>
      </c>
      <c r="L843">
        <v>872.06</v>
      </c>
      <c r="N843">
        <f t="shared" si="39"/>
        <v>872.06</v>
      </c>
      <c r="O843" t="s">
        <v>4104</v>
      </c>
      <c r="P843" t="str">
        <f t="shared" si="40"/>
        <v xml:space="preserve"> </v>
      </c>
      <c r="Q843" t="str">
        <f t="shared" si="41"/>
        <v>Favorable</v>
      </c>
    </row>
    <row r="844" spans="1:17">
      <c r="A844" t="s">
        <v>854</v>
      </c>
      <c r="B844" s="2">
        <v>45574</v>
      </c>
      <c r="C844">
        <v>5010</v>
      </c>
      <c r="D844" t="s">
        <v>2015</v>
      </c>
      <c r="E844">
        <v>1801.16</v>
      </c>
      <c r="F844">
        <v>0</v>
      </c>
      <c r="G844" t="s">
        <v>2022</v>
      </c>
      <c r="H844" t="s">
        <v>2027</v>
      </c>
      <c r="I844" t="s">
        <v>2870</v>
      </c>
      <c r="J844" t="s">
        <v>4029</v>
      </c>
      <c r="K844" t="s">
        <v>4059</v>
      </c>
      <c r="L844">
        <v>-1801.16</v>
      </c>
      <c r="N844">
        <f t="shared" si="39"/>
        <v>-1801.16</v>
      </c>
      <c r="O844" t="s">
        <v>4104</v>
      </c>
      <c r="P844" t="str">
        <f t="shared" si="40"/>
        <v xml:space="preserve"> </v>
      </c>
      <c r="Q844" t="str">
        <f t="shared" si="41"/>
        <v>Unfavorable</v>
      </c>
    </row>
    <row r="845" spans="1:17">
      <c r="A845" t="s">
        <v>855</v>
      </c>
      <c r="B845" s="2">
        <v>45082</v>
      </c>
      <c r="C845">
        <v>5010</v>
      </c>
      <c r="D845" t="s">
        <v>2015</v>
      </c>
      <c r="E845">
        <v>1990.94</v>
      </c>
      <c r="F845">
        <v>0</v>
      </c>
      <c r="G845" t="s">
        <v>2020</v>
      </c>
      <c r="H845" t="s">
        <v>2027</v>
      </c>
      <c r="I845" t="s">
        <v>2871</v>
      </c>
      <c r="J845" t="s">
        <v>4030</v>
      </c>
      <c r="K845" t="s">
        <v>4055</v>
      </c>
      <c r="L845">
        <v>-1990.94</v>
      </c>
      <c r="N845">
        <f t="shared" si="39"/>
        <v>-1990.94</v>
      </c>
      <c r="O845" t="s">
        <v>4104</v>
      </c>
      <c r="P845" t="str">
        <f t="shared" si="40"/>
        <v xml:space="preserve"> </v>
      </c>
      <c r="Q845" t="str">
        <f t="shared" si="41"/>
        <v>Unfavorable</v>
      </c>
    </row>
    <row r="846" spans="1:17">
      <c r="A846" t="s">
        <v>856</v>
      </c>
      <c r="B846" s="2">
        <v>45538</v>
      </c>
      <c r="C846">
        <v>4000</v>
      </c>
      <c r="D846" t="s">
        <v>2012</v>
      </c>
      <c r="E846">
        <v>0</v>
      </c>
      <c r="F846">
        <v>1372.78</v>
      </c>
      <c r="G846" t="s">
        <v>2018</v>
      </c>
      <c r="H846" t="s">
        <v>2025</v>
      </c>
      <c r="I846" t="s">
        <v>2872</v>
      </c>
      <c r="J846" t="s">
        <v>4030</v>
      </c>
      <c r="K846" t="s">
        <v>4048</v>
      </c>
      <c r="L846">
        <v>1372.78</v>
      </c>
      <c r="N846">
        <f t="shared" si="39"/>
        <v>1372.78</v>
      </c>
      <c r="O846" t="s">
        <v>4104</v>
      </c>
      <c r="P846" t="str">
        <f t="shared" si="40"/>
        <v xml:space="preserve"> </v>
      </c>
      <c r="Q846" t="str">
        <f t="shared" si="41"/>
        <v>Favorable</v>
      </c>
    </row>
    <row r="847" spans="1:17">
      <c r="A847" t="s">
        <v>857</v>
      </c>
      <c r="B847" s="2">
        <v>45552</v>
      </c>
      <c r="C847">
        <v>5000</v>
      </c>
      <c r="D847" t="s">
        <v>2013</v>
      </c>
      <c r="E847">
        <v>1600.28</v>
      </c>
      <c r="F847">
        <v>0</v>
      </c>
      <c r="G847" t="s">
        <v>2018</v>
      </c>
      <c r="H847" t="s">
        <v>2025</v>
      </c>
      <c r="I847" t="s">
        <v>2873</v>
      </c>
      <c r="J847" t="s">
        <v>4031</v>
      </c>
      <c r="K847" t="s">
        <v>4048</v>
      </c>
      <c r="L847">
        <v>-1600.28</v>
      </c>
      <c r="N847">
        <f t="shared" si="39"/>
        <v>-1600.28</v>
      </c>
      <c r="O847" t="s">
        <v>4104</v>
      </c>
      <c r="P847" t="str">
        <f t="shared" si="40"/>
        <v xml:space="preserve"> </v>
      </c>
      <c r="Q847" t="str">
        <f t="shared" si="41"/>
        <v>Unfavorable</v>
      </c>
    </row>
    <row r="848" spans="1:17">
      <c r="A848" t="s">
        <v>858</v>
      </c>
      <c r="B848" s="2">
        <v>45419</v>
      </c>
      <c r="C848">
        <v>5010</v>
      </c>
      <c r="D848" t="s">
        <v>2015</v>
      </c>
      <c r="E848">
        <v>618.05999999999995</v>
      </c>
      <c r="F848">
        <v>0</v>
      </c>
      <c r="G848" t="s">
        <v>2021</v>
      </c>
      <c r="H848" t="s">
        <v>2023</v>
      </c>
      <c r="I848" t="s">
        <v>2874</v>
      </c>
      <c r="J848" t="s">
        <v>4032</v>
      </c>
      <c r="K848" t="s">
        <v>4033</v>
      </c>
      <c r="L848">
        <v>-618.05999999999995</v>
      </c>
      <c r="N848">
        <f t="shared" si="39"/>
        <v>-618.05999999999995</v>
      </c>
      <c r="O848" t="s">
        <v>4104</v>
      </c>
      <c r="P848" t="str">
        <f t="shared" si="40"/>
        <v xml:space="preserve"> </v>
      </c>
      <c r="Q848" t="str">
        <f t="shared" si="41"/>
        <v>Unfavorable</v>
      </c>
    </row>
    <row r="849" spans="1:17">
      <c r="A849" t="s">
        <v>859</v>
      </c>
      <c r="B849" s="2">
        <v>45416</v>
      </c>
      <c r="C849">
        <v>4000</v>
      </c>
      <c r="D849" t="s">
        <v>2012</v>
      </c>
      <c r="E849">
        <v>0</v>
      </c>
      <c r="F849">
        <v>3150.6</v>
      </c>
      <c r="G849" t="s">
        <v>2020</v>
      </c>
      <c r="H849" t="s">
        <v>2026</v>
      </c>
      <c r="I849" t="s">
        <v>2875</v>
      </c>
      <c r="J849" t="s">
        <v>4031</v>
      </c>
      <c r="K849" t="s">
        <v>4033</v>
      </c>
      <c r="L849">
        <v>3150.6</v>
      </c>
      <c r="N849">
        <f t="shared" si="39"/>
        <v>3150.6</v>
      </c>
      <c r="O849" t="s">
        <v>4104</v>
      </c>
      <c r="P849" t="str">
        <f t="shared" si="40"/>
        <v xml:space="preserve"> </v>
      </c>
      <c r="Q849" t="str">
        <f t="shared" si="41"/>
        <v>Favorable</v>
      </c>
    </row>
    <row r="850" spans="1:17">
      <c r="A850" t="s">
        <v>860</v>
      </c>
      <c r="B850" s="2">
        <v>45754</v>
      </c>
      <c r="C850">
        <v>6000</v>
      </c>
      <c r="D850" t="s">
        <v>2014</v>
      </c>
      <c r="E850">
        <v>1288.25</v>
      </c>
      <c r="F850">
        <v>0</v>
      </c>
      <c r="G850" t="s">
        <v>2019</v>
      </c>
      <c r="H850" t="s">
        <v>2024</v>
      </c>
      <c r="I850" t="s">
        <v>2876</v>
      </c>
      <c r="J850" t="s">
        <v>4029</v>
      </c>
      <c r="K850" t="s">
        <v>4045</v>
      </c>
      <c r="L850">
        <v>-1288.25</v>
      </c>
      <c r="N850">
        <f t="shared" si="39"/>
        <v>-1288.25</v>
      </c>
      <c r="O850" t="s">
        <v>4104</v>
      </c>
      <c r="P850" t="str">
        <f t="shared" si="40"/>
        <v xml:space="preserve"> </v>
      </c>
      <c r="Q850" t="str">
        <f t="shared" si="41"/>
        <v>Unfavorable</v>
      </c>
    </row>
    <row r="851" spans="1:17">
      <c r="A851" t="s">
        <v>861</v>
      </c>
      <c r="B851" s="2">
        <v>45495</v>
      </c>
      <c r="C851">
        <v>5010</v>
      </c>
      <c r="D851" t="s">
        <v>2015</v>
      </c>
      <c r="E851">
        <v>1629.27</v>
      </c>
      <c r="F851">
        <v>0</v>
      </c>
      <c r="G851" t="s">
        <v>2022</v>
      </c>
      <c r="H851" t="s">
        <v>2026</v>
      </c>
      <c r="I851" t="s">
        <v>2877</v>
      </c>
      <c r="J851" t="s">
        <v>4032</v>
      </c>
      <c r="K851" t="s">
        <v>4054</v>
      </c>
      <c r="L851">
        <v>-1629.27</v>
      </c>
      <c r="N851">
        <f t="shared" si="39"/>
        <v>-1629.27</v>
      </c>
      <c r="O851" t="s">
        <v>4104</v>
      </c>
      <c r="P851" t="str">
        <f t="shared" si="40"/>
        <v xml:space="preserve"> </v>
      </c>
      <c r="Q851" t="str">
        <f t="shared" si="41"/>
        <v>Unfavorable</v>
      </c>
    </row>
    <row r="852" spans="1:17">
      <c r="A852" t="s">
        <v>862</v>
      </c>
      <c r="B852" s="2">
        <v>45687</v>
      </c>
      <c r="C852">
        <v>5000</v>
      </c>
      <c r="D852" t="s">
        <v>2013</v>
      </c>
      <c r="E852">
        <v>436.4</v>
      </c>
      <c r="F852">
        <v>0</v>
      </c>
      <c r="G852" t="s">
        <v>2017</v>
      </c>
      <c r="H852" t="s">
        <v>2027</v>
      </c>
      <c r="I852" t="s">
        <v>2878</v>
      </c>
      <c r="J852" t="s">
        <v>4031</v>
      </c>
      <c r="K852" t="s">
        <v>4035</v>
      </c>
      <c r="L852">
        <v>-436.4</v>
      </c>
      <c r="N852">
        <f t="shared" si="39"/>
        <v>-436.4</v>
      </c>
      <c r="O852" t="s">
        <v>4104</v>
      </c>
      <c r="P852" t="str">
        <f t="shared" si="40"/>
        <v xml:space="preserve"> </v>
      </c>
      <c r="Q852" t="str">
        <f t="shared" si="41"/>
        <v>Unfavorable</v>
      </c>
    </row>
    <row r="853" spans="1:17">
      <c r="A853" t="s">
        <v>863</v>
      </c>
      <c r="B853" s="2">
        <v>45241</v>
      </c>
      <c r="C853">
        <v>5010</v>
      </c>
      <c r="D853" t="s">
        <v>2015</v>
      </c>
      <c r="E853">
        <v>186.27</v>
      </c>
      <c r="F853">
        <v>0</v>
      </c>
      <c r="G853" t="s">
        <v>2018</v>
      </c>
      <c r="H853" t="s">
        <v>2025</v>
      </c>
      <c r="I853" t="s">
        <v>2879</v>
      </c>
      <c r="J853" t="s">
        <v>4030</v>
      </c>
      <c r="K853" t="s">
        <v>4042</v>
      </c>
      <c r="L853">
        <v>-186.27</v>
      </c>
      <c r="N853">
        <f t="shared" si="39"/>
        <v>-186.27</v>
      </c>
      <c r="O853" t="s">
        <v>4104</v>
      </c>
      <c r="P853" t="str">
        <f t="shared" si="40"/>
        <v xml:space="preserve"> </v>
      </c>
      <c r="Q853" t="str">
        <f t="shared" si="41"/>
        <v>Unfavorable</v>
      </c>
    </row>
    <row r="854" spans="1:17">
      <c r="A854" t="s">
        <v>864</v>
      </c>
      <c r="B854" s="2">
        <v>45218</v>
      </c>
      <c r="C854">
        <v>4000</v>
      </c>
      <c r="D854" t="s">
        <v>2012</v>
      </c>
      <c r="E854">
        <v>0</v>
      </c>
      <c r="F854">
        <v>3025.08</v>
      </c>
      <c r="G854" t="s">
        <v>2020</v>
      </c>
      <c r="H854" t="s">
        <v>2027</v>
      </c>
      <c r="I854" t="s">
        <v>2880</v>
      </c>
      <c r="J854" t="s">
        <v>4030</v>
      </c>
      <c r="K854" t="s">
        <v>4060</v>
      </c>
      <c r="L854">
        <v>3025.08</v>
      </c>
      <c r="N854">
        <f t="shared" si="39"/>
        <v>3025.08</v>
      </c>
      <c r="O854" t="s">
        <v>4104</v>
      </c>
      <c r="P854" t="str">
        <f t="shared" si="40"/>
        <v xml:space="preserve"> </v>
      </c>
      <c r="Q854" t="str">
        <f t="shared" si="41"/>
        <v>Favorable</v>
      </c>
    </row>
    <row r="855" spans="1:17">
      <c r="A855" t="s">
        <v>865</v>
      </c>
      <c r="B855" s="2">
        <v>44943</v>
      </c>
      <c r="C855">
        <v>5000</v>
      </c>
      <c r="D855" t="s">
        <v>2013</v>
      </c>
      <c r="E855">
        <v>793.16</v>
      </c>
      <c r="F855">
        <v>0</v>
      </c>
      <c r="G855" t="s">
        <v>2021</v>
      </c>
      <c r="H855" t="s">
        <v>2026</v>
      </c>
      <c r="I855" t="s">
        <v>2881</v>
      </c>
      <c r="J855" t="s">
        <v>4031</v>
      </c>
      <c r="K855" t="s">
        <v>4047</v>
      </c>
      <c r="L855">
        <v>-793.16</v>
      </c>
      <c r="N855">
        <f t="shared" si="39"/>
        <v>-793.16</v>
      </c>
      <c r="O855" t="s">
        <v>4104</v>
      </c>
      <c r="P855" t="str">
        <f t="shared" si="40"/>
        <v xml:space="preserve"> </v>
      </c>
      <c r="Q855" t="str">
        <f t="shared" si="41"/>
        <v>Unfavorable</v>
      </c>
    </row>
    <row r="856" spans="1:17">
      <c r="A856" t="s">
        <v>866</v>
      </c>
      <c r="B856" s="2">
        <v>45033</v>
      </c>
      <c r="C856">
        <v>5010</v>
      </c>
      <c r="D856" t="s">
        <v>2015</v>
      </c>
      <c r="E856">
        <v>1753.87</v>
      </c>
      <c r="F856">
        <v>0</v>
      </c>
      <c r="G856" t="s">
        <v>2022</v>
      </c>
      <c r="H856" t="s">
        <v>2025</v>
      </c>
      <c r="I856" t="s">
        <v>2882</v>
      </c>
      <c r="J856" t="s">
        <v>4030</v>
      </c>
      <c r="K856" t="s">
        <v>4041</v>
      </c>
      <c r="L856">
        <v>-1753.87</v>
      </c>
      <c r="N856">
        <f t="shared" si="39"/>
        <v>-1753.87</v>
      </c>
      <c r="O856" t="s">
        <v>4104</v>
      </c>
      <c r="P856" t="str">
        <f t="shared" si="40"/>
        <v xml:space="preserve"> </v>
      </c>
      <c r="Q856" t="str">
        <f t="shared" si="41"/>
        <v>Unfavorable</v>
      </c>
    </row>
    <row r="857" spans="1:17">
      <c r="A857" t="s">
        <v>867</v>
      </c>
      <c r="B857" s="2">
        <v>45448</v>
      </c>
      <c r="C857">
        <v>4000</v>
      </c>
      <c r="D857" t="s">
        <v>2012</v>
      </c>
      <c r="E857">
        <v>0</v>
      </c>
      <c r="F857">
        <v>915.77</v>
      </c>
      <c r="G857" t="s">
        <v>2017</v>
      </c>
      <c r="H857" t="s">
        <v>2024</v>
      </c>
      <c r="I857" t="s">
        <v>2883</v>
      </c>
      <c r="J857" t="s">
        <v>4030</v>
      </c>
      <c r="K857" t="s">
        <v>4034</v>
      </c>
      <c r="L857">
        <v>915.77</v>
      </c>
      <c r="N857">
        <f t="shared" si="39"/>
        <v>915.77</v>
      </c>
      <c r="O857" t="s">
        <v>4104</v>
      </c>
      <c r="P857" t="str">
        <f t="shared" si="40"/>
        <v xml:space="preserve"> </v>
      </c>
      <c r="Q857" t="str">
        <f t="shared" si="41"/>
        <v>Favorable</v>
      </c>
    </row>
    <row r="858" spans="1:17">
      <c r="A858" t="s">
        <v>868</v>
      </c>
      <c r="B858" s="2">
        <v>45038</v>
      </c>
      <c r="C858">
        <v>5000</v>
      </c>
      <c r="D858" t="s">
        <v>2013</v>
      </c>
      <c r="E858">
        <v>1083.5899999999999</v>
      </c>
      <c r="F858">
        <v>0</v>
      </c>
      <c r="G858" t="s">
        <v>2017</v>
      </c>
      <c r="H858" t="s">
        <v>2024</v>
      </c>
      <c r="I858" t="s">
        <v>2884</v>
      </c>
      <c r="J858" t="s">
        <v>4031</v>
      </c>
      <c r="K858" t="s">
        <v>4041</v>
      </c>
      <c r="L858">
        <v>-1083.5899999999999</v>
      </c>
      <c r="N858">
        <f t="shared" si="39"/>
        <v>-1083.5899999999999</v>
      </c>
      <c r="O858" t="s">
        <v>4104</v>
      </c>
      <c r="P858" t="str">
        <f t="shared" si="40"/>
        <v xml:space="preserve"> </v>
      </c>
      <c r="Q858" t="str">
        <f t="shared" si="41"/>
        <v>Unfavorable</v>
      </c>
    </row>
    <row r="859" spans="1:17">
      <c r="A859" t="s">
        <v>869</v>
      </c>
      <c r="B859" s="2">
        <v>45779</v>
      </c>
      <c r="C859">
        <v>4010</v>
      </c>
      <c r="D859" t="s">
        <v>2016</v>
      </c>
      <c r="E859">
        <v>0</v>
      </c>
      <c r="F859">
        <v>889.07</v>
      </c>
      <c r="G859" t="s">
        <v>2017</v>
      </c>
      <c r="H859" t="s">
        <v>2026</v>
      </c>
      <c r="I859" t="s">
        <v>2885</v>
      </c>
      <c r="J859" t="s">
        <v>4029</v>
      </c>
      <c r="K859" t="s">
        <v>4038</v>
      </c>
      <c r="L859">
        <v>889.07</v>
      </c>
      <c r="N859">
        <f t="shared" si="39"/>
        <v>889.07</v>
      </c>
      <c r="O859" t="s">
        <v>4104</v>
      </c>
      <c r="P859" t="str">
        <f t="shared" si="40"/>
        <v xml:space="preserve"> </v>
      </c>
      <c r="Q859" t="str">
        <f t="shared" si="41"/>
        <v>Favorable</v>
      </c>
    </row>
    <row r="860" spans="1:17">
      <c r="A860" t="s">
        <v>870</v>
      </c>
      <c r="B860" s="2">
        <v>45407</v>
      </c>
      <c r="C860">
        <v>6000</v>
      </c>
      <c r="D860" t="s">
        <v>2014</v>
      </c>
      <c r="E860">
        <v>1620.36</v>
      </c>
      <c r="F860">
        <v>0</v>
      </c>
      <c r="G860" t="s">
        <v>2017</v>
      </c>
      <c r="H860" t="s">
        <v>2025</v>
      </c>
      <c r="I860" t="s">
        <v>2886</v>
      </c>
      <c r="J860" t="s">
        <v>4029</v>
      </c>
      <c r="K860" t="s">
        <v>4040</v>
      </c>
      <c r="L860">
        <v>-1620.36</v>
      </c>
      <c r="N860">
        <f t="shared" si="39"/>
        <v>-1620.36</v>
      </c>
      <c r="O860" t="s">
        <v>4104</v>
      </c>
      <c r="P860" t="str">
        <f t="shared" si="40"/>
        <v xml:space="preserve"> </v>
      </c>
      <c r="Q860" t="str">
        <f t="shared" si="41"/>
        <v>Unfavorable</v>
      </c>
    </row>
    <row r="861" spans="1:17">
      <c r="A861" t="s">
        <v>871</v>
      </c>
      <c r="B861" s="2">
        <v>45807</v>
      </c>
      <c r="C861">
        <v>4000</v>
      </c>
      <c r="D861" t="s">
        <v>2012</v>
      </c>
      <c r="E861">
        <v>0</v>
      </c>
      <c r="F861">
        <v>549.91999999999996</v>
      </c>
      <c r="G861" t="s">
        <v>2021</v>
      </c>
      <c r="H861" t="s">
        <v>2024</v>
      </c>
      <c r="I861" t="s">
        <v>2887</v>
      </c>
      <c r="J861" t="s">
        <v>4028</v>
      </c>
      <c r="K861" t="s">
        <v>4038</v>
      </c>
      <c r="L861">
        <v>549.91999999999996</v>
      </c>
      <c r="N861">
        <f t="shared" si="39"/>
        <v>549.91999999999996</v>
      </c>
      <c r="O861" t="s">
        <v>4104</v>
      </c>
      <c r="P861" t="str">
        <f t="shared" si="40"/>
        <v xml:space="preserve"> </v>
      </c>
      <c r="Q861" t="str">
        <f t="shared" si="41"/>
        <v>Favorable</v>
      </c>
    </row>
    <row r="862" spans="1:17">
      <c r="A862" t="s">
        <v>872</v>
      </c>
      <c r="B862" s="2">
        <v>45769</v>
      </c>
      <c r="C862">
        <v>4010</v>
      </c>
      <c r="D862" t="s">
        <v>2016</v>
      </c>
      <c r="E862">
        <v>0</v>
      </c>
      <c r="F862">
        <v>4103.1000000000004</v>
      </c>
      <c r="G862" t="s">
        <v>2019</v>
      </c>
      <c r="H862" t="s">
        <v>2025</v>
      </c>
      <c r="I862" t="s">
        <v>2888</v>
      </c>
      <c r="J862" t="s">
        <v>4031</v>
      </c>
      <c r="K862" t="s">
        <v>4045</v>
      </c>
      <c r="L862">
        <v>4103.1000000000004</v>
      </c>
      <c r="N862">
        <f t="shared" si="39"/>
        <v>4103.1000000000004</v>
      </c>
      <c r="O862" t="s">
        <v>4104</v>
      </c>
      <c r="P862" t="str">
        <f t="shared" si="40"/>
        <v xml:space="preserve"> </v>
      </c>
      <c r="Q862" t="str">
        <f t="shared" si="41"/>
        <v>Favorable</v>
      </c>
    </row>
    <row r="863" spans="1:17">
      <c r="A863" t="s">
        <v>873</v>
      </c>
      <c r="B863" s="2">
        <v>45443</v>
      </c>
      <c r="C863">
        <v>5010</v>
      </c>
      <c r="D863" t="s">
        <v>2015</v>
      </c>
      <c r="E863">
        <v>316.45</v>
      </c>
      <c r="F863">
        <v>0</v>
      </c>
      <c r="G863" t="s">
        <v>2021</v>
      </c>
      <c r="H863" t="s">
        <v>2026</v>
      </c>
      <c r="I863" t="s">
        <v>2889</v>
      </c>
      <c r="J863" t="s">
        <v>4031</v>
      </c>
      <c r="K863" t="s">
        <v>4033</v>
      </c>
      <c r="L863">
        <v>-316.45</v>
      </c>
      <c r="N863">
        <f t="shared" si="39"/>
        <v>-316.45</v>
      </c>
      <c r="O863" t="s">
        <v>4104</v>
      </c>
      <c r="P863" t="str">
        <f t="shared" si="40"/>
        <v xml:space="preserve"> </v>
      </c>
      <c r="Q863" t="str">
        <f t="shared" si="41"/>
        <v>Unfavorable</v>
      </c>
    </row>
    <row r="864" spans="1:17">
      <c r="A864" t="s">
        <v>874</v>
      </c>
      <c r="B864" s="2">
        <v>45387</v>
      </c>
      <c r="C864">
        <v>6000</v>
      </c>
      <c r="D864" t="s">
        <v>2014</v>
      </c>
      <c r="E864">
        <v>1384.87</v>
      </c>
      <c r="F864">
        <v>0</v>
      </c>
      <c r="G864" t="s">
        <v>2018</v>
      </c>
      <c r="H864" t="s">
        <v>2026</v>
      </c>
      <c r="I864" t="s">
        <v>2890</v>
      </c>
      <c r="J864" t="s">
        <v>4030</v>
      </c>
      <c r="K864" t="s">
        <v>4040</v>
      </c>
      <c r="L864">
        <v>-1384.87</v>
      </c>
      <c r="N864">
        <f t="shared" si="39"/>
        <v>-1384.87</v>
      </c>
      <c r="O864" t="s">
        <v>4104</v>
      </c>
      <c r="P864" t="str">
        <f t="shared" si="40"/>
        <v xml:space="preserve"> </v>
      </c>
      <c r="Q864" t="str">
        <f t="shared" si="41"/>
        <v>Unfavorable</v>
      </c>
    </row>
    <row r="865" spans="1:17">
      <c r="A865" t="s">
        <v>875</v>
      </c>
      <c r="B865" s="2">
        <v>45446</v>
      </c>
      <c r="C865">
        <v>6000</v>
      </c>
      <c r="D865" t="s">
        <v>2014</v>
      </c>
      <c r="E865">
        <v>932.11</v>
      </c>
      <c r="F865">
        <v>0</v>
      </c>
      <c r="G865" t="s">
        <v>2019</v>
      </c>
      <c r="H865" t="s">
        <v>2023</v>
      </c>
      <c r="I865" t="s">
        <v>2891</v>
      </c>
      <c r="J865" t="s">
        <v>4028</v>
      </c>
      <c r="K865" t="s">
        <v>4034</v>
      </c>
      <c r="L865">
        <v>-932.11</v>
      </c>
      <c r="N865">
        <f t="shared" si="39"/>
        <v>-932.11</v>
      </c>
      <c r="O865" t="s">
        <v>4104</v>
      </c>
      <c r="P865" t="str">
        <f t="shared" si="40"/>
        <v xml:space="preserve"> </v>
      </c>
      <c r="Q865" t="str">
        <f t="shared" si="41"/>
        <v>Unfavorable</v>
      </c>
    </row>
    <row r="866" spans="1:17">
      <c r="A866" t="s">
        <v>876</v>
      </c>
      <c r="B866" s="2">
        <v>45491</v>
      </c>
      <c r="C866">
        <v>4000</v>
      </c>
      <c r="D866" t="s">
        <v>2012</v>
      </c>
      <c r="E866">
        <v>0</v>
      </c>
      <c r="F866">
        <v>2355.54</v>
      </c>
      <c r="G866" t="s">
        <v>2022</v>
      </c>
      <c r="H866" t="s">
        <v>2025</v>
      </c>
      <c r="I866" t="s">
        <v>2892</v>
      </c>
      <c r="J866" t="s">
        <v>4032</v>
      </c>
      <c r="K866" t="s">
        <v>4054</v>
      </c>
      <c r="L866">
        <v>2355.54</v>
      </c>
      <c r="N866">
        <f t="shared" si="39"/>
        <v>2355.54</v>
      </c>
      <c r="O866" t="s">
        <v>4104</v>
      </c>
      <c r="P866" t="str">
        <f t="shared" si="40"/>
        <v xml:space="preserve"> </v>
      </c>
      <c r="Q866" t="str">
        <f t="shared" si="41"/>
        <v>Favorable</v>
      </c>
    </row>
    <row r="867" spans="1:17">
      <c r="A867" t="s">
        <v>877</v>
      </c>
      <c r="B867" s="2">
        <v>45530</v>
      </c>
      <c r="C867">
        <v>5000</v>
      </c>
      <c r="D867" t="s">
        <v>2013</v>
      </c>
      <c r="E867">
        <v>1327.52</v>
      </c>
      <c r="F867">
        <v>0</v>
      </c>
      <c r="G867" t="s">
        <v>2022</v>
      </c>
      <c r="H867" t="s">
        <v>2025</v>
      </c>
      <c r="I867" t="s">
        <v>2893</v>
      </c>
      <c r="J867" t="s">
        <v>4031</v>
      </c>
      <c r="K867" t="s">
        <v>4058</v>
      </c>
      <c r="L867">
        <v>-1327.52</v>
      </c>
      <c r="N867">
        <f t="shared" si="39"/>
        <v>-1327.52</v>
      </c>
      <c r="O867" t="s">
        <v>4104</v>
      </c>
      <c r="P867" t="str">
        <f t="shared" si="40"/>
        <v xml:space="preserve"> </v>
      </c>
      <c r="Q867" t="str">
        <f t="shared" si="41"/>
        <v>Unfavorable</v>
      </c>
    </row>
    <row r="868" spans="1:17">
      <c r="A868" t="s">
        <v>878</v>
      </c>
      <c r="B868" s="2">
        <v>45044</v>
      </c>
      <c r="C868">
        <v>6000</v>
      </c>
      <c r="D868" t="s">
        <v>2014</v>
      </c>
      <c r="E868">
        <v>77.790000000000006</v>
      </c>
      <c r="F868">
        <v>0</v>
      </c>
      <c r="G868" t="s">
        <v>2020</v>
      </c>
      <c r="H868" t="s">
        <v>2026</v>
      </c>
      <c r="I868" t="s">
        <v>2894</v>
      </c>
      <c r="J868" t="s">
        <v>4031</v>
      </c>
      <c r="K868" t="s">
        <v>4041</v>
      </c>
      <c r="L868">
        <v>-77.790000000000006</v>
      </c>
      <c r="N868">
        <f t="shared" si="39"/>
        <v>-77.790000000000006</v>
      </c>
      <c r="O868" t="s">
        <v>4104</v>
      </c>
      <c r="P868" t="str">
        <f t="shared" si="40"/>
        <v xml:space="preserve"> </v>
      </c>
      <c r="Q868" t="str">
        <f t="shared" si="41"/>
        <v>Unfavorable</v>
      </c>
    </row>
    <row r="869" spans="1:17">
      <c r="A869" t="s">
        <v>879</v>
      </c>
      <c r="B869" s="2">
        <v>45756</v>
      </c>
      <c r="C869">
        <v>4000</v>
      </c>
      <c r="D869" t="s">
        <v>2012</v>
      </c>
      <c r="E869">
        <v>0</v>
      </c>
      <c r="F869">
        <v>2100.39</v>
      </c>
      <c r="G869" t="s">
        <v>2019</v>
      </c>
      <c r="H869" t="s">
        <v>2025</v>
      </c>
      <c r="I869" t="s">
        <v>2895</v>
      </c>
      <c r="J869" t="s">
        <v>4028</v>
      </c>
      <c r="K869" t="s">
        <v>4045</v>
      </c>
      <c r="L869">
        <v>2100.39</v>
      </c>
      <c r="N869">
        <f t="shared" si="39"/>
        <v>2100.39</v>
      </c>
      <c r="O869" t="s">
        <v>4104</v>
      </c>
      <c r="P869" t="str">
        <f t="shared" si="40"/>
        <v xml:space="preserve"> </v>
      </c>
      <c r="Q869" t="str">
        <f t="shared" si="41"/>
        <v>Favorable</v>
      </c>
    </row>
    <row r="870" spans="1:17">
      <c r="A870" t="s">
        <v>880</v>
      </c>
      <c r="B870" s="2">
        <v>45556</v>
      </c>
      <c r="C870">
        <v>5010</v>
      </c>
      <c r="D870" t="s">
        <v>2015</v>
      </c>
      <c r="E870">
        <v>882.8</v>
      </c>
      <c r="F870">
        <v>0</v>
      </c>
      <c r="G870" t="s">
        <v>2022</v>
      </c>
      <c r="H870" t="s">
        <v>2025</v>
      </c>
      <c r="I870" t="s">
        <v>2896</v>
      </c>
      <c r="J870" t="s">
        <v>4030</v>
      </c>
      <c r="K870" t="s">
        <v>4048</v>
      </c>
      <c r="L870">
        <v>-882.8</v>
      </c>
      <c r="N870">
        <f t="shared" si="39"/>
        <v>-882.8</v>
      </c>
      <c r="O870" t="s">
        <v>4104</v>
      </c>
      <c r="P870" t="str">
        <f t="shared" si="40"/>
        <v xml:space="preserve"> </v>
      </c>
      <c r="Q870" t="str">
        <f t="shared" si="41"/>
        <v>Unfavorable</v>
      </c>
    </row>
    <row r="871" spans="1:17">
      <c r="A871" t="s">
        <v>881</v>
      </c>
      <c r="B871" s="2">
        <v>45137</v>
      </c>
      <c r="C871">
        <v>4010</v>
      </c>
      <c r="D871" t="s">
        <v>2016</v>
      </c>
      <c r="E871">
        <v>0</v>
      </c>
      <c r="F871">
        <v>3194.96</v>
      </c>
      <c r="G871" t="s">
        <v>2021</v>
      </c>
      <c r="H871" t="s">
        <v>2023</v>
      </c>
      <c r="I871" t="s">
        <v>2897</v>
      </c>
      <c r="J871" t="s">
        <v>4031</v>
      </c>
      <c r="K871" t="s">
        <v>4050</v>
      </c>
      <c r="L871">
        <v>3194.96</v>
      </c>
      <c r="N871">
        <f t="shared" si="39"/>
        <v>3194.96</v>
      </c>
      <c r="O871" t="s">
        <v>4104</v>
      </c>
      <c r="P871" t="str">
        <f t="shared" si="40"/>
        <v xml:space="preserve"> </v>
      </c>
      <c r="Q871" t="str">
        <f t="shared" si="41"/>
        <v>Favorable</v>
      </c>
    </row>
    <row r="872" spans="1:17">
      <c r="A872" t="s">
        <v>882</v>
      </c>
      <c r="B872" s="2">
        <v>45662</v>
      </c>
      <c r="C872">
        <v>6000</v>
      </c>
      <c r="D872" t="s">
        <v>2014</v>
      </c>
      <c r="E872">
        <v>981.76</v>
      </c>
      <c r="F872">
        <v>0</v>
      </c>
      <c r="G872" t="s">
        <v>2021</v>
      </c>
      <c r="H872" t="s">
        <v>2026</v>
      </c>
      <c r="I872" t="s">
        <v>2898</v>
      </c>
      <c r="J872" t="s">
        <v>4029</v>
      </c>
      <c r="K872" t="s">
        <v>4035</v>
      </c>
      <c r="L872">
        <v>-981.76</v>
      </c>
      <c r="N872">
        <f t="shared" si="39"/>
        <v>-981.76</v>
      </c>
      <c r="O872" t="s">
        <v>4104</v>
      </c>
      <c r="P872" t="str">
        <f t="shared" si="40"/>
        <v xml:space="preserve"> </v>
      </c>
      <c r="Q872" t="str">
        <f t="shared" si="41"/>
        <v>Unfavorable</v>
      </c>
    </row>
    <row r="873" spans="1:17">
      <c r="A873" t="s">
        <v>883</v>
      </c>
      <c r="B873" s="2">
        <v>45080</v>
      </c>
      <c r="C873">
        <v>4010</v>
      </c>
      <c r="D873" t="s">
        <v>2016</v>
      </c>
      <c r="E873">
        <v>0</v>
      </c>
      <c r="F873">
        <v>1322.78</v>
      </c>
      <c r="G873" t="s">
        <v>2018</v>
      </c>
      <c r="H873" t="s">
        <v>2026</v>
      </c>
      <c r="I873" t="s">
        <v>2899</v>
      </c>
      <c r="J873" t="s">
        <v>4031</v>
      </c>
      <c r="K873" t="s">
        <v>4055</v>
      </c>
      <c r="L873">
        <v>1322.78</v>
      </c>
      <c r="N873">
        <f t="shared" si="39"/>
        <v>1322.78</v>
      </c>
      <c r="O873" t="s">
        <v>4104</v>
      </c>
      <c r="P873" t="str">
        <f t="shared" si="40"/>
        <v xml:space="preserve"> </v>
      </c>
      <c r="Q873" t="str">
        <f t="shared" si="41"/>
        <v>Favorable</v>
      </c>
    </row>
    <row r="874" spans="1:17">
      <c r="A874" t="s">
        <v>884</v>
      </c>
      <c r="B874" s="2">
        <v>45300</v>
      </c>
      <c r="C874">
        <v>6000</v>
      </c>
      <c r="D874" t="s">
        <v>2014</v>
      </c>
      <c r="E874">
        <v>508.47</v>
      </c>
      <c r="F874">
        <v>0</v>
      </c>
      <c r="G874" t="s">
        <v>2019</v>
      </c>
      <c r="H874" t="s">
        <v>2023</v>
      </c>
      <c r="I874" t="s">
        <v>2900</v>
      </c>
      <c r="J874" t="s">
        <v>4031</v>
      </c>
      <c r="K874" t="s">
        <v>4053</v>
      </c>
      <c r="L874">
        <v>-508.47</v>
      </c>
      <c r="N874">
        <f t="shared" si="39"/>
        <v>-508.47</v>
      </c>
      <c r="O874" t="s">
        <v>4104</v>
      </c>
      <c r="P874" t="str">
        <f t="shared" si="40"/>
        <v xml:space="preserve"> </v>
      </c>
      <c r="Q874" t="str">
        <f t="shared" si="41"/>
        <v>Unfavorable</v>
      </c>
    </row>
    <row r="875" spans="1:17">
      <c r="A875" t="s">
        <v>885</v>
      </c>
      <c r="B875" s="2">
        <v>45771</v>
      </c>
      <c r="C875">
        <v>6000</v>
      </c>
      <c r="D875" t="s">
        <v>2014</v>
      </c>
      <c r="E875">
        <v>1587.23</v>
      </c>
      <c r="F875">
        <v>0</v>
      </c>
      <c r="G875" t="s">
        <v>2021</v>
      </c>
      <c r="H875" t="s">
        <v>2026</v>
      </c>
      <c r="I875" t="s">
        <v>2901</v>
      </c>
      <c r="J875" t="s">
        <v>4030</v>
      </c>
      <c r="K875" t="s">
        <v>4045</v>
      </c>
      <c r="L875">
        <v>-1587.23</v>
      </c>
      <c r="N875">
        <f t="shared" si="39"/>
        <v>-1587.23</v>
      </c>
      <c r="O875" t="s">
        <v>4104</v>
      </c>
      <c r="P875" t="str">
        <f t="shared" si="40"/>
        <v xml:space="preserve"> </v>
      </c>
      <c r="Q875" t="str">
        <f t="shared" si="41"/>
        <v>Unfavorable</v>
      </c>
    </row>
    <row r="876" spans="1:17">
      <c r="A876" t="s">
        <v>886</v>
      </c>
      <c r="B876" s="2">
        <v>45678</v>
      </c>
      <c r="C876">
        <v>4000</v>
      </c>
      <c r="D876" t="s">
        <v>2012</v>
      </c>
      <c r="E876">
        <v>0</v>
      </c>
      <c r="F876">
        <v>2067.5700000000002</v>
      </c>
      <c r="G876" t="s">
        <v>2021</v>
      </c>
      <c r="H876" t="s">
        <v>2027</v>
      </c>
      <c r="I876" t="s">
        <v>2902</v>
      </c>
      <c r="J876" t="s">
        <v>4028</v>
      </c>
      <c r="K876" t="s">
        <v>4035</v>
      </c>
      <c r="L876">
        <v>2067.5700000000002</v>
      </c>
      <c r="N876">
        <f t="shared" si="39"/>
        <v>2067.5700000000002</v>
      </c>
      <c r="O876" t="s">
        <v>4104</v>
      </c>
      <c r="P876" t="str">
        <f t="shared" si="40"/>
        <v xml:space="preserve"> </v>
      </c>
      <c r="Q876" t="str">
        <f t="shared" si="41"/>
        <v>Favorable</v>
      </c>
    </row>
    <row r="877" spans="1:17">
      <c r="A877" t="s">
        <v>887</v>
      </c>
      <c r="B877" s="2">
        <v>45138</v>
      </c>
      <c r="C877">
        <v>4000</v>
      </c>
      <c r="D877" t="s">
        <v>2012</v>
      </c>
      <c r="E877">
        <v>0</v>
      </c>
      <c r="F877">
        <v>1379.98</v>
      </c>
      <c r="G877" t="s">
        <v>2020</v>
      </c>
      <c r="H877" t="s">
        <v>2025</v>
      </c>
      <c r="I877" t="s">
        <v>2903</v>
      </c>
      <c r="J877" t="s">
        <v>4032</v>
      </c>
      <c r="K877" t="s">
        <v>4050</v>
      </c>
      <c r="L877">
        <v>1379.98</v>
      </c>
      <c r="N877">
        <f t="shared" si="39"/>
        <v>1379.98</v>
      </c>
      <c r="O877" t="s">
        <v>4104</v>
      </c>
      <c r="P877" t="str">
        <f t="shared" si="40"/>
        <v xml:space="preserve"> </v>
      </c>
      <c r="Q877" t="str">
        <f t="shared" si="41"/>
        <v>Favorable</v>
      </c>
    </row>
    <row r="878" spans="1:17">
      <c r="A878" t="s">
        <v>888</v>
      </c>
      <c r="B878" s="2">
        <v>45626</v>
      </c>
      <c r="C878">
        <v>4010</v>
      </c>
      <c r="D878" t="s">
        <v>2016</v>
      </c>
      <c r="E878">
        <v>0</v>
      </c>
      <c r="F878">
        <v>4346.96</v>
      </c>
      <c r="G878" t="s">
        <v>2021</v>
      </c>
      <c r="H878" t="s">
        <v>2025</v>
      </c>
      <c r="I878" t="s">
        <v>2904</v>
      </c>
      <c r="J878" t="s">
        <v>4032</v>
      </c>
      <c r="K878" t="s">
        <v>4043</v>
      </c>
      <c r="L878">
        <v>4346.96</v>
      </c>
      <c r="N878">
        <f t="shared" si="39"/>
        <v>4346.96</v>
      </c>
      <c r="O878" t="s">
        <v>4104</v>
      </c>
      <c r="P878" t="str">
        <f t="shared" si="40"/>
        <v xml:space="preserve"> </v>
      </c>
      <c r="Q878" t="str">
        <f t="shared" si="41"/>
        <v>Favorable</v>
      </c>
    </row>
    <row r="879" spans="1:17">
      <c r="A879" t="s">
        <v>889</v>
      </c>
      <c r="B879" s="2">
        <v>45095</v>
      </c>
      <c r="C879">
        <v>4000</v>
      </c>
      <c r="D879" t="s">
        <v>2012</v>
      </c>
      <c r="E879">
        <v>0</v>
      </c>
      <c r="F879">
        <v>525.34</v>
      </c>
      <c r="G879" t="s">
        <v>2018</v>
      </c>
      <c r="H879" t="s">
        <v>2026</v>
      </c>
      <c r="I879" t="s">
        <v>2905</v>
      </c>
      <c r="J879" t="s">
        <v>4028</v>
      </c>
      <c r="K879" t="s">
        <v>4055</v>
      </c>
      <c r="L879">
        <v>525.34</v>
      </c>
      <c r="N879">
        <f t="shared" si="39"/>
        <v>525.34</v>
      </c>
      <c r="O879" t="s">
        <v>4104</v>
      </c>
      <c r="P879" t="str">
        <f t="shared" si="40"/>
        <v xml:space="preserve"> </v>
      </c>
      <c r="Q879" t="str">
        <f t="shared" si="41"/>
        <v>Favorable</v>
      </c>
    </row>
    <row r="880" spans="1:17">
      <c r="A880" t="s">
        <v>890</v>
      </c>
      <c r="B880" s="2">
        <v>45270</v>
      </c>
      <c r="C880">
        <v>5010</v>
      </c>
      <c r="D880" t="s">
        <v>2015</v>
      </c>
      <c r="E880">
        <v>275.32</v>
      </c>
      <c r="F880">
        <v>0</v>
      </c>
      <c r="G880" t="s">
        <v>2018</v>
      </c>
      <c r="H880" t="s">
        <v>2026</v>
      </c>
      <c r="I880" t="s">
        <v>2906</v>
      </c>
      <c r="J880" t="s">
        <v>4031</v>
      </c>
      <c r="K880" t="s">
        <v>4039</v>
      </c>
      <c r="L880">
        <v>-275.32</v>
      </c>
      <c r="N880">
        <f t="shared" si="39"/>
        <v>-275.32</v>
      </c>
      <c r="O880" t="s">
        <v>4104</v>
      </c>
      <c r="P880" t="str">
        <f t="shared" si="40"/>
        <v xml:space="preserve"> </v>
      </c>
      <c r="Q880" t="str">
        <f t="shared" si="41"/>
        <v>Unfavorable</v>
      </c>
    </row>
    <row r="881" spans="1:17">
      <c r="A881" t="s">
        <v>891</v>
      </c>
      <c r="B881" s="2">
        <v>45475</v>
      </c>
      <c r="C881">
        <v>6000</v>
      </c>
      <c r="D881" t="s">
        <v>2014</v>
      </c>
      <c r="E881">
        <v>1408.29</v>
      </c>
      <c r="F881">
        <v>0</v>
      </c>
      <c r="G881" t="s">
        <v>2017</v>
      </c>
      <c r="H881" t="s">
        <v>2024</v>
      </c>
      <c r="I881" t="s">
        <v>2907</v>
      </c>
      <c r="J881" t="s">
        <v>4032</v>
      </c>
      <c r="K881" t="s">
        <v>4054</v>
      </c>
      <c r="L881">
        <v>-1408.29</v>
      </c>
      <c r="N881">
        <f t="shared" si="39"/>
        <v>-1408.29</v>
      </c>
      <c r="O881" t="s">
        <v>4104</v>
      </c>
      <c r="P881" t="str">
        <f t="shared" si="40"/>
        <v xml:space="preserve"> </v>
      </c>
      <c r="Q881" t="str">
        <f t="shared" si="41"/>
        <v>Unfavorable</v>
      </c>
    </row>
    <row r="882" spans="1:17">
      <c r="A882" t="s">
        <v>892</v>
      </c>
      <c r="B882" s="2">
        <v>45479</v>
      </c>
      <c r="C882">
        <v>4010</v>
      </c>
      <c r="D882" t="s">
        <v>2016</v>
      </c>
      <c r="E882">
        <v>0</v>
      </c>
      <c r="F882">
        <v>2640.87</v>
      </c>
      <c r="G882" t="s">
        <v>2019</v>
      </c>
      <c r="H882" t="s">
        <v>2023</v>
      </c>
      <c r="I882" t="s">
        <v>2908</v>
      </c>
      <c r="J882" t="s">
        <v>4031</v>
      </c>
      <c r="K882" t="s">
        <v>4054</v>
      </c>
      <c r="L882">
        <v>2640.87</v>
      </c>
      <c r="N882">
        <f t="shared" si="39"/>
        <v>2640.87</v>
      </c>
      <c r="O882" t="s">
        <v>4104</v>
      </c>
      <c r="P882" t="str">
        <f t="shared" si="40"/>
        <v xml:space="preserve"> </v>
      </c>
      <c r="Q882" t="str">
        <f t="shared" si="41"/>
        <v>Favorable</v>
      </c>
    </row>
    <row r="883" spans="1:17">
      <c r="A883" t="s">
        <v>893</v>
      </c>
      <c r="B883" s="2">
        <v>45754</v>
      </c>
      <c r="C883">
        <v>4000</v>
      </c>
      <c r="D883" t="s">
        <v>2012</v>
      </c>
      <c r="E883">
        <v>0</v>
      </c>
      <c r="F883">
        <v>2978.56</v>
      </c>
      <c r="G883" t="s">
        <v>2022</v>
      </c>
      <c r="H883" t="s">
        <v>2026</v>
      </c>
      <c r="I883" t="s">
        <v>2909</v>
      </c>
      <c r="J883" t="s">
        <v>4028</v>
      </c>
      <c r="K883" t="s">
        <v>4045</v>
      </c>
      <c r="L883">
        <v>2978.56</v>
      </c>
      <c r="N883">
        <f t="shared" si="39"/>
        <v>2978.56</v>
      </c>
      <c r="O883" t="s">
        <v>4104</v>
      </c>
      <c r="P883" t="str">
        <f t="shared" si="40"/>
        <v xml:space="preserve"> </v>
      </c>
      <c r="Q883" t="str">
        <f t="shared" si="41"/>
        <v>Favorable</v>
      </c>
    </row>
    <row r="884" spans="1:17">
      <c r="A884" t="s">
        <v>894</v>
      </c>
      <c r="B884" s="2">
        <v>45282</v>
      </c>
      <c r="C884">
        <v>5010</v>
      </c>
      <c r="D884" t="s">
        <v>2015</v>
      </c>
      <c r="E884">
        <v>100.56</v>
      </c>
      <c r="F884">
        <v>0</v>
      </c>
      <c r="G884" t="s">
        <v>2018</v>
      </c>
      <c r="H884" t="s">
        <v>2023</v>
      </c>
      <c r="I884" t="s">
        <v>2910</v>
      </c>
      <c r="J884" t="s">
        <v>4032</v>
      </c>
      <c r="K884" t="s">
        <v>4039</v>
      </c>
      <c r="L884">
        <v>-100.56</v>
      </c>
      <c r="N884">
        <f t="shared" si="39"/>
        <v>-100.56</v>
      </c>
      <c r="O884" t="s">
        <v>4104</v>
      </c>
      <c r="P884" t="str">
        <f t="shared" si="40"/>
        <v xml:space="preserve"> </v>
      </c>
      <c r="Q884" t="str">
        <f t="shared" si="41"/>
        <v>Unfavorable</v>
      </c>
    </row>
    <row r="885" spans="1:17">
      <c r="A885" t="s">
        <v>895</v>
      </c>
      <c r="B885" s="2">
        <v>45323</v>
      </c>
      <c r="C885">
        <v>5010</v>
      </c>
      <c r="D885" t="s">
        <v>2015</v>
      </c>
      <c r="E885">
        <v>581.4</v>
      </c>
      <c r="F885">
        <v>0</v>
      </c>
      <c r="G885" t="s">
        <v>2019</v>
      </c>
      <c r="H885" t="s">
        <v>2025</v>
      </c>
      <c r="I885" t="s">
        <v>2911</v>
      </c>
      <c r="J885" t="s">
        <v>4030</v>
      </c>
      <c r="K885" t="s">
        <v>4044</v>
      </c>
      <c r="L885">
        <v>-581.4</v>
      </c>
      <c r="N885">
        <f t="shared" si="39"/>
        <v>-581.4</v>
      </c>
      <c r="O885" t="s">
        <v>4104</v>
      </c>
      <c r="P885" t="str">
        <f t="shared" si="40"/>
        <v xml:space="preserve"> </v>
      </c>
      <c r="Q885" t="str">
        <f t="shared" si="41"/>
        <v>Unfavorable</v>
      </c>
    </row>
    <row r="886" spans="1:17">
      <c r="A886" t="s">
        <v>896</v>
      </c>
      <c r="B886" s="2">
        <v>44950</v>
      </c>
      <c r="C886">
        <v>6000</v>
      </c>
      <c r="D886" t="s">
        <v>2014</v>
      </c>
      <c r="E886">
        <v>176.17</v>
      </c>
      <c r="F886">
        <v>0</v>
      </c>
      <c r="G886" t="s">
        <v>2017</v>
      </c>
      <c r="H886" t="s">
        <v>2027</v>
      </c>
      <c r="I886" t="s">
        <v>2912</v>
      </c>
      <c r="J886" t="s">
        <v>4031</v>
      </c>
      <c r="K886" t="s">
        <v>4047</v>
      </c>
      <c r="L886">
        <v>-176.17</v>
      </c>
      <c r="N886">
        <f t="shared" si="39"/>
        <v>-176.17</v>
      </c>
      <c r="O886" t="s">
        <v>4104</v>
      </c>
      <c r="P886" t="str">
        <f t="shared" si="40"/>
        <v xml:space="preserve"> </v>
      </c>
      <c r="Q886" t="str">
        <f t="shared" si="41"/>
        <v>Unfavorable</v>
      </c>
    </row>
    <row r="887" spans="1:17">
      <c r="A887" t="s">
        <v>897</v>
      </c>
      <c r="B887" s="2">
        <v>44966</v>
      </c>
      <c r="C887">
        <v>5010</v>
      </c>
      <c r="D887" t="s">
        <v>2015</v>
      </c>
      <c r="E887">
        <v>482.67</v>
      </c>
      <c r="F887">
        <v>0</v>
      </c>
      <c r="G887" t="s">
        <v>2019</v>
      </c>
      <c r="H887" t="s">
        <v>2027</v>
      </c>
      <c r="I887" t="s">
        <v>2913</v>
      </c>
      <c r="J887" t="s">
        <v>4031</v>
      </c>
      <c r="K887" t="s">
        <v>4057</v>
      </c>
      <c r="L887">
        <v>-482.67</v>
      </c>
      <c r="N887">
        <f t="shared" si="39"/>
        <v>-482.67</v>
      </c>
      <c r="O887" t="s">
        <v>4104</v>
      </c>
      <c r="P887" t="str">
        <f t="shared" si="40"/>
        <v xml:space="preserve"> </v>
      </c>
      <c r="Q887" t="str">
        <f t="shared" si="41"/>
        <v>Unfavorable</v>
      </c>
    </row>
    <row r="888" spans="1:17">
      <c r="A888" t="s">
        <v>898</v>
      </c>
      <c r="B888" s="2">
        <v>45572</v>
      </c>
      <c r="C888">
        <v>6000</v>
      </c>
      <c r="D888" t="s">
        <v>2014</v>
      </c>
      <c r="E888">
        <v>1072.33</v>
      </c>
      <c r="F888">
        <v>0</v>
      </c>
      <c r="G888" t="s">
        <v>2022</v>
      </c>
      <c r="H888" t="s">
        <v>2027</v>
      </c>
      <c r="I888" t="s">
        <v>2914</v>
      </c>
      <c r="J888" t="s">
        <v>4028</v>
      </c>
      <c r="K888" t="s">
        <v>4059</v>
      </c>
      <c r="L888">
        <v>-1072.33</v>
      </c>
      <c r="N888">
        <f t="shared" si="39"/>
        <v>-1072.33</v>
      </c>
      <c r="O888" t="s">
        <v>4104</v>
      </c>
      <c r="P888" t="str">
        <f t="shared" si="40"/>
        <v xml:space="preserve"> </v>
      </c>
      <c r="Q888" t="str">
        <f t="shared" si="41"/>
        <v>Unfavorable</v>
      </c>
    </row>
    <row r="889" spans="1:17">
      <c r="A889" t="s">
        <v>899</v>
      </c>
      <c r="B889" s="2">
        <v>45468</v>
      </c>
      <c r="C889">
        <v>4000</v>
      </c>
      <c r="D889" t="s">
        <v>2012</v>
      </c>
      <c r="E889">
        <v>0</v>
      </c>
      <c r="F889">
        <v>1700.49</v>
      </c>
      <c r="G889" t="s">
        <v>2021</v>
      </c>
      <c r="H889" t="s">
        <v>2027</v>
      </c>
      <c r="I889" t="s">
        <v>2915</v>
      </c>
      <c r="J889" t="s">
        <v>4029</v>
      </c>
      <c r="K889" t="s">
        <v>4034</v>
      </c>
      <c r="L889">
        <v>1700.49</v>
      </c>
      <c r="N889">
        <f t="shared" si="39"/>
        <v>1700.49</v>
      </c>
      <c r="O889" t="s">
        <v>4104</v>
      </c>
      <c r="P889" t="str">
        <f t="shared" si="40"/>
        <v xml:space="preserve"> </v>
      </c>
      <c r="Q889" t="str">
        <f t="shared" si="41"/>
        <v>Favorable</v>
      </c>
    </row>
    <row r="890" spans="1:17">
      <c r="A890" t="s">
        <v>900</v>
      </c>
      <c r="B890" s="2">
        <v>45574</v>
      </c>
      <c r="C890">
        <v>5010</v>
      </c>
      <c r="D890" t="s">
        <v>2015</v>
      </c>
      <c r="E890">
        <v>1915.1</v>
      </c>
      <c r="F890">
        <v>0</v>
      </c>
      <c r="G890" t="s">
        <v>2019</v>
      </c>
      <c r="H890" t="s">
        <v>2027</v>
      </c>
      <c r="I890" t="s">
        <v>2916</v>
      </c>
      <c r="J890" t="s">
        <v>4029</v>
      </c>
      <c r="K890" t="s">
        <v>4059</v>
      </c>
      <c r="L890">
        <v>-1915.1</v>
      </c>
      <c r="N890">
        <f t="shared" si="39"/>
        <v>-1915.1</v>
      </c>
      <c r="O890" t="s">
        <v>4104</v>
      </c>
      <c r="P890" t="str">
        <f t="shared" si="40"/>
        <v xml:space="preserve"> </v>
      </c>
      <c r="Q890" t="str">
        <f t="shared" si="41"/>
        <v>Unfavorable</v>
      </c>
    </row>
    <row r="891" spans="1:17">
      <c r="A891" t="s">
        <v>901</v>
      </c>
      <c r="B891" s="2">
        <v>45821</v>
      </c>
      <c r="C891">
        <v>5000</v>
      </c>
      <c r="D891" t="s">
        <v>2013</v>
      </c>
      <c r="E891">
        <v>1632.24</v>
      </c>
      <c r="F891">
        <v>0</v>
      </c>
      <c r="G891" t="s">
        <v>2022</v>
      </c>
      <c r="H891" t="s">
        <v>2025</v>
      </c>
      <c r="I891" t="s">
        <v>2917</v>
      </c>
      <c r="J891" t="s">
        <v>4032</v>
      </c>
      <c r="K891" t="s">
        <v>4052</v>
      </c>
      <c r="L891">
        <v>-1632.24</v>
      </c>
      <c r="N891">
        <f t="shared" si="39"/>
        <v>-1632.24</v>
      </c>
      <c r="O891" t="s">
        <v>4104</v>
      </c>
      <c r="P891" t="str">
        <f t="shared" si="40"/>
        <v xml:space="preserve"> </v>
      </c>
      <c r="Q891" t="str">
        <f t="shared" si="41"/>
        <v>Unfavorable</v>
      </c>
    </row>
    <row r="892" spans="1:17">
      <c r="A892" t="s">
        <v>902</v>
      </c>
      <c r="B892" s="2">
        <v>45718</v>
      </c>
      <c r="C892">
        <v>4010</v>
      </c>
      <c r="D892" t="s">
        <v>2016</v>
      </c>
      <c r="E892">
        <v>0</v>
      </c>
      <c r="F892">
        <v>2334.77</v>
      </c>
      <c r="G892" t="s">
        <v>2018</v>
      </c>
      <c r="H892" t="s">
        <v>2027</v>
      </c>
      <c r="I892" t="s">
        <v>2918</v>
      </c>
      <c r="J892" t="s">
        <v>4028</v>
      </c>
      <c r="K892" t="s">
        <v>4046</v>
      </c>
      <c r="L892">
        <v>2334.77</v>
      </c>
      <c r="N892">
        <f t="shared" si="39"/>
        <v>2334.77</v>
      </c>
      <c r="O892" t="s">
        <v>4104</v>
      </c>
      <c r="P892" t="str">
        <f t="shared" si="40"/>
        <v xml:space="preserve"> </v>
      </c>
      <c r="Q892" t="str">
        <f t="shared" si="41"/>
        <v>Favorable</v>
      </c>
    </row>
    <row r="893" spans="1:17">
      <c r="A893" t="s">
        <v>903</v>
      </c>
      <c r="B893" s="2">
        <v>45068</v>
      </c>
      <c r="C893">
        <v>4000</v>
      </c>
      <c r="D893" t="s">
        <v>2012</v>
      </c>
      <c r="E893">
        <v>0</v>
      </c>
      <c r="F893">
        <v>2655.46</v>
      </c>
      <c r="G893" t="s">
        <v>2017</v>
      </c>
      <c r="H893" t="s">
        <v>2023</v>
      </c>
      <c r="I893" t="s">
        <v>2919</v>
      </c>
      <c r="J893" t="s">
        <v>4032</v>
      </c>
      <c r="K893" t="s">
        <v>4062</v>
      </c>
      <c r="L893">
        <v>2655.46</v>
      </c>
      <c r="N893">
        <f t="shared" si="39"/>
        <v>2655.46</v>
      </c>
      <c r="O893" t="s">
        <v>4104</v>
      </c>
      <c r="P893" t="str">
        <f t="shared" si="40"/>
        <v xml:space="preserve"> </v>
      </c>
      <c r="Q893" t="str">
        <f t="shared" si="41"/>
        <v>Favorable</v>
      </c>
    </row>
    <row r="894" spans="1:17">
      <c r="A894" t="s">
        <v>904</v>
      </c>
      <c r="B894" s="2">
        <v>45288</v>
      </c>
      <c r="C894">
        <v>4000</v>
      </c>
      <c r="D894" t="s">
        <v>2012</v>
      </c>
      <c r="E894">
        <v>0</v>
      </c>
      <c r="F894">
        <v>4082.31</v>
      </c>
      <c r="G894" t="s">
        <v>2019</v>
      </c>
      <c r="H894" t="s">
        <v>2026</v>
      </c>
      <c r="I894" t="s">
        <v>2920</v>
      </c>
      <c r="J894" t="s">
        <v>4031</v>
      </c>
      <c r="K894" t="s">
        <v>4039</v>
      </c>
      <c r="L894">
        <v>4082.31</v>
      </c>
      <c r="N894">
        <f t="shared" si="39"/>
        <v>4082.31</v>
      </c>
      <c r="O894" t="s">
        <v>4104</v>
      </c>
      <c r="P894" t="str">
        <f t="shared" si="40"/>
        <v xml:space="preserve"> </v>
      </c>
      <c r="Q894" t="str">
        <f t="shared" si="41"/>
        <v>Favorable</v>
      </c>
    </row>
    <row r="895" spans="1:17">
      <c r="A895" t="s">
        <v>905</v>
      </c>
      <c r="B895" s="2">
        <v>45280</v>
      </c>
      <c r="C895">
        <v>5010</v>
      </c>
      <c r="D895" t="s">
        <v>2015</v>
      </c>
      <c r="E895">
        <v>1204.8499999999999</v>
      </c>
      <c r="F895">
        <v>0</v>
      </c>
      <c r="G895" t="s">
        <v>2019</v>
      </c>
      <c r="H895" t="s">
        <v>2024</v>
      </c>
      <c r="I895" t="s">
        <v>2921</v>
      </c>
      <c r="J895" t="s">
        <v>4032</v>
      </c>
      <c r="K895" t="s">
        <v>4039</v>
      </c>
      <c r="L895">
        <v>-1204.8499999999999</v>
      </c>
      <c r="N895">
        <f t="shared" si="39"/>
        <v>-1204.8499999999999</v>
      </c>
      <c r="O895" t="s">
        <v>4104</v>
      </c>
      <c r="P895" t="str">
        <f t="shared" si="40"/>
        <v xml:space="preserve"> </v>
      </c>
      <c r="Q895" t="str">
        <f t="shared" si="41"/>
        <v>Unfavorable</v>
      </c>
    </row>
    <row r="896" spans="1:17">
      <c r="A896" t="s">
        <v>906</v>
      </c>
      <c r="B896" s="2">
        <v>45648</v>
      </c>
      <c r="C896">
        <v>4000</v>
      </c>
      <c r="D896" t="s">
        <v>2012</v>
      </c>
      <c r="E896">
        <v>0</v>
      </c>
      <c r="F896">
        <v>4496.12</v>
      </c>
      <c r="G896" t="s">
        <v>2018</v>
      </c>
      <c r="H896" t="s">
        <v>2024</v>
      </c>
      <c r="I896" t="s">
        <v>2922</v>
      </c>
      <c r="J896" t="s">
        <v>4029</v>
      </c>
      <c r="K896" t="s">
        <v>4056</v>
      </c>
      <c r="L896">
        <v>4496.12</v>
      </c>
      <c r="N896">
        <f t="shared" si="39"/>
        <v>4496.12</v>
      </c>
      <c r="O896" t="s">
        <v>4104</v>
      </c>
      <c r="P896" t="str">
        <f t="shared" si="40"/>
        <v xml:space="preserve"> </v>
      </c>
      <c r="Q896" t="str">
        <f t="shared" si="41"/>
        <v>Favorable</v>
      </c>
    </row>
    <row r="897" spans="1:17">
      <c r="A897" t="s">
        <v>907</v>
      </c>
      <c r="B897" s="2">
        <v>45679</v>
      </c>
      <c r="C897">
        <v>4010</v>
      </c>
      <c r="D897" t="s">
        <v>2016</v>
      </c>
      <c r="E897">
        <v>0</v>
      </c>
      <c r="F897">
        <v>2776.15</v>
      </c>
      <c r="G897" t="s">
        <v>2019</v>
      </c>
      <c r="H897" t="s">
        <v>2027</v>
      </c>
      <c r="I897" t="s">
        <v>2923</v>
      </c>
      <c r="J897" t="s">
        <v>4029</v>
      </c>
      <c r="K897" t="s">
        <v>4035</v>
      </c>
      <c r="L897">
        <v>2776.15</v>
      </c>
      <c r="N897">
        <f t="shared" si="39"/>
        <v>2776.15</v>
      </c>
      <c r="O897" t="s">
        <v>4104</v>
      </c>
      <c r="P897" t="str">
        <f t="shared" si="40"/>
        <v xml:space="preserve"> </v>
      </c>
      <c r="Q897" t="str">
        <f t="shared" si="41"/>
        <v>Favorable</v>
      </c>
    </row>
    <row r="898" spans="1:17">
      <c r="A898" t="s">
        <v>908</v>
      </c>
      <c r="B898" s="2">
        <v>45046</v>
      </c>
      <c r="C898">
        <v>4010</v>
      </c>
      <c r="D898" t="s">
        <v>2016</v>
      </c>
      <c r="E898">
        <v>0</v>
      </c>
      <c r="F898">
        <v>3598.62</v>
      </c>
      <c r="G898" t="s">
        <v>2021</v>
      </c>
      <c r="H898" t="s">
        <v>2025</v>
      </c>
      <c r="I898" t="s">
        <v>2924</v>
      </c>
      <c r="J898" t="s">
        <v>4029</v>
      </c>
      <c r="K898" t="s">
        <v>4041</v>
      </c>
      <c r="L898">
        <v>3598.62</v>
      </c>
      <c r="N898">
        <f t="shared" si="39"/>
        <v>3598.62</v>
      </c>
      <c r="O898" t="s">
        <v>4104</v>
      </c>
      <c r="P898" t="str">
        <f t="shared" si="40"/>
        <v xml:space="preserve"> </v>
      </c>
      <c r="Q898" t="str">
        <f t="shared" si="41"/>
        <v>Favorable</v>
      </c>
    </row>
    <row r="899" spans="1:17">
      <c r="A899" t="s">
        <v>909</v>
      </c>
      <c r="B899" s="2">
        <v>45490</v>
      </c>
      <c r="C899">
        <v>5010</v>
      </c>
      <c r="D899" t="s">
        <v>2015</v>
      </c>
      <c r="E899">
        <v>1433.77</v>
      </c>
      <c r="F899">
        <v>0</v>
      </c>
      <c r="G899" t="s">
        <v>2017</v>
      </c>
      <c r="H899" t="s">
        <v>2023</v>
      </c>
      <c r="I899" t="s">
        <v>2925</v>
      </c>
      <c r="J899" t="s">
        <v>4029</v>
      </c>
      <c r="K899" t="s">
        <v>4054</v>
      </c>
      <c r="L899">
        <v>-1433.77</v>
      </c>
      <c r="N899">
        <f t="shared" ref="N899:N962" si="42">L:L-M:M</f>
        <v>-1433.77</v>
      </c>
      <c r="O899" t="s">
        <v>4104</v>
      </c>
      <c r="P899" t="str">
        <f t="shared" ref="P899:P962" si="43">IF(AND(ABS(N:N)&gt;10000,M:M&lt;&gt;0),"Material", " ")</f>
        <v xml:space="preserve"> </v>
      </c>
      <c r="Q899" t="str">
        <f t="shared" ref="Q899:Q962" si="44">IF(N:N&gt;0,"Favorable","Unfavorable")</f>
        <v>Unfavorable</v>
      </c>
    </row>
    <row r="900" spans="1:17">
      <c r="A900" t="s">
        <v>910</v>
      </c>
      <c r="B900" s="2">
        <v>45435</v>
      </c>
      <c r="C900">
        <v>5010</v>
      </c>
      <c r="D900" t="s">
        <v>2015</v>
      </c>
      <c r="E900">
        <v>244.58</v>
      </c>
      <c r="F900">
        <v>0</v>
      </c>
      <c r="G900" t="s">
        <v>2017</v>
      </c>
      <c r="H900" t="s">
        <v>2025</v>
      </c>
      <c r="I900" t="s">
        <v>2926</v>
      </c>
      <c r="J900" t="s">
        <v>4030</v>
      </c>
      <c r="K900" t="s">
        <v>4033</v>
      </c>
      <c r="L900">
        <v>-244.58</v>
      </c>
      <c r="N900">
        <f t="shared" si="42"/>
        <v>-244.58</v>
      </c>
      <c r="O900" t="s">
        <v>4104</v>
      </c>
      <c r="P900" t="str">
        <f t="shared" si="43"/>
        <v xml:space="preserve"> </v>
      </c>
      <c r="Q900" t="str">
        <f t="shared" si="44"/>
        <v>Unfavorable</v>
      </c>
    </row>
    <row r="901" spans="1:17">
      <c r="A901" t="s">
        <v>911</v>
      </c>
      <c r="B901" s="2">
        <v>44934</v>
      </c>
      <c r="C901">
        <v>6000</v>
      </c>
      <c r="D901" t="s">
        <v>2014</v>
      </c>
      <c r="E901">
        <v>958.53</v>
      </c>
      <c r="F901">
        <v>0</v>
      </c>
      <c r="G901" t="s">
        <v>2022</v>
      </c>
      <c r="H901" t="s">
        <v>2024</v>
      </c>
      <c r="I901" t="s">
        <v>2927</v>
      </c>
      <c r="J901" t="s">
        <v>4030</v>
      </c>
      <c r="K901" t="s">
        <v>4047</v>
      </c>
      <c r="L901">
        <v>-958.53</v>
      </c>
      <c r="N901">
        <f t="shared" si="42"/>
        <v>-958.53</v>
      </c>
      <c r="O901" t="s">
        <v>4104</v>
      </c>
      <c r="P901" t="str">
        <f t="shared" si="43"/>
        <v xml:space="preserve"> </v>
      </c>
      <c r="Q901" t="str">
        <f t="shared" si="44"/>
        <v>Unfavorable</v>
      </c>
    </row>
    <row r="902" spans="1:17">
      <c r="A902" t="s">
        <v>912</v>
      </c>
      <c r="B902" s="2">
        <v>45115</v>
      </c>
      <c r="C902">
        <v>6000</v>
      </c>
      <c r="D902" t="s">
        <v>2014</v>
      </c>
      <c r="E902">
        <v>1312.28</v>
      </c>
      <c r="F902">
        <v>0</v>
      </c>
      <c r="G902" t="s">
        <v>2019</v>
      </c>
      <c r="H902" t="s">
        <v>2023</v>
      </c>
      <c r="I902" t="s">
        <v>2928</v>
      </c>
      <c r="J902" t="s">
        <v>4028</v>
      </c>
      <c r="K902" t="s">
        <v>4050</v>
      </c>
      <c r="L902">
        <v>-1312.28</v>
      </c>
      <c r="N902">
        <f t="shared" si="42"/>
        <v>-1312.28</v>
      </c>
      <c r="O902" t="s">
        <v>4104</v>
      </c>
      <c r="P902" t="str">
        <f t="shared" si="43"/>
        <v xml:space="preserve"> </v>
      </c>
      <c r="Q902" t="str">
        <f t="shared" si="44"/>
        <v>Unfavorable</v>
      </c>
    </row>
    <row r="903" spans="1:17">
      <c r="A903" t="s">
        <v>913</v>
      </c>
      <c r="B903" s="2">
        <v>44997</v>
      </c>
      <c r="C903">
        <v>4000</v>
      </c>
      <c r="D903" t="s">
        <v>2012</v>
      </c>
      <c r="E903">
        <v>0</v>
      </c>
      <c r="F903">
        <v>4549.33</v>
      </c>
      <c r="G903" t="s">
        <v>2022</v>
      </c>
      <c r="H903" t="s">
        <v>2023</v>
      </c>
      <c r="I903" t="s">
        <v>2929</v>
      </c>
      <c r="J903" t="s">
        <v>4028</v>
      </c>
      <c r="K903" t="s">
        <v>4051</v>
      </c>
      <c r="L903">
        <v>4549.33</v>
      </c>
      <c r="N903">
        <f t="shared" si="42"/>
        <v>4549.33</v>
      </c>
      <c r="O903" t="s">
        <v>4104</v>
      </c>
      <c r="P903" t="str">
        <f t="shared" si="43"/>
        <v xml:space="preserve"> </v>
      </c>
      <c r="Q903" t="str">
        <f t="shared" si="44"/>
        <v>Favorable</v>
      </c>
    </row>
    <row r="904" spans="1:17">
      <c r="A904" t="s">
        <v>914</v>
      </c>
      <c r="B904" s="2">
        <v>45643</v>
      </c>
      <c r="C904">
        <v>6000</v>
      </c>
      <c r="D904" t="s">
        <v>2014</v>
      </c>
      <c r="E904">
        <v>1965.36</v>
      </c>
      <c r="F904">
        <v>0</v>
      </c>
      <c r="G904" t="s">
        <v>2019</v>
      </c>
      <c r="H904" t="s">
        <v>2026</v>
      </c>
      <c r="I904" t="s">
        <v>2930</v>
      </c>
      <c r="J904" t="s">
        <v>4032</v>
      </c>
      <c r="K904" t="s">
        <v>4056</v>
      </c>
      <c r="L904">
        <v>-1965.36</v>
      </c>
      <c r="N904">
        <f t="shared" si="42"/>
        <v>-1965.36</v>
      </c>
      <c r="O904" t="s">
        <v>4104</v>
      </c>
      <c r="P904" t="str">
        <f t="shared" si="43"/>
        <v xml:space="preserve"> </v>
      </c>
      <c r="Q904" t="str">
        <f t="shared" si="44"/>
        <v>Unfavorable</v>
      </c>
    </row>
    <row r="905" spans="1:17">
      <c r="A905" t="s">
        <v>915</v>
      </c>
      <c r="B905" s="2">
        <v>45159</v>
      </c>
      <c r="C905">
        <v>5010</v>
      </c>
      <c r="D905" t="s">
        <v>2015</v>
      </c>
      <c r="E905">
        <v>769.49</v>
      </c>
      <c r="F905">
        <v>0</v>
      </c>
      <c r="G905" t="s">
        <v>2019</v>
      </c>
      <c r="H905" t="s">
        <v>2027</v>
      </c>
      <c r="I905" t="s">
        <v>2931</v>
      </c>
      <c r="J905" t="s">
        <v>4028</v>
      </c>
      <c r="K905" t="s">
        <v>4037</v>
      </c>
      <c r="L905">
        <v>-769.49</v>
      </c>
      <c r="N905">
        <f t="shared" si="42"/>
        <v>-769.49</v>
      </c>
      <c r="O905" t="s">
        <v>4104</v>
      </c>
      <c r="P905" t="str">
        <f t="shared" si="43"/>
        <v xml:space="preserve"> </v>
      </c>
      <c r="Q905" t="str">
        <f t="shared" si="44"/>
        <v>Unfavorable</v>
      </c>
    </row>
    <row r="906" spans="1:17">
      <c r="A906" t="s">
        <v>916</v>
      </c>
      <c r="B906" s="2">
        <v>45601</v>
      </c>
      <c r="C906">
        <v>5000</v>
      </c>
      <c r="D906" t="s">
        <v>2013</v>
      </c>
      <c r="E906">
        <v>743.08</v>
      </c>
      <c r="F906">
        <v>0</v>
      </c>
      <c r="G906" t="s">
        <v>2021</v>
      </c>
      <c r="H906" t="s">
        <v>2025</v>
      </c>
      <c r="I906" t="s">
        <v>2932</v>
      </c>
      <c r="J906" t="s">
        <v>4028</v>
      </c>
      <c r="K906" t="s">
        <v>4043</v>
      </c>
      <c r="L906">
        <v>-743.08</v>
      </c>
      <c r="N906">
        <f t="shared" si="42"/>
        <v>-743.08</v>
      </c>
      <c r="O906" t="s">
        <v>4104</v>
      </c>
      <c r="P906" t="str">
        <f t="shared" si="43"/>
        <v xml:space="preserve"> </v>
      </c>
      <c r="Q906" t="str">
        <f t="shared" si="44"/>
        <v>Unfavorable</v>
      </c>
    </row>
    <row r="907" spans="1:17">
      <c r="A907" t="s">
        <v>917</v>
      </c>
      <c r="B907" s="2">
        <v>45145</v>
      </c>
      <c r="C907">
        <v>6000</v>
      </c>
      <c r="D907" t="s">
        <v>2014</v>
      </c>
      <c r="E907">
        <v>586.1</v>
      </c>
      <c r="F907">
        <v>0</v>
      </c>
      <c r="G907" t="s">
        <v>2022</v>
      </c>
      <c r="H907" t="s">
        <v>2027</v>
      </c>
      <c r="I907" t="s">
        <v>2933</v>
      </c>
      <c r="J907" t="s">
        <v>4032</v>
      </c>
      <c r="K907" t="s">
        <v>4037</v>
      </c>
      <c r="L907">
        <v>-586.1</v>
      </c>
      <c r="N907">
        <f t="shared" si="42"/>
        <v>-586.1</v>
      </c>
      <c r="O907" t="s">
        <v>4104</v>
      </c>
      <c r="P907" t="str">
        <f t="shared" si="43"/>
        <v xml:space="preserve"> </v>
      </c>
      <c r="Q907" t="str">
        <f t="shared" si="44"/>
        <v>Unfavorable</v>
      </c>
    </row>
    <row r="908" spans="1:17">
      <c r="A908" t="s">
        <v>918</v>
      </c>
      <c r="B908" s="2">
        <v>45830</v>
      </c>
      <c r="C908">
        <v>6000</v>
      </c>
      <c r="D908" t="s">
        <v>2014</v>
      </c>
      <c r="E908">
        <v>1912.35</v>
      </c>
      <c r="F908">
        <v>0</v>
      </c>
      <c r="G908" t="s">
        <v>2017</v>
      </c>
      <c r="H908" t="s">
        <v>2023</v>
      </c>
      <c r="I908" t="s">
        <v>2934</v>
      </c>
      <c r="J908" t="s">
        <v>4031</v>
      </c>
      <c r="K908" t="s">
        <v>4052</v>
      </c>
      <c r="L908">
        <v>-1912.35</v>
      </c>
      <c r="N908">
        <f t="shared" si="42"/>
        <v>-1912.35</v>
      </c>
      <c r="O908" t="s">
        <v>4104</v>
      </c>
      <c r="P908" t="str">
        <f t="shared" si="43"/>
        <v xml:space="preserve"> </v>
      </c>
      <c r="Q908" t="str">
        <f t="shared" si="44"/>
        <v>Unfavorable</v>
      </c>
    </row>
    <row r="909" spans="1:17">
      <c r="A909" t="s">
        <v>919</v>
      </c>
      <c r="B909" s="2">
        <v>45054</v>
      </c>
      <c r="C909">
        <v>6000</v>
      </c>
      <c r="D909" t="s">
        <v>2014</v>
      </c>
      <c r="E909">
        <v>819.96</v>
      </c>
      <c r="F909">
        <v>0</v>
      </c>
      <c r="G909" t="s">
        <v>2020</v>
      </c>
      <c r="H909" t="s">
        <v>2024</v>
      </c>
      <c r="I909" t="s">
        <v>2935</v>
      </c>
      <c r="J909" t="s">
        <v>4031</v>
      </c>
      <c r="K909" t="s">
        <v>4062</v>
      </c>
      <c r="L909">
        <v>-819.96</v>
      </c>
      <c r="N909">
        <f t="shared" si="42"/>
        <v>-819.96</v>
      </c>
      <c r="O909" t="s">
        <v>4104</v>
      </c>
      <c r="P909" t="str">
        <f t="shared" si="43"/>
        <v xml:space="preserve"> </v>
      </c>
      <c r="Q909" t="str">
        <f t="shared" si="44"/>
        <v>Unfavorable</v>
      </c>
    </row>
    <row r="910" spans="1:17">
      <c r="A910" t="s">
        <v>920</v>
      </c>
      <c r="B910" s="2">
        <v>45718</v>
      </c>
      <c r="C910">
        <v>5000</v>
      </c>
      <c r="D910" t="s">
        <v>2013</v>
      </c>
      <c r="E910">
        <v>1880.1</v>
      </c>
      <c r="F910">
        <v>0</v>
      </c>
      <c r="G910" t="s">
        <v>2019</v>
      </c>
      <c r="H910" t="s">
        <v>2024</v>
      </c>
      <c r="I910" t="s">
        <v>2936</v>
      </c>
      <c r="J910" t="s">
        <v>4030</v>
      </c>
      <c r="K910" t="s">
        <v>4046</v>
      </c>
      <c r="L910">
        <v>-1880.1</v>
      </c>
      <c r="N910">
        <f t="shared" si="42"/>
        <v>-1880.1</v>
      </c>
      <c r="O910" t="s">
        <v>4104</v>
      </c>
      <c r="P910" t="str">
        <f t="shared" si="43"/>
        <v xml:space="preserve"> </v>
      </c>
      <c r="Q910" t="str">
        <f t="shared" si="44"/>
        <v>Unfavorable</v>
      </c>
    </row>
    <row r="911" spans="1:17">
      <c r="A911" t="s">
        <v>921</v>
      </c>
      <c r="B911" s="2">
        <v>45754</v>
      </c>
      <c r="C911">
        <v>6000</v>
      </c>
      <c r="D911" t="s">
        <v>2014</v>
      </c>
      <c r="E911">
        <v>1255.8499999999999</v>
      </c>
      <c r="F911">
        <v>0</v>
      </c>
      <c r="G911" t="s">
        <v>2019</v>
      </c>
      <c r="H911" t="s">
        <v>2027</v>
      </c>
      <c r="I911" t="s">
        <v>2937</v>
      </c>
      <c r="J911" t="s">
        <v>4029</v>
      </c>
      <c r="K911" t="s">
        <v>4045</v>
      </c>
      <c r="L911">
        <v>-1255.8499999999999</v>
      </c>
      <c r="N911">
        <f t="shared" si="42"/>
        <v>-1255.8499999999999</v>
      </c>
      <c r="O911" t="s">
        <v>4104</v>
      </c>
      <c r="P911" t="str">
        <f t="shared" si="43"/>
        <v xml:space="preserve"> </v>
      </c>
      <c r="Q911" t="str">
        <f t="shared" si="44"/>
        <v>Unfavorable</v>
      </c>
    </row>
    <row r="912" spans="1:17">
      <c r="A912" t="s">
        <v>922</v>
      </c>
      <c r="B912" s="2">
        <v>44954</v>
      </c>
      <c r="C912">
        <v>4010</v>
      </c>
      <c r="D912" t="s">
        <v>2016</v>
      </c>
      <c r="E912">
        <v>0</v>
      </c>
      <c r="F912">
        <v>3738.97</v>
      </c>
      <c r="G912" t="s">
        <v>2022</v>
      </c>
      <c r="H912" t="s">
        <v>2026</v>
      </c>
      <c r="I912" t="s">
        <v>2938</v>
      </c>
      <c r="J912" t="s">
        <v>4032</v>
      </c>
      <c r="K912" t="s">
        <v>4047</v>
      </c>
      <c r="L912">
        <v>3738.97</v>
      </c>
      <c r="N912">
        <f t="shared" si="42"/>
        <v>3738.97</v>
      </c>
      <c r="O912" t="s">
        <v>4104</v>
      </c>
      <c r="P912" t="str">
        <f t="shared" si="43"/>
        <v xml:space="preserve"> </v>
      </c>
      <c r="Q912" t="str">
        <f t="shared" si="44"/>
        <v>Favorable</v>
      </c>
    </row>
    <row r="913" spans="1:17">
      <c r="A913" t="s">
        <v>923</v>
      </c>
      <c r="B913" s="2">
        <v>45792</v>
      </c>
      <c r="C913">
        <v>5000</v>
      </c>
      <c r="D913" t="s">
        <v>2013</v>
      </c>
      <c r="E913">
        <v>50.19</v>
      </c>
      <c r="F913">
        <v>0</v>
      </c>
      <c r="G913" t="s">
        <v>2021</v>
      </c>
      <c r="H913" t="s">
        <v>2024</v>
      </c>
      <c r="I913" t="s">
        <v>2939</v>
      </c>
      <c r="J913" t="s">
        <v>4029</v>
      </c>
      <c r="K913" t="s">
        <v>4038</v>
      </c>
      <c r="L913">
        <v>-50.19</v>
      </c>
      <c r="N913">
        <f t="shared" si="42"/>
        <v>-50.19</v>
      </c>
      <c r="O913" t="s">
        <v>4104</v>
      </c>
      <c r="P913" t="str">
        <f t="shared" si="43"/>
        <v xml:space="preserve"> </v>
      </c>
      <c r="Q913" t="str">
        <f t="shared" si="44"/>
        <v>Unfavorable</v>
      </c>
    </row>
    <row r="914" spans="1:17">
      <c r="A914" t="s">
        <v>924</v>
      </c>
      <c r="B914" s="2">
        <v>45549</v>
      </c>
      <c r="C914">
        <v>5010</v>
      </c>
      <c r="D914" t="s">
        <v>2015</v>
      </c>
      <c r="E914">
        <v>608.52</v>
      </c>
      <c r="F914">
        <v>0</v>
      </c>
      <c r="G914" t="s">
        <v>2017</v>
      </c>
      <c r="H914" t="s">
        <v>2024</v>
      </c>
      <c r="I914" t="s">
        <v>2940</v>
      </c>
      <c r="J914" t="s">
        <v>4029</v>
      </c>
      <c r="K914" t="s">
        <v>4048</v>
      </c>
      <c r="L914">
        <v>-608.52</v>
      </c>
      <c r="N914">
        <f t="shared" si="42"/>
        <v>-608.52</v>
      </c>
      <c r="O914" t="s">
        <v>4104</v>
      </c>
      <c r="P914" t="str">
        <f t="shared" si="43"/>
        <v xml:space="preserve"> </v>
      </c>
      <c r="Q914" t="str">
        <f t="shared" si="44"/>
        <v>Unfavorable</v>
      </c>
    </row>
    <row r="915" spans="1:17">
      <c r="A915" t="s">
        <v>925</v>
      </c>
      <c r="B915" s="2">
        <v>45560</v>
      </c>
      <c r="C915">
        <v>5010</v>
      </c>
      <c r="D915" t="s">
        <v>2015</v>
      </c>
      <c r="E915">
        <v>287.52</v>
      </c>
      <c r="F915">
        <v>0</v>
      </c>
      <c r="G915" t="s">
        <v>2021</v>
      </c>
      <c r="H915" t="s">
        <v>2027</v>
      </c>
      <c r="I915" t="s">
        <v>2941</v>
      </c>
      <c r="J915" t="s">
        <v>4031</v>
      </c>
      <c r="K915" t="s">
        <v>4048</v>
      </c>
      <c r="L915">
        <v>-287.52</v>
      </c>
      <c r="N915">
        <f t="shared" si="42"/>
        <v>-287.52</v>
      </c>
      <c r="O915" t="s">
        <v>4104</v>
      </c>
      <c r="P915" t="str">
        <f t="shared" si="43"/>
        <v xml:space="preserve"> </v>
      </c>
      <c r="Q915" t="str">
        <f t="shared" si="44"/>
        <v>Unfavorable</v>
      </c>
    </row>
    <row r="916" spans="1:17">
      <c r="A916" t="s">
        <v>926</v>
      </c>
      <c r="B916" s="2">
        <v>45288</v>
      </c>
      <c r="C916">
        <v>6000</v>
      </c>
      <c r="D916" t="s">
        <v>2014</v>
      </c>
      <c r="E916">
        <v>1749.98</v>
      </c>
      <c r="F916">
        <v>0</v>
      </c>
      <c r="G916" t="s">
        <v>2021</v>
      </c>
      <c r="H916" t="s">
        <v>2025</v>
      </c>
      <c r="I916" t="s">
        <v>2942</v>
      </c>
      <c r="J916" t="s">
        <v>4032</v>
      </c>
      <c r="K916" t="s">
        <v>4039</v>
      </c>
      <c r="L916">
        <v>-1749.98</v>
      </c>
      <c r="N916">
        <f t="shared" si="42"/>
        <v>-1749.98</v>
      </c>
      <c r="O916" t="s">
        <v>4104</v>
      </c>
      <c r="P916" t="str">
        <f t="shared" si="43"/>
        <v xml:space="preserve"> </v>
      </c>
      <c r="Q916" t="str">
        <f t="shared" si="44"/>
        <v>Unfavorable</v>
      </c>
    </row>
    <row r="917" spans="1:17">
      <c r="A917" t="s">
        <v>927</v>
      </c>
      <c r="B917" s="2">
        <v>45650</v>
      </c>
      <c r="C917">
        <v>5000</v>
      </c>
      <c r="D917" t="s">
        <v>2013</v>
      </c>
      <c r="E917">
        <v>221.12</v>
      </c>
      <c r="F917">
        <v>0</v>
      </c>
      <c r="G917" t="s">
        <v>2020</v>
      </c>
      <c r="H917" t="s">
        <v>2024</v>
      </c>
      <c r="I917" t="s">
        <v>2943</v>
      </c>
      <c r="J917" t="s">
        <v>4030</v>
      </c>
      <c r="K917" t="s">
        <v>4056</v>
      </c>
      <c r="L917">
        <v>-221.12</v>
      </c>
      <c r="N917">
        <f t="shared" si="42"/>
        <v>-221.12</v>
      </c>
      <c r="O917" t="s">
        <v>4104</v>
      </c>
      <c r="P917" t="str">
        <f t="shared" si="43"/>
        <v xml:space="preserve"> </v>
      </c>
      <c r="Q917" t="str">
        <f t="shared" si="44"/>
        <v>Unfavorable</v>
      </c>
    </row>
    <row r="918" spans="1:17">
      <c r="A918" t="s">
        <v>928</v>
      </c>
      <c r="B918" s="2">
        <v>45594</v>
      </c>
      <c r="C918">
        <v>5000</v>
      </c>
      <c r="D918" t="s">
        <v>2013</v>
      </c>
      <c r="E918">
        <v>1012.53</v>
      </c>
      <c r="F918">
        <v>0</v>
      </c>
      <c r="G918" t="s">
        <v>2018</v>
      </c>
      <c r="H918" t="s">
        <v>2025</v>
      </c>
      <c r="I918" t="s">
        <v>2944</v>
      </c>
      <c r="J918" t="s">
        <v>4032</v>
      </c>
      <c r="K918" t="s">
        <v>4059</v>
      </c>
      <c r="L918">
        <v>-1012.53</v>
      </c>
      <c r="N918">
        <f t="shared" si="42"/>
        <v>-1012.53</v>
      </c>
      <c r="O918" t="s">
        <v>4104</v>
      </c>
      <c r="P918" t="str">
        <f t="shared" si="43"/>
        <v xml:space="preserve"> </v>
      </c>
      <c r="Q918" t="str">
        <f t="shared" si="44"/>
        <v>Unfavorable</v>
      </c>
    </row>
    <row r="919" spans="1:17">
      <c r="A919" t="s">
        <v>929</v>
      </c>
      <c r="B919" s="2">
        <v>45134</v>
      </c>
      <c r="C919">
        <v>4010</v>
      </c>
      <c r="D919" t="s">
        <v>2016</v>
      </c>
      <c r="E919">
        <v>0</v>
      </c>
      <c r="F919">
        <v>542.16999999999996</v>
      </c>
      <c r="G919" t="s">
        <v>2022</v>
      </c>
      <c r="H919" t="s">
        <v>2024</v>
      </c>
      <c r="I919" t="s">
        <v>2945</v>
      </c>
      <c r="J919" t="s">
        <v>4028</v>
      </c>
      <c r="K919" t="s">
        <v>4050</v>
      </c>
      <c r="L919">
        <v>542.16999999999996</v>
      </c>
      <c r="N919">
        <f t="shared" si="42"/>
        <v>542.16999999999996</v>
      </c>
      <c r="O919" t="s">
        <v>4104</v>
      </c>
      <c r="P919" t="str">
        <f t="shared" si="43"/>
        <v xml:space="preserve"> </v>
      </c>
      <c r="Q919" t="str">
        <f t="shared" si="44"/>
        <v>Favorable</v>
      </c>
    </row>
    <row r="920" spans="1:17">
      <c r="A920" t="s">
        <v>930</v>
      </c>
      <c r="B920" s="2">
        <v>45739</v>
      </c>
      <c r="C920">
        <v>5010</v>
      </c>
      <c r="D920" t="s">
        <v>2015</v>
      </c>
      <c r="E920">
        <v>580.21</v>
      </c>
      <c r="F920">
        <v>0</v>
      </c>
      <c r="G920" t="s">
        <v>2017</v>
      </c>
      <c r="H920" t="s">
        <v>2027</v>
      </c>
      <c r="I920" t="s">
        <v>2946</v>
      </c>
      <c r="J920" t="s">
        <v>4029</v>
      </c>
      <c r="K920" t="s">
        <v>4046</v>
      </c>
      <c r="L920">
        <v>-580.21</v>
      </c>
      <c r="N920">
        <f t="shared" si="42"/>
        <v>-580.21</v>
      </c>
      <c r="O920" t="s">
        <v>4104</v>
      </c>
      <c r="P920" t="str">
        <f t="shared" si="43"/>
        <v xml:space="preserve"> </v>
      </c>
      <c r="Q920" t="str">
        <f t="shared" si="44"/>
        <v>Unfavorable</v>
      </c>
    </row>
    <row r="921" spans="1:17">
      <c r="A921" t="s">
        <v>931</v>
      </c>
      <c r="B921" s="2">
        <v>44930</v>
      </c>
      <c r="C921">
        <v>5010</v>
      </c>
      <c r="D921" t="s">
        <v>2015</v>
      </c>
      <c r="E921">
        <v>739.56</v>
      </c>
      <c r="F921">
        <v>0</v>
      </c>
      <c r="G921" t="s">
        <v>2021</v>
      </c>
      <c r="H921" t="s">
        <v>2025</v>
      </c>
      <c r="I921" t="s">
        <v>2947</v>
      </c>
      <c r="J921" t="s">
        <v>4030</v>
      </c>
      <c r="K921" t="s">
        <v>4047</v>
      </c>
      <c r="L921">
        <v>-739.56</v>
      </c>
      <c r="N921">
        <f t="shared" si="42"/>
        <v>-739.56</v>
      </c>
      <c r="O921" t="s">
        <v>4104</v>
      </c>
      <c r="P921" t="str">
        <f t="shared" si="43"/>
        <v xml:space="preserve"> </v>
      </c>
      <c r="Q921" t="str">
        <f t="shared" si="44"/>
        <v>Unfavorable</v>
      </c>
    </row>
    <row r="922" spans="1:17">
      <c r="A922" t="s">
        <v>932</v>
      </c>
      <c r="B922" s="2">
        <v>45604</v>
      </c>
      <c r="C922">
        <v>5000</v>
      </c>
      <c r="D922" t="s">
        <v>2013</v>
      </c>
      <c r="E922">
        <v>1657.23</v>
      </c>
      <c r="F922">
        <v>0</v>
      </c>
      <c r="G922" t="s">
        <v>2017</v>
      </c>
      <c r="H922" t="s">
        <v>2026</v>
      </c>
      <c r="I922" t="s">
        <v>2948</v>
      </c>
      <c r="J922" t="s">
        <v>4030</v>
      </c>
      <c r="K922" t="s">
        <v>4043</v>
      </c>
      <c r="L922">
        <v>-1657.23</v>
      </c>
      <c r="N922">
        <f t="shared" si="42"/>
        <v>-1657.23</v>
      </c>
      <c r="O922" t="s">
        <v>4104</v>
      </c>
      <c r="P922" t="str">
        <f t="shared" si="43"/>
        <v xml:space="preserve"> </v>
      </c>
      <c r="Q922" t="str">
        <f t="shared" si="44"/>
        <v>Unfavorable</v>
      </c>
    </row>
    <row r="923" spans="1:17">
      <c r="A923" t="s">
        <v>933</v>
      </c>
      <c r="B923" s="2">
        <v>45440</v>
      </c>
      <c r="C923">
        <v>6000</v>
      </c>
      <c r="D923" t="s">
        <v>2014</v>
      </c>
      <c r="E923">
        <v>1181.06</v>
      </c>
      <c r="F923">
        <v>0</v>
      </c>
      <c r="G923" t="s">
        <v>2017</v>
      </c>
      <c r="H923" t="s">
        <v>2025</v>
      </c>
      <c r="I923" t="s">
        <v>2949</v>
      </c>
      <c r="J923" t="s">
        <v>4032</v>
      </c>
      <c r="K923" t="s">
        <v>4033</v>
      </c>
      <c r="L923">
        <v>-1181.06</v>
      </c>
      <c r="N923">
        <f t="shared" si="42"/>
        <v>-1181.06</v>
      </c>
      <c r="O923" t="s">
        <v>4104</v>
      </c>
      <c r="P923" t="str">
        <f t="shared" si="43"/>
        <v xml:space="preserve"> </v>
      </c>
      <c r="Q923" t="str">
        <f t="shared" si="44"/>
        <v>Unfavorable</v>
      </c>
    </row>
    <row r="924" spans="1:17">
      <c r="A924" t="s">
        <v>934</v>
      </c>
      <c r="B924" s="2">
        <v>45332</v>
      </c>
      <c r="C924">
        <v>5010</v>
      </c>
      <c r="D924" t="s">
        <v>2015</v>
      </c>
      <c r="E924">
        <v>944.72</v>
      </c>
      <c r="F924">
        <v>0</v>
      </c>
      <c r="G924" t="s">
        <v>2019</v>
      </c>
      <c r="H924" t="s">
        <v>2027</v>
      </c>
      <c r="I924" t="s">
        <v>2950</v>
      </c>
      <c r="J924" t="s">
        <v>4029</v>
      </c>
      <c r="K924" t="s">
        <v>4044</v>
      </c>
      <c r="L924">
        <v>-944.72</v>
      </c>
      <c r="N924">
        <f t="shared" si="42"/>
        <v>-944.72</v>
      </c>
      <c r="O924" t="s">
        <v>4104</v>
      </c>
      <c r="P924" t="str">
        <f t="shared" si="43"/>
        <v xml:space="preserve"> </v>
      </c>
      <c r="Q924" t="str">
        <f t="shared" si="44"/>
        <v>Unfavorable</v>
      </c>
    </row>
    <row r="925" spans="1:17">
      <c r="A925" t="s">
        <v>935</v>
      </c>
      <c r="B925" s="2">
        <v>45345</v>
      </c>
      <c r="C925">
        <v>4000</v>
      </c>
      <c r="D925" t="s">
        <v>2012</v>
      </c>
      <c r="E925">
        <v>0</v>
      </c>
      <c r="F925">
        <v>3496.47</v>
      </c>
      <c r="G925" t="s">
        <v>2020</v>
      </c>
      <c r="H925" t="s">
        <v>2026</v>
      </c>
      <c r="I925" t="s">
        <v>2951</v>
      </c>
      <c r="J925" t="s">
        <v>4031</v>
      </c>
      <c r="K925" t="s">
        <v>4044</v>
      </c>
      <c r="L925">
        <v>3496.47</v>
      </c>
      <c r="N925">
        <f t="shared" si="42"/>
        <v>3496.47</v>
      </c>
      <c r="O925" t="s">
        <v>4104</v>
      </c>
      <c r="P925" t="str">
        <f t="shared" si="43"/>
        <v xml:space="preserve"> </v>
      </c>
      <c r="Q925" t="str">
        <f t="shared" si="44"/>
        <v>Favorable</v>
      </c>
    </row>
    <row r="926" spans="1:17">
      <c r="A926" t="s">
        <v>936</v>
      </c>
      <c r="B926" s="2">
        <v>45373</v>
      </c>
      <c r="C926">
        <v>4000</v>
      </c>
      <c r="D926" t="s">
        <v>2012</v>
      </c>
      <c r="E926">
        <v>0</v>
      </c>
      <c r="F926">
        <v>389.32</v>
      </c>
      <c r="G926" t="s">
        <v>2019</v>
      </c>
      <c r="H926" t="s">
        <v>2023</v>
      </c>
      <c r="I926" t="s">
        <v>2952</v>
      </c>
      <c r="J926" t="s">
        <v>4031</v>
      </c>
      <c r="K926" t="s">
        <v>4049</v>
      </c>
      <c r="L926">
        <v>389.32</v>
      </c>
      <c r="N926">
        <f t="shared" si="42"/>
        <v>389.32</v>
      </c>
      <c r="O926" t="s">
        <v>4104</v>
      </c>
      <c r="P926" t="str">
        <f t="shared" si="43"/>
        <v xml:space="preserve"> </v>
      </c>
      <c r="Q926" t="str">
        <f t="shared" si="44"/>
        <v>Favorable</v>
      </c>
    </row>
    <row r="927" spans="1:17">
      <c r="A927" t="s">
        <v>937</v>
      </c>
      <c r="B927" s="2">
        <v>45326</v>
      </c>
      <c r="C927">
        <v>4010</v>
      </c>
      <c r="D927" t="s">
        <v>2016</v>
      </c>
      <c r="E927">
        <v>0</v>
      </c>
      <c r="F927">
        <v>2071.73</v>
      </c>
      <c r="G927" t="s">
        <v>2021</v>
      </c>
      <c r="H927" t="s">
        <v>2023</v>
      </c>
      <c r="I927" t="s">
        <v>2953</v>
      </c>
      <c r="J927" t="s">
        <v>4028</v>
      </c>
      <c r="K927" t="s">
        <v>4044</v>
      </c>
      <c r="L927">
        <v>2071.73</v>
      </c>
      <c r="N927">
        <f t="shared" si="42"/>
        <v>2071.73</v>
      </c>
      <c r="O927" t="s">
        <v>4104</v>
      </c>
      <c r="P927" t="str">
        <f t="shared" si="43"/>
        <v xml:space="preserve"> </v>
      </c>
      <c r="Q927" t="str">
        <f t="shared" si="44"/>
        <v>Favorable</v>
      </c>
    </row>
    <row r="928" spans="1:17">
      <c r="A928" t="s">
        <v>938</v>
      </c>
      <c r="B928" s="2">
        <v>45535</v>
      </c>
      <c r="C928">
        <v>5000</v>
      </c>
      <c r="D928" t="s">
        <v>2013</v>
      </c>
      <c r="E928">
        <v>1719.48</v>
      </c>
      <c r="F928">
        <v>0</v>
      </c>
      <c r="G928" t="s">
        <v>2018</v>
      </c>
      <c r="H928" t="s">
        <v>2026</v>
      </c>
      <c r="I928" t="s">
        <v>2954</v>
      </c>
      <c r="J928" t="s">
        <v>4032</v>
      </c>
      <c r="K928" t="s">
        <v>4058</v>
      </c>
      <c r="L928">
        <v>-1719.48</v>
      </c>
      <c r="N928">
        <f t="shared" si="42"/>
        <v>-1719.48</v>
      </c>
      <c r="O928" t="s">
        <v>4104</v>
      </c>
      <c r="P928" t="str">
        <f t="shared" si="43"/>
        <v xml:space="preserve"> </v>
      </c>
      <c r="Q928" t="str">
        <f t="shared" si="44"/>
        <v>Unfavorable</v>
      </c>
    </row>
    <row r="929" spans="1:17">
      <c r="A929" t="s">
        <v>939</v>
      </c>
      <c r="B929" s="2">
        <v>45703</v>
      </c>
      <c r="C929">
        <v>6000</v>
      </c>
      <c r="D929" t="s">
        <v>2014</v>
      </c>
      <c r="E929">
        <v>260.58</v>
      </c>
      <c r="F929">
        <v>0</v>
      </c>
      <c r="G929" t="s">
        <v>2020</v>
      </c>
      <c r="H929" t="s">
        <v>2025</v>
      </c>
      <c r="I929" t="s">
        <v>2955</v>
      </c>
      <c r="J929" t="s">
        <v>4028</v>
      </c>
      <c r="K929" t="s">
        <v>4061</v>
      </c>
      <c r="L929">
        <v>-260.58</v>
      </c>
      <c r="N929">
        <f t="shared" si="42"/>
        <v>-260.58</v>
      </c>
      <c r="O929" t="s">
        <v>4104</v>
      </c>
      <c r="P929" t="str">
        <f t="shared" si="43"/>
        <v xml:space="preserve"> </v>
      </c>
      <c r="Q929" t="str">
        <f t="shared" si="44"/>
        <v>Unfavorable</v>
      </c>
    </row>
    <row r="930" spans="1:17">
      <c r="A930" t="s">
        <v>940</v>
      </c>
      <c r="B930" s="2">
        <v>44951</v>
      </c>
      <c r="C930">
        <v>5010</v>
      </c>
      <c r="D930" t="s">
        <v>2015</v>
      </c>
      <c r="E930">
        <v>79.59</v>
      </c>
      <c r="F930">
        <v>0</v>
      </c>
      <c r="G930" t="s">
        <v>2017</v>
      </c>
      <c r="H930" t="s">
        <v>2024</v>
      </c>
      <c r="I930" t="s">
        <v>2956</v>
      </c>
      <c r="J930" t="s">
        <v>4031</v>
      </c>
      <c r="K930" t="s">
        <v>4047</v>
      </c>
      <c r="L930">
        <v>-79.59</v>
      </c>
      <c r="N930">
        <f t="shared" si="42"/>
        <v>-79.59</v>
      </c>
      <c r="O930" t="s">
        <v>4104</v>
      </c>
      <c r="P930" t="str">
        <f t="shared" si="43"/>
        <v xml:space="preserve"> </v>
      </c>
      <c r="Q930" t="str">
        <f t="shared" si="44"/>
        <v>Unfavorable</v>
      </c>
    </row>
    <row r="931" spans="1:17">
      <c r="A931" t="s">
        <v>941</v>
      </c>
      <c r="B931" s="2">
        <v>45445</v>
      </c>
      <c r="C931">
        <v>4010</v>
      </c>
      <c r="D931" t="s">
        <v>2016</v>
      </c>
      <c r="E931">
        <v>0</v>
      </c>
      <c r="F931">
        <v>2860.93</v>
      </c>
      <c r="G931" t="s">
        <v>2019</v>
      </c>
      <c r="H931" t="s">
        <v>2027</v>
      </c>
      <c r="I931" t="s">
        <v>2957</v>
      </c>
      <c r="J931" t="s">
        <v>4032</v>
      </c>
      <c r="K931" t="s">
        <v>4034</v>
      </c>
      <c r="L931">
        <v>2860.93</v>
      </c>
      <c r="N931">
        <f t="shared" si="42"/>
        <v>2860.93</v>
      </c>
      <c r="O931" t="s">
        <v>4104</v>
      </c>
      <c r="P931" t="str">
        <f t="shared" si="43"/>
        <v xml:space="preserve"> </v>
      </c>
      <c r="Q931" t="str">
        <f t="shared" si="44"/>
        <v>Favorable</v>
      </c>
    </row>
    <row r="932" spans="1:17">
      <c r="A932" t="s">
        <v>942</v>
      </c>
      <c r="B932" s="2">
        <v>45525</v>
      </c>
      <c r="C932">
        <v>4010</v>
      </c>
      <c r="D932" t="s">
        <v>2016</v>
      </c>
      <c r="E932">
        <v>0</v>
      </c>
      <c r="F932">
        <v>4074.77</v>
      </c>
      <c r="G932" t="s">
        <v>2020</v>
      </c>
      <c r="H932" t="s">
        <v>2024</v>
      </c>
      <c r="I932" t="s">
        <v>2958</v>
      </c>
      <c r="J932" t="s">
        <v>4029</v>
      </c>
      <c r="K932" t="s">
        <v>4058</v>
      </c>
      <c r="L932">
        <v>4074.77</v>
      </c>
      <c r="N932">
        <f t="shared" si="42"/>
        <v>4074.77</v>
      </c>
      <c r="O932" t="s">
        <v>4104</v>
      </c>
      <c r="P932" t="str">
        <f t="shared" si="43"/>
        <v xml:space="preserve"> </v>
      </c>
      <c r="Q932" t="str">
        <f t="shared" si="44"/>
        <v>Favorable</v>
      </c>
    </row>
    <row r="933" spans="1:17">
      <c r="A933" t="s">
        <v>943</v>
      </c>
      <c r="B933" s="2">
        <v>45683</v>
      </c>
      <c r="C933">
        <v>4010</v>
      </c>
      <c r="D933" t="s">
        <v>2016</v>
      </c>
      <c r="E933">
        <v>0</v>
      </c>
      <c r="F933">
        <v>4702.84</v>
      </c>
      <c r="G933" t="s">
        <v>2021</v>
      </c>
      <c r="H933" t="s">
        <v>2026</v>
      </c>
      <c r="I933" t="s">
        <v>2959</v>
      </c>
      <c r="J933" t="s">
        <v>4028</v>
      </c>
      <c r="K933" t="s">
        <v>4035</v>
      </c>
      <c r="L933">
        <v>4702.84</v>
      </c>
      <c r="N933">
        <f t="shared" si="42"/>
        <v>4702.84</v>
      </c>
      <c r="O933" t="s">
        <v>4104</v>
      </c>
      <c r="P933" t="str">
        <f t="shared" si="43"/>
        <v xml:space="preserve"> </v>
      </c>
      <c r="Q933" t="str">
        <f t="shared" si="44"/>
        <v>Favorable</v>
      </c>
    </row>
    <row r="934" spans="1:17">
      <c r="A934" t="s">
        <v>944</v>
      </c>
      <c r="B934" s="2">
        <v>45242</v>
      </c>
      <c r="C934">
        <v>5010</v>
      </c>
      <c r="D934" t="s">
        <v>2015</v>
      </c>
      <c r="E934">
        <v>920.32</v>
      </c>
      <c r="F934">
        <v>0</v>
      </c>
      <c r="G934" t="s">
        <v>2019</v>
      </c>
      <c r="H934" t="s">
        <v>2023</v>
      </c>
      <c r="I934" t="s">
        <v>2960</v>
      </c>
      <c r="J934" t="s">
        <v>4029</v>
      </c>
      <c r="K934" t="s">
        <v>4042</v>
      </c>
      <c r="L934">
        <v>-920.32</v>
      </c>
      <c r="N934">
        <f t="shared" si="42"/>
        <v>-920.32</v>
      </c>
      <c r="O934" t="s">
        <v>4104</v>
      </c>
      <c r="P934" t="str">
        <f t="shared" si="43"/>
        <v xml:space="preserve"> </v>
      </c>
      <c r="Q934" t="str">
        <f t="shared" si="44"/>
        <v>Unfavorable</v>
      </c>
    </row>
    <row r="935" spans="1:17">
      <c r="A935" t="s">
        <v>945</v>
      </c>
      <c r="B935" s="2">
        <v>45164</v>
      </c>
      <c r="C935">
        <v>4010</v>
      </c>
      <c r="D935" t="s">
        <v>2016</v>
      </c>
      <c r="E935">
        <v>0</v>
      </c>
      <c r="F935">
        <v>1564.55</v>
      </c>
      <c r="G935" t="s">
        <v>2019</v>
      </c>
      <c r="H935" t="s">
        <v>2027</v>
      </c>
      <c r="I935" t="s">
        <v>2961</v>
      </c>
      <c r="J935" t="s">
        <v>4032</v>
      </c>
      <c r="K935" t="s">
        <v>4037</v>
      </c>
      <c r="L935">
        <v>1564.55</v>
      </c>
      <c r="N935">
        <f t="shared" si="42"/>
        <v>1564.55</v>
      </c>
      <c r="O935" t="s">
        <v>4104</v>
      </c>
      <c r="P935" t="str">
        <f t="shared" si="43"/>
        <v xml:space="preserve"> </v>
      </c>
      <c r="Q935" t="str">
        <f t="shared" si="44"/>
        <v>Favorable</v>
      </c>
    </row>
    <row r="936" spans="1:17">
      <c r="A936" t="s">
        <v>946</v>
      </c>
      <c r="B936" s="2">
        <v>45425</v>
      </c>
      <c r="C936">
        <v>4010</v>
      </c>
      <c r="D936" t="s">
        <v>2016</v>
      </c>
      <c r="E936">
        <v>0</v>
      </c>
      <c r="F936">
        <v>2984.56</v>
      </c>
      <c r="G936" t="s">
        <v>2022</v>
      </c>
      <c r="H936" t="s">
        <v>2025</v>
      </c>
      <c r="I936" t="s">
        <v>2962</v>
      </c>
      <c r="J936" t="s">
        <v>4030</v>
      </c>
      <c r="K936" t="s">
        <v>4033</v>
      </c>
      <c r="L936">
        <v>2984.56</v>
      </c>
      <c r="N936">
        <f t="shared" si="42"/>
        <v>2984.56</v>
      </c>
      <c r="O936" t="s">
        <v>4104</v>
      </c>
      <c r="P936" t="str">
        <f t="shared" si="43"/>
        <v xml:space="preserve"> </v>
      </c>
      <c r="Q936" t="str">
        <f t="shared" si="44"/>
        <v>Favorable</v>
      </c>
    </row>
    <row r="937" spans="1:17">
      <c r="A937" t="s">
        <v>947</v>
      </c>
      <c r="B937" s="2">
        <v>45399</v>
      </c>
      <c r="C937">
        <v>4010</v>
      </c>
      <c r="D937" t="s">
        <v>2016</v>
      </c>
      <c r="E937">
        <v>0</v>
      </c>
      <c r="F937">
        <v>4352.6000000000004</v>
      </c>
      <c r="G937" t="s">
        <v>2018</v>
      </c>
      <c r="H937" t="s">
        <v>2027</v>
      </c>
      <c r="I937" t="s">
        <v>2963</v>
      </c>
      <c r="J937" t="s">
        <v>4032</v>
      </c>
      <c r="K937" t="s">
        <v>4040</v>
      </c>
      <c r="L937">
        <v>4352.6000000000004</v>
      </c>
      <c r="N937">
        <f t="shared" si="42"/>
        <v>4352.6000000000004</v>
      </c>
      <c r="O937" t="s">
        <v>4104</v>
      </c>
      <c r="P937" t="str">
        <f t="shared" si="43"/>
        <v xml:space="preserve"> </v>
      </c>
      <c r="Q937" t="str">
        <f t="shared" si="44"/>
        <v>Favorable</v>
      </c>
    </row>
    <row r="938" spans="1:17">
      <c r="A938" t="s">
        <v>948</v>
      </c>
      <c r="B938" s="2">
        <v>45650</v>
      </c>
      <c r="C938">
        <v>4010</v>
      </c>
      <c r="D938" t="s">
        <v>2016</v>
      </c>
      <c r="E938">
        <v>0</v>
      </c>
      <c r="F938">
        <v>1861.57</v>
      </c>
      <c r="G938" t="s">
        <v>2022</v>
      </c>
      <c r="H938" t="s">
        <v>2023</v>
      </c>
      <c r="I938" t="s">
        <v>2964</v>
      </c>
      <c r="J938" t="s">
        <v>4031</v>
      </c>
      <c r="K938" t="s">
        <v>4056</v>
      </c>
      <c r="L938">
        <v>1861.57</v>
      </c>
      <c r="N938">
        <f t="shared" si="42"/>
        <v>1861.57</v>
      </c>
      <c r="O938" t="s">
        <v>4104</v>
      </c>
      <c r="P938" t="str">
        <f t="shared" si="43"/>
        <v xml:space="preserve"> </v>
      </c>
      <c r="Q938" t="str">
        <f t="shared" si="44"/>
        <v>Favorable</v>
      </c>
    </row>
    <row r="939" spans="1:17">
      <c r="A939" t="s">
        <v>949</v>
      </c>
      <c r="B939" s="2">
        <v>45007</v>
      </c>
      <c r="C939">
        <v>4010</v>
      </c>
      <c r="D939" t="s">
        <v>2016</v>
      </c>
      <c r="E939">
        <v>0</v>
      </c>
      <c r="F939">
        <v>1431.79</v>
      </c>
      <c r="G939" t="s">
        <v>2018</v>
      </c>
      <c r="H939" t="s">
        <v>2024</v>
      </c>
      <c r="I939" t="s">
        <v>2965</v>
      </c>
      <c r="J939" t="s">
        <v>4032</v>
      </c>
      <c r="K939" t="s">
        <v>4051</v>
      </c>
      <c r="L939">
        <v>1431.79</v>
      </c>
      <c r="N939">
        <f t="shared" si="42"/>
        <v>1431.79</v>
      </c>
      <c r="O939" t="s">
        <v>4104</v>
      </c>
      <c r="P939" t="str">
        <f t="shared" si="43"/>
        <v xml:space="preserve"> </v>
      </c>
      <c r="Q939" t="str">
        <f t="shared" si="44"/>
        <v>Favorable</v>
      </c>
    </row>
    <row r="940" spans="1:17">
      <c r="A940" t="s">
        <v>950</v>
      </c>
      <c r="B940" s="2">
        <v>45751</v>
      </c>
      <c r="C940">
        <v>4010</v>
      </c>
      <c r="D940" t="s">
        <v>2016</v>
      </c>
      <c r="E940">
        <v>0</v>
      </c>
      <c r="F940">
        <v>3515.1</v>
      </c>
      <c r="G940" t="s">
        <v>2018</v>
      </c>
      <c r="H940" t="s">
        <v>2023</v>
      </c>
      <c r="I940" t="s">
        <v>2966</v>
      </c>
      <c r="J940" t="s">
        <v>4030</v>
      </c>
      <c r="K940" t="s">
        <v>4045</v>
      </c>
      <c r="L940">
        <v>3515.1</v>
      </c>
      <c r="N940">
        <f t="shared" si="42"/>
        <v>3515.1</v>
      </c>
      <c r="O940" t="s">
        <v>4104</v>
      </c>
      <c r="P940" t="str">
        <f t="shared" si="43"/>
        <v xml:space="preserve"> </v>
      </c>
      <c r="Q940" t="str">
        <f t="shared" si="44"/>
        <v>Favorable</v>
      </c>
    </row>
    <row r="941" spans="1:17">
      <c r="A941" t="s">
        <v>951</v>
      </c>
      <c r="B941" s="2">
        <v>45116</v>
      </c>
      <c r="C941">
        <v>5000</v>
      </c>
      <c r="D941" t="s">
        <v>2013</v>
      </c>
      <c r="E941">
        <v>547.15</v>
      </c>
      <c r="F941">
        <v>0</v>
      </c>
      <c r="G941" t="s">
        <v>2017</v>
      </c>
      <c r="H941" t="s">
        <v>2023</v>
      </c>
      <c r="I941" t="s">
        <v>2967</v>
      </c>
      <c r="J941" t="s">
        <v>4029</v>
      </c>
      <c r="K941" t="s">
        <v>4050</v>
      </c>
      <c r="L941">
        <v>-547.15</v>
      </c>
      <c r="N941">
        <f t="shared" si="42"/>
        <v>-547.15</v>
      </c>
      <c r="O941" t="s">
        <v>4104</v>
      </c>
      <c r="P941" t="str">
        <f t="shared" si="43"/>
        <v xml:space="preserve"> </v>
      </c>
      <c r="Q941" t="str">
        <f t="shared" si="44"/>
        <v>Unfavorable</v>
      </c>
    </row>
    <row r="942" spans="1:17">
      <c r="A942" t="s">
        <v>952</v>
      </c>
      <c r="B942" s="2">
        <v>45248</v>
      </c>
      <c r="C942">
        <v>4000</v>
      </c>
      <c r="D942" t="s">
        <v>2012</v>
      </c>
      <c r="E942">
        <v>0</v>
      </c>
      <c r="F942">
        <v>2941.46</v>
      </c>
      <c r="G942" t="s">
        <v>2018</v>
      </c>
      <c r="H942" t="s">
        <v>2027</v>
      </c>
      <c r="I942" t="s">
        <v>2968</v>
      </c>
      <c r="J942" t="s">
        <v>4030</v>
      </c>
      <c r="K942" t="s">
        <v>4042</v>
      </c>
      <c r="L942">
        <v>2941.46</v>
      </c>
      <c r="N942">
        <f t="shared" si="42"/>
        <v>2941.46</v>
      </c>
      <c r="O942" t="s">
        <v>4104</v>
      </c>
      <c r="P942" t="str">
        <f t="shared" si="43"/>
        <v xml:space="preserve"> </v>
      </c>
      <c r="Q942" t="str">
        <f t="shared" si="44"/>
        <v>Favorable</v>
      </c>
    </row>
    <row r="943" spans="1:17">
      <c r="A943" t="s">
        <v>953</v>
      </c>
      <c r="B943" s="2">
        <v>45408</v>
      </c>
      <c r="C943">
        <v>6000</v>
      </c>
      <c r="D943" t="s">
        <v>2014</v>
      </c>
      <c r="E943">
        <v>1900.12</v>
      </c>
      <c r="F943">
        <v>0</v>
      </c>
      <c r="G943" t="s">
        <v>2022</v>
      </c>
      <c r="H943" t="s">
        <v>2024</v>
      </c>
      <c r="I943" t="s">
        <v>2969</v>
      </c>
      <c r="J943" t="s">
        <v>4031</v>
      </c>
      <c r="K943" t="s">
        <v>4040</v>
      </c>
      <c r="L943">
        <v>-1900.12</v>
      </c>
      <c r="N943">
        <f t="shared" si="42"/>
        <v>-1900.12</v>
      </c>
      <c r="O943" t="s">
        <v>4104</v>
      </c>
      <c r="P943" t="str">
        <f t="shared" si="43"/>
        <v xml:space="preserve"> </v>
      </c>
      <c r="Q943" t="str">
        <f t="shared" si="44"/>
        <v>Unfavorable</v>
      </c>
    </row>
    <row r="944" spans="1:17">
      <c r="A944" t="s">
        <v>954</v>
      </c>
      <c r="B944" s="2">
        <v>45006</v>
      </c>
      <c r="C944">
        <v>4010</v>
      </c>
      <c r="D944" t="s">
        <v>2016</v>
      </c>
      <c r="E944">
        <v>0</v>
      </c>
      <c r="F944">
        <v>1951.17</v>
      </c>
      <c r="G944" t="s">
        <v>2017</v>
      </c>
      <c r="H944" t="s">
        <v>2025</v>
      </c>
      <c r="I944" t="s">
        <v>2970</v>
      </c>
      <c r="J944" t="s">
        <v>4030</v>
      </c>
      <c r="K944" t="s">
        <v>4051</v>
      </c>
      <c r="L944">
        <v>1951.17</v>
      </c>
      <c r="N944">
        <f t="shared" si="42"/>
        <v>1951.17</v>
      </c>
      <c r="O944" t="s">
        <v>4104</v>
      </c>
      <c r="P944" t="str">
        <f t="shared" si="43"/>
        <v xml:space="preserve"> </v>
      </c>
      <c r="Q944" t="str">
        <f t="shared" si="44"/>
        <v>Favorable</v>
      </c>
    </row>
    <row r="945" spans="1:17">
      <c r="A945" t="s">
        <v>955</v>
      </c>
      <c r="B945" s="2">
        <v>45761</v>
      </c>
      <c r="C945">
        <v>5000</v>
      </c>
      <c r="D945" t="s">
        <v>2013</v>
      </c>
      <c r="E945">
        <v>1649.25</v>
      </c>
      <c r="F945">
        <v>0</v>
      </c>
      <c r="G945" t="s">
        <v>2021</v>
      </c>
      <c r="H945" t="s">
        <v>2026</v>
      </c>
      <c r="I945" t="s">
        <v>2971</v>
      </c>
      <c r="J945" t="s">
        <v>4032</v>
      </c>
      <c r="K945" t="s">
        <v>4045</v>
      </c>
      <c r="L945">
        <v>-1649.25</v>
      </c>
      <c r="N945">
        <f t="shared" si="42"/>
        <v>-1649.25</v>
      </c>
      <c r="O945" t="s">
        <v>4104</v>
      </c>
      <c r="P945" t="str">
        <f t="shared" si="43"/>
        <v xml:space="preserve"> </v>
      </c>
      <c r="Q945" t="str">
        <f t="shared" si="44"/>
        <v>Unfavorable</v>
      </c>
    </row>
    <row r="946" spans="1:17">
      <c r="A946" t="s">
        <v>956</v>
      </c>
      <c r="B946" s="2">
        <v>45642</v>
      </c>
      <c r="C946">
        <v>6000</v>
      </c>
      <c r="D946" t="s">
        <v>2014</v>
      </c>
      <c r="E946">
        <v>770.2</v>
      </c>
      <c r="F946">
        <v>0</v>
      </c>
      <c r="G946" t="s">
        <v>2019</v>
      </c>
      <c r="H946" t="s">
        <v>2026</v>
      </c>
      <c r="I946" t="s">
        <v>2972</v>
      </c>
      <c r="J946" t="s">
        <v>4030</v>
      </c>
      <c r="K946" t="s">
        <v>4056</v>
      </c>
      <c r="L946">
        <v>-770.2</v>
      </c>
      <c r="N946">
        <f t="shared" si="42"/>
        <v>-770.2</v>
      </c>
      <c r="O946" t="s">
        <v>4104</v>
      </c>
      <c r="P946" t="str">
        <f t="shared" si="43"/>
        <v xml:space="preserve"> </v>
      </c>
      <c r="Q946" t="str">
        <f t="shared" si="44"/>
        <v>Unfavorable</v>
      </c>
    </row>
    <row r="947" spans="1:17">
      <c r="A947" t="s">
        <v>957</v>
      </c>
      <c r="B947" s="2">
        <v>45440</v>
      </c>
      <c r="C947">
        <v>6000</v>
      </c>
      <c r="D947" t="s">
        <v>2014</v>
      </c>
      <c r="E947">
        <v>202.11</v>
      </c>
      <c r="F947">
        <v>0</v>
      </c>
      <c r="G947" t="s">
        <v>2018</v>
      </c>
      <c r="H947" t="s">
        <v>2024</v>
      </c>
      <c r="I947" t="s">
        <v>2973</v>
      </c>
      <c r="J947" t="s">
        <v>4030</v>
      </c>
      <c r="K947" t="s">
        <v>4033</v>
      </c>
      <c r="L947">
        <v>-202.11</v>
      </c>
      <c r="N947">
        <f t="shared" si="42"/>
        <v>-202.11</v>
      </c>
      <c r="O947" t="s">
        <v>4104</v>
      </c>
      <c r="P947" t="str">
        <f t="shared" si="43"/>
        <v xml:space="preserve"> </v>
      </c>
      <c r="Q947" t="str">
        <f t="shared" si="44"/>
        <v>Unfavorable</v>
      </c>
    </row>
    <row r="948" spans="1:17">
      <c r="A948" t="s">
        <v>958</v>
      </c>
      <c r="B948" s="2">
        <v>45343</v>
      </c>
      <c r="C948">
        <v>6000</v>
      </c>
      <c r="D948" t="s">
        <v>2014</v>
      </c>
      <c r="E948">
        <v>1844.72</v>
      </c>
      <c r="F948">
        <v>0</v>
      </c>
      <c r="G948" t="s">
        <v>2020</v>
      </c>
      <c r="H948" t="s">
        <v>2023</v>
      </c>
      <c r="I948" t="s">
        <v>2974</v>
      </c>
      <c r="J948" t="s">
        <v>4032</v>
      </c>
      <c r="K948" t="s">
        <v>4044</v>
      </c>
      <c r="L948">
        <v>-1844.72</v>
      </c>
      <c r="N948">
        <f t="shared" si="42"/>
        <v>-1844.72</v>
      </c>
      <c r="O948" t="s">
        <v>4104</v>
      </c>
      <c r="P948" t="str">
        <f t="shared" si="43"/>
        <v xml:space="preserve"> </v>
      </c>
      <c r="Q948" t="str">
        <f t="shared" si="44"/>
        <v>Unfavorable</v>
      </c>
    </row>
    <row r="949" spans="1:17">
      <c r="A949" t="s">
        <v>959</v>
      </c>
      <c r="B949" s="2">
        <v>44946</v>
      </c>
      <c r="C949">
        <v>4010</v>
      </c>
      <c r="D949" t="s">
        <v>2016</v>
      </c>
      <c r="E949">
        <v>0</v>
      </c>
      <c r="F949">
        <v>1995.59</v>
      </c>
      <c r="G949" t="s">
        <v>2021</v>
      </c>
      <c r="H949" t="s">
        <v>2024</v>
      </c>
      <c r="I949" t="s">
        <v>2975</v>
      </c>
      <c r="J949" t="s">
        <v>4029</v>
      </c>
      <c r="K949" t="s">
        <v>4047</v>
      </c>
      <c r="L949">
        <v>1995.59</v>
      </c>
      <c r="N949">
        <f t="shared" si="42"/>
        <v>1995.59</v>
      </c>
      <c r="O949" t="s">
        <v>4104</v>
      </c>
      <c r="P949" t="str">
        <f t="shared" si="43"/>
        <v xml:space="preserve"> </v>
      </c>
      <c r="Q949" t="str">
        <f t="shared" si="44"/>
        <v>Favorable</v>
      </c>
    </row>
    <row r="950" spans="1:17">
      <c r="A950" t="s">
        <v>960</v>
      </c>
      <c r="B950" s="2">
        <v>45195</v>
      </c>
      <c r="C950">
        <v>5000</v>
      </c>
      <c r="D950" t="s">
        <v>2013</v>
      </c>
      <c r="E950">
        <v>1875.24</v>
      </c>
      <c r="F950">
        <v>0</v>
      </c>
      <c r="G950" t="s">
        <v>2018</v>
      </c>
      <c r="H950" t="s">
        <v>2023</v>
      </c>
      <c r="I950" t="s">
        <v>2976</v>
      </c>
      <c r="J950" t="s">
        <v>4031</v>
      </c>
      <c r="K950" t="s">
        <v>4036</v>
      </c>
      <c r="L950">
        <v>-1875.24</v>
      </c>
      <c r="N950">
        <f t="shared" si="42"/>
        <v>-1875.24</v>
      </c>
      <c r="O950" t="s">
        <v>4104</v>
      </c>
      <c r="P950" t="str">
        <f t="shared" si="43"/>
        <v xml:space="preserve"> </v>
      </c>
      <c r="Q950" t="str">
        <f t="shared" si="44"/>
        <v>Unfavorable</v>
      </c>
    </row>
    <row r="951" spans="1:17">
      <c r="A951" t="s">
        <v>961</v>
      </c>
      <c r="B951" s="2">
        <v>45685</v>
      </c>
      <c r="C951">
        <v>5010</v>
      </c>
      <c r="D951" t="s">
        <v>2015</v>
      </c>
      <c r="E951">
        <v>80.59</v>
      </c>
      <c r="F951">
        <v>0</v>
      </c>
      <c r="G951" t="s">
        <v>2017</v>
      </c>
      <c r="H951" t="s">
        <v>2025</v>
      </c>
      <c r="I951" t="s">
        <v>2977</v>
      </c>
      <c r="J951" t="s">
        <v>4028</v>
      </c>
      <c r="K951" t="s">
        <v>4035</v>
      </c>
      <c r="L951">
        <v>-80.59</v>
      </c>
      <c r="N951">
        <f t="shared" si="42"/>
        <v>-80.59</v>
      </c>
      <c r="O951" t="s">
        <v>4104</v>
      </c>
      <c r="P951" t="str">
        <f t="shared" si="43"/>
        <v xml:space="preserve"> </v>
      </c>
      <c r="Q951" t="str">
        <f t="shared" si="44"/>
        <v>Unfavorable</v>
      </c>
    </row>
    <row r="952" spans="1:17">
      <c r="A952" t="s">
        <v>962</v>
      </c>
      <c r="B952" s="2">
        <v>45131</v>
      </c>
      <c r="C952">
        <v>5010</v>
      </c>
      <c r="D952" t="s">
        <v>2015</v>
      </c>
      <c r="E952">
        <v>445.11</v>
      </c>
      <c r="F952">
        <v>0</v>
      </c>
      <c r="G952" t="s">
        <v>2019</v>
      </c>
      <c r="H952" t="s">
        <v>2024</v>
      </c>
      <c r="I952" t="s">
        <v>2978</v>
      </c>
      <c r="J952" t="s">
        <v>4030</v>
      </c>
      <c r="K952" t="s">
        <v>4050</v>
      </c>
      <c r="L952">
        <v>-445.11</v>
      </c>
      <c r="N952">
        <f t="shared" si="42"/>
        <v>-445.11</v>
      </c>
      <c r="O952" t="s">
        <v>4104</v>
      </c>
      <c r="P952" t="str">
        <f t="shared" si="43"/>
        <v xml:space="preserve"> </v>
      </c>
      <c r="Q952" t="str">
        <f t="shared" si="44"/>
        <v>Unfavorable</v>
      </c>
    </row>
    <row r="953" spans="1:17">
      <c r="A953" t="s">
        <v>963</v>
      </c>
      <c r="B953" s="2">
        <v>45424</v>
      </c>
      <c r="C953">
        <v>4010</v>
      </c>
      <c r="D953" t="s">
        <v>2016</v>
      </c>
      <c r="E953">
        <v>0</v>
      </c>
      <c r="F953">
        <v>2882.01</v>
      </c>
      <c r="G953" t="s">
        <v>2020</v>
      </c>
      <c r="H953" t="s">
        <v>2023</v>
      </c>
      <c r="I953" t="s">
        <v>2979</v>
      </c>
      <c r="J953" t="s">
        <v>4031</v>
      </c>
      <c r="K953" t="s">
        <v>4033</v>
      </c>
      <c r="L953">
        <v>2882.01</v>
      </c>
      <c r="N953">
        <f t="shared" si="42"/>
        <v>2882.01</v>
      </c>
      <c r="O953" t="s">
        <v>4104</v>
      </c>
      <c r="P953" t="str">
        <f t="shared" si="43"/>
        <v xml:space="preserve"> </v>
      </c>
      <c r="Q953" t="str">
        <f t="shared" si="44"/>
        <v>Favorable</v>
      </c>
    </row>
    <row r="954" spans="1:17">
      <c r="A954" t="s">
        <v>964</v>
      </c>
      <c r="B954" s="2">
        <v>45034</v>
      </c>
      <c r="C954">
        <v>5000</v>
      </c>
      <c r="D954" t="s">
        <v>2013</v>
      </c>
      <c r="E954">
        <v>788.01</v>
      </c>
      <c r="F954">
        <v>0</v>
      </c>
      <c r="G954" t="s">
        <v>2018</v>
      </c>
      <c r="H954" t="s">
        <v>2026</v>
      </c>
      <c r="I954" t="s">
        <v>2980</v>
      </c>
      <c r="J954" t="s">
        <v>4028</v>
      </c>
      <c r="K954" t="s">
        <v>4041</v>
      </c>
      <c r="L954">
        <v>-788.01</v>
      </c>
      <c r="N954">
        <f t="shared" si="42"/>
        <v>-788.01</v>
      </c>
      <c r="O954" t="s">
        <v>4104</v>
      </c>
      <c r="P954" t="str">
        <f t="shared" si="43"/>
        <v xml:space="preserve"> </v>
      </c>
      <c r="Q954" t="str">
        <f t="shared" si="44"/>
        <v>Unfavorable</v>
      </c>
    </row>
    <row r="955" spans="1:17">
      <c r="A955" t="s">
        <v>965</v>
      </c>
      <c r="B955" s="2">
        <v>45098</v>
      </c>
      <c r="C955">
        <v>4010</v>
      </c>
      <c r="D955" t="s">
        <v>2016</v>
      </c>
      <c r="E955">
        <v>0</v>
      </c>
      <c r="F955">
        <v>1052.22</v>
      </c>
      <c r="G955" t="s">
        <v>2019</v>
      </c>
      <c r="H955" t="s">
        <v>2026</v>
      </c>
      <c r="I955" t="s">
        <v>2981</v>
      </c>
      <c r="J955" t="s">
        <v>4032</v>
      </c>
      <c r="K955" t="s">
        <v>4055</v>
      </c>
      <c r="L955">
        <v>1052.22</v>
      </c>
      <c r="N955">
        <f t="shared" si="42"/>
        <v>1052.22</v>
      </c>
      <c r="O955" t="s">
        <v>4104</v>
      </c>
      <c r="P955" t="str">
        <f t="shared" si="43"/>
        <v xml:space="preserve"> </v>
      </c>
      <c r="Q955" t="str">
        <f t="shared" si="44"/>
        <v>Favorable</v>
      </c>
    </row>
    <row r="956" spans="1:17">
      <c r="A956" t="s">
        <v>966</v>
      </c>
      <c r="B956" s="2">
        <v>45033</v>
      </c>
      <c r="C956">
        <v>4010</v>
      </c>
      <c r="D956" t="s">
        <v>2016</v>
      </c>
      <c r="E956">
        <v>0</v>
      </c>
      <c r="F956">
        <v>583.57000000000005</v>
      </c>
      <c r="G956" t="s">
        <v>2017</v>
      </c>
      <c r="H956" t="s">
        <v>2024</v>
      </c>
      <c r="I956" t="s">
        <v>2982</v>
      </c>
      <c r="J956" t="s">
        <v>4031</v>
      </c>
      <c r="K956" t="s">
        <v>4041</v>
      </c>
      <c r="L956">
        <v>583.57000000000005</v>
      </c>
      <c r="N956">
        <f t="shared" si="42"/>
        <v>583.57000000000005</v>
      </c>
      <c r="O956" t="s">
        <v>4104</v>
      </c>
      <c r="P956" t="str">
        <f t="shared" si="43"/>
        <v xml:space="preserve"> </v>
      </c>
      <c r="Q956" t="str">
        <f t="shared" si="44"/>
        <v>Favorable</v>
      </c>
    </row>
    <row r="957" spans="1:17">
      <c r="A957" t="s">
        <v>967</v>
      </c>
      <c r="B957" s="2">
        <v>45713</v>
      </c>
      <c r="C957">
        <v>5000</v>
      </c>
      <c r="D957" t="s">
        <v>2013</v>
      </c>
      <c r="E957">
        <v>1472.38</v>
      </c>
      <c r="F957">
        <v>0</v>
      </c>
      <c r="G957" t="s">
        <v>2018</v>
      </c>
      <c r="H957" t="s">
        <v>2024</v>
      </c>
      <c r="I957" t="s">
        <v>2983</v>
      </c>
      <c r="J957" t="s">
        <v>4031</v>
      </c>
      <c r="K957" t="s">
        <v>4061</v>
      </c>
      <c r="L957">
        <v>-1472.38</v>
      </c>
      <c r="N957">
        <f t="shared" si="42"/>
        <v>-1472.38</v>
      </c>
      <c r="O957" t="s">
        <v>4104</v>
      </c>
      <c r="P957" t="str">
        <f t="shared" si="43"/>
        <v xml:space="preserve"> </v>
      </c>
      <c r="Q957" t="str">
        <f t="shared" si="44"/>
        <v>Unfavorable</v>
      </c>
    </row>
    <row r="958" spans="1:17">
      <c r="A958" t="s">
        <v>968</v>
      </c>
      <c r="B958" s="2">
        <v>45196</v>
      </c>
      <c r="C958">
        <v>5000</v>
      </c>
      <c r="D958" t="s">
        <v>2013</v>
      </c>
      <c r="E958">
        <v>1444.24</v>
      </c>
      <c r="F958">
        <v>0</v>
      </c>
      <c r="G958" t="s">
        <v>2021</v>
      </c>
      <c r="H958" t="s">
        <v>2024</v>
      </c>
      <c r="I958" t="s">
        <v>2984</v>
      </c>
      <c r="J958" t="s">
        <v>4028</v>
      </c>
      <c r="K958" t="s">
        <v>4036</v>
      </c>
      <c r="L958">
        <v>-1444.24</v>
      </c>
      <c r="N958">
        <f t="shared" si="42"/>
        <v>-1444.24</v>
      </c>
      <c r="O958" t="s">
        <v>4104</v>
      </c>
      <c r="P958" t="str">
        <f t="shared" si="43"/>
        <v xml:space="preserve"> </v>
      </c>
      <c r="Q958" t="str">
        <f t="shared" si="44"/>
        <v>Unfavorable</v>
      </c>
    </row>
    <row r="959" spans="1:17">
      <c r="A959" t="s">
        <v>969</v>
      </c>
      <c r="B959" s="2">
        <v>45812</v>
      </c>
      <c r="C959">
        <v>6000</v>
      </c>
      <c r="D959" t="s">
        <v>2014</v>
      </c>
      <c r="E959">
        <v>746.97</v>
      </c>
      <c r="F959">
        <v>0</v>
      </c>
      <c r="G959" t="s">
        <v>2022</v>
      </c>
      <c r="H959" t="s">
        <v>2027</v>
      </c>
      <c r="I959" t="s">
        <v>2985</v>
      </c>
      <c r="J959" t="s">
        <v>4031</v>
      </c>
      <c r="K959" t="s">
        <v>4052</v>
      </c>
      <c r="L959">
        <v>-746.97</v>
      </c>
      <c r="N959">
        <f t="shared" si="42"/>
        <v>-746.97</v>
      </c>
      <c r="O959" t="s">
        <v>4104</v>
      </c>
      <c r="P959" t="str">
        <f t="shared" si="43"/>
        <v xml:space="preserve"> </v>
      </c>
      <c r="Q959" t="str">
        <f t="shared" si="44"/>
        <v>Unfavorable</v>
      </c>
    </row>
    <row r="960" spans="1:17">
      <c r="A960" t="s">
        <v>970</v>
      </c>
      <c r="B960" s="2">
        <v>45486</v>
      </c>
      <c r="C960">
        <v>5010</v>
      </c>
      <c r="D960" t="s">
        <v>2015</v>
      </c>
      <c r="E960">
        <v>1912.71</v>
      </c>
      <c r="F960">
        <v>0</v>
      </c>
      <c r="G960" t="s">
        <v>2022</v>
      </c>
      <c r="H960" t="s">
        <v>2026</v>
      </c>
      <c r="I960" t="s">
        <v>2986</v>
      </c>
      <c r="J960" t="s">
        <v>4030</v>
      </c>
      <c r="K960" t="s">
        <v>4054</v>
      </c>
      <c r="L960">
        <v>-1912.71</v>
      </c>
      <c r="N960">
        <f t="shared" si="42"/>
        <v>-1912.71</v>
      </c>
      <c r="O960" t="s">
        <v>4104</v>
      </c>
      <c r="P960" t="str">
        <f t="shared" si="43"/>
        <v xml:space="preserve"> </v>
      </c>
      <c r="Q960" t="str">
        <f t="shared" si="44"/>
        <v>Unfavorable</v>
      </c>
    </row>
    <row r="961" spans="1:17">
      <c r="A961" t="s">
        <v>971</v>
      </c>
      <c r="B961" s="2">
        <v>45136</v>
      </c>
      <c r="C961">
        <v>6000</v>
      </c>
      <c r="D961" t="s">
        <v>2014</v>
      </c>
      <c r="E961">
        <v>1714.13</v>
      </c>
      <c r="F961">
        <v>0</v>
      </c>
      <c r="G961" t="s">
        <v>2017</v>
      </c>
      <c r="H961" t="s">
        <v>2023</v>
      </c>
      <c r="I961" t="s">
        <v>2987</v>
      </c>
      <c r="J961" t="s">
        <v>4032</v>
      </c>
      <c r="K961" t="s">
        <v>4050</v>
      </c>
      <c r="L961">
        <v>-1714.13</v>
      </c>
      <c r="N961">
        <f t="shared" si="42"/>
        <v>-1714.13</v>
      </c>
      <c r="O961" t="s">
        <v>4104</v>
      </c>
      <c r="P961" t="str">
        <f t="shared" si="43"/>
        <v xml:space="preserve"> </v>
      </c>
      <c r="Q961" t="str">
        <f t="shared" si="44"/>
        <v>Unfavorable</v>
      </c>
    </row>
    <row r="962" spans="1:17">
      <c r="A962" t="s">
        <v>972</v>
      </c>
      <c r="B962" s="2">
        <v>45551</v>
      </c>
      <c r="C962">
        <v>5000</v>
      </c>
      <c r="D962" t="s">
        <v>2013</v>
      </c>
      <c r="E962">
        <v>996.13</v>
      </c>
      <c r="F962">
        <v>0</v>
      </c>
      <c r="G962" t="s">
        <v>2019</v>
      </c>
      <c r="H962" t="s">
        <v>2026</v>
      </c>
      <c r="I962" t="s">
        <v>2988</v>
      </c>
      <c r="J962" t="s">
        <v>4029</v>
      </c>
      <c r="K962" t="s">
        <v>4048</v>
      </c>
      <c r="L962">
        <v>-996.13</v>
      </c>
      <c r="N962">
        <f t="shared" si="42"/>
        <v>-996.13</v>
      </c>
      <c r="O962" t="s">
        <v>4104</v>
      </c>
      <c r="P962" t="str">
        <f t="shared" si="43"/>
        <v xml:space="preserve"> </v>
      </c>
      <c r="Q962" t="str">
        <f t="shared" si="44"/>
        <v>Unfavorable</v>
      </c>
    </row>
    <row r="963" spans="1:17">
      <c r="A963" t="s">
        <v>973</v>
      </c>
      <c r="B963" s="2">
        <v>45523</v>
      </c>
      <c r="C963">
        <v>5000</v>
      </c>
      <c r="D963" t="s">
        <v>2013</v>
      </c>
      <c r="E963">
        <v>1735.24</v>
      </c>
      <c r="F963">
        <v>0</v>
      </c>
      <c r="G963" t="s">
        <v>2017</v>
      </c>
      <c r="H963" t="s">
        <v>2026</v>
      </c>
      <c r="I963" t="s">
        <v>2989</v>
      </c>
      <c r="J963" t="s">
        <v>4032</v>
      </c>
      <c r="K963" t="s">
        <v>4058</v>
      </c>
      <c r="L963">
        <v>-1735.24</v>
      </c>
      <c r="N963">
        <f t="shared" ref="N963:N1026" si="45">L:L-M:M</f>
        <v>-1735.24</v>
      </c>
      <c r="O963" t="s">
        <v>4104</v>
      </c>
      <c r="P963" t="str">
        <f t="shared" ref="P963:P1026" si="46">IF(AND(ABS(N:N)&gt;10000,M:M&lt;&gt;0),"Material", " ")</f>
        <v xml:space="preserve"> </v>
      </c>
      <c r="Q963" t="str">
        <f t="shared" ref="Q963:Q1026" si="47">IF(N:N&gt;0,"Favorable","Unfavorable")</f>
        <v>Unfavorable</v>
      </c>
    </row>
    <row r="964" spans="1:17">
      <c r="A964" t="s">
        <v>974</v>
      </c>
      <c r="B964" s="2">
        <v>44935</v>
      </c>
      <c r="C964">
        <v>6000</v>
      </c>
      <c r="D964" t="s">
        <v>2014</v>
      </c>
      <c r="E964">
        <v>1782.36</v>
      </c>
      <c r="F964">
        <v>0</v>
      </c>
      <c r="G964" t="s">
        <v>2018</v>
      </c>
      <c r="H964" t="s">
        <v>2026</v>
      </c>
      <c r="I964" t="s">
        <v>2990</v>
      </c>
      <c r="J964" t="s">
        <v>4032</v>
      </c>
      <c r="K964" t="s">
        <v>4047</v>
      </c>
      <c r="L964">
        <v>-1782.36</v>
      </c>
      <c r="N964">
        <f t="shared" si="45"/>
        <v>-1782.36</v>
      </c>
      <c r="O964" t="s">
        <v>4104</v>
      </c>
      <c r="P964" t="str">
        <f t="shared" si="46"/>
        <v xml:space="preserve"> </v>
      </c>
      <c r="Q964" t="str">
        <f t="shared" si="47"/>
        <v>Unfavorable</v>
      </c>
    </row>
    <row r="965" spans="1:17">
      <c r="A965" t="s">
        <v>975</v>
      </c>
      <c r="B965" s="2">
        <v>45341</v>
      </c>
      <c r="C965">
        <v>5010</v>
      </c>
      <c r="D965" t="s">
        <v>2015</v>
      </c>
      <c r="E965">
        <v>288.13</v>
      </c>
      <c r="F965">
        <v>0</v>
      </c>
      <c r="G965" t="s">
        <v>2017</v>
      </c>
      <c r="H965" t="s">
        <v>2024</v>
      </c>
      <c r="I965" t="s">
        <v>2991</v>
      </c>
      <c r="J965" t="s">
        <v>4028</v>
      </c>
      <c r="K965" t="s">
        <v>4044</v>
      </c>
      <c r="L965">
        <v>-288.13</v>
      </c>
      <c r="N965">
        <f t="shared" si="45"/>
        <v>-288.13</v>
      </c>
      <c r="O965" t="s">
        <v>4104</v>
      </c>
      <c r="P965" t="str">
        <f t="shared" si="46"/>
        <v xml:space="preserve"> </v>
      </c>
      <c r="Q965" t="str">
        <f t="shared" si="47"/>
        <v>Unfavorable</v>
      </c>
    </row>
    <row r="966" spans="1:17">
      <c r="A966" t="s">
        <v>976</v>
      </c>
      <c r="B966" s="2">
        <v>45419</v>
      </c>
      <c r="C966">
        <v>6000</v>
      </c>
      <c r="D966" t="s">
        <v>2014</v>
      </c>
      <c r="E966">
        <v>760.63</v>
      </c>
      <c r="F966">
        <v>0</v>
      </c>
      <c r="G966" t="s">
        <v>2021</v>
      </c>
      <c r="H966" t="s">
        <v>2027</v>
      </c>
      <c r="I966" t="s">
        <v>2992</v>
      </c>
      <c r="J966" t="s">
        <v>4029</v>
      </c>
      <c r="K966" t="s">
        <v>4033</v>
      </c>
      <c r="L966">
        <v>-760.63</v>
      </c>
      <c r="N966">
        <f t="shared" si="45"/>
        <v>-760.63</v>
      </c>
      <c r="O966" t="s">
        <v>4104</v>
      </c>
      <c r="P966" t="str">
        <f t="shared" si="46"/>
        <v xml:space="preserve"> </v>
      </c>
      <c r="Q966" t="str">
        <f t="shared" si="47"/>
        <v>Unfavorable</v>
      </c>
    </row>
    <row r="967" spans="1:17">
      <c r="A967" t="s">
        <v>977</v>
      </c>
      <c r="B967" s="2">
        <v>45092</v>
      </c>
      <c r="C967">
        <v>4010</v>
      </c>
      <c r="D967" t="s">
        <v>2016</v>
      </c>
      <c r="E967">
        <v>0</v>
      </c>
      <c r="F967">
        <v>4555.41</v>
      </c>
      <c r="G967" t="s">
        <v>2022</v>
      </c>
      <c r="H967" t="s">
        <v>2026</v>
      </c>
      <c r="I967" t="s">
        <v>2993</v>
      </c>
      <c r="J967" t="s">
        <v>4028</v>
      </c>
      <c r="K967" t="s">
        <v>4055</v>
      </c>
      <c r="L967">
        <v>4555.41</v>
      </c>
      <c r="N967">
        <f t="shared" si="45"/>
        <v>4555.41</v>
      </c>
      <c r="O967" t="s">
        <v>4104</v>
      </c>
      <c r="P967" t="str">
        <f t="shared" si="46"/>
        <v xml:space="preserve"> </v>
      </c>
      <c r="Q967" t="str">
        <f t="shared" si="47"/>
        <v>Favorable</v>
      </c>
    </row>
    <row r="968" spans="1:17">
      <c r="A968" t="s">
        <v>978</v>
      </c>
      <c r="B968" s="2">
        <v>45049</v>
      </c>
      <c r="C968">
        <v>4000</v>
      </c>
      <c r="D968" t="s">
        <v>2012</v>
      </c>
      <c r="E968">
        <v>0</v>
      </c>
      <c r="F968">
        <v>1864.27</v>
      </c>
      <c r="G968" t="s">
        <v>2018</v>
      </c>
      <c r="H968" t="s">
        <v>2023</v>
      </c>
      <c r="I968" t="s">
        <v>2994</v>
      </c>
      <c r="J968" t="s">
        <v>4031</v>
      </c>
      <c r="K968" t="s">
        <v>4062</v>
      </c>
      <c r="L968">
        <v>1864.27</v>
      </c>
      <c r="N968">
        <f t="shared" si="45"/>
        <v>1864.27</v>
      </c>
      <c r="O968" t="s">
        <v>4104</v>
      </c>
      <c r="P968" t="str">
        <f t="shared" si="46"/>
        <v xml:space="preserve"> </v>
      </c>
      <c r="Q968" t="str">
        <f t="shared" si="47"/>
        <v>Favorable</v>
      </c>
    </row>
    <row r="969" spans="1:17">
      <c r="A969" t="s">
        <v>979</v>
      </c>
      <c r="B969" s="2">
        <v>45690</v>
      </c>
      <c r="C969">
        <v>4010</v>
      </c>
      <c r="D969" t="s">
        <v>2016</v>
      </c>
      <c r="E969">
        <v>0</v>
      </c>
      <c r="F969">
        <v>705.16</v>
      </c>
      <c r="G969" t="s">
        <v>2019</v>
      </c>
      <c r="H969" t="s">
        <v>2026</v>
      </c>
      <c r="I969" t="s">
        <v>2995</v>
      </c>
      <c r="J969" t="s">
        <v>4031</v>
      </c>
      <c r="K969" t="s">
        <v>4061</v>
      </c>
      <c r="L969">
        <v>705.16</v>
      </c>
      <c r="N969">
        <f t="shared" si="45"/>
        <v>705.16</v>
      </c>
      <c r="O969" t="s">
        <v>4104</v>
      </c>
      <c r="P969" t="str">
        <f t="shared" si="46"/>
        <v xml:space="preserve"> </v>
      </c>
      <c r="Q969" t="str">
        <f t="shared" si="47"/>
        <v>Favorable</v>
      </c>
    </row>
    <row r="970" spans="1:17">
      <c r="A970" t="s">
        <v>980</v>
      </c>
      <c r="B970" s="2">
        <v>45138</v>
      </c>
      <c r="C970">
        <v>4000</v>
      </c>
      <c r="D970" t="s">
        <v>2012</v>
      </c>
      <c r="E970">
        <v>0</v>
      </c>
      <c r="F970">
        <v>2558.2800000000002</v>
      </c>
      <c r="G970" t="s">
        <v>2018</v>
      </c>
      <c r="H970" t="s">
        <v>2023</v>
      </c>
      <c r="I970" t="s">
        <v>2996</v>
      </c>
      <c r="J970" t="s">
        <v>4032</v>
      </c>
      <c r="K970" t="s">
        <v>4050</v>
      </c>
      <c r="L970">
        <v>2558.2800000000002</v>
      </c>
      <c r="N970">
        <f t="shared" si="45"/>
        <v>2558.2800000000002</v>
      </c>
      <c r="O970" t="s">
        <v>4104</v>
      </c>
      <c r="P970" t="str">
        <f t="shared" si="46"/>
        <v xml:space="preserve"> </v>
      </c>
      <c r="Q970" t="str">
        <f t="shared" si="47"/>
        <v>Favorable</v>
      </c>
    </row>
    <row r="971" spans="1:17">
      <c r="A971" t="s">
        <v>981</v>
      </c>
      <c r="B971" s="2">
        <v>44946</v>
      </c>
      <c r="C971">
        <v>4010</v>
      </c>
      <c r="D971" t="s">
        <v>2016</v>
      </c>
      <c r="E971">
        <v>0</v>
      </c>
      <c r="F971">
        <v>583.33000000000004</v>
      </c>
      <c r="G971" t="s">
        <v>2020</v>
      </c>
      <c r="H971" t="s">
        <v>2024</v>
      </c>
      <c r="I971" t="s">
        <v>2997</v>
      </c>
      <c r="J971" t="s">
        <v>4030</v>
      </c>
      <c r="K971" t="s">
        <v>4047</v>
      </c>
      <c r="L971">
        <v>583.33000000000004</v>
      </c>
      <c r="N971">
        <f t="shared" si="45"/>
        <v>583.33000000000004</v>
      </c>
      <c r="O971" t="s">
        <v>4104</v>
      </c>
      <c r="P971" t="str">
        <f t="shared" si="46"/>
        <v xml:space="preserve"> </v>
      </c>
      <c r="Q971" t="str">
        <f t="shared" si="47"/>
        <v>Favorable</v>
      </c>
    </row>
    <row r="972" spans="1:17">
      <c r="A972" t="s">
        <v>982</v>
      </c>
      <c r="B972" s="2">
        <v>45629</v>
      </c>
      <c r="C972">
        <v>4010</v>
      </c>
      <c r="D972" t="s">
        <v>2016</v>
      </c>
      <c r="E972">
        <v>0</v>
      </c>
      <c r="F972">
        <v>2126.6999999999998</v>
      </c>
      <c r="G972" t="s">
        <v>2018</v>
      </c>
      <c r="H972" t="s">
        <v>2025</v>
      </c>
      <c r="I972" t="s">
        <v>2998</v>
      </c>
      <c r="J972" t="s">
        <v>4031</v>
      </c>
      <c r="K972" t="s">
        <v>4056</v>
      </c>
      <c r="L972">
        <v>2126.6999999999998</v>
      </c>
      <c r="N972">
        <f t="shared" si="45"/>
        <v>2126.6999999999998</v>
      </c>
      <c r="O972" t="s">
        <v>4104</v>
      </c>
      <c r="P972" t="str">
        <f t="shared" si="46"/>
        <v xml:space="preserve"> </v>
      </c>
      <c r="Q972" t="str">
        <f t="shared" si="47"/>
        <v>Favorable</v>
      </c>
    </row>
    <row r="973" spans="1:17">
      <c r="A973" t="s">
        <v>983</v>
      </c>
      <c r="B973" s="2">
        <v>45658</v>
      </c>
      <c r="C973">
        <v>6000</v>
      </c>
      <c r="D973" t="s">
        <v>2014</v>
      </c>
      <c r="E973">
        <v>409.25</v>
      </c>
      <c r="F973">
        <v>0</v>
      </c>
      <c r="G973" t="s">
        <v>2022</v>
      </c>
      <c r="H973" t="s">
        <v>2027</v>
      </c>
      <c r="I973" t="s">
        <v>2999</v>
      </c>
      <c r="J973" t="s">
        <v>4032</v>
      </c>
      <c r="K973" t="s">
        <v>4035</v>
      </c>
      <c r="L973">
        <v>-409.25</v>
      </c>
      <c r="N973">
        <f t="shared" si="45"/>
        <v>-409.25</v>
      </c>
      <c r="O973" t="s">
        <v>4104</v>
      </c>
      <c r="P973" t="str">
        <f t="shared" si="46"/>
        <v xml:space="preserve"> </v>
      </c>
      <c r="Q973" t="str">
        <f t="shared" si="47"/>
        <v>Unfavorable</v>
      </c>
    </row>
    <row r="974" spans="1:17">
      <c r="A974" t="s">
        <v>984</v>
      </c>
      <c r="B974" s="2">
        <v>45403</v>
      </c>
      <c r="C974">
        <v>4010</v>
      </c>
      <c r="D974" t="s">
        <v>2016</v>
      </c>
      <c r="E974">
        <v>0</v>
      </c>
      <c r="F974">
        <v>546.70000000000005</v>
      </c>
      <c r="G974" t="s">
        <v>2017</v>
      </c>
      <c r="H974" t="s">
        <v>2027</v>
      </c>
      <c r="I974" t="s">
        <v>3000</v>
      </c>
      <c r="J974" t="s">
        <v>4029</v>
      </c>
      <c r="K974" t="s">
        <v>4040</v>
      </c>
      <c r="L974">
        <v>546.70000000000005</v>
      </c>
      <c r="N974">
        <f t="shared" si="45"/>
        <v>546.70000000000005</v>
      </c>
      <c r="O974" t="s">
        <v>4104</v>
      </c>
      <c r="P974" t="str">
        <f t="shared" si="46"/>
        <v xml:space="preserve"> </v>
      </c>
      <c r="Q974" t="str">
        <f t="shared" si="47"/>
        <v>Favorable</v>
      </c>
    </row>
    <row r="975" spans="1:17">
      <c r="A975" t="s">
        <v>985</v>
      </c>
      <c r="B975" s="2">
        <v>45722</v>
      </c>
      <c r="C975">
        <v>5010</v>
      </c>
      <c r="D975" t="s">
        <v>2015</v>
      </c>
      <c r="E975">
        <v>1708.86</v>
      </c>
      <c r="F975">
        <v>0</v>
      </c>
      <c r="G975" t="s">
        <v>2018</v>
      </c>
      <c r="H975" t="s">
        <v>2026</v>
      </c>
      <c r="I975" t="s">
        <v>3001</v>
      </c>
      <c r="J975" t="s">
        <v>4032</v>
      </c>
      <c r="K975" t="s">
        <v>4046</v>
      </c>
      <c r="L975">
        <v>-1708.86</v>
      </c>
      <c r="N975">
        <f t="shared" si="45"/>
        <v>-1708.86</v>
      </c>
      <c r="O975" t="s">
        <v>4104</v>
      </c>
      <c r="P975" t="str">
        <f t="shared" si="46"/>
        <v xml:space="preserve"> </v>
      </c>
      <c r="Q975" t="str">
        <f t="shared" si="47"/>
        <v>Unfavorable</v>
      </c>
    </row>
    <row r="976" spans="1:17">
      <c r="A976" t="s">
        <v>986</v>
      </c>
      <c r="B976" s="2">
        <v>45126</v>
      </c>
      <c r="C976">
        <v>5000</v>
      </c>
      <c r="D976" t="s">
        <v>2013</v>
      </c>
      <c r="E976">
        <v>1155.1300000000001</v>
      </c>
      <c r="F976">
        <v>0</v>
      </c>
      <c r="G976" t="s">
        <v>2022</v>
      </c>
      <c r="H976" t="s">
        <v>2025</v>
      </c>
      <c r="I976" t="s">
        <v>3002</v>
      </c>
      <c r="J976" t="s">
        <v>4028</v>
      </c>
      <c r="K976" t="s">
        <v>4050</v>
      </c>
      <c r="L976">
        <v>-1155.1300000000001</v>
      </c>
      <c r="N976">
        <f t="shared" si="45"/>
        <v>-1155.1300000000001</v>
      </c>
      <c r="O976" t="s">
        <v>4104</v>
      </c>
      <c r="P976" t="str">
        <f t="shared" si="46"/>
        <v xml:space="preserve"> </v>
      </c>
      <c r="Q976" t="str">
        <f t="shared" si="47"/>
        <v>Unfavorable</v>
      </c>
    </row>
    <row r="977" spans="1:17">
      <c r="A977" t="s">
        <v>987</v>
      </c>
      <c r="B977" s="2">
        <v>45575</v>
      </c>
      <c r="C977">
        <v>5010</v>
      </c>
      <c r="D977" t="s">
        <v>2015</v>
      </c>
      <c r="E977">
        <v>906.36</v>
      </c>
      <c r="F977">
        <v>0</v>
      </c>
      <c r="G977" t="s">
        <v>2019</v>
      </c>
      <c r="H977" t="s">
        <v>2024</v>
      </c>
      <c r="I977" t="s">
        <v>3003</v>
      </c>
      <c r="J977" t="s">
        <v>4030</v>
      </c>
      <c r="K977" t="s">
        <v>4059</v>
      </c>
      <c r="L977">
        <v>-906.36</v>
      </c>
      <c r="N977">
        <f t="shared" si="45"/>
        <v>-906.36</v>
      </c>
      <c r="O977" t="s">
        <v>4104</v>
      </c>
      <c r="P977" t="str">
        <f t="shared" si="46"/>
        <v xml:space="preserve"> </v>
      </c>
      <c r="Q977" t="str">
        <f t="shared" si="47"/>
        <v>Unfavorable</v>
      </c>
    </row>
    <row r="978" spans="1:17">
      <c r="A978" t="s">
        <v>988</v>
      </c>
      <c r="B978" s="2">
        <v>45349</v>
      </c>
      <c r="C978">
        <v>4000</v>
      </c>
      <c r="D978" t="s">
        <v>2012</v>
      </c>
      <c r="E978">
        <v>0</v>
      </c>
      <c r="F978">
        <v>1026.19</v>
      </c>
      <c r="G978" t="s">
        <v>2020</v>
      </c>
      <c r="H978" t="s">
        <v>2024</v>
      </c>
      <c r="I978" t="s">
        <v>3004</v>
      </c>
      <c r="J978" t="s">
        <v>4030</v>
      </c>
      <c r="K978" t="s">
        <v>4044</v>
      </c>
      <c r="L978">
        <v>1026.19</v>
      </c>
      <c r="N978">
        <f t="shared" si="45"/>
        <v>1026.19</v>
      </c>
      <c r="O978" t="s">
        <v>4104</v>
      </c>
      <c r="P978" t="str">
        <f t="shared" si="46"/>
        <v xml:space="preserve"> </v>
      </c>
      <c r="Q978" t="str">
        <f t="shared" si="47"/>
        <v>Favorable</v>
      </c>
    </row>
    <row r="979" spans="1:17">
      <c r="A979" t="s">
        <v>989</v>
      </c>
      <c r="B979" s="2">
        <v>45540</v>
      </c>
      <c r="C979">
        <v>5010</v>
      </c>
      <c r="D979" t="s">
        <v>2015</v>
      </c>
      <c r="E979">
        <v>1571.91</v>
      </c>
      <c r="F979">
        <v>0</v>
      </c>
      <c r="G979" t="s">
        <v>2019</v>
      </c>
      <c r="H979" t="s">
        <v>2027</v>
      </c>
      <c r="I979" t="s">
        <v>3005</v>
      </c>
      <c r="J979" t="s">
        <v>4032</v>
      </c>
      <c r="K979" t="s">
        <v>4048</v>
      </c>
      <c r="L979">
        <v>-1571.91</v>
      </c>
      <c r="N979">
        <f t="shared" si="45"/>
        <v>-1571.91</v>
      </c>
      <c r="O979" t="s">
        <v>4104</v>
      </c>
      <c r="P979" t="str">
        <f t="shared" si="46"/>
        <v xml:space="preserve"> </v>
      </c>
      <c r="Q979" t="str">
        <f t="shared" si="47"/>
        <v>Unfavorable</v>
      </c>
    </row>
    <row r="980" spans="1:17">
      <c r="A980" t="s">
        <v>990</v>
      </c>
      <c r="B980" s="2">
        <v>45799</v>
      </c>
      <c r="C980">
        <v>4000</v>
      </c>
      <c r="D980" t="s">
        <v>2012</v>
      </c>
      <c r="E980">
        <v>0</v>
      </c>
      <c r="F980">
        <v>504.44</v>
      </c>
      <c r="G980" t="s">
        <v>2022</v>
      </c>
      <c r="H980" t="s">
        <v>2024</v>
      </c>
      <c r="I980" t="s">
        <v>3006</v>
      </c>
      <c r="J980" t="s">
        <v>4031</v>
      </c>
      <c r="K980" t="s">
        <v>4038</v>
      </c>
      <c r="L980">
        <v>504.44</v>
      </c>
      <c r="N980">
        <f t="shared" si="45"/>
        <v>504.44</v>
      </c>
      <c r="O980" t="s">
        <v>4104</v>
      </c>
      <c r="P980" t="str">
        <f t="shared" si="46"/>
        <v xml:space="preserve"> </v>
      </c>
      <c r="Q980" t="str">
        <f t="shared" si="47"/>
        <v>Favorable</v>
      </c>
    </row>
    <row r="981" spans="1:17">
      <c r="A981" t="s">
        <v>991</v>
      </c>
      <c r="B981" s="2">
        <v>45684</v>
      </c>
      <c r="C981">
        <v>4000</v>
      </c>
      <c r="D981" t="s">
        <v>2012</v>
      </c>
      <c r="E981">
        <v>0</v>
      </c>
      <c r="F981">
        <v>2486.2199999999998</v>
      </c>
      <c r="G981" t="s">
        <v>2019</v>
      </c>
      <c r="H981" t="s">
        <v>2027</v>
      </c>
      <c r="I981" t="s">
        <v>3007</v>
      </c>
      <c r="J981" t="s">
        <v>4028</v>
      </c>
      <c r="K981" t="s">
        <v>4035</v>
      </c>
      <c r="L981">
        <v>2486.2199999999998</v>
      </c>
      <c r="N981">
        <f t="shared" si="45"/>
        <v>2486.2199999999998</v>
      </c>
      <c r="O981" t="s">
        <v>4104</v>
      </c>
      <c r="P981" t="str">
        <f t="shared" si="46"/>
        <v xml:space="preserve"> </v>
      </c>
      <c r="Q981" t="str">
        <f t="shared" si="47"/>
        <v>Favorable</v>
      </c>
    </row>
    <row r="982" spans="1:17">
      <c r="A982" t="s">
        <v>992</v>
      </c>
      <c r="B982" s="2">
        <v>45705</v>
      </c>
      <c r="C982">
        <v>5010</v>
      </c>
      <c r="D982" t="s">
        <v>2015</v>
      </c>
      <c r="E982">
        <v>397.17</v>
      </c>
      <c r="F982">
        <v>0</v>
      </c>
      <c r="G982" t="s">
        <v>2021</v>
      </c>
      <c r="H982" t="s">
        <v>2026</v>
      </c>
      <c r="I982" t="s">
        <v>3008</v>
      </c>
      <c r="J982" t="s">
        <v>4029</v>
      </c>
      <c r="K982" t="s">
        <v>4061</v>
      </c>
      <c r="L982">
        <v>-397.17</v>
      </c>
      <c r="N982">
        <f t="shared" si="45"/>
        <v>-397.17</v>
      </c>
      <c r="O982" t="s">
        <v>4104</v>
      </c>
      <c r="P982" t="str">
        <f t="shared" si="46"/>
        <v xml:space="preserve"> </v>
      </c>
      <c r="Q982" t="str">
        <f t="shared" si="47"/>
        <v>Unfavorable</v>
      </c>
    </row>
    <row r="983" spans="1:17">
      <c r="A983" t="s">
        <v>993</v>
      </c>
      <c r="B983" s="2">
        <v>45534</v>
      </c>
      <c r="C983">
        <v>5010</v>
      </c>
      <c r="D983" t="s">
        <v>2015</v>
      </c>
      <c r="E983">
        <v>1558.38</v>
      </c>
      <c r="F983">
        <v>0</v>
      </c>
      <c r="G983" t="s">
        <v>2021</v>
      </c>
      <c r="H983" t="s">
        <v>2026</v>
      </c>
      <c r="I983" t="s">
        <v>3009</v>
      </c>
      <c r="J983" t="s">
        <v>4028</v>
      </c>
      <c r="K983" t="s">
        <v>4058</v>
      </c>
      <c r="L983">
        <v>-1558.38</v>
      </c>
      <c r="N983">
        <f t="shared" si="45"/>
        <v>-1558.38</v>
      </c>
      <c r="O983" t="s">
        <v>4104</v>
      </c>
      <c r="P983" t="str">
        <f t="shared" si="46"/>
        <v xml:space="preserve"> </v>
      </c>
      <c r="Q983" t="str">
        <f t="shared" si="47"/>
        <v>Unfavorable</v>
      </c>
    </row>
    <row r="984" spans="1:17">
      <c r="A984" t="s">
        <v>994</v>
      </c>
      <c r="B984" s="2">
        <v>45270</v>
      </c>
      <c r="C984">
        <v>4000</v>
      </c>
      <c r="D984" t="s">
        <v>2012</v>
      </c>
      <c r="E984">
        <v>0</v>
      </c>
      <c r="F984">
        <v>1902.31</v>
      </c>
      <c r="G984" t="s">
        <v>2020</v>
      </c>
      <c r="H984" t="s">
        <v>2025</v>
      </c>
      <c r="I984" t="s">
        <v>3010</v>
      </c>
      <c r="J984" t="s">
        <v>4031</v>
      </c>
      <c r="K984" t="s">
        <v>4039</v>
      </c>
      <c r="L984">
        <v>1902.31</v>
      </c>
      <c r="N984">
        <f t="shared" si="45"/>
        <v>1902.31</v>
      </c>
      <c r="O984" t="s">
        <v>4104</v>
      </c>
      <c r="P984" t="str">
        <f t="shared" si="46"/>
        <v xml:space="preserve"> </v>
      </c>
      <c r="Q984" t="str">
        <f t="shared" si="47"/>
        <v>Favorable</v>
      </c>
    </row>
    <row r="985" spans="1:17">
      <c r="A985" t="s">
        <v>995</v>
      </c>
      <c r="B985" s="2">
        <v>45604</v>
      </c>
      <c r="C985">
        <v>6000</v>
      </c>
      <c r="D985" t="s">
        <v>2014</v>
      </c>
      <c r="E985">
        <v>330.31</v>
      </c>
      <c r="F985">
        <v>0</v>
      </c>
      <c r="G985" t="s">
        <v>2020</v>
      </c>
      <c r="H985" t="s">
        <v>2025</v>
      </c>
      <c r="I985" t="s">
        <v>3011</v>
      </c>
      <c r="J985" t="s">
        <v>4029</v>
      </c>
      <c r="K985" t="s">
        <v>4043</v>
      </c>
      <c r="L985">
        <v>-330.31</v>
      </c>
      <c r="N985">
        <f t="shared" si="45"/>
        <v>-330.31</v>
      </c>
      <c r="O985" t="s">
        <v>4104</v>
      </c>
      <c r="P985" t="str">
        <f t="shared" si="46"/>
        <v xml:space="preserve"> </v>
      </c>
      <c r="Q985" t="str">
        <f t="shared" si="47"/>
        <v>Unfavorable</v>
      </c>
    </row>
    <row r="986" spans="1:17">
      <c r="A986" t="s">
        <v>996</v>
      </c>
      <c r="B986" s="2">
        <v>45502</v>
      </c>
      <c r="C986">
        <v>4010</v>
      </c>
      <c r="D986" t="s">
        <v>2016</v>
      </c>
      <c r="E986">
        <v>0</v>
      </c>
      <c r="F986">
        <v>369.23</v>
      </c>
      <c r="G986" t="s">
        <v>2022</v>
      </c>
      <c r="H986" t="s">
        <v>2024</v>
      </c>
      <c r="I986" t="s">
        <v>3012</v>
      </c>
      <c r="J986" t="s">
        <v>4030</v>
      </c>
      <c r="K986" t="s">
        <v>4054</v>
      </c>
      <c r="L986">
        <v>369.23</v>
      </c>
      <c r="N986">
        <f t="shared" si="45"/>
        <v>369.23</v>
      </c>
      <c r="O986" t="s">
        <v>4104</v>
      </c>
      <c r="P986" t="str">
        <f t="shared" si="46"/>
        <v xml:space="preserve"> </v>
      </c>
      <c r="Q986" t="str">
        <f t="shared" si="47"/>
        <v>Favorable</v>
      </c>
    </row>
    <row r="987" spans="1:17">
      <c r="A987" t="s">
        <v>997</v>
      </c>
      <c r="B987" s="2">
        <v>45130</v>
      </c>
      <c r="C987">
        <v>4010</v>
      </c>
      <c r="D987" t="s">
        <v>2016</v>
      </c>
      <c r="E987">
        <v>0</v>
      </c>
      <c r="F987">
        <v>2516.86</v>
      </c>
      <c r="G987" t="s">
        <v>2018</v>
      </c>
      <c r="H987" t="s">
        <v>2026</v>
      </c>
      <c r="I987" t="s">
        <v>3013</v>
      </c>
      <c r="J987" t="s">
        <v>4029</v>
      </c>
      <c r="K987" t="s">
        <v>4050</v>
      </c>
      <c r="L987">
        <v>2516.86</v>
      </c>
      <c r="N987">
        <f t="shared" si="45"/>
        <v>2516.86</v>
      </c>
      <c r="O987" t="s">
        <v>4104</v>
      </c>
      <c r="P987" t="str">
        <f t="shared" si="46"/>
        <v xml:space="preserve"> </v>
      </c>
      <c r="Q987" t="str">
        <f t="shared" si="47"/>
        <v>Favorable</v>
      </c>
    </row>
    <row r="988" spans="1:17">
      <c r="A988" t="s">
        <v>998</v>
      </c>
      <c r="B988" s="2">
        <v>45769</v>
      </c>
      <c r="C988">
        <v>4010</v>
      </c>
      <c r="D988" t="s">
        <v>2016</v>
      </c>
      <c r="E988">
        <v>0</v>
      </c>
      <c r="F988">
        <v>2267.1999999999998</v>
      </c>
      <c r="G988" t="s">
        <v>2021</v>
      </c>
      <c r="H988" t="s">
        <v>2024</v>
      </c>
      <c r="I988" t="s">
        <v>3014</v>
      </c>
      <c r="J988" t="s">
        <v>4030</v>
      </c>
      <c r="K988" t="s">
        <v>4045</v>
      </c>
      <c r="L988">
        <v>2267.1999999999998</v>
      </c>
      <c r="N988">
        <f t="shared" si="45"/>
        <v>2267.1999999999998</v>
      </c>
      <c r="O988" t="s">
        <v>4104</v>
      </c>
      <c r="P988" t="str">
        <f t="shared" si="46"/>
        <v xml:space="preserve"> </v>
      </c>
      <c r="Q988" t="str">
        <f t="shared" si="47"/>
        <v>Favorable</v>
      </c>
    </row>
    <row r="989" spans="1:17">
      <c r="A989" t="s">
        <v>999</v>
      </c>
      <c r="B989" s="2">
        <v>45572</v>
      </c>
      <c r="C989">
        <v>5000</v>
      </c>
      <c r="D989" t="s">
        <v>2013</v>
      </c>
      <c r="E989">
        <v>270.42</v>
      </c>
      <c r="F989">
        <v>0</v>
      </c>
      <c r="G989" t="s">
        <v>2019</v>
      </c>
      <c r="H989" t="s">
        <v>2023</v>
      </c>
      <c r="I989" t="s">
        <v>3015</v>
      </c>
      <c r="J989" t="s">
        <v>4032</v>
      </c>
      <c r="K989" t="s">
        <v>4059</v>
      </c>
      <c r="L989">
        <v>-270.42</v>
      </c>
      <c r="N989">
        <f t="shared" si="45"/>
        <v>-270.42</v>
      </c>
      <c r="O989" t="s">
        <v>4104</v>
      </c>
      <c r="P989" t="str">
        <f t="shared" si="46"/>
        <v xml:space="preserve"> </v>
      </c>
      <c r="Q989" t="str">
        <f t="shared" si="47"/>
        <v>Unfavorable</v>
      </c>
    </row>
    <row r="990" spans="1:17">
      <c r="A990" t="s">
        <v>1000</v>
      </c>
      <c r="B990" s="2">
        <v>45587</v>
      </c>
      <c r="C990">
        <v>4000</v>
      </c>
      <c r="D990" t="s">
        <v>2012</v>
      </c>
      <c r="E990">
        <v>0</v>
      </c>
      <c r="F990">
        <v>1807.47</v>
      </c>
      <c r="G990" t="s">
        <v>2021</v>
      </c>
      <c r="H990" t="s">
        <v>2026</v>
      </c>
      <c r="I990" t="s">
        <v>3016</v>
      </c>
      <c r="J990" t="s">
        <v>4031</v>
      </c>
      <c r="K990" t="s">
        <v>4059</v>
      </c>
      <c r="L990">
        <v>1807.47</v>
      </c>
      <c r="N990">
        <f t="shared" si="45"/>
        <v>1807.47</v>
      </c>
      <c r="O990" t="s">
        <v>4104</v>
      </c>
      <c r="P990" t="str">
        <f t="shared" si="46"/>
        <v xml:space="preserve"> </v>
      </c>
      <c r="Q990" t="str">
        <f t="shared" si="47"/>
        <v>Favorable</v>
      </c>
    </row>
    <row r="991" spans="1:17">
      <c r="A991" t="s">
        <v>1001</v>
      </c>
      <c r="B991" s="2">
        <v>45723</v>
      </c>
      <c r="C991">
        <v>5000</v>
      </c>
      <c r="D991" t="s">
        <v>2013</v>
      </c>
      <c r="E991">
        <v>1404.46</v>
      </c>
      <c r="F991">
        <v>0</v>
      </c>
      <c r="G991" t="s">
        <v>2019</v>
      </c>
      <c r="H991" t="s">
        <v>2024</v>
      </c>
      <c r="I991" t="s">
        <v>3017</v>
      </c>
      <c r="J991" t="s">
        <v>4032</v>
      </c>
      <c r="K991" t="s">
        <v>4046</v>
      </c>
      <c r="L991">
        <v>-1404.46</v>
      </c>
      <c r="N991">
        <f t="shared" si="45"/>
        <v>-1404.46</v>
      </c>
      <c r="O991" t="s">
        <v>4104</v>
      </c>
      <c r="P991" t="str">
        <f t="shared" si="46"/>
        <v xml:space="preserve"> </v>
      </c>
      <c r="Q991" t="str">
        <f t="shared" si="47"/>
        <v>Unfavorable</v>
      </c>
    </row>
    <row r="992" spans="1:17">
      <c r="A992" t="s">
        <v>1002</v>
      </c>
      <c r="B992" s="2">
        <v>45667</v>
      </c>
      <c r="C992">
        <v>6000</v>
      </c>
      <c r="D992" t="s">
        <v>2014</v>
      </c>
      <c r="E992">
        <v>1628.38</v>
      </c>
      <c r="F992">
        <v>0</v>
      </c>
      <c r="G992" t="s">
        <v>2022</v>
      </c>
      <c r="H992" t="s">
        <v>2023</v>
      </c>
      <c r="I992" t="s">
        <v>3018</v>
      </c>
      <c r="J992" t="s">
        <v>4032</v>
      </c>
      <c r="K992" t="s">
        <v>4035</v>
      </c>
      <c r="L992">
        <v>-1628.38</v>
      </c>
      <c r="N992">
        <f t="shared" si="45"/>
        <v>-1628.38</v>
      </c>
      <c r="O992" t="s">
        <v>4104</v>
      </c>
      <c r="P992" t="str">
        <f t="shared" si="46"/>
        <v xml:space="preserve"> </v>
      </c>
      <c r="Q992" t="str">
        <f t="shared" si="47"/>
        <v>Unfavorable</v>
      </c>
    </row>
    <row r="993" spans="1:17">
      <c r="A993" t="s">
        <v>1003</v>
      </c>
      <c r="B993" s="2">
        <v>45132</v>
      </c>
      <c r="C993">
        <v>5010</v>
      </c>
      <c r="D993" t="s">
        <v>2015</v>
      </c>
      <c r="E993">
        <v>1593.21</v>
      </c>
      <c r="F993">
        <v>0</v>
      </c>
      <c r="G993" t="s">
        <v>2018</v>
      </c>
      <c r="H993" t="s">
        <v>2026</v>
      </c>
      <c r="I993" t="s">
        <v>3019</v>
      </c>
      <c r="J993" t="s">
        <v>4029</v>
      </c>
      <c r="K993" t="s">
        <v>4050</v>
      </c>
      <c r="L993">
        <v>-1593.21</v>
      </c>
      <c r="N993">
        <f t="shared" si="45"/>
        <v>-1593.21</v>
      </c>
      <c r="O993" t="s">
        <v>4104</v>
      </c>
      <c r="P993" t="str">
        <f t="shared" si="46"/>
        <v xml:space="preserve"> </v>
      </c>
      <c r="Q993" t="str">
        <f t="shared" si="47"/>
        <v>Unfavorable</v>
      </c>
    </row>
    <row r="994" spans="1:17">
      <c r="A994" t="s">
        <v>1004</v>
      </c>
      <c r="B994" s="2">
        <v>45275</v>
      </c>
      <c r="C994">
        <v>4000</v>
      </c>
      <c r="D994" t="s">
        <v>2012</v>
      </c>
      <c r="E994">
        <v>0</v>
      </c>
      <c r="F994">
        <v>3100.79</v>
      </c>
      <c r="G994" t="s">
        <v>2021</v>
      </c>
      <c r="H994" t="s">
        <v>2026</v>
      </c>
      <c r="I994" t="s">
        <v>3020</v>
      </c>
      <c r="J994" t="s">
        <v>4032</v>
      </c>
      <c r="K994" t="s">
        <v>4039</v>
      </c>
      <c r="L994">
        <v>3100.79</v>
      </c>
      <c r="N994">
        <f t="shared" si="45"/>
        <v>3100.79</v>
      </c>
      <c r="O994" t="s">
        <v>4104</v>
      </c>
      <c r="P994" t="str">
        <f t="shared" si="46"/>
        <v xml:space="preserve"> </v>
      </c>
      <c r="Q994" t="str">
        <f t="shared" si="47"/>
        <v>Favorable</v>
      </c>
    </row>
    <row r="995" spans="1:17">
      <c r="A995" t="s">
        <v>1005</v>
      </c>
      <c r="B995" s="2">
        <v>45127</v>
      </c>
      <c r="C995">
        <v>5000</v>
      </c>
      <c r="D995" t="s">
        <v>2013</v>
      </c>
      <c r="E995">
        <v>759.38</v>
      </c>
      <c r="F995">
        <v>0</v>
      </c>
      <c r="G995" t="s">
        <v>2017</v>
      </c>
      <c r="H995" t="s">
        <v>2027</v>
      </c>
      <c r="I995" t="s">
        <v>3021</v>
      </c>
      <c r="J995" t="s">
        <v>4030</v>
      </c>
      <c r="K995" t="s">
        <v>4050</v>
      </c>
      <c r="L995">
        <v>-759.38</v>
      </c>
      <c r="N995">
        <f t="shared" si="45"/>
        <v>-759.38</v>
      </c>
      <c r="O995" t="s">
        <v>4104</v>
      </c>
      <c r="P995" t="str">
        <f t="shared" si="46"/>
        <v xml:space="preserve"> </v>
      </c>
      <c r="Q995" t="str">
        <f t="shared" si="47"/>
        <v>Unfavorable</v>
      </c>
    </row>
    <row r="996" spans="1:17">
      <c r="A996" t="s">
        <v>1006</v>
      </c>
      <c r="B996" s="2">
        <v>45655</v>
      </c>
      <c r="C996">
        <v>6000</v>
      </c>
      <c r="D996" t="s">
        <v>2014</v>
      </c>
      <c r="E996">
        <v>818.52</v>
      </c>
      <c r="F996">
        <v>0</v>
      </c>
      <c r="G996" t="s">
        <v>2017</v>
      </c>
      <c r="H996" t="s">
        <v>2023</v>
      </c>
      <c r="I996" t="s">
        <v>3022</v>
      </c>
      <c r="J996" t="s">
        <v>4028</v>
      </c>
      <c r="K996" t="s">
        <v>4056</v>
      </c>
      <c r="L996">
        <v>-818.52</v>
      </c>
      <c r="N996">
        <f t="shared" si="45"/>
        <v>-818.52</v>
      </c>
      <c r="O996" t="s">
        <v>4104</v>
      </c>
      <c r="P996" t="str">
        <f t="shared" si="46"/>
        <v xml:space="preserve"> </v>
      </c>
      <c r="Q996" t="str">
        <f t="shared" si="47"/>
        <v>Unfavorable</v>
      </c>
    </row>
    <row r="997" spans="1:17">
      <c r="A997" t="s">
        <v>1007</v>
      </c>
      <c r="B997" s="2">
        <v>44958</v>
      </c>
      <c r="C997">
        <v>6000</v>
      </c>
      <c r="D997" t="s">
        <v>2014</v>
      </c>
      <c r="E997">
        <v>1003.28</v>
      </c>
      <c r="F997">
        <v>0</v>
      </c>
      <c r="G997" t="s">
        <v>2017</v>
      </c>
      <c r="H997" t="s">
        <v>2026</v>
      </c>
      <c r="I997" t="s">
        <v>3023</v>
      </c>
      <c r="J997" t="s">
        <v>4030</v>
      </c>
      <c r="K997" t="s">
        <v>4057</v>
      </c>
      <c r="L997">
        <v>-1003.28</v>
      </c>
      <c r="N997">
        <f t="shared" si="45"/>
        <v>-1003.28</v>
      </c>
      <c r="O997" t="s">
        <v>4104</v>
      </c>
      <c r="P997" t="str">
        <f t="shared" si="46"/>
        <v xml:space="preserve"> </v>
      </c>
      <c r="Q997" t="str">
        <f t="shared" si="47"/>
        <v>Unfavorable</v>
      </c>
    </row>
    <row r="998" spans="1:17">
      <c r="A998" t="s">
        <v>1008</v>
      </c>
      <c r="B998" s="2">
        <v>45377</v>
      </c>
      <c r="C998">
        <v>4010</v>
      </c>
      <c r="D998" t="s">
        <v>2016</v>
      </c>
      <c r="E998">
        <v>0</v>
      </c>
      <c r="F998">
        <v>3683.5</v>
      </c>
      <c r="G998" t="s">
        <v>2021</v>
      </c>
      <c r="H998" t="s">
        <v>2027</v>
      </c>
      <c r="I998" t="s">
        <v>3024</v>
      </c>
      <c r="J998" t="s">
        <v>4031</v>
      </c>
      <c r="K998" t="s">
        <v>4049</v>
      </c>
      <c r="L998">
        <v>3683.5</v>
      </c>
      <c r="N998">
        <f t="shared" si="45"/>
        <v>3683.5</v>
      </c>
      <c r="O998" t="s">
        <v>4104</v>
      </c>
      <c r="P998" t="str">
        <f t="shared" si="46"/>
        <v xml:space="preserve"> </v>
      </c>
      <c r="Q998" t="str">
        <f t="shared" si="47"/>
        <v>Favorable</v>
      </c>
    </row>
    <row r="999" spans="1:17">
      <c r="A999" t="s">
        <v>1009</v>
      </c>
      <c r="B999" s="2">
        <v>45725</v>
      </c>
      <c r="C999">
        <v>5010</v>
      </c>
      <c r="D999" t="s">
        <v>2015</v>
      </c>
      <c r="E999">
        <v>1336.12</v>
      </c>
      <c r="F999">
        <v>0</v>
      </c>
      <c r="G999" t="s">
        <v>2017</v>
      </c>
      <c r="H999" t="s">
        <v>2027</v>
      </c>
      <c r="I999" t="s">
        <v>3025</v>
      </c>
      <c r="J999" t="s">
        <v>4032</v>
      </c>
      <c r="K999" t="s">
        <v>4046</v>
      </c>
      <c r="L999">
        <v>-1336.12</v>
      </c>
      <c r="N999">
        <f t="shared" si="45"/>
        <v>-1336.12</v>
      </c>
      <c r="O999" t="s">
        <v>4104</v>
      </c>
      <c r="P999" t="str">
        <f t="shared" si="46"/>
        <v xml:space="preserve"> </v>
      </c>
      <c r="Q999" t="str">
        <f t="shared" si="47"/>
        <v>Unfavorable</v>
      </c>
    </row>
    <row r="1000" spans="1:17">
      <c r="A1000" t="s">
        <v>1010</v>
      </c>
      <c r="B1000" s="2">
        <v>45490</v>
      </c>
      <c r="C1000">
        <v>4000</v>
      </c>
      <c r="D1000" t="s">
        <v>2012</v>
      </c>
      <c r="E1000">
        <v>0</v>
      </c>
      <c r="F1000">
        <v>142.47999999999999</v>
      </c>
      <c r="G1000" t="s">
        <v>2021</v>
      </c>
      <c r="H1000" t="s">
        <v>2027</v>
      </c>
      <c r="I1000" t="s">
        <v>3026</v>
      </c>
      <c r="J1000" t="s">
        <v>4028</v>
      </c>
      <c r="K1000" t="s">
        <v>4054</v>
      </c>
      <c r="L1000">
        <v>142.47999999999999</v>
      </c>
      <c r="N1000">
        <f t="shared" si="45"/>
        <v>142.47999999999999</v>
      </c>
      <c r="O1000" t="s">
        <v>4104</v>
      </c>
      <c r="P1000" t="str">
        <f t="shared" si="46"/>
        <v xml:space="preserve"> </v>
      </c>
      <c r="Q1000" t="str">
        <f t="shared" si="47"/>
        <v>Favorable</v>
      </c>
    </row>
    <row r="1001" spans="1:17">
      <c r="A1001" t="s">
        <v>1011</v>
      </c>
      <c r="B1001" s="2">
        <v>45797</v>
      </c>
      <c r="C1001">
        <v>6000</v>
      </c>
      <c r="D1001" t="s">
        <v>2014</v>
      </c>
      <c r="E1001">
        <v>225.03</v>
      </c>
      <c r="F1001">
        <v>0</v>
      </c>
      <c r="G1001" t="s">
        <v>2017</v>
      </c>
      <c r="H1001" t="s">
        <v>2027</v>
      </c>
      <c r="I1001" t="s">
        <v>3027</v>
      </c>
      <c r="J1001" t="s">
        <v>4032</v>
      </c>
      <c r="K1001" t="s">
        <v>4038</v>
      </c>
      <c r="L1001">
        <v>-225.03</v>
      </c>
      <c r="N1001">
        <f t="shared" si="45"/>
        <v>-225.03</v>
      </c>
      <c r="O1001" t="s">
        <v>4104</v>
      </c>
      <c r="P1001" t="str">
        <f t="shared" si="46"/>
        <v xml:space="preserve"> </v>
      </c>
      <c r="Q1001" t="str">
        <f t="shared" si="47"/>
        <v>Unfavorable</v>
      </c>
    </row>
    <row r="1002" spans="1:17">
      <c r="A1002" t="s">
        <v>1012</v>
      </c>
      <c r="B1002" s="2">
        <v>45701</v>
      </c>
      <c r="C1002">
        <v>5000</v>
      </c>
      <c r="D1002" t="s">
        <v>2013</v>
      </c>
      <c r="E1002">
        <v>1959.72</v>
      </c>
      <c r="F1002">
        <v>0</v>
      </c>
      <c r="G1002" t="s">
        <v>2017</v>
      </c>
      <c r="H1002" t="s">
        <v>2026</v>
      </c>
      <c r="I1002" t="s">
        <v>3028</v>
      </c>
      <c r="J1002" t="s">
        <v>4030</v>
      </c>
      <c r="K1002" t="s">
        <v>4061</v>
      </c>
      <c r="L1002">
        <v>-1959.72</v>
      </c>
      <c r="N1002">
        <f t="shared" si="45"/>
        <v>-1959.72</v>
      </c>
      <c r="O1002" t="s">
        <v>4104</v>
      </c>
      <c r="P1002" t="str">
        <f t="shared" si="46"/>
        <v xml:space="preserve"> </v>
      </c>
      <c r="Q1002" t="str">
        <f t="shared" si="47"/>
        <v>Unfavorable</v>
      </c>
    </row>
    <row r="1003" spans="1:17">
      <c r="A1003" t="s">
        <v>1013</v>
      </c>
      <c r="B1003" s="2">
        <v>45528</v>
      </c>
      <c r="C1003">
        <v>6000</v>
      </c>
      <c r="D1003" t="s">
        <v>2014</v>
      </c>
      <c r="E1003">
        <v>459.97</v>
      </c>
      <c r="F1003">
        <v>0</v>
      </c>
      <c r="G1003" t="s">
        <v>2017</v>
      </c>
      <c r="H1003" t="s">
        <v>2027</v>
      </c>
      <c r="I1003" t="s">
        <v>3029</v>
      </c>
      <c r="J1003" t="s">
        <v>4031</v>
      </c>
      <c r="K1003" t="s">
        <v>4058</v>
      </c>
      <c r="L1003">
        <v>-459.97</v>
      </c>
      <c r="N1003">
        <f t="shared" si="45"/>
        <v>-459.97</v>
      </c>
      <c r="O1003" t="s">
        <v>4104</v>
      </c>
      <c r="P1003" t="str">
        <f t="shared" si="46"/>
        <v xml:space="preserve"> </v>
      </c>
      <c r="Q1003" t="str">
        <f t="shared" si="47"/>
        <v>Unfavorable</v>
      </c>
    </row>
    <row r="1004" spans="1:17">
      <c r="A1004" t="s">
        <v>1014</v>
      </c>
      <c r="B1004" s="2">
        <v>45420</v>
      </c>
      <c r="C1004">
        <v>4000</v>
      </c>
      <c r="D1004" t="s">
        <v>2012</v>
      </c>
      <c r="E1004">
        <v>0</v>
      </c>
      <c r="F1004">
        <v>1518.16</v>
      </c>
      <c r="G1004" t="s">
        <v>2019</v>
      </c>
      <c r="H1004" t="s">
        <v>2023</v>
      </c>
      <c r="I1004" t="s">
        <v>3030</v>
      </c>
      <c r="J1004" t="s">
        <v>4031</v>
      </c>
      <c r="K1004" t="s">
        <v>4033</v>
      </c>
      <c r="L1004">
        <v>1518.16</v>
      </c>
      <c r="N1004">
        <f t="shared" si="45"/>
        <v>1518.16</v>
      </c>
      <c r="O1004" t="s">
        <v>4104</v>
      </c>
      <c r="P1004" t="str">
        <f t="shared" si="46"/>
        <v xml:space="preserve"> </v>
      </c>
      <c r="Q1004" t="str">
        <f t="shared" si="47"/>
        <v>Favorable</v>
      </c>
    </row>
    <row r="1005" spans="1:17">
      <c r="A1005" t="s">
        <v>1015</v>
      </c>
      <c r="B1005" s="2">
        <v>45471</v>
      </c>
      <c r="C1005">
        <v>6000</v>
      </c>
      <c r="D1005" t="s">
        <v>2014</v>
      </c>
      <c r="E1005">
        <v>1278.1199999999999</v>
      </c>
      <c r="F1005">
        <v>0</v>
      </c>
      <c r="G1005" t="s">
        <v>2022</v>
      </c>
      <c r="H1005" t="s">
        <v>2023</v>
      </c>
      <c r="I1005" t="s">
        <v>3031</v>
      </c>
      <c r="J1005" t="s">
        <v>4029</v>
      </c>
      <c r="K1005" t="s">
        <v>4034</v>
      </c>
      <c r="L1005">
        <v>-1278.1199999999999</v>
      </c>
      <c r="N1005">
        <f t="shared" si="45"/>
        <v>-1278.1199999999999</v>
      </c>
      <c r="O1005" t="s">
        <v>4104</v>
      </c>
      <c r="P1005" t="str">
        <f t="shared" si="46"/>
        <v xml:space="preserve"> </v>
      </c>
      <c r="Q1005" t="str">
        <f t="shared" si="47"/>
        <v>Unfavorable</v>
      </c>
    </row>
    <row r="1006" spans="1:17">
      <c r="A1006" t="s">
        <v>1016</v>
      </c>
      <c r="B1006" s="2">
        <v>45410</v>
      </c>
      <c r="C1006">
        <v>5000</v>
      </c>
      <c r="D1006" t="s">
        <v>2013</v>
      </c>
      <c r="E1006">
        <v>1956.42</v>
      </c>
      <c r="F1006">
        <v>0</v>
      </c>
      <c r="G1006" t="s">
        <v>2017</v>
      </c>
      <c r="H1006" t="s">
        <v>2027</v>
      </c>
      <c r="I1006" t="s">
        <v>3032</v>
      </c>
      <c r="J1006" t="s">
        <v>4029</v>
      </c>
      <c r="K1006" t="s">
        <v>4040</v>
      </c>
      <c r="L1006">
        <v>-1956.42</v>
      </c>
      <c r="N1006">
        <f t="shared" si="45"/>
        <v>-1956.42</v>
      </c>
      <c r="O1006" t="s">
        <v>4104</v>
      </c>
      <c r="P1006" t="str">
        <f t="shared" si="46"/>
        <v xml:space="preserve"> </v>
      </c>
      <c r="Q1006" t="str">
        <f t="shared" si="47"/>
        <v>Unfavorable</v>
      </c>
    </row>
    <row r="1007" spans="1:17">
      <c r="A1007" t="s">
        <v>1017</v>
      </c>
      <c r="B1007" s="2">
        <v>45445</v>
      </c>
      <c r="C1007">
        <v>5010</v>
      </c>
      <c r="D1007" t="s">
        <v>2015</v>
      </c>
      <c r="E1007">
        <v>1816.11</v>
      </c>
      <c r="F1007">
        <v>0</v>
      </c>
      <c r="G1007" t="s">
        <v>2019</v>
      </c>
      <c r="H1007" t="s">
        <v>2025</v>
      </c>
      <c r="I1007" t="s">
        <v>3033</v>
      </c>
      <c r="J1007" t="s">
        <v>4028</v>
      </c>
      <c r="K1007" t="s">
        <v>4034</v>
      </c>
      <c r="L1007">
        <v>-1816.11</v>
      </c>
      <c r="N1007">
        <f t="shared" si="45"/>
        <v>-1816.11</v>
      </c>
      <c r="O1007" t="s">
        <v>4104</v>
      </c>
      <c r="P1007" t="str">
        <f t="shared" si="46"/>
        <v xml:space="preserve"> </v>
      </c>
      <c r="Q1007" t="str">
        <f t="shared" si="47"/>
        <v>Unfavorable</v>
      </c>
    </row>
    <row r="1008" spans="1:17">
      <c r="A1008" t="s">
        <v>1018</v>
      </c>
      <c r="B1008" s="2">
        <v>45615</v>
      </c>
      <c r="C1008">
        <v>5000</v>
      </c>
      <c r="D1008" t="s">
        <v>2013</v>
      </c>
      <c r="E1008">
        <v>1309.5</v>
      </c>
      <c r="F1008">
        <v>0</v>
      </c>
      <c r="G1008" t="s">
        <v>2021</v>
      </c>
      <c r="H1008" t="s">
        <v>2024</v>
      </c>
      <c r="I1008" t="s">
        <v>3034</v>
      </c>
      <c r="J1008" t="s">
        <v>4029</v>
      </c>
      <c r="K1008" t="s">
        <v>4043</v>
      </c>
      <c r="L1008">
        <v>-1309.5</v>
      </c>
      <c r="N1008">
        <f t="shared" si="45"/>
        <v>-1309.5</v>
      </c>
      <c r="O1008" t="s">
        <v>4104</v>
      </c>
      <c r="P1008" t="str">
        <f t="shared" si="46"/>
        <v xml:space="preserve"> </v>
      </c>
      <c r="Q1008" t="str">
        <f t="shared" si="47"/>
        <v>Unfavorable</v>
      </c>
    </row>
    <row r="1009" spans="1:17">
      <c r="A1009" t="s">
        <v>1019</v>
      </c>
      <c r="B1009" s="2">
        <v>45101</v>
      </c>
      <c r="C1009">
        <v>5000</v>
      </c>
      <c r="D1009" t="s">
        <v>2013</v>
      </c>
      <c r="E1009">
        <v>316.43</v>
      </c>
      <c r="F1009">
        <v>0</v>
      </c>
      <c r="G1009" t="s">
        <v>2019</v>
      </c>
      <c r="H1009" t="s">
        <v>2027</v>
      </c>
      <c r="I1009" t="s">
        <v>3035</v>
      </c>
      <c r="J1009" t="s">
        <v>4029</v>
      </c>
      <c r="K1009" t="s">
        <v>4055</v>
      </c>
      <c r="L1009">
        <v>-316.43</v>
      </c>
      <c r="N1009">
        <f t="shared" si="45"/>
        <v>-316.43</v>
      </c>
      <c r="O1009" t="s">
        <v>4104</v>
      </c>
      <c r="P1009" t="str">
        <f t="shared" si="46"/>
        <v xml:space="preserve"> </v>
      </c>
      <c r="Q1009" t="str">
        <f t="shared" si="47"/>
        <v>Unfavorable</v>
      </c>
    </row>
    <row r="1010" spans="1:17">
      <c r="A1010" t="s">
        <v>1020</v>
      </c>
      <c r="B1010" s="2">
        <v>45407</v>
      </c>
      <c r="C1010">
        <v>4000</v>
      </c>
      <c r="D1010" t="s">
        <v>2012</v>
      </c>
      <c r="E1010">
        <v>0</v>
      </c>
      <c r="F1010">
        <v>4239.59</v>
      </c>
      <c r="G1010" t="s">
        <v>2017</v>
      </c>
      <c r="H1010" t="s">
        <v>2027</v>
      </c>
      <c r="I1010" t="s">
        <v>3036</v>
      </c>
      <c r="J1010" t="s">
        <v>4029</v>
      </c>
      <c r="K1010" t="s">
        <v>4040</v>
      </c>
      <c r="L1010">
        <v>4239.59</v>
      </c>
      <c r="N1010">
        <f t="shared" si="45"/>
        <v>4239.59</v>
      </c>
      <c r="O1010" t="s">
        <v>4104</v>
      </c>
      <c r="P1010" t="str">
        <f t="shared" si="46"/>
        <v xml:space="preserve"> </v>
      </c>
      <c r="Q1010" t="str">
        <f t="shared" si="47"/>
        <v>Favorable</v>
      </c>
    </row>
    <row r="1011" spans="1:17">
      <c r="A1011" t="s">
        <v>1021</v>
      </c>
      <c r="B1011" s="2">
        <v>45607</v>
      </c>
      <c r="C1011">
        <v>5000</v>
      </c>
      <c r="D1011" t="s">
        <v>2013</v>
      </c>
      <c r="E1011">
        <v>497.55</v>
      </c>
      <c r="F1011">
        <v>0</v>
      </c>
      <c r="G1011" t="s">
        <v>2017</v>
      </c>
      <c r="H1011" t="s">
        <v>2024</v>
      </c>
      <c r="I1011" t="s">
        <v>3037</v>
      </c>
      <c r="J1011" t="s">
        <v>4028</v>
      </c>
      <c r="K1011" t="s">
        <v>4043</v>
      </c>
      <c r="L1011">
        <v>-497.55</v>
      </c>
      <c r="N1011">
        <f t="shared" si="45"/>
        <v>-497.55</v>
      </c>
      <c r="O1011" t="s">
        <v>4104</v>
      </c>
      <c r="P1011" t="str">
        <f t="shared" si="46"/>
        <v xml:space="preserve"> </v>
      </c>
      <c r="Q1011" t="str">
        <f t="shared" si="47"/>
        <v>Unfavorable</v>
      </c>
    </row>
    <row r="1012" spans="1:17">
      <c r="A1012" t="s">
        <v>1022</v>
      </c>
      <c r="B1012" s="2">
        <v>45729</v>
      </c>
      <c r="C1012">
        <v>6000</v>
      </c>
      <c r="D1012" t="s">
        <v>2014</v>
      </c>
      <c r="E1012">
        <v>1978.21</v>
      </c>
      <c r="F1012">
        <v>0</v>
      </c>
      <c r="G1012" t="s">
        <v>2018</v>
      </c>
      <c r="H1012" t="s">
        <v>2023</v>
      </c>
      <c r="I1012" t="s">
        <v>3038</v>
      </c>
      <c r="J1012" t="s">
        <v>4031</v>
      </c>
      <c r="K1012" t="s">
        <v>4046</v>
      </c>
      <c r="L1012">
        <v>-1978.21</v>
      </c>
      <c r="N1012">
        <f t="shared" si="45"/>
        <v>-1978.21</v>
      </c>
      <c r="O1012" t="s">
        <v>4104</v>
      </c>
      <c r="P1012" t="str">
        <f t="shared" si="46"/>
        <v xml:space="preserve"> </v>
      </c>
      <c r="Q1012" t="str">
        <f t="shared" si="47"/>
        <v>Unfavorable</v>
      </c>
    </row>
    <row r="1013" spans="1:17">
      <c r="A1013" t="s">
        <v>1023</v>
      </c>
      <c r="B1013" s="2">
        <v>45055</v>
      </c>
      <c r="C1013">
        <v>5000</v>
      </c>
      <c r="D1013" t="s">
        <v>2013</v>
      </c>
      <c r="E1013">
        <v>1691.11</v>
      </c>
      <c r="F1013">
        <v>0</v>
      </c>
      <c r="G1013" t="s">
        <v>2019</v>
      </c>
      <c r="H1013" t="s">
        <v>2024</v>
      </c>
      <c r="I1013" t="s">
        <v>3039</v>
      </c>
      <c r="J1013" t="s">
        <v>4028</v>
      </c>
      <c r="K1013" t="s">
        <v>4062</v>
      </c>
      <c r="L1013">
        <v>-1691.11</v>
      </c>
      <c r="N1013">
        <f t="shared" si="45"/>
        <v>-1691.11</v>
      </c>
      <c r="O1013" t="s">
        <v>4104</v>
      </c>
      <c r="P1013" t="str">
        <f t="shared" si="46"/>
        <v xml:space="preserve"> </v>
      </c>
      <c r="Q1013" t="str">
        <f t="shared" si="47"/>
        <v>Unfavorable</v>
      </c>
    </row>
    <row r="1014" spans="1:17">
      <c r="A1014" t="s">
        <v>1024</v>
      </c>
      <c r="B1014" s="2">
        <v>45282</v>
      </c>
      <c r="C1014">
        <v>4000</v>
      </c>
      <c r="D1014" t="s">
        <v>2012</v>
      </c>
      <c r="E1014">
        <v>0</v>
      </c>
      <c r="F1014">
        <v>3238.48</v>
      </c>
      <c r="G1014" t="s">
        <v>2017</v>
      </c>
      <c r="H1014" t="s">
        <v>2024</v>
      </c>
      <c r="I1014" t="s">
        <v>3040</v>
      </c>
      <c r="J1014" t="s">
        <v>4028</v>
      </c>
      <c r="K1014" t="s">
        <v>4039</v>
      </c>
      <c r="L1014">
        <v>3238.48</v>
      </c>
      <c r="N1014">
        <f t="shared" si="45"/>
        <v>3238.48</v>
      </c>
      <c r="O1014" t="s">
        <v>4104</v>
      </c>
      <c r="P1014" t="str">
        <f t="shared" si="46"/>
        <v xml:space="preserve"> </v>
      </c>
      <c r="Q1014" t="str">
        <f t="shared" si="47"/>
        <v>Favorable</v>
      </c>
    </row>
    <row r="1015" spans="1:17">
      <c r="A1015" t="s">
        <v>1025</v>
      </c>
      <c r="B1015" s="2">
        <v>44955</v>
      </c>
      <c r="C1015">
        <v>4010</v>
      </c>
      <c r="D1015" t="s">
        <v>2016</v>
      </c>
      <c r="E1015">
        <v>0</v>
      </c>
      <c r="F1015">
        <v>2318.9699999999998</v>
      </c>
      <c r="G1015" t="s">
        <v>2022</v>
      </c>
      <c r="H1015" t="s">
        <v>2023</v>
      </c>
      <c r="I1015" t="s">
        <v>3041</v>
      </c>
      <c r="J1015" t="s">
        <v>4030</v>
      </c>
      <c r="K1015" t="s">
        <v>4047</v>
      </c>
      <c r="L1015">
        <v>2318.9699999999998</v>
      </c>
      <c r="N1015">
        <f t="shared" si="45"/>
        <v>2318.9699999999998</v>
      </c>
      <c r="O1015" t="s">
        <v>4104</v>
      </c>
      <c r="P1015" t="str">
        <f t="shared" si="46"/>
        <v xml:space="preserve"> </v>
      </c>
      <c r="Q1015" t="str">
        <f t="shared" si="47"/>
        <v>Favorable</v>
      </c>
    </row>
    <row r="1016" spans="1:17">
      <c r="A1016" t="s">
        <v>1026</v>
      </c>
      <c r="B1016" s="2">
        <v>45255</v>
      </c>
      <c r="C1016">
        <v>5000</v>
      </c>
      <c r="D1016" t="s">
        <v>2013</v>
      </c>
      <c r="E1016">
        <v>683.66</v>
      </c>
      <c r="F1016">
        <v>0</v>
      </c>
      <c r="G1016" t="s">
        <v>2018</v>
      </c>
      <c r="H1016" t="s">
        <v>2026</v>
      </c>
      <c r="I1016" t="s">
        <v>3042</v>
      </c>
      <c r="J1016" t="s">
        <v>4030</v>
      </c>
      <c r="K1016" t="s">
        <v>4042</v>
      </c>
      <c r="L1016">
        <v>-683.66</v>
      </c>
      <c r="N1016">
        <f t="shared" si="45"/>
        <v>-683.66</v>
      </c>
      <c r="O1016" t="s">
        <v>4104</v>
      </c>
      <c r="P1016" t="str">
        <f t="shared" si="46"/>
        <v xml:space="preserve"> </v>
      </c>
      <c r="Q1016" t="str">
        <f t="shared" si="47"/>
        <v>Unfavorable</v>
      </c>
    </row>
    <row r="1017" spans="1:17">
      <c r="A1017" t="s">
        <v>1027</v>
      </c>
      <c r="B1017" s="2">
        <v>45087</v>
      </c>
      <c r="C1017">
        <v>6000</v>
      </c>
      <c r="D1017" t="s">
        <v>2014</v>
      </c>
      <c r="E1017">
        <v>1309.76</v>
      </c>
      <c r="F1017">
        <v>0</v>
      </c>
      <c r="G1017" t="s">
        <v>2018</v>
      </c>
      <c r="H1017" t="s">
        <v>2023</v>
      </c>
      <c r="I1017" t="s">
        <v>3043</v>
      </c>
      <c r="J1017" t="s">
        <v>4030</v>
      </c>
      <c r="K1017" t="s">
        <v>4055</v>
      </c>
      <c r="L1017">
        <v>-1309.76</v>
      </c>
      <c r="N1017">
        <f t="shared" si="45"/>
        <v>-1309.76</v>
      </c>
      <c r="O1017" t="s">
        <v>4104</v>
      </c>
      <c r="P1017" t="str">
        <f t="shared" si="46"/>
        <v xml:space="preserve"> </v>
      </c>
      <c r="Q1017" t="str">
        <f t="shared" si="47"/>
        <v>Unfavorable</v>
      </c>
    </row>
    <row r="1018" spans="1:17">
      <c r="A1018" t="s">
        <v>1028</v>
      </c>
      <c r="B1018" s="2">
        <v>45017</v>
      </c>
      <c r="C1018">
        <v>6000</v>
      </c>
      <c r="D1018" t="s">
        <v>2014</v>
      </c>
      <c r="E1018">
        <v>988.94</v>
      </c>
      <c r="F1018">
        <v>0</v>
      </c>
      <c r="G1018" t="s">
        <v>2022</v>
      </c>
      <c r="H1018" t="s">
        <v>2026</v>
      </c>
      <c r="I1018" t="s">
        <v>3044</v>
      </c>
      <c r="J1018" t="s">
        <v>4031</v>
      </c>
      <c r="K1018" t="s">
        <v>4041</v>
      </c>
      <c r="L1018">
        <v>-988.94</v>
      </c>
      <c r="N1018">
        <f t="shared" si="45"/>
        <v>-988.94</v>
      </c>
      <c r="O1018" t="s">
        <v>4104</v>
      </c>
      <c r="P1018" t="str">
        <f t="shared" si="46"/>
        <v xml:space="preserve"> </v>
      </c>
      <c r="Q1018" t="str">
        <f t="shared" si="47"/>
        <v>Unfavorable</v>
      </c>
    </row>
    <row r="1019" spans="1:17">
      <c r="A1019" t="s">
        <v>1029</v>
      </c>
      <c r="B1019" s="2">
        <v>45642</v>
      </c>
      <c r="C1019">
        <v>4000</v>
      </c>
      <c r="D1019" t="s">
        <v>2012</v>
      </c>
      <c r="E1019">
        <v>0</v>
      </c>
      <c r="F1019">
        <v>3981.75</v>
      </c>
      <c r="G1019" t="s">
        <v>2021</v>
      </c>
      <c r="H1019" t="s">
        <v>2025</v>
      </c>
      <c r="I1019" t="s">
        <v>3045</v>
      </c>
      <c r="J1019" t="s">
        <v>4030</v>
      </c>
      <c r="K1019" t="s">
        <v>4056</v>
      </c>
      <c r="L1019">
        <v>3981.75</v>
      </c>
      <c r="N1019">
        <f t="shared" si="45"/>
        <v>3981.75</v>
      </c>
      <c r="O1019" t="s">
        <v>4104</v>
      </c>
      <c r="P1019" t="str">
        <f t="shared" si="46"/>
        <v xml:space="preserve"> </v>
      </c>
      <c r="Q1019" t="str">
        <f t="shared" si="47"/>
        <v>Favorable</v>
      </c>
    </row>
    <row r="1020" spans="1:17">
      <c r="A1020" t="s">
        <v>1030</v>
      </c>
      <c r="B1020" s="2">
        <v>45669</v>
      </c>
      <c r="C1020">
        <v>4010</v>
      </c>
      <c r="D1020" t="s">
        <v>2016</v>
      </c>
      <c r="E1020">
        <v>0</v>
      </c>
      <c r="F1020">
        <v>4727.49</v>
      </c>
      <c r="G1020" t="s">
        <v>2021</v>
      </c>
      <c r="H1020" t="s">
        <v>2024</v>
      </c>
      <c r="I1020" t="s">
        <v>3046</v>
      </c>
      <c r="J1020" t="s">
        <v>4031</v>
      </c>
      <c r="K1020" t="s">
        <v>4035</v>
      </c>
      <c r="L1020">
        <v>4727.49</v>
      </c>
      <c r="N1020">
        <f t="shared" si="45"/>
        <v>4727.49</v>
      </c>
      <c r="O1020" t="s">
        <v>4104</v>
      </c>
      <c r="P1020" t="str">
        <f t="shared" si="46"/>
        <v xml:space="preserve"> </v>
      </c>
      <c r="Q1020" t="str">
        <f t="shared" si="47"/>
        <v>Favorable</v>
      </c>
    </row>
    <row r="1021" spans="1:17">
      <c r="A1021" t="s">
        <v>1031</v>
      </c>
      <c r="B1021" s="2">
        <v>45226</v>
      </c>
      <c r="C1021">
        <v>4000</v>
      </c>
      <c r="D1021" t="s">
        <v>2012</v>
      </c>
      <c r="E1021">
        <v>0</v>
      </c>
      <c r="F1021">
        <v>4557.5600000000004</v>
      </c>
      <c r="G1021" t="s">
        <v>2020</v>
      </c>
      <c r="H1021" t="s">
        <v>2026</v>
      </c>
      <c r="I1021" t="s">
        <v>3047</v>
      </c>
      <c r="J1021" t="s">
        <v>4032</v>
      </c>
      <c r="K1021" t="s">
        <v>4060</v>
      </c>
      <c r="L1021">
        <v>4557.5600000000004</v>
      </c>
      <c r="N1021">
        <f t="shared" si="45"/>
        <v>4557.5600000000004</v>
      </c>
      <c r="O1021" t="s">
        <v>4104</v>
      </c>
      <c r="P1021" t="str">
        <f t="shared" si="46"/>
        <v xml:space="preserve"> </v>
      </c>
      <c r="Q1021" t="str">
        <f t="shared" si="47"/>
        <v>Favorable</v>
      </c>
    </row>
    <row r="1022" spans="1:17">
      <c r="A1022" t="s">
        <v>1032</v>
      </c>
      <c r="B1022" s="2">
        <v>45540</v>
      </c>
      <c r="C1022">
        <v>5000</v>
      </c>
      <c r="D1022" t="s">
        <v>2013</v>
      </c>
      <c r="E1022">
        <v>402.15</v>
      </c>
      <c r="F1022">
        <v>0</v>
      </c>
      <c r="G1022" t="s">
        <v>2022</v>
      </c>
      <c r="H1022" t="s">
        <v>2023</v>
      </c>
      <c r="I1022" t="s">
        <v>3048</v>
      </c>
      <c r="J1022" t="s">
        <v>4029</v>
      </c>
      <c r="K1022" t="s">
        <v>4048</v>
      </c>
      <c r="L1022">
        <v>-402.15</v>
      </c>
      <c r="N1022">
        <f t="shared" si="45"/>
        <v>-402.15</v>
      </c>
      <c r="O1022" t="s">
        <v>4104</v>
      </c>
      <c r="P1022" t="str">
        <f t="shared" si="46"/>
        <v xml:space="preserve"> </v>
      </c>
      <c r="Q1022" t="str">
        <f t="shared" si="47"/>
        <v>Unfavorable</v>
      </c>
    </row>
    <row r="1023" spans="1:17">
      <c r="A1023" t="s">
        <v>1033</v>
      </c>
      <c r="B1023" s="2">
        <v>45811</v>
      </c>
      <c r="C1023">
        <v>4000</v>
      </c>
      <c r="D1023" t="s">
        <v>2012</v>
      </c>
      <c r="E1023">
        <v>0</v>
      </c>
      <c r="F1023">
        <v>1210.2</v>
      </c>
      <c r="G1023" t="s">
        <v>2018</v>
      </c>
      <c r="H1023" t="s">
        <v>2023</v>
      </c>
      <c r="I1023" t="s">
        <v>3049</v>
      </c>
      <c r="J1023" t="s">
        <v>4031</v>
      </c>
      <c r="K1023" t="s">
        <v>4052</v>
      </c>
      <c r="L1023">
        <v>1210.2</v>
      </c>
      <c r="N1023">
        <f t="shared" si="45"/>
        <v>1210.2</v>
      </c>
      <c r="O1023" t="s">
        <v>4104</v>
      </c>
      <c r="P1023" t="str">
        <f t="shared" si="46"/>
        <v xml:space="preserve"> </v>
      </c>
      <c r="Q1023" t="str">
        <f t="shared" si="47"/>
        <v>Favorable</v>
      </c>
    </row>
    <row r="1024" spans="1:17">
      <c r="A1024" t="s">
        <v>1034</v>
      </c>
      <c r="B1024" s="2">
        <v>44949</v>
      </c>
      <c r="C1024">
        <v>4000</v>
      </c>
      <c r="D1024" t="s">
        <v>2012</v>
      </c>
      <c r="E1024">
        <v>0</v>
      </c>
      <c r="F1024">
        <v>256.32</v>
      </c>
      <c r="G1024" t="s">
        <v>2017</v>
      </c>
      <c r="H1024" t="s">
        <v>2023</v>
      </c>
      <c r="I1024" t="s">
        <v>3050</v>
      </c>
      <c r="J1024" t="s">
        <v>4032</v>
      </c>
      <c r="K1024" t="s">
        <v>4047</v>
      </c>
      <c r="L1024">
        <v>256.32</v>
      </c>
      <c r="N1024">
        <f t="shared" si="45"/>
        <v>256.32</v>
      </c>
      <c r="O1024" t="s">
        <v>4104</v>
      </c>
      <c r="P1024" t="str">
        <f t="shared" si="46"/>
        <v xml:space="preserve"> </v>
      </c>
      <c r="Q1024" t="str">
        <f t="shared" si="47"/>
        <v>Favorable</v>
      </c>
    </row>
    <row r="1025" spans="1:17">
      <c r="A1025" t="s">
        <v>1035</v>
      </c>
      <c r="B1025" s="2">
        <v>45584</v>
      </c>
      <c r="C1025">
        <v>5000</v>
      </c>
      <c r="D1025" t="s">
        <v>2013</v>
      </c>
      <c r="E1025">
        <v>1493.77</v>
      </c>
      <c r="F1025">
        <v>0</v>
      </c>
      <c r="G1025" t="s">
        <v>2018</v>
      </c>
      <c r="H1025" t="s">
        <v>2026</v>
      </c>
      <c r="I1025" t="s">
        <v>3051</v>
      </c>
      <c r="J1025" t="s">
        <v>4032</v>
      </c>
      <c r="K1025" t="s">
        <v>4059</v>
      </c>
      <c r="L1025">
        <v>-1493.77</v>
      </c>
      <c r="N1025">
        <f t="shared" si="45"/>
        <v>-1493.77</v>
      </c>
      <c r="O1025" t="s">
        <v>4104</v>
      </c>
      <c r="P1025" t="str">
        <f t="shared" si="46"/>
        <v xml:space="preserve"> </v>
      </c>
      <c r="Q1025" t="str">
        <f t="shared" si="47"/>
        <v>Unfavorable</v>
      </c>
    </row>
    <row r="1026" spans="1:17">
      <c r="A1026" t="s">
        <v>1036</v>
      </c>
      <c r="B1026" s="2">
        <v>45332</v>
      </c>
      <c r="C1026">
        <v>6000</v>
      </c>
      <c r="D1026" t="s">
        <v>2014</v>
      </c>
      <c r="E1026">
        <v>1946.64</v>
      </c>
      <c r="F1026">
        <v>0</v>
      </c>
      <c r="G1026" t="s">
        <v>2021</v>
      </c>
      <c r="H1026" t="s">
        <v>2025</v>
      </c>
      <c r="I1026" t="s">
        <v>3052</v>
      </c>
      <c r="J1026" t="s">
        <v>4032</v>
      </c>
      <c r="K1026" t="s">
        <v>4044</v>
      </c>
      <c r="L1026">
        <v>-1946.64</v>
      </c>
      <c r="N1026">
        <f t="shared" si="45"/>
        <v>-1946.64</v>
      </c>
      <c r="O1026" t="s">
        <v>4104</v>
      </c>
      <c r="P1026" t="str">
        <f t="shared" si="46"/>
        <v xml:space="preserve"> </v>
      </c>
      <c r="Q1026" t="str">
        <f t="shared" si="47"/>
        <v>Unfavorable</v>
      </c>
    </row>
    <row r="1027" spans="1:17">
      <c r="A1027" t="s">
        <v>1037</v>
      </c>
      <c r="B1027" s="2">
        <v>44943</v>
      </c>
      <c r="C1027">
        <v>4010</v>
      </c>
      <c r="D1027" t="s">
        <v>2016</v>
      </c>
      <c r="E1027">
        <v>0</v>
      </c>
      <c r="F1027">
        <v>3890.34</v>
      </c>
      <c r="G1027" t="s">
        <v>2022</v>
      </c>
      <c r="H1027" t="s">
        <v>2024</v>
      </c>
      <c r="I1027" t="s">
        <v>3053</v>
      </c>
      <c r="J1027" t="s">
        <v>4030</v>
      </c>
      <c r="K1027" t="s">
        <v>4047</v>
      </c>
      <c r="L1027">
        <v>3890.34</v>
      </c>
      <c r="N1027">
        <f t="shared" ref="N1027:N1090" si="48">L:L-M:M</f>
        <v>3890.34</v>
      </c>
      <c r="O1027" t="s">
        <v>4104</v>
      </c>
      <c r="P1027" t="str">
        <f t="shared" ref="P1027:P1090" si="49">IF(AND(ABS(N:N)&gt;10000,M:M&lt;&gt;0),"Material", " ")</f>
        <v xml:space="preserve"> </v>
      </c>
      <c r="Q1027" t="str">
        <f t="shared" ref="Q1027:Q1090" si="50">IF(N:N&gt;0,"Favorable","Unfavorable")</f>
        <v>Favorable</v>
      </c>
    </row>
    <row r="1028" spans="1:17">
      <c r="A1028" t="s">
        <v>1038</v>
      </c>
      <c r="B1028" s="2">
        <v>45406</v>
      </c>
      <c r="C1028">
        <v>5010</v>
      </c>
      <c r="D1028" t="s">
        <v>2015</v>
      </c>
      <c r="E1028">
        <v>1085.95</v>
      </c>
      <c r="F1028">
        <v>0</v>
      </c>
      <c r="G1028" t="s">
        <v>2017</v>
      </c>
      <c r="H1028" t="s">
        <v>2026</v>
      </c>
      <c r="I1028" t="s">
        <v>3054</v>
      </c>
      <c r="J1028" t="s">
        <v>4030</v>
      </c>
      <c r="K1028" t="s">
        <v>4040</v>
      </c>
      <c r="L1028">
        <v>-1085.95</v>
      </c>
      <c r="N1028">
        <f t="shared" si="48"/>
        <v>-1085.95</v>
      </c>
      <c r="O1028" t="s">
        <v>4104</v>
      </c>
      <c r="P1028" t="str">
        <f t="shared" si="49"/>
        <v xml:space="preserve"> </v>
      </c>
      <c r="Q1028" t="str">
        <f t="shared" si="50"/>
        <v>Unfavorable</v>
      </c>
    </row>
    <row r="1029" spans="1:17">
      <c r="A1029" t="s">
        <v>1039</v>
      </c>
      <c r="B1029" s="2">
        <v>45721</v>
      </c>
      <c r="C1029">
        <v>6000</v>
      </c>
      <c r="D1029" t="s">
        <v>2014</v>
      </c>
      <c r="E1029">
        <v>1425.4</v>
      </c>
      <c r="F1029">
        <v>0</v>
      </c>
      <c r="G1029" t="s">
        <v>2018</v>
      </c>
      <c r="H1029" t="s">
        <v>2024</v>
      </c>
      <c r="I1029" t="s">
        <v>3055</v>
      </c>
      <c r="J1029" t="s">
        <v>4030</v>
      </c>
      <c r="K1029" t="s">
        <v>4046</v>
      </c>
      <c r="L1029">
        <v>-1425.4</v>
      </c>
      <c r="N1029">
        <f t="shared" si="48"/>
        <v>-1425.4</v>
      </c>
      <c r="O1029" t="s">
        <v>4104</v>
      </c>
      <c r="P1029" t="str">
        <f t="shared" si="49"/>
        <v xml:space="preserve"> </v>
      </c>
      <c r="Q1029" t="str">
        <f t="shared" si="50"/>
        <v>Unfavorable</v>
      </c>
    </row>
    <row r="1030" spans="1:17">
      <c r="A1030" t="s">
        <v>1040</v>
      </c>
      <c r="B1030" s="2">
        <v>45510</v>
      </c>
      <c r="C1030">
        <v>5010</v>
      </c>
      <c r="D1030" t="s">
        <v>2015</v>
      </c>
      <c r="E1030">
        <v>910.93</v>
      </c>
      <c r="F1030">
        <v>0</v>
      </c>
      <c r="G1030" t="s">
        <v>2020</v>
      </c>
      <c r="H1030" t="s">
        <v>2024</v>
      </c>
      <c r="I1030" t="s">
        <v>3056</v>
      </c>
      <c r="J1030" t="s">
        <v>4028</v>
      </c>
      <c r="K1030" t="s">
        <v>4058</v>
      </c>
      <c r="L1030">
        <v>-910.93</v>
      </c>
      <c r="N1030">
        <f t="shared" si="48"/>
        <v>-910.93</v>
      </c>
      <c r="O1030" t="s">
        <v>4104</v>
      </c>
      <c r="P1030" t="str">
        <f t="shared" si="49"/>
        <v xml:space="preserve"> </v>
      </c>
      <c r="Q1030" t="str">
        <f t="shared" si="50"/>
        <v>Unfavorable</v>
      </c>
    </row>
    <row r="1031" spans="1:17">
      <c r="A1031" t="s">
        <v>1041</v>
      </c>
      <c r="B1031" s="2">
        <v>45574</v>
      </c>
      <c r="C1031">
        <v>6000</v>
      </c>
      <c r="D1031" t="s">
        <v>2014</v>
      </c>
      <c r="E1031">
        <v>973.12</v>
      </c>
      <c r="F1031">
        <v>0</v>
      </c>
      <c r="G1031" t="s">
        <v>2019</v>
      </c>
      <c r="H1031" t="s">
        <v>2027</v>
      </c>
      <c r="I1031" t="s">
        <v>3057</v>
      </c>
      <c r="J1031" t="s">
        <v>4028</v>
      </c>
      <c r="K1031" t="s">
        <v>4059</v>
      </c>
      <c r="L1031">
        <v>-973.12</v>
      </c>
      <c r="N1031">
        <f t="shared" si="48"/>
        <v>-973.12</v>
      </c>
      <c r="O1031" t="s">
        <v>4104</v>
      </c>
      <c r="P1031" t="str">
        <f t="shared" si="49"/>
        <v xml:space="preserve"> </v>
      </c>
      <c r="Q1031" t="str">
        <f t="shared" si="50"/>
        <v>Unfavorable</v>
      </c>
    </row>
    <row r="1032" spans="1:17">
      <c r="A1032" t="s">
        <v>1042</v>
      </c>
      <c r="B1032" s="2">
        <v>45255</v>
      </c>
      <c r="C1032">
        <v>4010</v>
      </c>
      <c r="D1032" t="s">
        <v>2016</v>
      </c>
      <c r="E1032">
        <v>0</v>
      </c>
      <c r="F1032">
        <v>3221.92</v>
      </c>
      <c r="G1032" t="s">
        <v>2017</v>
      </c>
      <c r="H1032" t="s">
        <v>2025</v>
      </c>
      <c r="I1032" t="s">
        <v>3058</v>
      </c>
      <c r="J1032" t="s">
        <v>4031</v>
      </c>
      <c r="K1032" t="s">
        <v>4042</v>
      </c>
      <c r="L1032">
        <v>3221.92</v>
      </c>
      <c r="N1032">
        <f t="shared" si="48"/>
        <v>3221.92</v>
      </c>
      <c r="O1032" t="s">
        <v>4104</v>
      </c>
      <c r="P1032" t="str">
        <f t="shared" si="49"/>
        <v xml:space="preserve"> </v>
      </c>
      <c r="Q1032" t="str">
        <f t="shared" si="50"/>
        <v>Favorable</v>
      </c>
    </row>
    <row r="1033" spans="1:17">
      <c r="A1033" t="s">
        <v>1043</v>
      </c>
      <c r="B1033" s="2">
        <v>45499</v>
      </c>
      <c r="C1033">
        <v>4010</v>
      </c>
      <c r="D1033" t="s">
        <v>2016</v>
      </c>
      <c r="E1033">
        <v>0</v>
      </c>
      <c r="F1033">
        <v>4508.8599999999997</v>
      </c>
      <c r="G1033" t="s">
        <v>2019</v>
      </c>
      <c r="H1033" t="s">
        <v>2024</v>
      </c>
      <c r="I1033" t="s">
        <v>3059</v>
      </c>
      <c r="J1033" t="s">
        <v>4032</v>
      </c>
      <c r="K1033" t="s">
        <v>4054</v>
      </c>
      <c r="L1033">
        <v>4508.8599999999997</v>
      </c>
      <c r="N1033">
        <f t="shared" si="48"/>
        <v>4508.8599999999997</v>
      </c>
      <c r="O1033" t="s">
        <v>4104</v>
      </c>
      <c r="P1033" t="str">
        <f t="shared" si="49"/>
        <v xml:space="preserve"> </v>
      </c>
      <c r="Q1033" t="str">
        <f t="shared" si="50"/>
        <v>Favorable</v>
      </c>
    </row>
    <row r="1034" spans="1:17">
      <c r="A1034" t="s">
        <v>1044</v>
      </c>
      <c r="B1034" s="2">
        <v>44970</v>
      </c>
      <c r="C1034">
        <v>4010</v>
      </c>
      <c r="D1034" t="s">
        <v>2016</v>
      </c>
      <c r="E1034">
        <v>0</v>
      </c>
      <c r="F1034">
        <v>882.66</v>
      </c>
      <c r="G1034" t="s">
        <v>2020</v>
      </c>
      <c r="H1034" t="s">
        <v>2025</v>
      </c>
      <c r="I1034" t="s">
        <v>3060</v>
      </c>
      <c r="J1034" t="s">
        <v>4031</v>
      </c>
      <c r="K1034" t="s">
        <v>4057</v>
      </c>
      <c r="L1034">
        <v>882.66</v>
      </c>
      <c r="N1034">
        <f t="shared" si="48"/>
        <v>882.66</v>
      </c>
      <c r="O1034" t="s">
        <v>4104</v>
      </c>
      <c r="P1034" t="str">
        <f t="shared" si="49"/>
        <v xml:space="preserve"> </v>
      </c>
      <c r="Q1034" t="str">
        <f t="shared" si="50"/>
        <v>Favorable</v>
      </c>
    </row>
    <row r="1035" spans="1:17">
      <c r="A1035" t="s">
        <v>1045</v>
      </c>
      <c r="B1035" s="2">
        <v>45370</v>
      </c>
      <c r="C1035">
        <v>6000</v>
      </c>
      <c r="D1035" t="s">
        <v>2014</v>
      </c>
      <c r="E1035">
        <v>432.35</v>
      </c>
      <c r="F1035">
        <v>0</v>
      </c>
      <c r="G1035" t="s">
        <v>2019</v>
      </c>
      <c r="H1035" t="s">
        <v>2024</v>
      </c>
      <c r="I1035" t="s">
        <v>3061</v>
      </c>
      <c r="J1035" t="s">
        <v>4032</v>
      </c>
      <c r="K1035" t="s">
        <v>4049</v>
      </c>
      <c r="L1035">
        <v>-432.35</v>
      </c>
      <c r="N1035">
        <f t="shared" si="48"/>
        <v>-432.35</v>
      </c>
      <c r="O1035" t="s">
        <v>4104</v>
      </c>
      <c r="P1035" t="str">
        <f t="shared" si="49"/>
        <v xml:space="preserve"> </v>
      </c>
      <c r="Q1035" t="str">
        <f t="shared" si="50"/>
        <v>Unfavorable</v>
      </c>
    </row>
    <row r="1036" spans="1:17">
      <c r="A1036" t="s">
        <v>1046</v>
      </c>
      <c r="B1036" s="2">
        <v>45050</v>
      </c>
      <c r="C1036">
        <v>4000</v>
      </c>
      <c r="D1036" t="s">
        <v>2012</v>
      </c>
      <c r="E1036">
        <v>0</v>
      </c>
      <c r="F1036">
        <v>1578.7</v>
      </c>
      <c r="G1036" t="s">
        <v>2020</v>
      </c>
      <c r="H1036" t="s">
        <v>2027</v>
      </c>
      <c r="I1036" t="s">
        <v>3062</v>
      </c>
      <c r="J1036" t="s">
        <v>4031</v>
      </c>
      <c r="K1036" t="s">
        <v>4062</v>
      </c>
      <c r="L1036">
        <v>1578.7</v>
      </c>
      <c r="N1036">
        <f t="shared" si="48"/>
        <v>1578.7</v>
      </c>
      <c r="O1036" t="s">
        <v>4104</v>
      </c>
      <c r="P1036" t="str">
        <f t="shared" si="49"/>
        <v xml:space="preserve"> </v>
      </c>
      <c r="Q1036" t="str">
        <f t="shared" si="50"/>
        <v>Favorable</v>
      </c>
    </row>
    <row r="1037" spans="1:17">
      <c r="A1037" t="s">
        <v>1047</v>
      </c>
      <c r="B1037" s="2">
        <v>45117</v>
      </c>
      <c r="C1037">
        <v>6000</v>
      </c>
      <c r="D1037" t="s">
        <v>2014</v>
      </c>
      <c r="E1037">
        <v>880.83</v>
      </c>
      <c r="F1037">
        <v>0</v>
      </c>
      <c r="G1037" t="s">
        <v>2020</v>
      </c>
      <c r="H1037" t="s">
        <v>2023</v>
      </c>
      <c r="I1037" t="s">
        <v>3063</v>
      </c>
      <c r="J1037" t="s">
        <v>4028</v>
      </c>
      <c r="K1037" t="s">
        <v>4050</v>
      </c>
      <c r="L1037">
        <v>-880.83</v>
      </c>
      <c r="N1037">
        <f t="shared" si="48"/>
        <v>-880.83</v>
      </c>
      <c r="O1037" t="s">
        <v>4104</v>
      </c>
      <c r="P1037" t="str">
        <f t="shared" si="49"/>
        <v xml:space="preserve"> </v>
      </c>
      <c r="Q1037" t="str">
        <f t="shared" si="50"/>
        <v>Unfavorable</v>
      </c>
    </row>
    <row r="1038" spans="1:17">
      <c r="A1038" t="s">
        <v>1048</v>
      </c>
      <c r="B1038" s="2">
        <v>45392</v>
      </c>
      <c r="C1038">
        <v>4000</v>
      </c>
      <c r="D1038" t="s">
        <v>2012</v>
      </c>
      <c r="E1038">
        <v>0</v>
      </c>
      <c r="F1038">
        <v>1378.62</v>
      </c>
      <c r="G1038" t="s">
        <v>2019</v>
      </c>
      <c r="H1038" t="s">
        <v>2023</v>
      </c>
      <c r="I1038" t="s">
        <v>3064</v>
      </c>
      <c r="J1038" t="s">
        <v>4030</v>
      </c>
      <c r="K1038" t="s">
        <v>4040</v>
      </c>
      <c r="L1038">
        <v>1378.62</v>
      </c>
      <c r="N1038">
        <f t="shared" si="48"/>
        <v>1378.62</v>
      </c>
      <c r="O1038" t="s">
        <v>4104</v>
      </c>
      <c r="P1038" t="str">
        <f t="shared" si="49"/>
        <v xml:space="preserve"> </v>
      </c>
      <c r="Q1038" t="str">
        <f t="shared" si="50"/>
        <v>Favorable</v>
      </c>
    </row>
    <row r="1039" spans="1:17">
      <c r="A1039" t="s">
        <v>1049</v>
      </c>
      <c r="B1039" s="2">
        <v>45371</v>
      </c>
      <c r="C1039">
        <v>4000</v>
      </c>
      <c r="D1039" t="s">
        <v>2012</v>
      </c>
      <c r="E1039">
        <v>0</v>
      </c>
      <c r="F1039">
        <v>1884.23</v>
      </c>
      <c r="G1039" t="s">
        <v>2022</v>
      </c>
      <c r="H1039" t="s">
        <v>2023</v>
      </c>
      <c r="I1039" t="s">
        <v>3065</v>
      </c>
      <c r="J1039" t="s">
        <v>4031</v>
      </c>
      <c r="K1039" t="s">
        <v>4049</v>
      </c>
      <c r="L1039">
        <v>1884.23</v>
      </c>
      <c r="N1039">
        <f t="shared" si="48"/>
        <v>1884.23</v>
      </c>
      <c r="O1039" t="s">
        <v>4104</v>
      </c>
      <c r="P1039" t="str">
        <f t="shared" si="49"/>
        <v xml:space="preserve"> </v>
      </c>
      <c r="Q1039" t="str">
        <f t="shared" si="50"/>
        <v>Favorable</v>
      </c>
    </row>
    <row r="1040" spans="1:17">
      <c r="A1040" t="s">
        <v>1050</v>
      </c>
      <c r="B1040" s="2">
        <v>45429</v>
      </c>
      <c r="C1040">
        <v>5000</v>
      </c>
      <c r="D1040" t="s">
        <v>2013</v>
      </c>
      <c r="E1040">
        <v>398.06</v>
      </c>
      <c r="F1040">
        <v>0</v>
      </c>
      <c r="G1040" t="s">
        <v>2021</v>
      </c>
      <c r="H1040" t="s">
        <v>2026</v>
      </c>
      <c r="I1040" t="s">
        <v>3066</v>
      </c>
      <c r="J1040" t="s">
        <v>4028</v>
      </c>
      <c r="K1040" t="s">
        <v>4033</v>
      </c>
      <c r="L1040">
        <v>-398.06</v>
      </c>
      <c r="N1040">
        <f t="shared" si="48"/>
        <v>-398.06</v>
      </c>
      <c r="O1040" t="s">
        <v>4104</v>
      </c>
      <c r="P1040" t="str">
        <f t="shared" si="49"/>
        <v xml:space="preserve"> </v>
      </c>
      <c r="Q1040" t="str">
        <f t="shared" si="50"/>
        <v>Unfavorable</v>
      </c>
    </row>
    <row r="1041" spans="1:17">
      <c r="A1041" t="s">
        <v>1051</v>
      </c>
      <c r="B1041" s="2">
        <v>45093</v>
      </c>
      <c r="C1041">
        <v>6000</v>
      </c>
      <c r="D1041" t="s">
        <v>2014</v>
      </c>
      <c r="E1041">
        <v>1030.76</v>
      </c>
      <c r="F1041">
        <v>0</v>
      </c>
      <c r="G1041" t="s">
        <v>2019</v>
      </c>
      <c r="H1041" t="s">
        <v>2023</v>
      </c>
      <c r="I1041" t="s">
        <v>3067</v>
      </c>
      <c r="J1041" t="s">
        <v>4029</v>
      </c>
      <c r="K1041" t="s">
        <v>4055</v>
      </c>
      <c r="L1041">
        <v>-1030.76</v>
      </c>
      <c r="N1041">
        <f t="shared" si="48"/>
        <v>-1030.76</v>
      </c>
      <c r="O1041" t="s">
        <v>4104</v>
      </c>
      <c r="P1041" t="str">
        <f t="shared" si="49"/>
        <v xml:space="preserve"> </v>
      </c>
      <c r="Q1041" t="str">
        <f t="shared" si="50"/>
        <v>Unfavorable</v>
      </c>
    </row>
    <row r="1042" spans="1:17">
      <c r="A1042" t="s">
        <v>1052</v>
      </c>
      <c r="B1042" s="2">
        <v>45195</v>
      </c>
      <c r="C1042">
        <v>5010</v>
      </c>
      <c r="D1042" t="s">
        <v>2015</v>
      </c>
      <c r="E1042">
        <v>1713</v>
      </c>
      <c r="F1042">
        <v>0</v>
      </c>
      <c r="G1042" t="s">
        <v>2021</v>
      </c>
      <c r="H1042" t="s">
        <v>2026</v>
      </c>
      <c r="I1042" t="s">
        <v>3068</v>
      </c>
      <c r="J1042" t="s">
        <v>4030</v>
      </c>
      <c r="K1042" t="s">
        <v>4036</v>
      </c>
      <c r="L1042">
        <v>-1713</v>
      </c>
      <c r="N1042">
        <f t="shared" si="48"/>
        <v>-1713</v>
      </c>
      <c r="O1042" t="s">
        <v>4104</v>
      </c>
      <c r="P1042" t="str">
        <f t="shared" si="49"/>
        <v xml:space="preserve"> </v>
      </c>
      <c r="Q1042" t="str">
        <f t="shared" si="50"/>
        <v>Unfavorable</v>
      </c>
    </row>
    <row r="1043" spans="1:17">
      <c r="A1043" t="s">
        <v>1053</v>
      </c>
      <c r="B1043" s="2">
        <v>45573</v>
      </c>
      <c r="C1043">
        <v>4000</v>
      </c>
      <c r="D1043" t="s">
        <v>2012</v>
      </c>
      <c r="E1043">
        <v>0</v>
      </c>
      <c r="F1043">
        <v>3214.89</v>
      </c>
      <c r="G1043" t="s">
        <v>2019</v>
      </c>
      <c r="H1043" t="s">
        <v>2023</v>
      </c>
      <c r="I1043" t="s">
        <v>3069</v>
      </c>
      <c r="J1043" t="s">
        <v>4030</v>
      </c>
      <c r="K1043" t="s">
        <v>4059</v>
      </c>
      <c r="L1043">
        <v>3214.89</v>
      </c>
      <c r="N1043">
        <f t="shared" si="48"/>
        <v>3214.89</v>
      </c>
      <c r="O1043" t="s">
        <v>4104</v>
      </c>
      <c r="P1043" t="str">
        <f t="shared" si="49"/>
        <v xml:space="preserve"> </v>
      </c>
      <c r="Q1043" t="str">
        <f t="shared" si="50"/>
        <v>Favorable</v>
      </c>
    </row>
    <row r="1044" spans="1:17">
      <c r="A1044" t="s">
        <v>1054</v>
      </c>
      <c r="B1044" s="2">
        <v>45364</v>
      </c>
      <c r="C1044">
        <v>4000</v>
      </c>
      <c r="D1044" t="s">
        <v>2012</v>
      </c>
      <c r="E1044">
        <v>0</v>
      </c>
      <c r="F1044">
        <v>284.06</v>
      </c>
      <c r="G1044" t="s">
        <v>2022</v>
      </c>
      <c r="H1044" t="s">
        <v>2023</v>
      </c>
      <c r="I1044" t="s">
        <v>3070</v>
      </c>
      <c r="J1044" t="s">
        <v>4030</v>
      </c>
      <c r="K1044" t="s">
        <v>4049</v>
      </c>
      <c r="L1044">
        <v>284.06</v>
      </c>
      <c r="N1044">
        <f t="shared" si="48"/>
        <v>284.06</v>
      </c>
      <c r="O1044" t="s">
        <v>4104</v>
      </c>
      <c r="P1044" t="str">
        <f t="shared" si="49"/>
        <v xml:space="preserve"> </v>
      </c>
      <c r="Q1044" t="str">
        <f t="shared" si="50"/>
        <v>Favorable</v>
      </c>
    </row>
    <row r="1045" spans="1:17">
      <c r="A1045" t="s">
        <v>1055</v>
      </c>
      <c r="B1045" s="2">
        <v>45236</v>
      </c>
      <c r="C1045">
        <v>4010</v>
      </c>
      <c r="D1045" t="s">
        <v>2016</v>
      </c>
      <c r="E1045">
        <v>0</v>
      </c>
      <c r="F1045">
        <v>3835.49</v>
      </c>
      <c r="G1045" t="s">
        <v>2017</v>
      </c>
      <c r="H1045" t="s">
        <v>2024</v>
      </c>
      <c r="I1045" t="s">
        <v>3071</v>
      </c>
      <c r="J1045" t="s">
        <v>4028</v>
      </c>
      <c r="K1045" t="s">
        <v>4042</v>
      </c>
      <c r="L1045">
        <v>3835.49</v>
      </c>
      <c r="N1045">
        <f t="shared" si="48"/>
        <v>3835.49</v>
      </c>
      <c r="O1045" t="s">
        <v>4104</v>
      </c>
      <c r="P1045" t="str">
        <f t="shared" si="49"/>
        <v xml:space="preserve"> </v>
      </c>
      <c r="Q1045" t="str">
        <f t="shared" si="50"/>
        <v>Favorable</v>
      </c>
    </row>
    <row r="1046" spans="1:17">
      <c r="A1046" t="s">
        <v>1056</v>
      </c>
      <c r="B1046" s="2">
        <v>45141</v>
      </c>
      <c r="C1046">
        <v>5000</v>
      </c>
      <c r="D1046" t="s">
        <v>2013</v>
      </c>
      <c r="E1046">
        <v>357.85</v>
      </c>
      <c r="F1046">
        <v>0</v>
      </c>
      <c r="G1046" t="s">
        <v>2018</v>
      </c>
      <c r="H1046" t="s">
        <v>2025</v>
      </c>
      <c r="I1046" t="s">
        <v>3072</v>
      </c>
      <c r="J1046" t="s">
        <v>4028</v>
      </c>
      <c r="K1046" t="s">
        <v>4037</v>
      </c>
      <c r="L1046">
        <v>-357.85</v>
      </c>
      <c r="N1046">
        <f t="shared" si="48"/>
        <v>-357.85</v>
      </c>
      <c r="O1046" t="s">
        <v>4104</v>
      </c>
      <c r="P1046" t="str">
        <f t="shared" si="49"/>
        <v xml:space="preserve"> </v>
      </c>
      <c r="Q1046" t="str">
        <f t="shared" si="50"/>
        <v>Unfavorable</v>
      </c>
    </row>
    <row r="1047" spans="1:17">
      <c r="A1047" t="s">
        <v>1057</v>
      </c>
      <c r="B1047" s="2">
        <v>45052</v>
      </c>
      <c r="C1047">
        <v>4010</v>
      </c>
      <c r="D1047" t="s">
        <v>2016</v>
      </c>
      <c r="E1047">
        <v>0</v>
      </c>
      <c r="F1047">
        <v>1435.58</v>
      </c>
      <c r="G1047" t="s">
        <v>2020</v>
      </c>
      <c r="H1047" t="s">
        <v>2026</v>
      </c>
      <c r="I1047" t="s">
        <v>3073</v>
      </c>
      <c r="J1047" t="s">
        <v>4028</v>
      </c>
      <c r="K1047" t="s">
        <v>4062</v>
      </c>
      <c r="L1047">
        <v>1435.58</v>
      </c>
      <c r="N1047">
        <f t="shared" si="48"/>
        <v>1435.58</v>
      </c>
      <c r="O1047" t="s">
        <v>4104</v>
      </c>
      <c r="P1047" t="str">
        <f t="shared" si="49"/>
        <v xml:space="preserve"> </v>
      </c>
      <c r="Q1047" t="str">
        <f t="shared" si="50"/>
        <v>Favorable</v>
      </c>
    </row>
    <row r="1048" spans="1:17">
      <c r="A1048" t="s">
        <v>1058</v>
      </c>
      <c r="B1048" s="2">
        <v>45108</v>
      </c>
      <c r="C1048">
        <v>5000</v>
      </c>
      <c r="D1048" t="s">
        <v>2013</v>
      </c>
      <c r="E1048">
        <v>163.47999999999999</v>
      </c>
      <c r="F1048">
        <v>0</v>
      </c>
      <c r="G1048" t="s">
        <v>2022</v>
      </c>
      <c r="H1048" t="s">
        <v>2026</v>
      </c>
      <c r="I1048" t="s">
        <v>3074</v>
      </c>
      <c r="J1048" t="s">
        <v>4030</v>
      </c>
      <c r="K1048" t="s">
        <v>4050</v>
      </c>
      <c r="L1048">
        <v>-163.47999999999999</v>
      </c>
      <c r="N1048">
        <f t="shared" si="48"/>
        <v>-163.47999999999999</v>
      </c>
      <c r="O1048" t="s">
        <v>4104</v>
      </c>
      <c r="P1048" t="str">
        <f t="shared" si="49"/>
        <v xml:space="preserve"> </v>
      </c>
      <c r="Q1048" t="str">
        <f t="shared" si="50"/>
        <v>Unfavorable</v>
      </c>
    </row>
    <row r="1049" spans="1:17">
      <c r="A1049" t="s">
        <v>1059</v>
      </c>
      <c r="B1049" s="2">
        <v>45478</v>
      </c>
      <c r="C1049">
        <v>5010</v>
      </c>
      <c r="D1049" t="s">
        <v>2015</v>
      </c>
      <c r="E1049">
        <v>1586.3</v>
      </c>
      <c r="F1049">
        <v>0</v>
      </c>
      <c r="G1049" t="s">
        <v>2022</v>
      </c>
      <c r="H1049" t="s">
        <v>2025</v>
      </c>
      <c r="I1049" t="s">
        <v>3075</v>
      </c>
      <c r="J1049" t="s">
        <v>4032</v>
      </c>
      <c r="K1049" t="s">
        <v>4054</v>
      </c>
      <c r="L1049">
        <v>-1586.3</v>
      </c>
      <c r="N1049">
        <f t="shared" si="48"/>
        <v>-1586.3</v>
      </c>
      <c r="O1049" t="s">
        <v>4104</v>
      </c>
      <c r="P1049" t="str">
        <f t="shared" si="49"/>
        <v xml:space="preserve"> </v>
      </c>
      <c r="Q1049" t="str">
        <f t="shared" si="50"/>
        <v>Unfavorable</v>
      </c>
    </row>
    <row r="1050" spans="1:17">
      <c r="A1050" t="s">
        <v>1060</v>
      </c>
      <c r="B1050" s="2">
        <v>45059</v>
      </c>
      <c r="C1050">
        <v>4010</v>
      </c>
      <c r="D1050" t="s">
        <v>2016</v>
      </c>
      <c r="E1050">
        <v>0</v>
      </c>
      <c r="F1050">
        <v>1071.1300000000001</v>
      </c>
      <c r="G1050" t="s">
        <v>2018</v>
      </c>
      <c r="H1050" t="s">
        <v>2026</v>
      </c>
      <c r="I1050" t="s">
        <v>3076</v>
      </c>
      <c r="J1050" t="s">
        <v>4031</v>
      </c>
      <c r="K1050" t="s">
        <v>4062</v>
      </c>
      <c r="L1050">
        <v>1071.1300000000001</v>
      </c>
      <c r="N1050">
        <f t="shared" si="48"/>
        <v>1071.1300000000001</v>
      </c>
      <c r="O1050" t="s">
        <v>4104</v>
      </c>
      <c r="P1050" t="str">
        <f t="shared" si="49"/>
        <v xml:space="preserve"> </v>
      </c>
      <c r="Q1050" t="str">
        <f t="shared" si="50"/>
        <v>Favorable</v>
      </c>
    </row>
    <row r="1051" spans="1:17">
      <c r="A1051" t="s">
        <v>1061</v>
      </c>
      <c r="B1051" s="2">
        <v>45508</v>
      </c>
      <c r="C1051">
        <v>5010</v>
      </c>
      <c r="D1051" t="s">
        <v>2015</v>
      </c>
      <c r="E1051">
        <v>1888.6</v>
      </c>
      <c r="F1051">
        <v>0</v>
      </c>
      <c r="G1051" t="s">
        <v>2021</v>
      </c>
      <c r="H1051" t="s">
        <v>2026</v>
      </c>
      <c r="I1051" t="s">
        <v>3077</v>
      </c>
      <c r="J1051" t="s">
        <v>4029</v>
      </c>
      <c r="K1051" t="s">
        <v>4058</v>
      </c>
      <c r="L1051">
        <v>-1888.6</v>
      </c>
      <c r="N1051">
        <f t="shared" si="48"/>
        <v>-1888.6</v>
      </c>
      <c r="O1051" t="s">
        <v>4104</v>
      </c>
      <c r="P1051" t="str">
        <f t="shared" si="49"/>
        <v xml:space="preserve"> </v>
      </c>
      <c r="Q1051" t="str">
        <f t="shared" si="50"/>
        <v>Unfavorable</v>
      </c>
    </row>
    <row r="1052" spans="1:17">
      <c r="A1052" t="s">
        <v>1062</v>
      </c>
      <c r="B1052" s="2">
        <v>45244</v>
      </c>
      <c r="C1052">
        <v>6000</v>
      </c>
      <c r="D1052" t="s">
        <v>2014</v>
      </c>
      <c r="E1052">
        <v>1396.76</v>
      </c>
      <c r="F1052">
        <v>0</v>
      </c>
      <c r="G1052" t="s">
        <v>2018</v>
      </c>
      <c r="H1052" t="s">
        <v>2026</v>
      </c>
      <c r="I1052" t="s">
        <v>3078</v>
      </c>
      <c r="J1052" t="s">
        <v>4031</v>
      </c>
      <c r="K1052" t="s">
        <v>4042</v>
      </c>
      <c r="L1052">
        <v>-1396.76</v>
      </c>
      <c r="N1052">
        <f t="shared" si="48"/>
        <v>-1396.76</v>
      </c>
      <c r="O1052" t="s">
        <v>4104</v>
      </c>
      <c r="P1052" t="str">
        <f t="shared" si="49"/>
        <v xml:space="preserve"> </v>
      </c>
      <c r="Q1052" t="str">
        <f t="shared" si="50"/>
        <v>Unfavorable</v>
      </c>
    </row>
    <row r="1053" spans="1:17">
      <c r="A1053" t="s">
        <v>1063</v>
      </c>
      <c r="B1053" s="2">
        <v>44968</v>
      </c>
      <c r="C1053">
        <v>4000</v>
      </c>
      <c r="D1053" t="s">
        <v>2012</v>
      </c>
      <c r="E1053">
        <v>0</v>
      </c>
      <c r="F1053">
        <v>458.3</v>
      </c>
      <c r="G1053" t="s">
        <v>2021</v>
      </c>
      <c r="H1053" t="s">
        <v>2027</v>
      </c>
      <c r="I1053" t="s">
        <v>3079</v>
      </c>
      <c r="J1053" t="s">
        <v>4029</v>
      </c>
      <c r="K1053" t="s">
        <v>4057</v>
      </c>
      <c r="L1053">
        <v>458.3</v>
      </c>
      <c r="N1053">
        <f t="shared" si="48"/>
        <v>458.3</v>
      </c>
      <c r="O1053" t="s">
        <v>4104</v>
      </c>
      <c r="P1053" t="str">
        <f t="shared" si="49"/>
        <v xml:space="preserve"> </v>
      </c>
      <c r="Q1053" t="str">
        <f t="shared" si="50"/>
        <v>Favorable</v>
      </c>
    </row>
    <row r="1054" spans="1:17">
      <c r="A1054" t="s">
        <v>1064</v>
      </c>
      <c r="B1054" s="2">
        <v>45813</v>
      </c>
      <c r="C1054">
        <v>6000</v>
      </c>
      <c r="D1054" t="s">
        <v>2014</v>
      </c>
      <c r="E1054">
        <v>1873.98</v>
      </c>
      <c r="F1054">
        <v>0</v>
      </c>
      <c r="G1054" t="s">
        <v>2019</v>
      </c>
      <c r="H1054" t="s">
        <v>2023</v>
      </c>
      <c r="I1054" t="s">
        <v>3080</v>
      </c>
      <c r="J1054" t="s">
        <v>4032</v>
      </c>
      <c r="K1054" t="s">
        <v>4052</v>
      </c>
      <c r="L1054">
        <v>-1873.98</v>
      </c>
      <c r="N1054">
        <f t="shared" si="48"/>
        <v>-1873.98</v>
      </c>
      <c r="O1054" t="s">
        <v>4104</v>
      </c>
      <c r="P1054" t="str">
        <f t="shared" si="49"/>
        <v xml:space="preserve"> </v>
      </c>
      <c r="Q1054" t="str">
        <f t="shared" si="50"/>
        <v>Unfavorable</v>
      </c>
    </row>
    <row r="1055" spans="1:17">
      <c r="A1055" t="s">
        <v>1065</v>
      </c>
      <c r="B1055" s="2">
        <v>45459</v>
      </c>
      <c r="C1055">
        <v>4010</v>
      </c>
      <c r="D1055" t="s">
        <v>2016</v>
      </c>
      <c r="E1055">
        <v>0</v>
      </c>
      <c r="F1055">
        <v>550.03</v>
      </c>
      <c r="G1055" t="s">
        <v>2019</v>
      </c>
      <c r="H1055" t="s">
        <v>2027</v>
      </c>
      <c r="I1055" t="s">
        <v>3081</v>
      </c>
      <c r="J1055" t="s">
        <v>4030</v>
      </c>
      <c r="K1055" t="s">
        <v>4034</v>
      </c>
      <c r="L1055">
        <v>550.03</v>
      </c>
      <c r="N1055">
        <f t="shared" si="48"/>
        <v>550.03</v>
      </c>
      <c r="O1055" t="s">
        <v>4104</v>
      </c>
      <c r="P1055" t="str">
        <f t="shared" si="49"/>
        <v xml:space="preserve"> </v>
      </c>
      <c r="Q1055" t="str">
        <f t="shared" si="50"/>
        <v>Favorable</v>
      </c>
    </row>
    <row r="1056" spans="1:17">
      <c r="A1056" t="s">
        <v>1066</v>
      </c>
      <c r="B1056" s="2">
        <v>45144</v>
      </c>
      <c r="C1056">
        <v>5010</v>
      </c>
      <c r="D1056" t="s">
        <v>2015</v>
      </c>
      <c r="E1056">
        <v>1300.8599999999999</v>
      </c>
      <c r="F1056">
        <v>0</v>
      </c>
      <c r="G1056" t="s">
        <v>2022</v>
      </c>
      <c r="H1056" t="s">
        <v>2024</v>
      </c>
      <c r="I1056" t="s">
        <v>3082</v>
      </c>
      <c r="J1056" t="s">
        <v>4029</v>
      </c>
      <c r="K1056" t="s">
        <v>4037</v>
      </c>
      <c r="L1056">
        <v>-1300.8599999999999</v>
      </c>
      <c r="N1056">
        <f t="shared" si="48"/>
        <v>-1300.8599999999999</v>
      </c>
      <c r="O1056" t="s">
        <v>4104</v>
      </c>
      <c r="P1056" t="str">
        <f t="shared" si="49"/>
        <v xml:space="preserve"> </v>
      </c>
      <c r="Q1056" t="str">
        <f t="shared" si="50"/>
        <v>Unfavorable</v>
      </c>
    </row>
    <row r="1057" spans="1:17">
      <c r="A1057" t="s">
        <v>1067</v>
      </c>
      <c r="B1057" s="2">
        <v>45254</v>
      </c>
      <c r="C1057">
        <v>6000</v>
      </c>
      <c r="D1057" t="s">
        <v>2014</v>
      </c>
      <c r="E1057">
        <v>509.12</v>
      </c>
      <c r="F1057">
        <v>0</v>
      </c>
      <c r="G1057" t="s">
        <v>2022</v>
      </c>
      <c r="H1057" t="s">
        <v>2024</v>
      </c>
      <c r="I1057" t="s">
        <v>3083</v>
      </c>
      <c r="J1057" t="s">
        <v>4032</v>
      </c>
      <c r="K1057" t="s">
        <v>4042</v>
      </c>
      <c r="L1057">
        <v>-509.12</v>
      </c>
      <c r="N1057">
        <f t="shared" si="48"/>
        <v>-509.12</v>
      </c>
      <c r="O1057" t="s">
        <v>4104</v>
      </c>
      <c r="P1057" t="str">
        <f t="shared" si="49"/>
        <v xml:space="preserve"> </v>
      </c>
      <c r="Q1057" t="str">
        <f t="shared" si="50"/>
        <v>Unfavorable</v>
      </c>
    </row>
    <row r="1058" spans="1:17">
      <c r="A1058" t="s">
        <v>1068</v>
      </c>
      <c r="B1058" s="2">
        <v>45782</v>
      </c>
      <c r="C1058">
        <v>6000</v>
      </c>
      <c r="D1058" t="s">
        <v>2014</v>
      </c>
      <c r="E1058">
        <v>1328.19</v>
      </c>
      <c r="F1058">
        <v>0</v>
      </c>
      <c r="G1058" t="s">
        <v>2021</v>
      </c>
      <c r="H1058" t="s">
        <v>2023</v>
      </c>
      <c r="I1058" t="s">
        <v>3084</v>
      </c>
      <c r="J1058" t="s">
        <v>4032</v>
      </c>
      <c r="K1058" t="s">
        <v>4038</v>
      </c>
      <c r="L1058">
        <v>-1328.19</v>
      </c>
      <c r="N1058">
        <f t="shared" si="48"/>
        <v>-1328.19</v>
      </c>
      <c r="O1058" t="s">
        <v>4104</v>
      </c>
      <c r="P1058" t="str">
        <f t="shared" si="49"/>
        <v xml:space="preserve"> </v>
      </c>
      <c r="Q1058" t="str">
        <f t="shared" si="50"/>
        <v>Unfavorable</v>
      </c>
    </row>
    <row r="1059" spans="1:17">
      <c r="A1059" t="s">
        <v>1069</v>
      </c>
      <c r="B1059" s="2">
        <v>45559</v>
      </c>
      <c r="C1059">
        <v>4000</v>
      </c>
      <c r="D1059" t="s">
        <v>2012</v>
      </c>
      <c r="E1059">
        <v>0</v>
      </c>
      <c r="F1059">
        <v>2455.5100000000002</v>
      </c>
      <c r="G1059" t="s">
        <v>2017</v>
      </c>
      <c r="H1059" t="s">
        <v>2023</v>
      </c>
      <c r="I1059" t="s">
        <v>3085</v>
      </c>
      <c r="J1059" t="s">
        <v>4030</v>
      </c>
      <c r="K1059" t="s">
        <v>4048</v>
      </c>
      <c r="L1059">
        <v>2455.5100000000002</v>
      </c>
      <c r="N1059">
        <f t="shared" si="48"/>
        <v>2455.5100000000002</v>
      </c>
      <c r="O1059" t="s">
        <v>4104</v>
      </c>
      <c r="P1059" t="str">
        <f t="shared" si="49"/>
        <v xml:space="preserve"> </v>
      </c>
      <c r="Q1059" t="str">
        <f t="shared" si="50"/>
        <v>Favorable</v>
      </c>
    </row>
    <row r="1060" spans="1:17">
      <c r="A1060" t="s">
        <v>1070</v>
      </c>
      <c r="B1060" s="2">
        <v>45791</v>
      </c>
      <c r="C1060">
        <v>4000</v>
      </c>
      <c r="D1060" t="s">
        <v>2012</v>
      </c>
      <c r="E1060">
        <v>0</v>
      </c>
      <c r="F1060">
        <v>723.85</v>
      </c>
      <c r="G1060" t="s">
        <v>2022</v>
      </c>
      <c r="H1060" t="s">
        <v>2023</v>
      </c>
      <c r="I1060" t="s">
        <v>3086</v>
      </c>
      <c r="J1060" t="s">
        <v>4031</v>
      </c>
      <c r="K1060" t="s">
        <v>4038</v>
      </c>
      <c r="L1060">
        <v>723.85</v>
      </c>
      <c r="N1060">
        <f t="shared" si="48"/>
        <v>723.85</v>
      </c>
      <c r="O1060" t="s">
        <v>4104</v>
      </c>
      <c r="P1060" t="str">
        <f t="shared" si="49"/>
        <v xml:space="preserve"> </v>
      </c>
      <c r="Q1060" t="str">
        <f t="shared" si="50"/>
        <v>Favorable</v>
      </c>
    </row>
    <row r="1061" spans="1:17">
      <c r="A1061" t="s">
        <v>1071</v>
      </c>
      <c r="B1061" s="2">
        <v>45287</v>
      </c>
      <c r="C1061">
        <v>4010</v>
      </c>
      <c r="D1061" t="s">
        <v>2016</v>
      </c>
      <c r="E1061">
        <v>0</v>
      </c>
      <c r="F1061">
        <v>544.42999999999995</v>
      </c>
      <c r="G1061" t="s">
        <v>2018</v>
      </c>
      <c r="H1061" t="s">
        <v>2023</v>
      </c>
      <c r="I1061" t="s">
        <v>3087</v>
      </c>
      <c r="J1061" t="s">
        <v>4032</v>
      </c>
      <c r="K1061" t="s">
        <v>4039</v>
      </c>
      <c r="L1061">
        <v>544.42999999999995</v>
      </c>
      <c r="N1061">
        <f t="shared" si="48"/>
        <v>544.42999999999995</v>
      </c>
      <c r="O1061" t="s">
        <v>4104</v>
      </c>
      <c r="P1061" t="str">
        <f t="shared" si="49"/>
        <v xml:space="preserve"> </v>
      </c>
      <c r="Q1061" t="str">
        <f t="shared" si="50"/>
        <v>Favorable</v>
      </c>
    </row>
    <row r="1062" spans="1:17">
      <c r="A1062" t="s">
        <v>1072</v>
      </c>
      <c r="B1062" s="2">
        <v>45175</v>
      </c>
      <c r="C1062">
        <v>5000</v>
      </c>
      <c r="D1062" t="s">
        <v>2013</v>
      </c>
      <c r="E1062">
        <v>1812.2</v>
      </c>
      <c r="F1062">
        <v>0</v>
      </c>
      <c r="G1062" t="s">
        <v>2018</v>
      </c>
      <c r="H1062" t="s">
        <v>2027</v>
      </c>
      <c r="I1062" t="s">
        <v>3088</v>
      </c>
      <c r="J1062" t="s">
        <v>4028</v>
      </c>
      <c r="K1062" t="s">
        <v>4036</v>
      </c>
      <c r="L1062">
        <v>-1812.2</v>
      </c>
      <c r="N1062">
        <f t="shared" si="48"/>
        <v>-1812.2</v>
      </c>
      <c r="O1062" t="s">
        <v>4104</v>
      </c>
      <c r="P1062" t="str">
        <f t="shared" si="49"/>
        <v xml:space="preserve"> </v>
      </c>
      <c r="Q1062" t="str">
        <f t="shared" si="50"/>
        <v>Unfavorable</v>
      </c>
    </row>
    <row r="1063" spans="1:17">
      <c r="A1063" t="s">
        <v>1073</v>
      </c>
      <c r="B1063" s="2">
        <v>45242</v>
      </c>
      <c r="C1063">
        <v>5010</v>
      </c>
      <c r="D1063" t="s">
        <v>2015</v>
      </c>
      <c r="E1063">
        <v>1323.46</v>
      </c>
      <c r="F1063">
        <v>0</v>
      </c>
      <c r="G1063" t="s">
        <v>2019</v>
      </c>
      <c r="H1063" t="s">
        <v>2027</v>
      </c>
      <c r="I1063" t="s">
        <v>3089</v>
      </c>
      <c r="J1063" t="s">
        <v>4028</v>
      </c>
      <c r="K1063" t="s">
        <v>4042</v>
      </c>
      <c r="L1063">
        <v>-1323.46</v>
      </c>
      <c r="N1063">
        <f t="shared" si="48"/>
        <v>-1323.46</v>
      </c>
      <c r="O1063" t="s">
        <v>4104</v>
      </c>
      <c r="P1063" t="str">
        <f t="shared" si="49"/>
        <v xml:space="preserve"> </v>
      </c>
      <c r="Q1063" t="str">
        <f t="shared" si="50"/>
        <v>Unfavorable</v>
      </c>
    </row>
    <row r="1064" spans="1:17">
      <c r="A1064" t="s">
        <v>1074</v>
      </c>
      <c r="B1064" s="2">
        <v>45315</v>
      </c>
      <c r="C1064">
        <v>5000</v>
      </c>
      <c r="D1064" t="s">
        <v>2013</v>
      </c>
      <c r="E1064">
        <v>254.62</v>
      </c>
      <c r="F1064">
        <v>0</v>
      </c>
      <c r="G1064" t="s">
        <v>2017</v>
      </c>
      <c r="H1064" t="s">
        <v>2024</v>
      </c>
      <c r="I1064" t="s">
        <v>3090</v>
      </c>
      <c r="J1064" t="s">
        <v>4031</v>
      </c>
      <c r="K1064" t="s">
        <v>4053</v>
      </c>
      <c r="L1064">
        <v>-254.62</v>
      </c>
      <c r="N1064">
        <f t="shared" si="48"/>
        <v>-254.62</v>
      </c>
      <c r="O1064" t="s">
        <v>4104</v>
      </c>
      <c r="P1064" t="str">
        <f t="shared" si="49"/>
        <v xml:space="preserve"> </v>
      </c>
      <c r="Q1064" t="str">
        <f t="shared" si="50"/>
        <v>Unfavorable</v>
      </c>
    </row>
    <row r="1065" spans="1:17">
      <c r="A1065" t="s">
        <v>1075</v>
      </c>
      <c r="B1065" s="2">
        <v>45567</v>
      </c>
      <c r="C1065">
        <v>5010</v>
      </c>
      <c r="D1065" t="s">
        <v>2015</v>
      </c>
      <c r="E1065">
        <v>1198.8900000000001</v>
      </c>
      <c r="F1065">
        <v>0</v>
      </c>
      <c r="G1065" t="s">
        <v>2022</v>
      </c>
      <c r="H1065" t="s">
        <v>2024</v>
      </c>
      <c r="I1065" t="s">
        <v>3091</v>
      </c>
      <c r="J1065" t="s">
        <v>4028</v>
      </c>
      <c r="K1065" t="s">
        <v>4059</v>
      </c>
      <c r="L1065">
        <v>-1198.8900000000001</v>
      </c>
      <c r="N1065">
        <f t="shared" si="48"/>
        <v>-1198.8900000000001</v>
      </c>
      <c r="O1065" t="s">
        <v>4104</v>
      </c>
      <c r="P1065" t="str">
        <f t="shared" si="49"/>
        <v xml:space="preserve"> </v>
      </c>
      <c r="Q1065" t="str">
        <f t="shared" si="50"/>
        <v>Unfavorable</v>
      </c>
    </row>
    <row r="1066" spans="1:17">
      <c r="A1066" t="s">
        <v>1076</v>
      </c>
      <c r="B1066" s="2">
        <v>45462</v>
      </c>
      <c r="C1066">
        <v>5010</v>
      </c>
      <c r="D1066" t="s">
        <v>2015</v>
      </c>
      <c r="E1066">
        <v>556.48</v>
      </c>
      <c r="F1066">
        <v>0</v>
      </c>
      <c r="G1066" t="s">
        <v>2020</v>
      </c>
      <c r="H1066" t="s">
        <v>2027</v>
      </c>
      <c r="I1066" t="s">
        <v>3092</v>
      </c>
      <c r="J1066" t="s">
        <v>4028</v>
      </c>
      <c r="K1066" t="s">
        <v>4034</v>
      </c>
      <c r="L1066">
        <v>-556.48</v>
      </c>
      <c r="N1066">
        <f t="shared" si="48"/>
        <v>-556.48</v>
      </c>
      <c r="O1066" t="s">
        <v>4104</v>
      </c>
      <c r="P1066" t="str">
        <f t="shared" si="49"/>
        <v xml:space="preserve"> </v>
      </c>
      <c r="Q1066" t="str">
        <f t="shared" si="50"/>
        <v>Unfavorable</v>
      </c>
    </row>
    <row r="1067" spans="1:17">
      <c r="A1067" t="s">
        <v>1077</v>
      </c>
      <c r="B1067" s="2">
        <v>45103</v>
      </c>
      <c r="C1067">
        <v>4010</v>
      </c>
      <c r="D1067" t="s">
        <v>2016</v>
      </c>
      <c r="E1067">
        <v>0</v>
      </c>
      <c r="F1067">
        <v>3204.3</v>
      </c>
      <c r="G1067" t="s">
        <v>2022</v>
      </c>
      <c r="H1067" t="s">
        <v>2027</v>
      </c>
      <c r="I1067" t="s">
        <v>3093</v>
      </c>
      <c r="J1067" t="s">
        <v>4032</v>
      </c>
      <c r="K1067" t="s">
        <v>4055</v>
      </c>
      <c r="L1067">
        <v>3204.3</v>
      </c>
      <c r="N1067">
        <f t="shared" si="48"/>
        <v>3204.3</v>
      </c>
      <c r="O1067" t="s">
        <v>4104</v>
      </c>
      <c r="P1067" t="str">
        <f t="shared" si="49"/>
        <v xml:space="preserve"> </v>
      </c>
      <c r="Q1067" t="str">
        <f t="shared" si="50"/>
        <v>Favorable</v>
      </c>
    </row>
    <row r="1068" spans="1:17">
      <c r="A1068" t="s">
        <v>1078</v>
      </c>
      <c r="B1068" s="2">
        <v>45827</v>
      </c>
      <c r="C1068">
        <v>6000</v>
      </c>
      <c r="D1068" t="s">
        <v>2014</v>
      </c>
      <c r="E1068">
        <v>322.5</v>
      </c>
      <c r="F1068">
        <v>0</v>
      </c>
      <c r="G1068" t="s">
        <v>2018</v>
      </c>
      <c r="H1068" t="s">
        <v>2027</v>
      </c>
      <c r="I1068" t="s">
        <v>3094</v>
      </c>
      <c r="J1068" t="s">
        <v>4029</v>
      </c>
      <c r="K1068" t="s">
        <v>4052</v>
      </c>
      <c r="L1068">
        <v>-322.5</v>
      </c>
      <c r="N1068">
        <f t="shared" si="48"/>
        <v>-322.5</v>
      </c>
      <c r="O1068" t="s">
        <v>4104</v>
      </c>
      <c r="P1068" t="str">
        <f t="shared" si="49"/>
        <v xml:space="preserve"> </v>
      </c>
      <c r="Q1068" t="str">
        <f t="shared" si="50"/>
        <v>Unfavorable</v>
      </c>
    </row>
    <row r="1069" spans="1:17">
      <c r="A1069" t="s">
        <v>1079</v>
      </c>
      <c r="B1069" s="2">
        <v>45033</v>
      </c>
      <c r="C1069">
        <v>6000</v>
      </c>
      <c r="D1069" t="s">
        <v>2014</v>
      </c>
      <c r="E1069">
        <v>916.19</v>
      </c>
      <c r="F1069">
        <v>0</v>
      </c>
      <c r="G1069" t="s">
        <v>2022</v>
      </c>
      <c r="H1069" t="s">
        <v>2026</v>
      </c>
      <c r="I1069" t="s">
        <v>3095</v>
      </c>
      <c r="J1069" t="s">
        <v>4028</v>
      </c>
      <c r="K1069" t="s">
        <v>4041</v>
      </c>
      <c r="L1069">
        <v>-916.19</v>
      </c>
      <c r="N1069">
        <f t="shared" si="48"/>
        <v>-916.19</v>
      </c>
      <c r="O1069" t="s">
        <v>4104</v>
      </c>
      <c r="P1069" t="str">
        <f t="shared" si="49"/>
        <v xml:space="preserve"> </v>
      </c>
      <c r="Q1069" t="str">
        <f t="shared" si="50"/>
        <v>Unfavorable</v>
      </c>
    </row>
    <row r="1070" spans="1:17">
      <c r="A1070" t="s">
        <v>1080</v>
      </c>
      <c r="B1070" s="2">
        <v>45756</v>
      </c>
      <c r="C1070">
        <v>5010</v>
      </c>
      <c r="D1070" t="s">
        <v>2015</v>
      </c>
      <c r="E1070">
        <v>202.58</v>
      </c>
      <c r="F1070">
        <v>0</v>
      </c>
      <c r="G1070" t="s">
        <v>2022</v>
      </c>
      <c r="H1070" t="s">
        <v>2026</v>
      </c>
      <c r="I1070" t="s">
        <v>3096</v>
      </c>
      <c r="J1070" t="s">
        <v>4030</v>
      </c>
      <c r="K1070" t="s">
        <v>4045</v>
      </c>
      <c r="L1070">
        <v>-202.58</v>
      </c>
      <c r="N1070">
        <f t="shared" si="48"/>
        <v>-202.58</v>
      </c>
      <c r="O1070" t="s">
        <v>4104</v>
      </c>
      <c r="P1070" t="str">
        <f t="shared" si="49"/>
        <v xml:space="preserve"> </v>
      </c>
      <c r="Q1070" t="str">
        <f t="shared" si="50"/>
        <v>Unfavorable</v>
      </c>
    </row>
    <row r="1071" spans="1:17">
      <c r="A1071" t="s">
        <v>1081</v>
      </c>
      <c r="B1071" s="2">
        <v>45633</v>
      </c>
      <c r="C1071">
        <v>4000</v>
      </c>
      <c r="D1071" t="s">
        <v>2012</v>
      </c>
      <c r="E1071">
        <v>0</v>
      </c>
      <c r="F1071">
        <v>4558.3900000000003</v>
      </c>
      <c r="G1071" t="s">
        <v>2021</v>
      </c>
      <c r="H1071" t="s">
        <v>2025</v>
      </c>
      <c r="I1071" t="s">
        <v>3097</v>
      </c>
      <c r="J1071" t="s">
        <v>4029</v>
      </c>
      <c r="K1071" t="s">
        <v>4056</v>
      </c>
      <c r="L1071">
        <v>4558.3900000000003</v>
      </c>
      <c r="N1071">
        <f t="shared" si="48"/>
        <v>4558.3900000000003</v>
      </c>
      <c r="O1071" t="s">
        <v>4104</v>
      </c>
      <c r="P1071" t="str">
        <f t="shared" si="49"/>
        <v xml:space="preserve"> </v>
      </c>
      <c r="Q1071" t="str">
        <f t="shared" si="50"/>
        <v>Favorable</v>
      </c>
    </row>
    <row r="1072" spans="1:17">
      <c r="A1072" t="s">
        <v>1082</v>
      </c>
      <c r="B1072" s="2">
        <v>45018</v>
      </c>
      <c r="C1072">
        <v>6000</v>
      </c>
      <c r="D1072" t="s">
        <v>2014</v>
      </c>
      <c r="E1072">
        <v>962.74</v>
      </c>
      <c r="F1072">
        <v>0</v>
      </c>
      <c r="G1072" t="s">
        <v>2018</v>
      </c>
      <c r="H1072" t="s">
        <v>2027</v>
      </c>
      <c r="I1072" t="s">
        <v>3098</v>
      </c>
      <c r="J1072" t="s">
        <v>4031</v>
      </c>
      <c r="K1072" t="s">
        <v>4041</v>
      </c>
      <c r="L1072">
        <v>-962.74</v>
      </c>
      <c r="N1072">
        <f t="shared" si="48"/>
        <v>-962.74</v>
      </c>
      <c r="O1072" t="s">
        <v>4104</v>
      </c>
      <c r="P1072" t="str">
        <f t="shared" si="49"/>
        <v xml:space="preserve"> </v>
      </c>
      <c r="Q1072" t="str">
        <f t="shared" si="50"/>
        <v>Unfavorable</v>
      </c>
    </row>
    <row r="1073" spans="1:17">
      <c r="A1073" t="s">
        <v>1083</v>
      </c>
      <c r="B1073" s="2">
        <v>45389</v>
      </c>
      <c r="C1073">
        <v>6000</v>
      </c>
      <c r="D1073" t="s">
        <v>2014</v>
      </c>
      <c r="E1073">
        <v>996.08</v>
      </c>
      <c r="F1073">
        <v>0</v>
      </c>
      <c r="G1073" t="s">
        <v>2018</v>
      </c>
      <c r="H1073" t="s">
        <v>2027</v>
      </c>
      <c r="I1073" t="s">
        <v>3099</v>
      </c>
      <c r="J1073" t="s">
        <v>4029</v>
      </c>
      <c r="K1073" t="s">
        <v>4040</v>
      </c>
      <c r="L1073">
        <v>-996.08</v>
      </c>
      <c r="N1073">
        <f t="shared" si="48"/>
        <v>-996.08</v>
      </c>
      <c r="O1073" t="s">
        <v>4104</v>
      </c>
      <c r="P1073" t="str">
        <f t="shared" si="49"/>
        <v xml:space="preserve"> </v>
      </c>
      <c r="Q1073" t="str">
        <f t="shared" si="50"/>
        <v>Unfavorable</v>
      </c>
    </row>
    <row r="1074" spans="1:17">
      <c r="A1074" t="s">
        <v>1084</v>
      </c>
      <c r="B1074" s="2">
        <v>45680</v>
      </c>
      <c r="C1074">
        <v>6000</v>
      </c>
      <c r="D1074" t="s">
        <v>2014</v>
      </c>
      <c r="E1074">
        <v>1399.67</v>
      </c>
      <c r="F1074">
        <v>0</v>
      </c>
      <c r="G1074" t="s">
        <v>2021</v>
      </c>
      <c r="H1074" t="s">
        <v>2027</v>
      </c>
      <c r="I1074" t="s">
        <v>3100</v>
      </c>
      <c r="J1074" t="s">
        <v>4032</v>
      </c>
      <c r="K1074" t="s">
        <v>4035</v>
      </c>
      <c r="L1074">
        <v>-1399.67</v>
      </c>
      <c r="N1074">
        <f t="shared" si="48"/>
        <v>-1399.67</v>
      </c>
      <c r="O1074" t="s">
        <v>4104</v>
      </c>
      <c r="P1074" t="str">
        <f t="shared" si="49"/>
        <v xml:space="preserve"> </v>
      </c>
      <c r="Q1074" t="str">
        <f t="shared" si="50"/>
        <v>Unfavorable</v>
      </c>
    </row>
    <row r="1075" spans="1:17">
      <c r="A1075" t="s">
        <v>1085</v>
      </c>
      <c r="B1075" s="2">
        <v>45213</v>
      </c>
      <c r="C1075">
        <v>4010</v>
      </c>
      <c r="D1075" t="s">
        <v>2016</v>
      </c>
      <c r="E1075">
        <v>0</v>
      </c>
      <c r="F1075">
        <v>1644.76</v>
      </c>
      <c r="G1075" t="s">
        <v>2018</v>
      </c>
      <c r="H1075" t="s">
        <v>2023</v>
      </c>
      <c r="I1075" t="s">
        <v>3101</v>
      </c>
      <c r="J1075" t="s">
        <v>4032</v>
      </c>
      <c r="K1075" t="s">
        <v>4060</v>
      </c>
      <c r="L1075">
        <v>1644.76</v>
      </c>
      <c r="N1075">
        <f t="shared" si="48"/>
        <v>1644.76</v>
      </c>
      <c r="O1075" t="s">
        <v>4104</v>
      </c>
      <c r="P1075" t="str">
        <f t="shared" si="49"/>
        <v xml:space="preserve"> </v>
      </c>
      <c r="Q1075" t="str">
        <f t="shared" si="50"/>
        <v>Favorable</v>
      </c>
    </row>
    <row r="1076" spans="1:17">
      <c r="A1076" t="s">
        <v>1086</v>
      </c>
      <c r="B1076" s="2">
        <v>45360</v>
      </c>
      <c r="C1076">
        <v>5000</v>
      </c>
      <c r="D1076" t="s">
        <v>2013</v>
      </c>
      <c r="E1076">
        <v>1049.23</v>
      </c>
      <c r="F1076">
        <v>0</v>
      </c>
      <c r="G1076" t="s">
        <v>2017</v>
      </c>
      <c r="H1076" t="s">
        <v>2023</v>
      </c>
      <c r="I1076" t="s">
        <v>3102</v>
      </c>
      <c r="J1076" t="s">
        <v>4030</v>
      </c>
      <c r="K1076" t="s">
        <v>4049</v>
      </c>
      <c r="L1076">
        <v>-1049.23</v>
      </c>
      <c r="N1076">
        <f t="shared" si="48"/>
        <v>-1049.23</v>
      </c>
      <c r="O1076" t="s">
        <v>4104</v>
      </c>
      <c r="P1076" t="str">
        <f t="shared" si="49"/>
        <v xml:space="preserve"> </v>
      </c>
      <c r="Q1076" t="str">
        <f t="shared" si="50"/>
        <v>Unfavorable</v>
      </c>
    </row>
    <row r="1077" spans="1:17">
      <c r="A1077" t="s">
        <v>1087</v>
      </c>
      <c r="B1077" s="2">
        <v>45072</v>
      </c>
      <c r="C1077">
        <v>5000</v>
      </c>
      <c r="D1077" t="s">
        <v>2013</v>
      </c>
      <c r="E1077">
        <v>1655.29</v>
      </c>
      <c r="F1077">
        <v>0</v>
      </c>
      <c r="G1077" t="s">
        <v>2018</v>
      </c>
      <c r="H1077" t="s">
        <v>2023</v>
      </c>
      <c r="I1077" t="s">
        <v>3103</v>
      </c>
      <c r="J1077" t="s">
        <v>4031</v>
      </c>
      <c r="K1077" t="s">
        <v>4062</v>
      </c>
      <c r="L1077">
        <v>-1655.29</v>
      </c>
      <c r="N1077">
        <f t="shared" si="48"/>
        <v>-1655.29</v>
      </c>
      <c r="O1077" t="s">
        <v>4104</v>
      </c>
      <c r="P1077" t="str">
        <f t="shared" si="49"/>
        <v xml:space="preserve"> </v>
      </c>
      <c r="Q1077" t="str">
        <f t="shared" si="50"/>
        <v>Unfavorable</v>
      </c>
    </row>
    <row r="1078" spans="1:17">
      <c r="A1078" t="s">
        <v>1088</v>
      </c>
      <c r="B1078" s="2">
        <v>45656</v>
      </c>
      <c r="C1078">
        <v>5010</v>
      </c>
      <c r="D1078" t="s">
        <v>2015</v>
      </c>
      <c r="E1078">
        <v>1402.31</v>
      </c>
      <c r="F1078">
        <v>0</v>
      </c>
      <c r="G1078" t="s">
        <v>2022</v>
      </c>
      <c r="H1078" t="s">
        <v>2027</v>
      </c>
      <c r="I1078" t="s">
        <v>3104</v>
      </c>
      <c r="J1078" t="s">
        <v>4029</v>
      </c>
      <c r="K1078" t="s">
        <v>4056</v>
      </c>
      <c r="L1078">
        <v>-1402.31</v>
      </c>
      <c r="N1078">
        <f t="shared" si="48"/>
        <v>-1402.31</v>
      </c>
      <c r="O1078" t="s">
        <v>4104</v>
      </c>
      <c r="P1078" t="str">
        <f t="shared" si="49"/>
        <v xml:space="preserve"> </v>
      </c>
      <c r="Q1078" t="str">
        <f t="shared" si="50"/>
        <v>Unfavorable</v>
      </c>
    </row>
    <row r="1079" spans="1:17">
      <c r="A1079" t="s">
        <v>1089</v>
      </c>
      <c r="B1079" s="2">
        <v>45134</v>
      </c>
      <c r="C1079">
        <v>5010</v>
      </c>
      <c r="D1079" t="s">
        <v>2015</v>
      </c>
      <c r="E1079">
        <v>833.9</v>
      </c>
      <c r="F1079">
        <v>0</v>
      </c>
      <c r="G1079" t="s">
        <v>2017</v>
      </c>
      <c r="H1079" t="s">
        <v>2025</v>
      </c>
      <c r="I1079" t="s">
        <v>3105</v>
      </c>
      <c r="J1079" t="s">
        <v>4029</v>
      </c>
      <c r="K1079" t="s">
        <v>4050</v>
      </c>
      <c r="L1079">
        <v>-833.9</v>
      </c>
      <c r="N1079">
        <f t="shared" si="48"/>
        <v>-833.9</v>
      </c>
      <c r="O1079" t="s">
        <v>4104</v>
      </c>
      <c r="P1079" t="str">
        <f t="shared" si="49"/>
        <v xml:space="preserve"> </v>
      </c>
      <c r="Q1079" t="str">
        <f t="shared" si="50"/>
        <v>Unfavorable</v>
      </c>
    </row>
    <row r="1080" spans="1:17">
      <c r="A1080" t="s">
        <v>1090</v>
      </c>
      <c r="B1080" s="2">
        <v>45032</v>
      </c>
      <c r="C1080">
        <v>4000</v>
      </c>
      <c r="D1080" t="s">
        <v>2012</v>
      </c>
      <c r="E1080">
        <v>0</v>
      </c>
      <c r="F1080">
        <v>3759.18</v>
      </c>
      <c r="G1080" t="s">
        <v>2020</v>
      </c>
      <c r="H1080" t="s">
        <v>2023</v>
      </c>
      <c r="I1080" t="s">
        <v>3106</v>
      </c>
      <c r="J1080" t="s">
        <v>4032</v>
      </c>
      <c r="K1080" t="s">
        <v>4041</v>
      </c>
      <c r="L1080">
        <v>3759.18</v>
      </c>
      <c r="N1080">
        <f t="shared" si="48"/>
        <v>3759.18</v>
      </c>
      <c r="O1080" t="s">
        <v>4104</v>
      </c>
      <c r="P1080" t="str">
        <f t="shared" si="49"/>
        <v xml:space="preserve"> </v>
      </c>
      <c r="Q1080" t="str">
        <f t="shared" si="50"/>
        <v>Favorable</v>
      </c>
    </row>
    <row r="1081" spans="1:17">
      <c r="A1081" t="s">
        <v>1091</v>
      </c>
      <c r="B1081" s="2">
        <v>45470</v>
      </c>
      <c r="C1081">
        <v>6000</v>
      </c>
      <c r="D1081" t="s">
        <v>2014</v>
      </c>
      <c r="E1081">
        <v>67.150000000000006</v>
      </c>
      <c r="F1081">
        <v>0</v>
      </c>
      <c r="G1081" t="s">
        <v>2020</v>
      </c>
      <c r="H1081" t="s">
        <v>2024</v>
      </c>
      <c r="I1081" t="s">
        <v>3107</v>
      </c>
      <c r="J1081" t="s">
        <v>4031</v>
      </c>
      <c r="K1081" t="s">
        <v>4034</v>
      </c>
      <c r="L1081">
        <v>-67.150000000000006</v>
      </c>
      <c r="N1081">
        <f t="shared" si="48"/>
        <v>-67.150000000000006</v>
      </c>
      <c r="O1081" t="s">
        <v>4104</v>
      </c>
      <c r="P1081" t="str">
        <f t="shared" si="49"/>
        <v xml:space="preserve"> </v>
      </c>
      <c r="Q1081" t="str">
        <f t="shared" si="50"/>
        <v>Unfavorable</v>
      </c>
    </row>
    <row r="1082" spans="1:17">
      <c r="A1082" t="s">
        <v>1092</v>
      </c>
      <c r="B1082" s="2">
        <v>44968</v>
      </c>
      <c r="C1082">
        <v>5000</v>
      </c>
      <c r="D1082" t="s">
        <v>2013</v>
      </c>
      <c r="E1082">
        <v>1138.3599999999999</v>
      </c>
      <c r="F1082">
        <v>0</v>
      </c>
      <c r="G1082" t="s">
        <v>2022</v>
      </c>
      <c r="H1082" t="s">
        <v>2025</v>
      </c>
      <c r="I1082" t="s">
        <v>3108</v>
      </c>
      <c r="J1082" t="s">
        <v>4032</v>
      </c>
      <c r="K1082" t="s">
        <v>4057</v>
      </c>
      <c r="L1082">
        <v>-1138.3599999999999</v>
      </c>
      <c r="N1082">
        <f t="shared" si="48"/>
        <v>-1138.3599999999999</v>
      </c>
      <c r="O1082" t="s">
        <v>4104</v>
      </c>
      <c r="P1082" t="str">
        <f t="shared" si="49"/>
        <v xml:space="preserve"> </v>
      </c>
      <c r="Q1082" t="str">
        <f t="shared" si="50"/>
        <v>Unfavorable</v>
      </c>
    </row>
    <row r="1083" spans="1:17">
      <c r="A1083" t="s">
        <v>1093</v>
      </c>
      <c r="B1083" s="2">
        <v>45066</v>
      </c>
      <c r="C1083">
        <v>6000</v>
      </c>
      <c r="D1083" t="s">
        <v>2014</v>
      </c>
      <c r="E1083">
        <v>1356.38</v>
      </c>
      <c r="F1083">
        <v>0</v>
      </c>
      <c r="G1083" t="s">
        <v>2021</v>
      </c>
      <c r="H1083" t="s">
        <v>2026</v>
      </c>
      <c r="I1083" t="s">
        <v>3109</v>
      </c>
      <c r="J1083" t="s">
        <v>4032</v>
      </c>
      <c r="K1083" t="s">
        <v>4062</v>
      </c>
      <c r="L1083">
        <v>-1356.38</v>
      </c>
      <c r="N1083">
        <f t="shared" si="48"/>
        <v>-1356.38</v>
      </c>
      <c r="O1083" t="s">
        <v>4104</v>
      </c>
      <c r="P1083" t="str">
        <f t="shared" si="49"/>
        <v xml:space="preserve"> </v>
      </c>
      <c r="Q1083" t="str">
        <f t="shared" si="50"/>
        <v>Unfavorable</v>
      </c>
    </row>
    <row r="1084" spans="1:17">
      <c r="A1084" t="s">
        <v>1094</v>
      </c>
      <c r="B1084" s="2">
        <v>45721</v>
      </c>
      <c r="C1084">
        <v>5010</v>
      </c>
      <c r="D1084" t="s">
        <v>2015</v>
      </c>
      <c r="E1084">
        <v>1770.21</v>
      </c>
      <c r="F1084">
        <v>0</v>
      </c>
      <c r="G1084" t="s">
        <v>2017</v>
      </c>
      <c r="H1084" t="s">
        <v>2026</v>
      </c>
      <c r="I1084" t="s">
        <v>3110</v>
      </c>
      <c r="J1084" t="s">
        <v>4028</v>
      </c>
      <c r="K1084" t="s">
        <v>4046</v>
      </c>
      <c r="L1084">
        <v>-1770.21</v>
      </c>
      <c r="N1084">
        <f t="shared" si="48"/>
        <v>-1770.21</v>
      </c>
      <c r="O1084" t="s">
        <v>4104</v>
      </c>
      <c r="P1084" t="str">
        <f t="shared" si="49"/>
        <v xml:space="preserve"> </v>
      </c>
      <c r="Q1084" t="str">
        <f t="shared" si="50"/>
        <v>Unfavorable</v>
      </c>
    </row>
    <row r="1085" spans="1:17">
      <c r="A1085" t="s">
        <v>1095</v>
      </c>
      <c r="B1085" s="2">
        <v>45716</v>
      </c>
      <c r="C1085">
        <v>5000</v>
      </c>
      <c r="D1085" t="s">
        <v>2013</v>
      </c>
      <c r="E1085">
        <v>1240.48</v>
      </c>
      <c r="F1085">
        <v>0</v>
      </c>
      <c r="G1085" t="s">
        <v>2020</v>
      </c>
      <c r="H1085" t="s">
        <v>2024</v>
      </c>
      <c r="I1085" t="s">
        <v>3111</v>
      </c>
      <c r="J1085" t="s">
        <v>4029</v>
      </c>
      <c r="K1085" t="s">
        <v>4061</v>
      </c>
      <c r="L1085">
        <v>-1240.48</v>
      </c>
      <c r="N1085">
        <f t="shared" si="48"/>
        <v>-1240.48</v>
      </c>
      <c r="O1085" t="s">
        <v>4104</v>
      </c>
      <c r="P1085" t="str">
        <f t="shared" si="49"/>
        <v xml:space="preserve"> </v>
      </c>
      <c r="Q1085" t="str">
        <f t="shared" si="50"/>
        <v>Unfavorable</v>
      </c>
    </row>
    <row r="1086" spans="1:17">
      <c r="A1086" t="s">
        <v>1096</v>
      </c>
      <c r="B1086" s="2">
        <v>45752</v>
      </c>
      <c r="C1086">
        <v>5010</v>
      </c>
      <c r="D1086" t="s">
        <v>2015</v>
      </c>
      <c r="E1086">
        <v>1870.74</v>
      </c>
      <c r="F1086">
        <v>0</v>
      </c>
      <c r="G1086" t="s">
        <v>2018</v>
      </c>
      <c r="H1086" t="s">
        <v>2026</v>
      </c>
      <c r="I1086" t="s">
        <v>3112</v>
      </c>
      <c r="J1086" t="s">
        <v>4030</v>
      </c>
      <c r="K1086" t="s">
        <v>4045</v>
      </c>
      <c r="L1086">
        <v>-1870.74</v>
      </c>
      <c r="N1086">
        <f t="shared" si="48"/>
        <v>-1870.74</v>
      </c>
      <c r="O1086" t="s">
        <v>4104</v>
      </c>
      <c r="P1086" t="str">
        <f t="shared" si="49"/>
        <v xml:space="preserve"> </v>
      </c>
      <c r="Q1086" t="str">
        <f t="shared" si="50"/>
        <v>Unfavorable</v>
      </c>
    </row>
    <row r="1087" spans="1:17">
      <c r="A1087" t="s">
        <v>1097</v>
      </c>
      <c r="B1087" s="2">
        <v>45628</v>
      </c>
      <c r="C1087">
        <v>5010</v>
      </c>
      <c r="D1087" t="s">
        <v>2015</v>
      </c>
      <c r="E1087">
        <v>1295.49</v>
      </c>
      <c r="F1087">
        <v>0</v>
      </c>
      <c r="G1087" t="s">
        <v>2017</v>
      </c>
      <c r="H1087" t="s">
        <v>2026</v>
      </c>
      <c r="I1087" t="s">
        <v>3113</v>
      </c>
      <c r="J1087" t="s">
        <v>4028</v>
      </c>
      <c r="K1087" t="s">
        <v>4056</v>
      </c>
      <c r="L1087">
        <v>-1295.49</v>
      </c>
      <c r="N1087">
        <f t="shared" si="48"/>
        <v>-1295.49</v>
      </c>
      <c r="O1087" t="s">
        <v>4104</v>
      </c>
      <c r="P1087" t="str">
        <f t="shared" si="49"/>
        <v xml:space="preserve"> </v>
      </c>
      <c r="Q1087" t="str">
        <f t="shared" si="50"/>
        <v>Unfavorable</v>
      </c>
    </row>
    <row r="1088" spans="1:17">
      <c r="A1088" t="s">
        <v>1098</v>
      </c>
      <c r="B1088" s="2">
        <v>45827</v>
      </c>
      <c r="C1088">
        <v>5010</v>
      </c>
      <c r="D1088" t="s">
        <v>2015</v>
      </c>
      <c r="E1088">
        <v>403.44</v>
      </c>
      <c r="F1088">
        <v>0</v>
      </c>
      <c r="G1088" t="s">
        <v>2020</v>
      </c>
      <c r="H1088" t="s">
        <v>2027</v>
      </c>
      <c r="I1088" t="s">
        <v>3114</v>
      </c>
      <c r="J1088" t="s">
        <v>4029</v>
      </c>
      <c r="K1088" t="s">
        <v>4052</v>
      </c>
      <c r="L1088">
        <v>-403.44</v>
      </c>
      <c r="N1088">
        <f t="shared" si="48"/>
        <v>-403.44</v>
      </c>
      <c r="O1088" t="s">
        <v>4104</v>
      </c>
      <c r="P1088" t="str">
        <f t="shared" si="49"/>
        <v xml:space="preserve"> </v>
      </c>
      <c r="Q1088" t="str">
        <f t="shared" si="50"/>
        <v>Unfavorable</v>
      </c>
    </row>
    <row r="1089" spans="1:17">
      <c r="A1089" t="s">
        <v>1099</v>
      </c>
      <c r="B1089" s="2">
        <v>45215</v>
      </c>
      <c r="C1089">
        <v>4010</v>
      </c>
      <c r="D1089" t="s">
        <v>2016</v>
      </c>
      <c r="E1089">
        <v>0</v>
      </c>
      <c r="F1089">
        <v>298.58</v>
      </c>
      <c r="G1089" t="s">
        <v>2019</v>
      </c>
      <c r="H1089" t="s">
        <v>2024</v>
      </c>
      <c r="I1089" t="s">
        <v>3115</v>
      </c>
      <c r="J1089" t="s">
        <v>4030</v>
      </c>
      <c r="K1089" t="s">
        <v>4060</v>
      </c>
      <c r="L1089">
        <v>298.58</v>
      </c>
      <c r="N1089">
        <f t="shared" si="48"/>
        <v>298.58</v>
      </c>
      <c r="O1089" t="s">
        <v>4104</v>
      </c>
      <c r="P1089" t="str">
        <f t="shared" si="49"/>
        <v xml:space="preserve"> </v>
      </c>
      <c r="Q1089" t="str">
        <f t="shared" si="50"/>
        <v>Favorable</v>
      </c>
    </row>
    <row r="1090" spans="1:17">
      <c r="A1090" t="s">
        <v>1100</v>
      </c>
      <c r="B1090" s="2">
        <v>45314</v>
      </c>
      <c r="C1090">
        <v>4010</v>
      </c>
      <c r="D1090" t="s">
        <v>2016</v>
      </c>
      <c r="E1090">
        <v>0</v>
      </c>
      <c r="F1090">
        <v>2967.77</v>
      </c>
      <c r="G1090" t="s">
        <v>2022</v>
      </c>
      <c r="H1090" t="s">
        <v>2023</v>
      </c>
      <c r="I1090" t="s">
        <v>3116</v>
      </c>
      <c r="J1090" t="s">
        <v>4028</v>
      </c>
      <c r="K1090" t="s">
        <v>4053</v>
      </c>
      <c r="L1090">
        <v>2967.77</v>
      </c>
      <c r="N1090">
        <f t="shared" si="48"/>
        <v>2967.77</v>
      </c>
      <c r="O1090" t="s">
        <v>4104</v>
      </c>
      <c r="P1090" t="str">
        <f t="shared" si="49"/>
        <v xml:space="preserve"> </v>
      </c>
      <c r="Q1090" t="str">
        <f t="shared" si="50"/>
        <v>Favorable</v>
      </c>
    </row>
    <row r="1091" spans="1:17">
      <c r="A1091" t="s">
        <v>1101</v>
      </c>
      <c r="B1091" s="2">
        <v>44958</v>
      </c>
      <c r="C1091">
        <v>4010</v>
      </c>
      <c r="D1091" t="s">
        <v>2016</v>
      </c>
      <c r="E1091">
        <v>0</v>
      </c>
      <c r="F1091">
        <v>322.85000000000002</v>
      </c>
      <c r="G1091" t="s">
        <v>2022</v>
      </c>
      <c r="H1091" t="s">
        <v>2025</v>
      </c>
      <c r="I1091" t="s">
        <v>3117</v>
      </c>
      <c r="J1091" t="s">
        <v>4031</v>
      </c>
      <c r="K1091" t="s">
        <v>4057</v>
      </c>
      <c r="L1091">
        <v>322.85000000000002</v>
      </c>
      <c r="N1091">
        <f t="shared" ref="N1091:N1154" si="51">L:L-M:M</f>
        <v>322.85000000000002</v>
      </c>
      <c r="O1091" t="s">
        <v>4104</v>
      </c>
      <c r="P1091" t="str">
        <f t="shared" ref="P1091:P1154" si="52">IF(AND(ABS(N:N)&gt;10000,M:M&lt;&gt;0),"Material", " ")</f>
        <v xml:space="preserve"> </v>
      </c>
      <c r="Q1091" t="str">
        <f t="shared" ref="Q1091:Q1154" si="53">IF(N:N&gt;0,"Favorable","Unfavorable")</f>
        <v>Favorable</v>
      </c>
    </row>
    <row r="1092" spans="1:17">
      <c r="A1092" t="s">
        <v>1102</v>
      </c>
      <c r="B1092" s="2">
        <v>45025</v>
      </c>
      <c r="C1092">
        <v>5010</v>
      </c>
      <c r="D1092" t="s">
        <v>2015</v>
      </c>
      <c r="E1092">
        <v>1178.57</v>
      </c>
      <c r="F1092">
        <v>0</v>
      </c>
      <c r="G1092" t="s">
        <v>2019</v>
      </c>
      <c r="H1092" t="s">
        <v>2027</v>
      </c>
      <c r="I1092" t="s">
        <v>3118</v>
      </c>
      <c r="J1092" t="s">
        <v>4032</v>
      </c>
      <c r="K1092" t="s">
        <v>4041</v>
      </c>
      <c r="L1092">
        <v>-1178.57</v>
      </c>
      <c r="N1092">
        <f t="shared" si="51"/>
        <v>-1178.57</v>
      </c>
      <c r="O1092" t="s">
        <v>4104</v>
      </c>
      <c r="P1092" t="str">
        <f t="shared" si="52"/>
        <v xml:space="preserve"> </v>
      </c>
      <c r="Q1092" t="str">
        <f t="shared" si="53"/>
        <v>Unfavorable</v>
      </c>
    </row>
    <row r="1093" spans="1:17">
      <c r="A1093" t="s">
        <v>1103</v>
      </c>
      <c r="B1093" s="2">
        <v>45454</v>
      </c>
      <c r="C1093">
        <v>5010</v>
      </c>
      <c r="D1093" t="s">
        <v>2015</v>
      </c>
      <c r="E1093">
        <v>572.52</v>
      </c>
      <c r="F1093">
        <v>0</v>
      </c>
      <c r="G1093" t="s">
        <v>2022</v>
      </c>
      <c r="H1093" t="s">
        <v>2026</v>
      </c>
      <c r="I1093" t="s">
        <v>3119</v>
      </c>
      <c r="J1093" t="s">
        <v>4031</v>
      </c>
      <c r="K1093" t="s">
        <v>4034</v>
      </c>
      <c r="L1093">
        <v>-572.52</v>
      </c>
      <c r="N1093">
        <f t="shared" si="51"/>
        <v>-572.52</v>
      </c>
      <c r="O1093" t="s">
        <v>4104</v>
      </c>
      <c r="P1093" t="str">
        <f t="shared" si="52"/>
        <v xml:space="preserve"> </v>
      </c>
      <c r="Q1093" t="str">
        <f t="shared" si="53"/>
        <v>Unfavorable</v>
      </c>
    </row>
    <row r="1094" spans="1:17">
      <c r="A1094" t="s">
        <v>1104</v>
      </c>
      <c r="B1094" s="2">
        <v>45228</v>
      </c>
      <c r="C1094">
        <v>4000</v>
      </c>
      <c r="D1094" t="s">
        <v>2012</v>
      </c>
      <c r="E1094">
        <v>0</v>
      </c>
      <c r="F1094">
        <v>1038.25</v>
      </c>
      <c r="G1094" t="s">
        <v>2020</v>
      </c>
      <c r="H1094" t="s">
        <v>2025</v>
      </c>
      <c r="I1094" t="s">
        <v>3120</v>
      </c>
      <c r="J1094" t="s">
        <v>4028</v>
      </c>
      <c r="K1094" t="s">
        <v>4060</v>
      </c>
      <c r="L1094">
        <v>1038.25</v>
      </c>
      <c r="N1094">
        <f t="shared" si="51"/>
        <v>1038.25</v>
      </c>
      <c r="O1094" t="s">
        <v>4104</v>
      </c>
      <c r="P1094" t="str">
        <f t="shared" si="52"/>
        <v xml:space="preserve"> </v>
      </c>
      <c r="Q1094" t="str">
        <f t="shared" si="53"/>
        <v>Favorable</v>
      </c>
    </row>
    <row r="1095" spans="1:17">
      <c r="A1095" t="s">
        <v>1105</v>
      </c>
      <c r="B1095" s="2">
        <v>44982</v>
      </c>
      <c r="C1095">
        <v>5010</v>
      </c>
      <c r="D1095" t="s">
        <v>2015</v>
      </c>
      <c r="E1095">
        <v>54.75</v>
      </c>
      <c r="F1095">
        <v>0</v>
      </c>
      <c r="G1095" t="s">
        <v>2018</v>
      </c>
      <c r="H1095" t="s">
        <v>2024</v>
      </c>
      <c r="I1095" t="s">
        <v>3121</v>
      </c>
      <c r="J1095" t="s">
        <v>4028</v>
      </c>
      <c r="K1095" t="s">
        <v>4057</v>
      </c>
      <c r="L1095">
        <v>-54.75</v>
      </c>
      <c r="N1095">
        <f t="shared" si="51"/>
        <v>-54.75</v>
      </c>
      <c r="O1095" t="s">
        <v>4104</v>
      </c>
      <c r="P1095" t="str">
        <f t="shared" si="52"/>
        <v xml:space="preserve"> </v>
      </c>
      <c r="Q1095" t="str">
        <f t="shared" si="53"/>
        <v>Unfavorable</v>
      </c>
    </row>
    <row r="1096" spans="1:17">
      <c r="A1096" t="s">
        <v>1106</v>
      </c>
      <c r="B1096" s="2">
        <v>45401</v>
      </c>
      <c r="C1096">
        <v>5010</v>
      </c>
      <c r="D1096" t="s">
        <v>2015</v>
      </c>
      <c r="E1096">
        <v>229.78</v>
      </c>
      <c r="F1096">
        <v>0</v>
      </c>
      <c r="G1096" t="s">
        <v>2020</v>
      </c>
      <c r="H1096" t="s">
        <v>2024</v>
      </c>
      <c r="I1096" t="s">
        <v>3122</v>
      </c>
      <c r="J1096" t="s">
        <v>4031</v>
      </c>
      <c r="K1096" t="s">
        <v>4040</v>
      </c>
      <c r="L1096">
        <v>-229.78</v>
      </c>
      <c r="N1096">
        <f t="shared" si="51"/>
        <v>-229.78</v>
      </c>
      <c r="O1096" t="s">
        <v>4104</v>
      </c>
      <c r="P1096" t="str">
        <f t="shared" si="52"/>
        <v xml:space="preserve"> </v>
      </c>
      <c r="Q1096" t="str">
        <f t="shared" si="53"/>
        <v>Unfavorable</v>
      </c>
    </row>
    <row r="1097" spans="1:17">
      <c r="A1097" t="s">
        <v>1107</v>
      </c>
      <c r="B1097" s="2">
        <v>45497</v>
      </c>
      <c r="C1097">
        <v>5010</v>
      </c>
      <c r="D1097" t="s">
        <v>2015</v>
      </c>
      <c r="E1097">
        <v>1195.8599999999999</v>
      </c>
      <c r="F1097">
        <v>0</v>
      </c>
      <c r="G1097" t="s">
        <v>2022</v>
      </c>
      <c r="H1097" t="s">
        <v>2024</v>
      </c>
      <c r="I1097" t="s">
        <v>3123</v>
      </c>
      <c r="J1097" t="s">
        <v>4032</v>
      </c>
      <c r="K1097" t="s">
        <v>4054</v>
      </c>
      <c r="L1097">
        <v>-1195.8599999999999</v>
      </c>
      <c r="N1097">
        <f t="shared" si="51"/>
        <v>-1195.8599999999999</v>
      </c>
      <c r="O1097" t="s">
        <v>4104</v>
      </c>
      <c r="P1097" t="str">
        <f t="shared" si="52"/>
        <v xml:space="preserve"> </v>
      </c>
      <c r="Q1097" t="str">
        <f t="shared" si="53"/>
        <v>Unfavorable</v>
      </c>
    </row>
    <row r="1098" spans="1:17">
      <c r="A1098" t="s">
        <v>1108</v>
      </c>
      <c r="B1098" s="2">
        <v>45765</v>
      </c>
      <c r="C1098">
        <v>4000</v>
      </c>
      <c r="D1098" t="s">
        <v>2012</v>
      </c>
      <c r="E1098">
        <v>0</v>
      </c>
      <c r="F1098">
        <v>183.89</v>
      </c>
      <c r="G1098" t="s">
        <v>2020</v>
      </c>
      <c r="H1098" t="s">
        <v>2026</v>
      </c>
      <c r="I1098" t="s">
        <v>3124</v>
      </c>
      <c r="J1098" t="s">
        <v>4030</v>
      </c>
      <c r="K1098" t="s">
        <v>4045</v>
      </c>
      <c r="L1098">
        <v>183.89</v>
      </c>
      <c r="N1098">
        <f t="shared" si="51"/>
        <v>183.89</v>
      </c>
      <c r="O1098" t="s">
        <v>4104</v>
      </c>
      <c r="P1098" t="str">
        <f t="shared" si="52"/>
        <v xml:space="preserve"> </v>
      </c>
      <c r="Q1098" t="str">
        <f t="shared" si="53"/>
        <v>Favorable</v>
      </c>
    </row>
    <row r="1099" spans="1:17">
      <c r="A1099" t="s">
        <v>1109</v>
      </c>
      <c r="B1099" s="2">
        <v>45708</v>
      </c>
      <c r="C1099">
        <v>5010</v>
      </c>
      <c r="D1099" t="s">
        <v>2015</v>
      </c>
      <c r="E1099">
        <v>786.38</v>
      </c>
      <c r="F1099">
        <v>0</v>
      </c>
      <c r="G1099" t="s">
        <v>2021</v>
      </c>
      <c r="H1099" t="s">
        <v>2026</v>
      </c>
      <c r="I1099" t="s">
        <v>3125</v>
      </c>
      <c r="J1099" t="s">
        <v>4032</v>
      </c>
      <c r="K1099" t="s">
        <v>4061</v>
      </c>
      <c r="L1099">
        <v>-786.38</v>
      </c>
      <c r="N1099">
        <f t="shared" si="51"/>
        <v>-786.38</v>
      </c>
      <c r="O1099" t="s">
        <v>4104</v>
      </c>
      <c r="P1099" t="str">
        <f t="shared" si="52"/>
        <v xml:space="preserve"> </v>
      </c>
      <c r="Q1099" t="str">
        <f t="shared" si="53"/>
        <v>Unfavorable</v>
      </c>
    </row>
    <row r="1100" spans="1:17">
      <c r="A1100" t="s">
        <v>1110</v>
      </c>
      <c r="B1100" s="2">
        <v>45809</v>
      </c>
      <c r="C1100">
        <v>5010</v>
      </c>
      <c r="D1100" t="s">
        <v>2015</v>
      </c>
      <c r="E1100">
        <v>352.55</v>
      </c>
      <c r="F1100">
        <v>0</v>
      </c>
      <c r="G1100" t="s">
        <v>2019</v>
      </c>
      <c r="H1100" t="s">
        <v>2026</v>
      </c>
      <c r="I1100" t="s">
        <v>3126</v>
      </c>
      <c r="J1100" t="s">
        <v>4029</v>
      </c>
      <c r="K1100" t="s">
        <v>4052</v>
      </c>
      <c r="L1100">
        <v>-352.55</v>
      </c>
      <c r="N1100">
        <f t="shared" si="51"/>
        <v>-352.55</v>
      </c>
      <c r="O1100" t="s">
        <v>4104</v>
      </c>
      <c r="P1100" t="str">
        <f t="shared" si="52"/>
        <v xml:space="preserve"> </v>
      </c>
      <c r="Q1100" t="str">
        <f t="shared" si="53"/>
        <v>Unfavorable</v>
      </c>
    </row>
    <row r="1101" spans="1:17">
      <c r="A1101" t="s">
        <v>1111</v>
      </c>
      <c r="B1101" s="2">
        <v>45094</v>
      </c>
      <c r="C1101">
        <v>6000</v>
      </c>
      <c r="D1101" t="s">
        <v>2014</v>
      </c>
      <c r="E1101">
        <v>1814.7</v>
      </c>
      <c r="F1101">
        <v>0</v>
      </c>
      <c r="G1101" t="s">
        <v>2019</v>
      </c>
      <c r="H1101" t="s">
        <v>2027</v>
      </c>
      <c r="I1101" t="s">
        <v>3127</v>
      </c>
      <c r="J1101" t="s">
        <v>4031</v>
      </c>
      <c r="K1101" t="s">
        <v>4055</v>
      </c>
      <c r="L1101">
        <v>-1814.7</v>
      </c>
      <c r="N1101">
        <f t="shared" si="51"/>
        <v>-1814.7</v>
      </c>
      <c r="O1101" t="s">
        <v>4104</v>
      </c>
      <c r="P1101" t="str">
        <f t="shared" si="52"/>
        <v xml:space="preserve"> </v>
      </c>
      <c r="Q1101" t="str">
        <f t="shared" si="53"/>
        <v>Unfavorable</v>
      </c>
    </row>
    <row r="1102" spans="1:17">
      <c r="A1102" t="s">
        <v>1112</v>
      </c>
      <c r="B1102" s="2">
        <v>45182</v>
      </c>
      <c r="C1102">
        <v>4000</v>
      </c>
      <c r="D1102" t="s">
        <v>2012</v>
      </c>
      <c r="E1102">
        <v>0</v>
      </c>
      <c r="F1102">
        <v>4099.41</v>
      </c>
      <c r="G1102" t="s">
        <v>2020</v>
      </c>
      <c r="H1102" t="s">
        <v>2023</v>
      </c>
      <c r="I1102" t="s">
        <v>3128</v>
      </c>
      <c r="J1102" t="s">
        <v>4031</v>
      </c>
      <c r="K1102" t="s">
        <v>4036</v>
      </c>
      <c r="L1102">
        <v>4099.41</v>
      </c>
      <c r="N1102">
        <f t="shared" si="51"/>
        <v>4099.41</v>
      </c>
      <c r="O1102" t="s">
        <v>4104</v>
      </c>
      <c r="P1102" t="str">
        <f t="shared" si="52"/>
        <v xml:space="preserve"> </v>
      </c>
      <c r="Q1102" t="str">
        <f t="shared" si="53"/>
        <v>Favorable</v>
      </c>
    </row>
    <row r="1103" spans="1:17">
      <c r="A1103" t="s">
        <v>1113</v>
      </c>
      <c r="B1103" s="2">
        <v>45793</v>
      </c>
      <c r="C1103">
        <v>4000</v>
      </c>
      <c r="D1103" t="s">
        <v>2012</v>
      </c>
      <c r="E1103">
        <v>0</v>
      </c>
      <c r="F1103">
        <v>1953.74</v>
      </c>
      <c r="G1103" t="s">
        <v>2022</v>
      </c>
      <c r="H1103" t="s">
        <v>2024</v>
      </c>
      <c r="I1103" t="s">
        <v>3129</v>
      </c>
      <c r="J1103" t="s">
        <v>4028</v>
      </c>
      <c r="K1103" t="s">
        <v>4038</v>
      </c>
      <c r="L1103">
        <v>1953.74</v>
      </c>
      <c r="N1103">
        <f t="shared" si="51"/>
        <v>1953.74</v>
      </c>
      <c r="O1103" t="s">
        <v>4104</v>
      </c>
      <c r="P1103" t="str">
        <f t="shared" si="52"/>
        <v xml:space="preserve"> </v>
      </c>
      <c r="Q1103" t="str">
        <f t="shared" si="53"/>
        <v>Favorable</v>
      </c>
    </row>
    <row r="1104" spans="1:17">
      <c r="A1104" t="s">
        <v>1114</v>
      </c>
      <c r="B1104" s="2">
        <v>45319</v>
      </c>
      <c r="C1104">
        <v>5000</v>
      </c>
      <c r="D1104" t="s">
        <v>2013</v>
      </c>
      <c r="E1104">
        <v>242.28</v>
      </c>
      <c r="F1104">
        <v>0</v>
      </c>
      <c r="G1104" t="s">
        <v>2021</v>
      </c>
      <c r="H1104" t="s">
        <v>2025</v>
      </c>
      <c r="I1104" t="s">
        <v>3130</v>
      </c>
      <c r="J1104" t="s">
        <v>4031</v>
      </c>
      <c r="K1104" t="s">
        <v>4053</v>
      </c>
      <c r="L1104">
        <v>-242.28</v>
      </c>
      <c r="N1104">
        <f t="shared" si="51"/>
        <v>-242.28</v>
      </c>
      <c r="O1104" t="s">
        <v>4104</v>
      </c>
      <c r="P1104" t="str">
        <f t="shared" si="52"/>
        <v xml:space="preserve"> </v>
      </c>
      <c r="Q1104" t="str">
        <f t="shared" si="53"/>
        <v>Unfavorable</v>
      </c>
    </row>
    <row r="1105" spans="1:17">
      <c r="A1105" t="s">
        <v>1115</v>
      </c>
      <c r="B1105" s="2">
        <v>45434</v>
      </c>
      <c r="C1105">
        <v>4010</v>
      </c>
      <c r="D1105" t="s">
        <v>2016</v>
      </c>
      <c r="E1105">
        <v>0</v>
      </c>
      <c r="F1105">
        <v>3335.43</v>
      </c>
      <c r="G1105" t="s">
        <v>2022</v>
      </c>
      <c r="H1105" t="s">
        <v>2026</v>
      </c>
      <c r="I1105" t="s">
        <v>3131</v>
      </c>
      <c r="J1105" t="s">
        <v>4031</v>
      </c>
      <c r="K1105" t="s">
        <v>4033</v>
      </c>
      <c r="L1105">
        <v>3335.43</v>
      </c>
      <c r="N1105">
        <f t="shared" si="51"/>
        <v>3335.43</v>
      </c>
      <c r="O1105" t="s">
        <v>4104</v>
      </c>
      <c r="P1105" t="str">
        <f t="shared" si="52"/>
        <v xml:space="preserve"> </v>
      </c>
      <c r="Q1105" t="str">
        <f t="shared" si="53"/>
        <v>Favorable</v>
      </c>
    </row>
    <row r="1106" spans="1:17">
      <c r="A1106" t="s">
        <v>1116</v>
      </c>
      <c r="B1106" s="2">
        <v>45167</v>
      </c>
      <c r="C1106">
        <v>5010</v>
      </c>
      <c r="D1106" t="s">
        <v>2015</v>
      </c>
      <c r="E1106">
        <v>831.33</v>
      </c>
      <c r="F1106">
        <v>0</v>
      </c>
      <c r="G1106" t="s">
        <v>2022</v>
      </c>
      <c r="H1106" t="s">
        <v>2026</v>
      </c>
      <c r="I1106" t="s">
        <v>3132</v>
      </c>
      <c r="J1106" t="s">
        <v>4032</v>
      </c>
      <c r="K1106" t="s">
        <v>4037</v>
      </c>
      <c r="L1106">
        <v>-831.33</v>
      </c>
      <c r="N1106">
        <f t="shared" si="51"/>
        <v>-831.33</v>
      </c>
      <c r="O1106" t="s">
        <v>4104</v>
      </c>
      <c r="P1106" t="str">
        <f t="shared" si="52"/>
        <v xml:space="preserve"> </v>
      </c>
      <c r="Q1106" t="str">
        <f t="shared" si="53"/>
        <v>Unfavorable</v>
      </c>
    </row>
    <row r="1107" spans="1:17">
      <c r="A1107" t="s">
        <v>1117</v>
      </c>
      <c r="B1107" s="2">
        <v>45344</v>
      </c>
      <c r="C1107">
        <v>4000</v>
      </c>
      <c r="D1107" t="s">
        <v>2012</v>
      </c>
      <c r="E1107">
        <v>0</v>
      </c>
      <c r="F1107">
        <v>406.59</v>
      </c>
      <c r="G1107" t="s">
        <v>2017</v>
      </c>
      <c r="H1107" t="s">
        <v>2027</v>
      </c>
      <c r="I1107" t="s">
        <v>3133</v>
      </c>
      <c r="J1107" t="s">
        <v>4029</v>
      </c>
      <c r="K1107" t="s">
        <v>4044</v>
      </c>
      <c r="L1107">
        <v>406.59</v>
      </c>
      <c r="N1107">
        <f t="shared" si="51"/>
        <v>406.59</v>
      </c>
      <c r="O1107" t="s">
        <v>4104</v>
      </c>
      <c r="P1107" t="str">
        <f t="shared" si="52"/>
        <v xml:space="preserve"> </v>
      </c>
      <c r="Q1107" t="str">
        <f t="shared" si="53"/>
        <v>Favorable</v>
      </c>
    </row>
    <row r="1108" spans="1:17">
      <c r="A1108" t="s">
        <v>1118</v>
      </c>
      <c r="B1108" s="2">
        <v>45325</v>
      </c>
      <c r="C1108">
        <v>6000</v>
      </c>
      <c r="D1108" t="s">
        <v>2014</v>
      </c>
      <c r="E1108">
        <v>1813.03</v>
      </c>
      <c r="F1108">
        <v>0</v>
      </c>
      <c r="G1108" t="s">
        <v>2021</v>
      </c>
      <c r="H1108" t="s">
        <v>2027</v>
      </c>
      <c r="I1108" t="s">
        <v>3134</v>
      </c>
      <c r="J1108" t="s">
        <v>4029</v>
      </c>
      <c r="K1108" t="s">
        <v>4044</v>
      </c>
      <c r="L1108">
        <v>-1813.03</v>
      </c>
      <c r="N1108">
        <f t="shared" si="51"/>
        <v>-1813.03</v>
      </c>
      <c r="O1108" t="s">
        <v>4104</v>
      </c>
      <c r="P1108" t="str">
        <f t="shared" si="52"/>
        <v xml:space="preserve"> </v>
      </c>
      <c r="Q1108" t="str">
        <f t="shared" si="53"/>
        <v>Unfavorable</v>
      </c>
    </row>
    <row r="1109" spans="1:17">
      <c r="A1109" t="s">
        <v>1119</v>
      </c>
      <c r="B1109" s="2">
        <v>45338</v>
      </c>
      <c r="C1109">
        <v>4000</v>
      </c>
      <c r="D1109" t="s">
        <v>2012</v>
      </c>
      <c r="E1109">
        <v>0</v>
      </c>
      <c r="F1109">
        <v>2019.11</v>
      </c>
      <c r="G1109" t="s">
        <v>2018</v>
      </c>
      <c r="H1109" t="s">
        <v>2024</v>
      </c>
      <c r="I1109" t="s">
        <v>3135</v>
      </c>
      <c r="J1109" t="s">
        <v>4030</v>
      </c>
      <c r="K1109" t="s">
        <v>4044</v>
      </c>
      <c r="L1109">
        <v>2019.11</v>
      </c>
      <c r="N1109">
        <f t="shared" si="51"/>
        <v>2019.11</v>
      </c>
      <c r="O1109" t="s">
        <v>4104</v>
      </c>
      <c r="P1109" t="str">
        <f t="shared" si="52"/>
        <v xml:space="preserve"> </v>
      </c>
      <c r="Q1109" t="str">
        <f t="shared" si="53"/>
        <v>Favorable</v>
      </c>
    </row>
    <row r="1110" spans="1:17">
      <c r="A1110" t="s">
        <v>1120</v>
      </c>
      <c r="B1110" s="2">
        <v>45359</v>
      </c>
      <c r="C1110">
        <v>6000</v>
      </c>
      <c r="D1110" t="s">
        <v>2014</v>
      </c>
      <c r="E1110">
        <v>1278.3800000000001</v>
      </c>
      <c r="F1110">
        <v>0</v>
      </c>
      <c r="G1110" t="s">
        <v>2018</v>
      </c>
      <c r="H1110" t="s">
        <v>2026</v>
      </c>
      <c r="I1110" t="s">
        <v>3136</v>
      </c>
      <c r="J1110" t="s">
        <v>4029</v>
      </c>
      <c r="K1110" t="s">
        <v>4049</v>
      </c>
      <c r="L1110">
        <v>-1278.3800000000001</v>
      </c>
      <c r="N1110">
        <f t="shared" si="51"/>
        <v>-1278.3800000000001</v>
      </c>
      <c r="O1110" t="s">
        <v>4104</v>
      </c>
      <c r="P1110" t="str">
        <f t="shared" si="52"/>
        <v xml:space="preserve"> </v>
      </c>
      <c r="Q1110" t="str">
        <f t="shared" si="53"/>
        <v>Unfavorable</v>
      </c>
    </row>
    <row r="1111" spans="1:17">
      <c r="A1111" t="s">
        <v>1121</v>
      </c>
      <c r="B1111" s="2">
        <v>45023</v>
      </c>
      <c r="C1111">
        <v>4000</v>
      </c>
      <c r="D1111" t="s">
        <v>2012</v>
      </c>
      <c r="E1111">
        <v>0</v>
      </c>
      <c r="F1111">
        <v>2058.58</v>
      </c>
      <c r="G1111" t="s">
        <v>2021</v>
      </c>
      <c r="H1111" t="s">
        <v>2024</v>
      </c>
      <c r="I1111" t="s">
        <v>3137</v>
      </c>
      <c r="J1111" t="s">
        <v>4032</v>
      </c>
      <c r="K1111" t="s">
        <v>4041</v>
      </c>
      <c r="L1111">
        <v>2058.58</v>
      </c>
      <c r="N1111">
        <f t="shared" si="51"/>
        <v>2058.58</v>
      </c>
      <c r="O1111" t="s">
        <v>4104</v>
      </c>
      <c r="P1111" t="str">
        <f t="shared" si="52"/>
        <v xml:space="preserve"> </v>
      </c>
      <c r="Q1111" t="str">
        <f t="shared" si="53"/>
        <v>Favorable</v>
      </c>
    </row>
    <row r="1112" spans="1:17">
      <c r="A1112" t="s">
        <v>1122</v>
      </c>
      <c r="B1112" s="2">
        <v>45532</v>
      </c>
      <c r="C1112">
        <v>6000</v>
      </c>
      <c r="D1112" t="s">
        <v>2014</v>
      </c>
      <c r="E1112">
        <v>1453.63</v>
      </c>
      <c r="F1112">
        <v>0</v>
      </c>
      <c r="G1112" t="s">
        <v>2017</v>
      </c>
      <c r="H1112" t="s">
        <v>2025</v>
      </c>
      <c r="I1112" t="s">
        <v>3138</v>
      </c>
      <c r="J1112" t="s">
        <v>4030</v>
      </c>
      <c r="K1112" t="s">
        <v>4058</v>
      </c>
      <c r="L1112">
        <v>-1453.63</v>
      </c>
      <c r="N1112">
        <f t="shared" si="51"/>
        <v>-1453.63</v>
      </c>
      <c r="O1112" t="s">
        <v>4104</v>
      </c>
      <c r="P1112" t="str">
        <f t="shared" si="52"/>
        <v xml:space="preserve"> </v>
      </c>
      <c r="Q1112" t="str">
        <f t="shared" si="53"/>
        <v>Unfavorable</v>
      </c>
    </row>
    <row r="1113" spans="1:17">
      <c r="A1113" t="s">
        <v>1123</v>
      </c>
      <c r="B1113" s="2">
        <v>45173</v>
      </c>
      <c r="C1113">
        <v>4000</v>
      </c>
      <c r="D1113" t="s">
        <v>2012</v>
      </c>
      <c r="E1113">
        <v>0</v>
      </c>
      <c r="F1113">
        <v>2233.0500000000002</v>
      </c>
      <c r="G1113" t="s">
        <v>2021</v>
      </c>
      <c r="H1113" t="s">
        <v>2024</v>
      </c>
      <c r="I1113" t="s">
        <v>3139</v>
      </c>
      <c r="J1113" t="s">
        <v>4030</v>
      </c>
      <c r="K1113" t="s">
        <v>4036</v>
      </c>
      <c r="L1113">
        <v>2233.0500000000002</v>
      </c>
      <c r="N1113">
        <f t="shared" si="51"/>
        <v>2233.0500000000002</v>
      </c>
      <c r="O1113" t="s">
        <v>4104</v>
      </c>
      <c r="P1113" t="str">
        <f t="shared" si="52"/>
        <v xml:space="preserve"> </v>
      </c>
      <c r="Q1113" t="str">
        <f t="shared" si="53"/>
        <v>Favorable</v>
      </c>
    </row>
    <row r="1114" spans="1:17">
      <c r="A1114" t="s">
        <v>1124</v>
      </c>
      <c r="B1114" s="2">
        <v>45191</v>
      </c>
      <c r="C1114">
        <v>5010</v>
      </c>
      <c r="D1114" t="s">
        <v>2015</v>
      </c>
      <c r="E1114">
        <v>836.69</v>
      </c>
      <c r="F1114">
        <v>0</v>
      </c>
      <c r="G1114" t="s">
        <v>2017</v>
      </c>
      <c r="H1114" t="s">
        <v>2024</v>
      </c>
      <c r="I1114" t="s">
        <v>3140</v>
      </c>
      <c r="J1114" t="s">
        <v>4030</v>
      </c>
      <c r="K1114" t="s">
        <v>4036</v>
      </c>
      <c r="L1114">
        <v>-836.69</v>
      </c>
      <c r="N1114">
        <f t="shared" si="51"/>
        <v>-836.69</v>
      </c>
      <c r="O1114" t="s">
        <v>4104</v>
      </c>
      <c r="P1114" t="str">
        <f t="shared" si="52"/>
        <v xml:space="preserve"> </v>
      </c>
      <c r="Q1114" t="str">
        <f t="shared" si="53"/>
        <v>Unfavorable</v>
      </c>
    </row>
    <row r="1115" spans="1:17">
      <c r="A1115" t="s">
        <v>1125</v>
      </c>
      <c r="B1115" s="2">
        <v>44928</v>
      </c>
      <c r="C1115">
        <v>4000</v>
      </c>
      <c r="D1115" t="s">
        <v>2012</v>
      </c>
      <c r="E1115">
        <v>0</v>
      </c>
      <c r="F1115">
        <v>2173.0100000000002</v>
      </c>
      <c r="G1115" t="s">
        <v>2020</v>
      </c>
      <c r="H1115" t="s">
        <v>2026</v>
      </c>
      <c r="I1115" t="s">
        <v>3141</v>
      </c>
      <c r="J1115" t="s">
        <v>4028</v>
      </c>
      <c r="K1115" t="s">
        <v>4047</v>
      </c>
      <c r="L1115">
        <v>2173.0100000000002</v>
      </c>
      <c r="N1115">
        <f t="shared" si="51"/>
        <v>2173.0100000000002</v>
      </c>
      <c r="O1115" t="s">
        <v>4104</v>
      </c>
      <c r="P1115" t="str">
        <f t="shared" si="52"/>
        <v xml:space="preserve"> </v>
      </c>
      <c r="Q1115" t="str">
        <f t="shared" si="53"/>
        <v>Favorable</v>
      </c>
    </row>
    <row r="1116" spans="1:17">
      <c r="A1116" t="s">
        <v>1126</v>
      </c>
      <c r="B1116" s="2">
        <v>45334</v>
      </c>
      <c r="C1116">
        <v>4000</v>
      </c>
      <c r="D1116" t="s">
        <v>2012</v>
      </c>
      <c r="E1116">
        <v>0</v>
      </c>
      <c r="F1116">
        <v>3592.24</v>
      </c>
      <c r="G1116" t="s">
        <v>2021</v>
      </c>
      <c r="H1116" t="s">
        <v>2025</v>
      </c>
      <c r="I1116" t="s">
        <v>3142</v>
      </c>
      <c r="J1116" t="s">
        <v>4030</v>
      </c>
      <c r="K1116" t="s">
        <v>4044</v>
      </c>
      <c r="L1116">
        <v>3592.24</v>
      </c>
      <c r="N1116">
        <f t="shared" si="51"/>
        <v>3592.24</v>
      </c>
      <c r="O1116" t="s">
        <v>4104</v>
      </c>
      <c r="P1116" t="str">
        <f t="shared" si="52"/>
        <v xml:space="preserve"> </v>
      </c>
      <c r="Q1116" t="str">
        <f t="shared" si="53"/>
        <v>Favorable</v>
      </c>
    </row>
    <row r="1117" spans="1:17">
      <c r="A1117" t="s">
        <v>1127</v>
      </c>
      <c r="B1117" s="2">
        <v>45551</v>
      </c>
      <c r="C1117">
        <v>5010</v>
      </c>
      <c r="D1117" t="s">
        <v>2015</v>
      </c>
      <c r="E1117">
        <v>412.97</v>
      </c>
      <c r="F1117">
        <v>0</v>
      </c>
      <c r="G1117" t="s">
        <v>2022</v>
      </c>
      <c r="H1117" t="s">
        <v>2025</v>
      </c>
      <c r="I1117" t="s">
        <v>3143</v>
      </c>
      <c r="J1117" t="s">
        <v>4030</v>
      </c>
      <c r="K1117" t="s">
        <v>4048</v>
      </c>
      <c r="L1117">
        <v>-412.97</v>
      </c>
      <c r="N1117">
        <f t="shared" si="51"/>
        <v>-412.97</v>
      </c>
      <c r="O1117" t="s">
        <v>4104</v>
      </c>
      <c r="P1117" t="str">
        <f t="shared" si="52"/>
        <v xml:space="preserve"> </v>
      </c>
      <c r="Q1117" t="str">
        <f t="shared" si="53"/>
        <v>Unfavorable</v>
      </c>
    </row>
    <row r="1118" spans="1:17">
      <c r="A1118" t="s">
        <v>1128</v>
      </c>
      <c r="B1118" s="2">
        <v>45370</v>
      </c>
      <c r="C1118">
        <v>6000</v>
      </c>
      <c r="D1118" t="s">
        <v>2014</v>
      </c>
      <c r="E1118">
        <v>732.61</v>
      </c>
      <c r="F1118">
        <v>0</v>
      </c>
      <c r="G1118" t="s">
        <v>2021</v>
      </c>
      <c r="H1118" t="s">
        <v>2024</v>
      </c>
      <c r="I1118" t="s">
        <v>3144</v>
      </c>
      <c r="J1118" t="s">
        <v>4030</v>
      </c>
      <c r="K1118" t="s">
        <v>4049</v>
      </c>
      <c r="L1118">
        <v>-732.61</v>
      </c>
      <c r="N1118">
        <f t="shared" si="51"/>
        <v>-732.61</v>
      </c>
      <c r="O1118" t="s">
        <v>4104</v>
      </c>
      <c r="P1118" t="str">
        <f t="shared" si="52"/>
        <v xml:space="preserve"> </v>
      </c>
      <c r="Q1118" t="str">
        <f t="shared" si="53"/>
        <v>Unfavorable</v>
      </c>
    </row>
    <row r="1119" spans="1:17">
      <c r="A1119" t="s">
        <v>1129</v>
      </c>
      <c r="B1119" s="2">
        <v>45219</v>
      </c>
      <c r="C1119">
        <v>4010</v>
      </c>
      <c r="D1119" t="s">
        <v>2016</v>
      </c>
      <c r="E1119">
        <v>0</v>
      </c>
      <c r="F1119">
        <v>2538.6999999999998</v>
      </c>
      <c r="G1119" t="s">
        <v>2017</v>
      </c>
      <c r="H1119" t="s">
        <v>2027</v>
      </c>
      <c r="I1119" t="s">
        <v>3145</v>
      </c>
      <c r="J1119" t="s">
        <v>4028</v>
      </c>
      <c r="K1119" t="s">
        <v>4060</v>
      </c>
      <c r="L1119">
        <v>2538.6999999999998</v>
      </c>
      <c r="N1119">
        <f t="shared" si="51"/>
        <v>2538.6999999999998</v>
      </c>
      <c r="O1119" t="s">
        <v>4104</v>
      </c>
      <c r="P1119" t="str">
        <f t="shared" si="52"/>
        <v xml:space="preserve"> </v>
      </c>
      <c r="Q1119" t="str">
        <f t="shared" si="53"/>
        <v>Favorable</v>
      </c>
    </row>
    <row r="1120" spans="1:17">
      <c r="A1120" t="s">
        <v>1130</v>
      </c>
      <c r="B1120" s="2">
        <v>45539</v>
      </c>
      <c r="C1120">
        <v>5010</v>
      </c>
      <c r="D1120" t="s">
        <v>2015</v>
      </c>
      <c r="E1120">
        <v>436.55</v>
      </c>
      <c r="F1120">
        <v>0</v>
      </c>
      <c r="G1120" t="s">
        <v>2017</v>
      </c>
      <c r="H1120" t="s">
        <v>2024</v>
      </c>
      <c r="I1120" t="s">
        <v>3146</v>
      </c>
      <c r="J1120" t="s">
        <v>4028</v>
      </c>
      <c r="K1120" t="s">
        <v>4048</v>
      </c>
      <c r="L1120">
        <v>-436.55</v>
      </c>
      <c r="N1120">
        <f t="shared" si="51"/>
        <v>-436.55</v>
      </c>
      <c r="O1120" t="s">
        <v>4104</v>
      </c>
      <c r="P1120" t="str">
        <f t="shared" si="52"/>
        <v xml:space="preserve"> </v>
      </c>
      <c r="Q1120" t="str">
        <f t="shared" si="53"/>
        <v>Unfavorable</v>
      </c>
    </row>
    <row r="1121" spans="1:17">
      <c r="A1121" t="s">
        <v>1131</v>
      </c>
      <c r="B1121" s="2">
        <v>45135</v>
      </c>
      <c r="C1121">
        <v>5010</v>
      </c>
      <c r="D1121" t="s">
        <v>2015</v>
      </c>
      <c r="E1121">
        <v>1687.08</v>
      </c>
      <c r="F1121">
        <v>0</v>
      </c>
      <c r="G1121" t="s">
        <v>2022</v>
      </c>
      <c r="H1121" t="s">
        <v>2026</v>
      </c>
      <c r="I1121" t="s">
        <v>3147</v>
      </c>
      <c r="J1121" t="s">
        <v>4032</v>
      </c>
      <c r="K1121" t="s">
        <v>4050</v>
      </c>
      <c r="L1121">
        <v>-1687.08</v>
      </c>
      <c r="N1121">
        <f t="shared" si="51"/>
        <v>-1687.08</v>
      </c>
      <c r="O1121" t="s">
        <v>4104</v>
      </c>
      <c r="P1121" t="str">
        <f t="shared" si="52"/>
        <v xml:space="preserve"> </v>
      </c>
      <c r="Q1121" t="str">
        <f t="shared" si="53"/>
        <v>Unfavorable</v>
      </c>
    </row>
    <row r="1122" spans="1:17">
      <c r="A1122" t="s">
        <v>1132</v>
      </c>
      <c r="B1122" s="2">
        <v>45342</v>
      </c>
      <c r="C1122">
        <v>5000</v>
      </c>
      <c r="D1122" t="s">
        <v>2013</v>
      </c>
      <c r="E1122">
        <v>1337.28</v>
      </c>
      <c r="F1122">
        <v>0</v>
      </c>
      <c r="G1122" t="s">
        <v>2018</v>
      </c>
      <c r="H1122" t="s">
        <v>2025</v>
      </c>
      <c r="I1122" t="s">
        <v>3148</v>
      </c>
      <c r="J1122" t="s">
        <v>4028</v>
      </c>
      <c r="K1122" t="s">
        <v>4044</v>
      </c>
      <c r="L1122">
        <v>-1337.28</v>
      </c>
      <c r="N1122">
        <f t="shared" si="51"/>
        <v>-1337.28</v>
      </c>
      <c r="O1122" t="s">
        <v>4104</v>
      </c>
      <c r="P1122" t="str">
        <f t="shared" si="52"/>
        <v xml:space="preserve"> </v>
      </c>
      <c r="Q1122" t="str">
        <f t="shared" si="53"/>
        <v>Unfavorable</v>
      </c>
    </row>
    <row r="1123" spans="1:17">
      <c r="A1123" t="s">
        <v>1133</v>
      </c>
      <c r="B1123" s="2">
        <v>45712</v>
      </c>
      <c r="C1123">
        <v>4010</v>
      </c>
      <c r="D1123" t="s">
        <v>2016</v>
      </c>
      <c r="E1123">
        <v>0</v>
      </c>
      <c r="F1123">
        <v>2049.4499999999998</v>
      </c>
      <c r="G1123" t="s">
        <v>2021</v>
      </c>
      <c r="H1123" t="s">
        <v>2024</v>
      </c>
      <c r="I1123" t="s">
        <v>3149</v>
      </c>
      <c r="J1123" t="s">
        <v>4032</v>
      </c>
      <c r="K1123" t="s">
        <v>4061</v>
      </c>
      <c r="L1123">
        <v>2049.4499999999998</v>
      </c>
      <c r="N1123">
        <f t="shared" si="51"/>
        <v>2049.4499999999998</v>
      </c>
      <c r="O1123" t="s">
        <v>4104</v>
      </c>
      <c r="P1123" t="str">
        <f t="shared" si="52"/>
        <v xml:space="preserve"> </v>
      </c>
      <c r="Q1123" t="str">
        <f t="shared" si="53"/>
        <v>Favorable</v>
      </c>
    </row>
    <row r="1124" spans="1:17">
      <c r="A1124" t="s">
        <v>1134</v>
      </c>
      <c r="B1124" s="2">
        <v>45122</v>
      </c>
      <c r="C1124">
        <v>4010</v>
      </c>
      <c r="D1124" t="s">
        <v>2016</v>
      </c>
      <c r="E1124">
        <v>0</v>
      </c>
      <c r="F1124">
        <v>760.5</v>
      </c>
      <c r="G1124" t="s">
        <v>2020</v>
      </c>
      <c r="H1124" t="s">
        <v>2025</v>
      </c>
      <c r="I1124" t="s">
        <v>3150</v>
      </c>
      <c r="J1124" t="s">
        <v>4032</v>
      </c>
      <c r="K1124" t="s">
        <v>4050</v>
      </c>
      <c r="L1124">
        <v>760.5</v>
      </c>
      <c r="N1124">
        <f t="shared" si="51"/>
        <v>760.5</v>
      </c>
      <c r="O1124" t="s">
        <v>4104</v>
      </c>
      <c r="P1124" t="str">
        <f t="shared" si="52"/>
        <v xml:space="preserve"> </v>
      </c>
      <c r="Q1124" t="str">
        <f t="shared" si="53"/>
        <v>Favorable</v>
      </c>
    </row>
    <row r="1125" spans="1:17">
      <c r="A1125" t="s">
        <v>1135</v>
      </c>
      <c r="B1125" s="2">
        <v>45582</v>
      </c>
      <c r="C1125">
        <v>6000</v>
      </c>
      <c r="D1125" t="s">
        <v>2014</v>
      </c>
      <c r="E1125">
        <v>239.34</v>
      </c>
      <c r="F1125">
        <v>0</v>
      </c>
      <c r="G1125" t="s">
        <v>2018</v>
      </c>
      <c r="H1125" t="s">
        <v>2027</v>
      </c>
      <c r="I1125" t="s">
        <v>3151</v>
      </c>
      <c r="J1125" t="s">
        <v>4028</v>
      </c>
      <c r="K1125" t="s">
        <v>4059</v>
      </c>
      <c r="L1125">
        <v>-239.34</v>
      </c>
      <c r="N1125">
        <f t="shared" si="51"/>
        <v>-239.34</v>
      </c>
      <c r="O1125" t="s">
        <v>4104</v>
      </c>
      <c r="P1125" t="str">
        <f t="shared" si="52"/>
        <v xml:space="preserve"> </v>
      </c>
      <c r="Q1125" t="str">
        <f t="shared" si="53"/>
        <v>Unfavorable</v>
      </c>
    </row>
    <row r="1126" spans="1:17">
      <c r="A1126" t="s">
        <v>1136</v>
      </c>
      <c r="B1126" s="2">
        <v>45722</v>
      </c>
      <c r="C1126">
        <v>6000</v>
      </c>
      <c r="D1126" t="s">
        <v>2014</v>
      </c>
      <c r="E1126">
        <v>882.43</v>
      </c>
      <c r="F1126">
        <v>0</v>
      </c>
      <c r="G1126" t="s">
        <v>2017</v>
      </c>
      <c r="H1126" t="s">
        <v>2023</v>
      </c>
      <c r="I1126" t="s">
        <v>3152</v>
      </c>
      <c r="J1126" t="s">
        <v>4029</v>
      </c>
      <c r="K1126" t="s">
        <v>4046</v>
      </c>
      <c r="L1126">
        <v>-882.43</v>
      </c>
      <c r="N1126">
        <f t="shared" si="51"/>
        <v>-882.43</v>
      </c>
      <c r="O1126" t="s">
        <v>4104</v>
      </c>
      <c r="P1126" t="str">
        <f t="shared" si="52"/>
        <v xml:space="preserve"> </v>
      </c>
      <c r="Q1126" t="str">
        <f t="shared" si="53"/>
        <v>Unfavorable</v>
      </c>
    </row>
    <row r="1127" spans="1:17">
      <c r="A1127" t="s">
        <v>1137</v>
      </c>
      <c r="B1127" s="2">
        <v>45451</v>
      </c>
      <c r="C1127">
        <v>4010</v>
      </c>
      <c r="D1127" t="s">
        <v>2016</v>
      </c>
      <c r="E1127">
        <v>0</v>
      </c>
      <c r="F1127">
        <v>4016.46</v>
      </c>
      <c r="G1127" t="s">
        <v>2021</v>
      </c>
      <c r="H1127" t="s">
        <v>2024</v>
      </c>
      <c r="I1127" t="s">
        <v>3153</v>
      </c>
      <c r="J1127" t="s">
        <v>4029</v>
      </c>
      <c r="K1127" t="s">
        <v>4034</v>
      </c>
      <c r="L1127">
        <v>4016.46</v>
      </c>
      <c r="N1127">
        <f t="shared" si="51"/>
        <v>4016.46</v>
      </c>
      <c r="O1127" t="s">
        <v>4104</v>
      </c>
      <c r="P1127" t="str">
        <f t="shared" si="52"/>
        <v xml:space="preserve"> </v>
      </c>
      <c r="Q1127" t="str">
        <f t="shared" si="53"/>
        <v>Favorable</v>
      </c>
    </row>
    <row r="1128" spans="1:17">
      <c r="A1128" t="s">
        <v>1138</v>
      </c>
      <c r="B1128" s="2">
        <v>45027</v>
      </c>
      <c r="C1128">
        <v>6000</v>
      </c>
      <c r="D1128" t="s">
        <v>2014</v>
      </c>
      <c r="E1128">
        <v>1217.1199999999999</v>
      </c>
      <c r="F1128">
        <v>0</v>
      </c>
      <c r="G1128" t="s">
        <v>2021</v>
      </c>
      <c r="H1128" t="s">
        <v>2023</v>
      </c>
      <c r="I1128" t="s">
        <v>3154</v>
      </c>
      <c r="J1128" t="s">
        <v>4030</v>
      </c>
      <c r="K1128" t="s">
        <v>4041</v>
      </c>
      <c r="L1128">
        <v>-1217.1199999999999</v>
      </c>
      <c r="N1128">
        <f t="shared" si="51"/>
        <v>-1217.1199999999999</v>
      </c>
      <c r="O1128" t="s">
        <v>4104</v>
      </c>
      <c r="P1128" t="str">
        <f t="shared" si="52"/>
        <v xml:space="preserve"> </v>
      </c>
      <c r="Q1128" t="str">
        <f t="shared" si="53"/>
        <v>Unfavorable</v>
      </c>
    </row>
    <row r="1129" spans="1:17">
      <c r="A1129" t="s">
        <v>1139</v>
      </c>
      <c r="B1129" s="2">
        <v>45570</v>
      </c>
      <c r="C1129">
        <v>4000</v>
      </c>
      <c r="D1129" t="s">
        <v>2012</v>
      </c>
      <c r="E1129">
        <v>0</v>
      </c>
      <c r="F1129">
        <v>396.28</v>
      </c>
      <c r="G1129" t="s">
        <v>2017</v>
      </c>
      <c r="H1129" t="s">
        <v>2026</v>
      </c>
      <c r="I1129" t="s">
        <v>3155</v>
      </c>
      <c r="J1129" t="s">
        <v>4030</v>
      </c>
      <c r="K1129" t="s">
        <v>4059</v>
      </c>
      <c r="L1129">
        <v>396.28</v>
      </c>
      <c r="N1129">
        <f t="shared" si="51"/>
        <v>396.28</v>
      </c>
      <c r="O1129" t="s">
        <v>4104</v>
      </c>
      <c r="P1129" t="str">
        <f t="shared" si="52"/>
        <v xml:space="preserve"> </v>
      </c>
      <c r="Q1129" t="str">
        <f t="shared" si="53"/>
        <v>Favorable</v>
      </c>
    </row>
    <row r="1130" spans="1:17">
      <c r="A1130" t="s">
        <v>1140</v>
      </c>
      <c r="B1130" s="2">
        <v>45060</v>
      </c>
      <c r="C1130">
        <v>5010</v>
      </c>
      <c r="D1130" t="s">
        <v>2015</v>
      </c>
      <c r="E1130">
        <v>682.65</v>
      </c>
      <c r="F1130">
        <v>0</v>
      </c>
      <c r="G1130" t="s">
        <v>2017</v>
      </c>
      <c r="H1130" t="s">
        <v>2025</v>
      </c>
      <c r="I1130" t="s">
        <v>3156</v>
      </c>
      <c r="J1130" t="s">
        <v>4028</v>
      </c>
      <c r="K1130" t="s">
        <v>4062</v>
      </c>
      <c r="L1130">
        <v>-682.65</v>
      </c>
      <c r="N1130">
        <f t="shared" si="51"/>
        <v>-682.65</v>
      </c>
      <c r="O1130" t="s">
        <v>4104</v>
      </c>
      <c r="P1130" t="str">
        <f t="shared" si="52"/>
        <v xml:space="preserve"> </v>
      </c>
      <c r="Q1130" t="str">
        <f t="shared" si="53"/>
        <v>Unfavorable</v>
      </c>
    </row>
    <row r="1131" spans="1:17">
      <c r="A1131" t="s">
        <v>1141</v>
      </c>
      <c r="B1131" s="2">
        <v>45039</v>
      </c>
      <c r="C1131">
        <v>5000</v>
      </c>
      <c r="D1131" t="s">
        <v>2013</v>
      </c>
      <c r="E1131">
        <v>959.31</v>
      </c>
      <c r="F1131">
        <v>0</v>
      </c>
      <c r="G1131" t="s">
        <v>2017</v>
      </c>
      <c r="H1131" t="s">
        <v>2024</v>
      </c>
      <c r="I1131" t="s">
        <v>3157</v>
      </c>
      <c r="J1131" t="s">
        <v>4028</v>
      </c>
      <c r="K1131" t="s">
        <v>4041</v>
      </c>
      <c r="L1131">
        <v>-959.31</v>
      </c>
      <c r="N1131">
        <f t="shared" si="51"/>
        <v>-959.31</v>
      </c>
      <c r="O1131" t="s">
        <v>4104</v>
      </c>
      <c r="P1131" t="str">
        <f t="shared" si="52"/>
        <v xml:space="preserve"> </v>
      </c>
      <c r="Q1131" t="str">
        <f t="shared" si="53"/>
        <v>Unfavorable</v>
      </c>
    </row>
    <row r="1132" spans="1:17">
      <c r="A1132" t="s">
        <v>1142</v>
      </c>
      <c r="B1132" s="2">
        <v>45371</v>
      </c>
      <c r="C1132">
        <v>6000</v>
      </c>
      <c r="D1132" t="s">
        <v>2014</v>
      </c>
      <c r="E1132">
        <v>431.95</v>
      </c>
      <c r="F1132">
        <v>0</v>
      </c>
      <c r="G1132" t="s">
        <v>2020</v>
      </c>
      <c r="H1132" t="s">
        <v>2025</v>
      </c>
      <c r="I1132" t="s">
        <v>3158</v>
      </c>
      <c r="J1132" t="s">
        <v>4031</v>
      </c>
      <c r="K1132" t="s">
        <v>4049</v>
      </c>
      <c r="L1132">
        <v>-431.95</v>
      </c>
      <c r="N1132">
        <f t="shared" si="51"/>
        <v>-431.95</v>
      </c>
      <c r="O1132" t="s">
        <v>4104</v>
      </c>
      <c r="P1132" t="str">
        <f t="shared" si="52"/>
        <v xml:space="preserve"> </v>
      </c>
      <c r="Q1132" t="str">
        <f t="shared" si="53"/>
        <v>Unfavorable</v>
      </c>
    </row>
    <row r="1133" spans="1:17">
      <c r="A1133" t="s">
        <v>1143</v>
      </c>
      <c r="B1133" s="2">
        <v>45817</v>
      </c>
      <c r="C1133">
        <v>5000</v>
      </c>
      <c r="D1133" t="s">
        <v>2013</v>
      </c>
      <c r="E1133">
        <v>274.33</v>
      </c>
      <c r="F1133">
        <v>0</v>
      </c>
      <c r="G1133" t="s">
        <v>2021</v>
      </c>
      <c r="H1133" t="s">
        <v>2025</v>
      </c>
      <c r="I1133" t="s">
        <v>3159</v>
      </c>
      <c r="J1133" t="s">
        <v>4032</v>
      </c>
      <c r="K1133" t="s">
        <v>4052</v>
      </c>
      <c r="L1133">
        <v>-274.33</v>
      </c>
      <c r="N1133">
        <f t="shared" si="51"/>
        <v>-274.33</v>
      </c>
      <c r="O1133" t="s">
        <v>4104</v>
      </c>
      <c r="P1133" t="str">
        <f t="shared" si="52"/>
        <v xml:space="preserve"> </v>
      </c>
      <c r="Q1133" t="str">
        <f t="shared" si="53"/>
        <v>Unfavorable</v>
      </c>
    </row>
    <row r="1134" spans="1:17">
      <c r="A1134" t="s">
        <v>1144</v>
      </c>
      <c r="B1134" s="2">
        <v>45544</v>
      </c>
      <c r="C1134">
        <v>4000</v>
      </c>
      <c r="D1134" t="s">
        <v>2012</v>
      </c>
      <c r="E1134">
        <v>0</v>
      </c>
      <c r="F1134">
        <v>4439.8900000000003</v>
      </c>
      <c r="G1134" t="s">
        <v>2017</v>
      </c>
      <c r="H1134" t="s">
        <v>2025</v>
      </c>
      <c r="I1134" t="s">
        <v>3160</v>
      </c>
      <c r="J1134" t="s">
        <v>4029</v>
      </c>
      <c r="K1134" t="s">
        <v>4048</v>
      </c>
      <c r="L1134">
        <v>4439.8900000000003</v>
      </c>
      <c r="N1134">
        <f t="shared" si="51"/>
        <v>4439.8900000000003</v>
      </c>
      <c r="O1134" t="s">
        <v>4104</v>
      </c>
      <c r="P1134" t="str">
        <f t="shared" si="52"/>
        <v xml:space="preserve"> </v>
      </c>
      <c r="Q1134" t="str">
        <f t="shared" si="53"/>
        <v>Favorable</v>
      </c>
    </row>
    <row r="1135" spans="1:17">
      <c r="A1135" t="s">
        <v>1145</v>
      </c>
      <c r="B1135" s="2">
        <v>45490</v>
      </c>
      <c r="C1135">
        <v>4010</v>
      </c>
      <c r="D1135" t="s">
        <v>2016</v>
      </c>
      <c r="E1135">
        <v>0</v>
      </c>
      <c r="F1135">
        <v>1093.95</v>
      </c>
      <c r="G1135" t="s">
        <v>2021</v>
      </c>
      <c r="H1135" t="s">
        <v>2027</v>
      </c>
      <c r="I1135" t="s">
        <v>3161</v>
      </c>
      <c r="J1135" t="s">
        <v>4031</v>
      </c>
      <c r="K1135" t="s">
        <v>4054</v>
      </c>
      <c r="L1135">
        <v>1093.95</v>
      </c>
      <c r="N1135">
        <f t="shared" si="51"/>
        <v>1093.95</v>
      </c>
      <c r="O1135" t="s">
        <v>4104</v>
      </c>
      <c r="P1135" t="str">
        <f t="shared" si="52"/>
        <v xml:space="preserve"> </v>
      </c>
      <c r="Q1135" t="str">
        <f t="shared" si="53"/>
        <v>Favorable</v>
      </c>
    </row>
    <row r="1136" spans="1:17">
      <c r="A1136" t="s">
        <v>1146</v>
      </c>
      <c r="B1136" s="2">
        <v>45614</v>
      </c>
      <c r="C1136">
        <v>5000</v>
      </c>
      <c r="D1136" t="s">
        <v>2013</v>
      </c>
      <c r="E1136">
        <v>900.67</v>
      </c>
      <c r="F1136">
        <v>0</v>
      </c>
      <c r="G1136" t="s">
        <v>2020</v>
      </c>
      <c r="H1136" t="s">
        <v>2026</v>
      </c>
      <c r="I1136" t="s">
        <v>3162</v>
      </c>
      <c r="J1136" t="s">
        <v>4030</v>
      </c>
      <c r="K1136" t="s">
        <v>4043</v>
      </c>
      <c r="L1136">
        <v>-900.67</v>
      </c>
      <c r="N1136">
        <f t="shared" si="51"/>
        <v>-900.67</v>
      </c>
      <c r="O1136" t="s">
        <v>4104</v>
      </c>
      <c r="P1136" t="str">
        <f t="shared" si="52"/>
        <v xml:space="preserve"> </v>
      </c>
      <c r="Q1136" t="str">
        <f t="shared" si="53"/>
        <v>Unfavorable</v>
      </c>
    </row>
    <row r="1137" spans="1:17">
      <c r="A1137" t="s">
        <v>1147</v>
      </c>
      <c r="B1137" s="2">
        <v>45242</v>
      </c>
      <c r="C1137">
        <v>4000</v>
      </c>
      <c r="D1137" t="s">
        <v>2012</v>
      </c>
      <c r="E1137">
        <v>0</v>
      </c>
      <c r="F1137">
        <v>2284.31</v>
      </c>
      <c r="G1137" t="s">
        <v>2019</v>
      </c>
      <c r="H1137" t="s">
        <v>2023</v>
      </c>
      <c r="I1137" t="s">
        <v>3163</v>
      </c>
      <c r="J1137" t="s">
        <v>4030</v>
      </c>
      <c r="K1137" t="s">
        <v>4042</v>
      </c>
      <c r="L1137">
        <v>2284.31</v>
      </c>
      <c r="N1137">
        <f t="shared" si="51"/>
        <v>2284.31</v>
      </c>
      <c r="O1137" t="s">
        <v>4104</v>
      </c>
      <c r="P1137" t="str">
        <f t="shared" si="52"/>
        <v xml:space="preserve"> </v>
      </c>
      <c r="Q1137" t="str">
        <f t="shared" si="53"/>
        <v>Favorable</v>
      </c>
    </row>
    <row r="1138" spans="1:17">
      <c r="A1138" t="s">
        <v>1148</v>
      </c>
      <c r="B1138" s="2">
        <v>45280</v>
      </c>
      <c r="C1138">
        <v>5000</v>
      </c>
      <c r="D1138" t="s">
        <v>2013</v>
      </c>
      <c r="E1138">
        <v>1994.11</v>
      </c>
      <c r="F1138">
        <v>0</v>
      </c>
      <c r="G1138" t="s">
        <v>2022</v>
      </c>
      <c r="H1138" t="s">
        <v>2025</v>
      </c>
      <c r="I1138" t="s">
        <v>3164</v>
      </c>
      <c r="J1138" t="s">
        <v>4030</v>
      </c>
      <c r="K1138" t="s">
        <v>4039</v>
      </c>
      <c r="L1138">
        <v>-1994.11</v>
      </c>
      <c r="N1138">
        <f t="shared" si="51"/>
        <v>-1994.11</v>
      </c>
      <c r="O1138" t="s">
        <v>4104</v>
      </c>
      <c r="P1138" t="str">
        <f t="shared" si="52"/>
        <v xml:space="preserve"> </v>
      </c>
      <c r="Q1138" t="str">
        <f t="shared" si="53"/>
        <v>Unfavorable</v>
      </c>
    </row>
    <row r="1139" spans="1:17">
      <c r="A1139" t="s">
        <v>1149</v>
      </c>
      <c r="B1139" s="2">
        <v>45083</v>
      </c>
      <c r="C1139">
        <v>5000</v>
      </c>
      <c r="D1139" t="s">
        <v>2013</v>
      </c>
      <c r="E1139">
        <v>286.3</v>
      </c>
      <c r="F1139">
        <v>0</v>
      </c>
      <c r="G1139" t="s">
        <v>2020</v>
      </c>
      <c r="H1139" t="s">
        <v>2026</v>
      </c>
      <c r="I1139" t="s">
        <v>3165</v>
      </c>
      <c r="J1139" t="s">
        <v>4032</v>
      </c>
      <c r="K1139" t="s">
        <v>4055</v>
      </c>
      <c r="L1139">
        <v>-286.3</v>
      </c>
      <c r="N1139">
        <f t="shared" si="51"/>
        <v>-286.3</v>
      </c>
      <c r="O1139" t="s">
        <v>4104</v>
      </c>
      <c r="P1139" t="str">
        <f t="shared" si="52"/>
        <v xml:space="preserve"> </v>
      </c>
      <c r="Q1139" t="str">
        <f t="shared" si="53"/>
        <v>Unfavorable</v>
      </c>
    </row>
    <row r="1140" spans="1:17">
      <c r="A1140" t="s">
        <v>1150</v>
      </c>
      <c r="B1140" s="2">
        <v>44953</v>
      </c>
      <c r="C1140">
        <v>6000</v>
      </c>
      <c r="D1140" t="s">
        <v>2014</v>
      </c>
      <c r="E1140">
        <v>1069.23</v>
      </c>
      <c r="F1140">
        <v>0</v>
      </c>
      <c r="G1140" t="s">
        <v>2022</v>
      </c>
      <c r="H1140" t="s">
        <v>2025</v>
      </c>
      <c r="I1140" t="s">
        <v>3166</v>
      </c>
      <c r="J1140" t="s">
        <v>4032</v>
      </c>
      <c r="K1140" t="s">
        <v>4047</v>
      </c>
      <c r="L1140">
        <v>-1069.23</v>
      </c>
      <c r="N1140">
        <f t="shared" si="51"/>
        <v>-1069.23</v>
      </c>
      <c r="O1140" t="s">
        <v>4104</v>
      </c>
      <c r="P1140" t="str">
        <f t="shared" si="52"/>
        <v xml:space="preserve"> </v>
      </c>
      <c r="Q1140" t="str">
        <f t="shared" si="53"/>
        <v>Unfavorable</v>
      </c>
    </row>
    <row r="1141" spans="1:17">
      <c r="A1141" t="s">
        <v>1151</v>
      </c>
      <c r="B1141" s="2">
        <v>45547</v>
      </c>
      <c r="C1141">
        <v>6000</v>
      </c>
      <c r="D1141" t="s">
        <v>2014</v>
      </c>
      <c r="E1141">
        <v>901.69</v>
      </c>
      <c r="F1141">
        <v>0</v>
      </c>
      <c r="G1141" t="s">
        <v>2018</v>
      </c>
      <c r="H1141" t="s">
        <v>2023</v>
      </c>
      <c r="I1141" t="s">
        <v>3167</v>
      </c>
      <c r="J1141" t="s">
        <v>4030</v>
      </c>
      <c r="K1141" t="s">
        <v>4048</v>
      </c>
      <c r="L1141">
        <v>-901.69</v>
      </c>
      <c r="N1141">
        <f t="shared" si="51"/>
        <v>-901.69</v>
      </c>
      <c r="O1141" t="s">
        <v>4104</v>
      </c>
      <c r="P1141" t="str">
        <f t="shared" si="52"/>
        <v xml:space="preserve"> </v>
      </c>
      <c r="Q1141" t="str">
        <f t="shared" si="53"/>
        <v>Unfavorable</v>
      </c>
    </row>
    <row r="1142" spans="1:17">
      <c r="A1142" t="s">
        <v>1152</v>
      </c>
      <c r="B1142" s="2">
        <v>45251</v>
      </c>
      <c r="C1142">
        <v>6000</v>
      </c>
      <c r="D1142" t="s">
        <v>2014</v>
      </c>
      <c r="E1142">
        <v>1692.4</v>
      </c>
      <c r="F1142">
        <v>0</v>
      </c>
      <c r="G1142" t="s">
        <v>2019</v>
      </c>
      <c r="H1142" t="s">
        <v>2026</v>
      </c>
      <c r="I1142" t="s">
        <v>3168</v>
      </c>
      <c r="J1142" t="s">
        <v>4032</v>
      </c>
      <c r="K1142" t="s">
        <v>4042</v>
      </c>
      <c r="L1142">
        <v>-1692.4</v>
      </c>
      <c r="N1142">
        <f t="shared" si="51"/>
        <v>-1692.4</v>
      </c>
      <c r="O1142" t="s">
        <v>4104</v>
      </c>
      <c r="P1142" t="str">
        <f t="shared" si="52"/>
        <v xml:space="preserve"> </v>
      </c>
      <c r="Q1142" t="str">
        <f t="shared" si="53"/>
        <v>Unfavorable</v>
      </c>
    </row>
    <row r="1143" spans="1:17">
      <c r="A1143" t="s">
        <v>1153</v>
      </c>
      <c r="B1143" s="2">
        <v>45504</v>
      </c>
      <c r="C1143">
        <v>4010</v>
      </c>
      <c r="D1143" t="s">
        <v>2016</v>
      </c>
      <c r="E1143">
        <v>0</v>
      </c>
      <c r="F1143">
        <v>4894.3999999999996</v>
      </c>
      <c r="G1143" t="s">
        <v>2017</v>
      </c>
      <c r="H1143" t="s">
        <v>2023</v>
      </c>
      <c r="I1143" t="s">
        <v>3169</v>
      </c>
      <c r="J1143" t="s">
        <v>4031</v>
      </c>
      <c r="K1143" t="s">
        <v>4054</v>
      </c>
      <c r="L1143">
        <v>4894.3999999999996</v>
      </c>
      <c r="N1143">
        <f t="shared" si="51"/>
        <v>4894.3999999999996</v>
      </c>
      <c r="O1143" t="s">
        <v>4104</v>
      </c>
      <c r="P1143" t="str">
        <f t="shared" si="52"/>
        <v xml:space="preserve"> </v>
      </c>
      <c r="Q1143" t="str">
        <f t="shared" si="53"/>
        <v>Favorable</v>
      </c>
    </row>
    <row r="1144" spans="1:17">
      <c r="A1144" t="s">
        <v>1154</v>
      </c>
      <c r="B1144" s="2">
        <v>45290</v>
      </c>
      <c r="C1144">
        <v>5000</v>
      </c>
      <c r="D1144" t="s">
        <v>2013</v>
      </c>
      <c r="E1144">
        <v>535.66999999999996</v>
      </c>
      <c r="F1144">
        <v>0</v>
      </c>
      <c r="G1144" t="s">
        <v>2017</v>
      </c>
      <c r="H1144" t="s">
        <v>2023</v>
      </c>
      <c r="I1144" t="s">
        <v>3170</v>
      </c>
      <c r="J1144" t="s">
        <v>4032</v>
      </c>
      <c r="K1144" t="s">
        <v>4039</v>
      </c>
      <c r="L1144">
        <v>-535.66999999999996</v>
      </c>
      <c r="N1144">
        <f t="shared" si="51"/>
        <v>-535.66999999999996</v>
      </c>
      <c r="O1144" t="s">
        <v>4104</v>
      </c>
      <c r="P1144" t="str">
        <f t="shared" si="52"/>
        <v xml:space="preserve"> </v>
      </c>
      <c r="Q1144" t="str">
        <f t="shared" si="53"/>
        <v>Unfavorable</v>
      </c>
    </row>
    <row r="1145" spans="1:17">
      <c r="A1145" t="s">
        <v>1155</v>
      </c>
      <c r="B1145" s="2">
        <v>45512</v>
      </c>
      <c r="C1145">
        <v>6000</v>
      </c>
      <c r="D1145" t="s">
        <v>2014</v>
      </c>
      <c r="E1145">
        <v>1153.45</v>
      </c>
      <c r="F1145">
        <v>0</v>
      </c>
      <c r="G1145" t="s">
        <v>2022</v>
      </c>
      <c r="H1145" t="s">
        <v>2025</v>
      </c>
      <c r="I1145" t="s">
        <v>3171</v>
      </c>
      <c r="J1145" t="s">
        <v>4028</v>
      </c>
      <c r="K1145" t="s">
        <v>4058</v>
      </c>
      <c r="L1145">
        <v>-1153.45</v>
      </c>
      <c r="N1145">
        <f t="shared" si="51"/>
        <v>-1153.45</v>
      </c>
      <c r="O1145" t="s">
        <v>4104</v>
      </c>
      <c r="P1145" t="str">
        <f t="shared" si="52"/>
        <v xml:space="preserve"> </v>
      </c>
      <c r="Q1145" t="str">
        <f t="shared" si="53"/>
        <v>Unfavorable</v>
      </c>
    </row>
    <row r="1146" spans="1:17">
      <c r="A1146" t="s">
        <v>1156</v>
      </c>
      <c r="B1146" s="2">
        <v>45139</v>
      </c>
      <c r="C1146">
        <v>4010</v>
      </c>
      <c r="D1146" t="s">
        <v>2016</v>
      </c>
      <c r="E1146">
        <v>0</v>
      </c>
      <c r="F1146">
        <v>2523.88</v>
      </c>
      <c r="G1146" t="s">
        <v>2018</v>
      </c>
      <c r="H1146" t="s">
        <v>2024</v>
      </c>
      <c r="I1146" t="s">
        <v>3172</v>
      </c>
      <c r="J1146" t="s">
        <v>4030</v>
      </c>
      <c r="K1146" t="s">
        <v>4037</v>
      </c>
      <c r="L1146">
        <v>2523.88</v>
      </c>
      <c r="N1146">
        <f t="shared" si="51"/>
        <v>2523.88</v>
      </c>
      <c r="O1146" t="s">
        <v>4104</v>
      </c>
      <c r="P1146" t="str">
        <f t="shared" si="52"/>
        <v xml:space="preserve"> </v>
      </c>
      <c r="Q1146" t="str">
        <f t="shared" si="53"/>
        <v>Favorable</v>
      </c>
    </row>
    <row r="1147" spans="1:17">
      <c r="A1147" t="s">
        <v>1157</v>
      </c>
      <c r="B1147" s="2">
        <v>45216</v>
      </c>
      <c r="C1147">
        <v>6000</v>
      </c>
      <c r="D1147" t="s">
        <v>2014</v>
      </c>
      <c r="E1147">
        <v>621.37</v>
      </c>
      <c r="F1147">
        <v>0</v>
      </c>
      <c r="G1147" t="s">
        <v>2020</v>
      </c>
      <c r="H1147" t="s">
        <v>2024</v>
      </c>
      <c r="I1147" t="s">
        <v>3173</v>
      </c>
      <c r="J1147" t="s">
        <v>4029</v>
      </c>
      <c r="K1147" t="s">
        <v>4060</v>
      </c>
      <c r="L1147">
        <v>-621.37</v>
      </c>
      <c r="N1147">
        <f t="shared" si="51"/>
        <v>-621.37</v>
      </c>
      <c r="O1147" t="s">
        <v>4104</v>
      </c>
      <c r="P1147" t="str">
        <f t="shared" si="52"/>
        <v xml:space="preserve"> </v>
      </c>
      <c r="Q1147" t="str">
        <f t="shared" si="53"/>
        <v>Unfavorable</v>
      </c>
    </row>
    <row r="1148" spans="1:17">
      <c r="A1148" t="s">
        <v>1158</v>
      </c>
      <c r="B1148" s="2">
        <v>45681</v>
      </c>
      <c r="C1148">
        <v>5010</v>
      </c>
      <c r="D1148" t="s">
        <v>2015</v>
      </c>
      <c r="E1148">
        <v>991.7</v>
      </c>
      <c r="F1148">
        <v>0</v>
      </c>
      <c r="G1148" t="s">
        <v>2018</v>
      </c>
      <c r="H1148" t="s">
        <v>2023</v>
      </c>
      <c r="I1148" t="s">
        <v>3174</v>
      </c>
      <c r="J1148" t="s">
        <v>4029</v>
      </c>
      <c r="K1148" t="s">
        <v>4035</v>
      </c>
      <c r="L1148">
        <v>-991.7</v>
      </c>
      <c r="N1148">
        <f t="shared" si="51"/>
        <v>-991.7</v>
      </c>
      <c r="O1148" t="s">
        <v>4104</v>
      </c>
      <c r="P1148" t="str">
        <f t="shared" si="52"/>
        <v xml:space="preserve"> </v>
      </c>
      <c r="Q1148" t="str">
        <f t="shared" si="53"/>
        <v>Unfavorable</v>
      </c>
    </row>
    <row r="1149" spans="1:17">
      <c r="A1149" t="s">
        <v>1159</v>
      </c>
      <c r="B1149" s="2">
        <v>45800</v>
      </c>
      <c r="C1149">
        <v>6000</v>
      </c>
      <c r="D1149" t="s">
        <v>2014</v>
      </c>
      <c r="E1149">
        <v>1727.08</v>
      </c>
      <c r="F1149">
        <v>0</v>
      </c>
      <c r="G1149" t="s">
        <v>2019</v>
      </c>
      <c r="H1149" t="s">
        <v>2024</v>
      </c>
      <c r="I1149" t="s">
        <v>3175</v>
      </c>
      <c r="J1149" t="s">
        <v>4030</v>
      </c>
      <c r="K1149" t="s">
        <v>4038</v>
      </c>
      <c r="L1149">
        <v>-1727.08</v>
      </c>
      <c r="N1149">
        <f t="shared" si="51"/>
        <v>-1727.08</v>
      </c>
      <c r="O1149" t="s">
        <v>4104</v>
      </c>
      <c r="P1149" t="str">
        <f t="shared" si="52"/>
        <v xml:space="preserve"> </v>
      </c>
      <c r="Q1149" t="str">
        <f t="shared" si="53"/>
        <v>Unfavorable</v>
      </c>
    </row>
    <row r="1150" spans="1:17">
      <c r="A1150" t="s">
        <v>1160</v>
      </c>
      <c r="B1150" s="2">
        <v>45236</v>
      </c>
      <c r="C1150">
        <v>6000</v>
      </c>
      <c r="D1150" t="s">
        <v>2014</v>
      </c>
      <c r="E1150">
        <v>1518.91</v>
      </c>
      <c r="F1150">
        <v>0</v>
      </c>
      <c r="G1150" t="s">
        <v>2017</v>
      </c>
      <c r="H1150" t="s">
        <v>2027</v>
      </c>
      <c r="I1150" t="s">
        <v>3176</v>
      </c>
      <c r="J1150" t="s">
        <v>4030</v>
      </c>
      <c r="K1150" t="s">
        <v>4042</v>
      </c>
      <c r="L1150">
        <v>-1518.91</v>
      </c>
      <c r="N1150">
        <f t="shared" si="51"/>
        <v>-1518.91</v>
      </c>
      <c r="O1150" t="s">
        <v>4104</v>
      </c>
      <c r="P1150" t="str">
        <f t="shared" si="52"/>
        <v xml:space="preserve"> </v>
      </c>
      <c r="Q1150" t="str">
        <f t="shared" si="53"/>
        <v>Unfavorable</v>
      </c>
    </row>
    <row r="1151" spans="1:17">
      <c r="A1151" t="s">
        <v>1161</v>
      </c>
      <c r="B1151" s="2">
        <v>45338</v>
      </c>
      <c r="C1151">
        <v>4000</v>
      </c>
      <c r="D1151" t="s">
        <v>2012</v>
      </c>
      <c r="E1151">
        <v>0</v>
      </c>
      <c r="F1151">
        <v>1266.3499999999999</v>
      </c>
      <c r="G1151" t="s">
        <v>2022</v>
      </c>
      <c r="H1151" t="s">
        <v>2024</v>
      </c>
      <c r="I1151" t="s">
        <v>3177</v>
      </c>
      <c r="J1151" t="s">
        <v>4032</v>
      </c>
      <c r="K1151" t="s">
        <v>4044</v>
      </c>
      <c r="L1151">
        <v>1266.3499999999999</v>
      </c>
      <c r="N1151">
        <f t="shared" si="51"/>
        <v>1266.3499999999999</v>
      </c>
      <c r="O1151" t="s">
        <v>4104</v>
      </c>
      <c r="P1151" t="str">
        <f t="shared" si="52"/>
        <v xml:space="preserve"> </v>
      </c>
      <c r="Q1151" t="str">
        <f t="shared" si="53"/>
        <v>Favorable</v>
      </c>
    </row>
    <row r="1152" spans="1:17">
      <c r="A1152" t="s">
        <v>1162</v>
      </c>
      <c r="B1152" s="2">
        <v>45654</v>
      </c>
      <c r="C1152">
        <v>4000</v>
      </c>
      <c r="D1152" t="s">
        <v>2012</v>
      </c>
      <c r="E1152">
        <v>0</v>
      </c>
      <c r="F1152">
        <v>3886.29</v>
      </c>
      <c r="G1152" t="s">
        <v>2019</v>
      </c>
      <c r="H1152" t="s">
        <v>2024</v>
      </c>
      <c r="I1152" t="s">
        <v>3178</v>
      </c>
      <c r="J1152" t="s">
        <v>4028</v>
      </c>
      <c r="K1152" t="s">
        <v>4056</v>
      </c>
      <c r="L1152">
        <v>3886.29</v>
      </c>
      <c r="N1152">
        <f t="shared" si="51"/>
        <v>3886.29</v>
      </c>
      <c r="O1152" t="s">
        <v>4104</v>
      </c>
      <c r="P1152" t="str">
        <f t="shared" si="52"/>
        <v xml:space="preserve"> </v>
      </c>
      <c r="Q1152" t="str">
        <f t="shared" si="53"/>
        <v>Favorable</v>
      </c>
    </row>
    <row r="1153" spans="1:17">
      <c r="A1153" t="s">
        <v>1163</v>
      </c>
      <c r="B1153" s="2">
        <v>44962</v>
      </c>
      <c r="C1153">
        <v>6000</v>
      </c>
      <c r="D1153" t="s">
        <v>2014</v>
      </c>
      <c r="E1153">
        <v>584.9</v>
      </c>
      <c r="F1153">
        <v>0</v>
      </c>
      <c r="G1153" t="s">
        <v>2019</v>
      </c>
      <c r="H1153" t="s">
        <v>2025</v>
      </c>
      <c r="I1153" t="s">
        <v>3179</v>
      </c>
      <c r="J1153" t="s">
        <v>4029</v>
      </c>
      <c r="K1153" t="s">
        <v>4057</v>
      </c>
      <c r="L1153">
        <v>-584.9</v>
      </c>
      <c r="N1153">
        <f t="shared" si="51"/>
        <v>-584.9</v>
      </c>
      <c r="O1153" t="s">
        <v>4104</v>
      </c>
      <c r="P1153" t="str">
        <f t="shared" si="52"/>
        <v xml:space="preserve"> </v>
      </c>
      <c r="Q1153" t="str">
        <f t="shared" si="53"/>
        <v>Unfavorable</v>
      </c>
    </row>
    <row r="1154" spans="1:17">
      <c r="A1154" t="s">
        <v>1164</v>
      </c>
      <c r="B1154" s="2">
        <v>45332</v>
      </c>
      <c r="C1154">
        <v>5000</v>
      </c>
      <c r="D1154" t="s">
        <v>2013</v>
      </c>
      <c r="E1154">
        <v>1212.48</v>
      </c>
      <c r="F1154">
        <v>0</v>
      </c>
      <c r="G1154" t="s">
        <v>2021</v>
      </c>
      <c r="H1154" t="s">
        <v>2024</v>
      </c>
      <c r="I1154" t="s">
        <v>3180</v>
      </c>
      <c r="J1154" t="s">
        <v>4029</v>
      </c>
      <c r="K1154" t="s">
        <v>4044</v>
      </c>
      <c r="L1154">
        <v>-1212.48</v>
      </c>
      <c r="N1154">
        <f t="shared" si="51"/>
        <v>-1212.48</v>
      </c>
      <c r="O1154" t="s">
        <v>4104</v>
      </c>
      <c r="P1154" t="str">
        <f t="shared" si="52"/>
        <v xml:space="preserve"> </v>
      </c>
      <c r="Q1154" t="str">
        <f t="shared" si="53"/>
        <v>Unfavorable</v>
      </c>
    </row>
    <row r="1155" spans="1:17">
      <c r="A1155" t="s">
        <v>1165</v>
      </c>
      <c r="B1155" s="2">
        <v>45405</v>
      </c>
      <c r="C1155">
        <v>6000</v>
      </c>
      <c r="D1155" t="s">
        <v>2014</v>
      </c>
      <c r="E1155">
        <v>1084.73</v>
      </c>
      <c r="F1155">
        <v>0</v>
      </c>
      <c r="G1155" t="s">
        <v>2017</v>
      </c>
      <c r="H1155" t="s">
        <v>2027</v>
      </c>
      <c r="I1155" t="s">
        <v>3181</v>
      </c>
      <c r="J1155" t="s">
        <v>4032</v>
      </c>
      <c r="K1155" t="s">
        <v>4040</v>
      </c>
      <c r="L1155">
        <v>-1084.73</v>
      </c>
      <c r="N1155">
        <f t="shared" ref="N1155:N1218" si="54">L:L-M:M</f>
        <v>-1084.73</v>
      </c>
      <c r="O1155" t="s">
        <v>4104</v>
      </c>
      <c r="P1155" t="str">
        <f t="shared" ref="P1155:P1218" si="55">IF(AND(ABS(N:N)&gt;10000,M:M&lt;&gt;0),"Material", " ")</f>
        <v xml:space="preserve"> </v>
      </c>
      <c r="Q1155" t="str">
        <f t="shared" ref="Q1155:Q1218" si="56">IF(N:N&gt;0,"Favorable","Unfavorable")</f>
        <v>Unfavorable</v>
      </c>
    </row>
    <row r="1156" spans="1:17">
      <c r="A1156" t="s">
        <v>1166</v>
      </c>
      <c r="B1156" s="2">
        <v>45274</v>
      </c>
      <c r="C1156">
        <v>6000</v>
      </c>
      <c r="D1156" t="s">
        <v>2014</v>
      </c>
      <c r="E1156">
        <v>1218.47</v>
      </c>
      <c r="F1156">
        <v>0</v>
      </c>
      <c r="G1156" t="s">
        <v>2018</v>
      </c>
      <c r="H1156" t="s">
        <v>2026</v>
      </c>
      <c r="I1156" t="s">
        <v>3182</v>
      </c>
      <c r="J1156" t="s">
        <v>4028</v>
      </c>
      <c r="K1156" t="s">
        <v>4039</v>
      </c>
      <c r="L1156">
        <v>-1218.47</v>
      </c>
      <c r="N1156">
        <f t="shared" si="54"/>
        <v>-1218.47</v>
      </c>
      <c r="O1156" t="s">
        <v>4104</v>
      </c>
      <c r="P1156" t="str">
        <f t="shared" si="55"/>
        <v xml:space="preserve"> </v>
      </c>
      <c r="Q1156" t="str">
        <f t="shared" si="56"/>
        <v>Unfavorable</v>
      </c>
    </row>
    <row r="1157" spans="1:17">
      <c r="A1157" t="s">
        <v>1167</v>
      </c>
      <c r="B1157" s="2">
        <v>45370</v>
      </c>
      <c r="C1157">
        <v>6000</v>
      </c>
      <c r="D1157" t="s">
        <v>2014</v>
      </c>
      <c r="E1157">
        <v>134.03</v>
      </c>
      <c r="F1157">
        <v>0</v>
      </c>
      <c r="G1157" t="s">
        <v>2021</v>
      </c>
      <c r="H1157" t="s">
        <v>2023</v>
      </c>
      <c r="I1157" t="s">
        <v>3183</v>
      </c>
      <c r="J1157" t="s">
        <v>4032</v>
      </c>
      <c r="K1157" t="s">
        <v>4049</v>
      </c>
      <c r="L1157">
        <v>-134.03</v>
      </c>
      <c r="N1157">
        <f t="shared" si="54"/>
        <v>-134.03</v>
      </c>
      <c r="O1157" t="s">
        <v>4104</v>
      </c>
      <c r="P1157" t="str">
        <f t="shared" si="55"/>
        <v xml:space="preserve"> </v>
      </c>
      <c r="Q1157" t="str">
        <f t="shared" si="56"/>
        <v>Unfavorable</v>
      </c>
    </row>
    <row r="1158" spans="1:17">
      <c r="A1158" t="s">
        <v>1168</v>
      </c>
      <c r="B1158" s="2">
        <v>45057</v>
      </c>
      <c r="C1158">
        <v>5010</v>
      </c>
      <c r="D1158" t="s">
        <v>2015</v>
      </c>
      <c r="E1158">
        <v>1961.58</v>
      </c>
      <c r="F1158">
        <v>0</v>
      </c>
      <c r="G1158" t="s">
        <v>2021</v>
      </c>
      <c r="H1158" t="s">
        <v>2024</v>
      </c>
      <c r="I1158" t="s">
        <v>3184</v>
      </c>
      <c r="J1158" t="s">
        <v>4031</v>
      </c>
      <c r="K1158" t="s">
        <v>4062</v>
      </c>
      <c r="L1158">
        <v>-1961.58</v>
      </c>
      <c r="N1158">
        <f t="shared" si="54"/>
        <v>-1961.58</v>
      </c>
      <c r="O1158" t="s">
        <v>4104</v>
      </c>
      <c r="P1158" t="str">
        <f t="shared" si="55"/>
        <v xml:space="preserve"> </v>
      </c>
      <c r="Q1158" t="str">
        <f t="shared" si="56"/>
        <v>Unfavorable</v>
      </c>
    </row>
    <row r="1159" spans="1:17">
      <c r="A1159" t="s">
        <v>1169</v>
      </c>
      <c r="B1159" s="2">
        <v>44953</v>
      </c>
      <c r="C1159">
        <v>6000</v>
      </c>
      <c r="D1159" t="s">
        <v>2014</v>
      </c>
      <c r="E1159">
        <v>320.36</v>
      </c>
      <c r="F1159">
        <v>0</v>
      </c>
      <c r="G1159" t="s">
        <v>2022</v>
      </c>
      <c r="H1159" t="s">
        <v>2026</v>
      </c>
      <c r="I1159" t="s">
        <v>3185</v>
      </c>
      <c r="J1159" t="s">
        <v>4031</v>
      </c>
      <c r="K1159" t="s">
        <v>4047</v>
      </c>
      <c r="L1159">
        <v>-320.36</v>
      </c>
      <c r="N1159">
        <f t="shared" si="54"/>
        <v>-320.36</v>
      </c>
      <c r="O1159" t="s">
        <v>4104</v>
      </c>
      <c r="P1159" t="str">
        <f t="shared" si="55"/>
        <v xml:space="preserve"> </v>
      </c>
      <c r="Q1159" t="str">
        <f t="shared" si="56"/>
        <v>Unfavorable</v>
      </c>
    </row>
    <row r="1160" spans="1:17">
      <c r="A1160" t="s">
        <v>1170</v>
      </c>
      <c r="B1160" s="2">
        <v>45541</v>
      </c>
      <c r="C1160">
        <v>5010</v>
      </c>
      <c r="D1160" t="s">
        <v>2015</v>
      </c>
      <c r="E1160">
        <v>727.24</v>
      </c>
      <c r="F1160">
        <v>0</v>
      </c>
      <c r="G1160" t="s">
        <v>2020</v>
      </c>
      <c r="H1160" t="s">
        <v>2027</v>
      </c>
      <c r="I1160" t="s">
        <v>3186</v>
      </c>
      <c r="J1160" t="s">
        <v>4029</v>
      </c>
      <c r="K1160" t="s">
        <v>4048</v>
      </c>
      <c r="L1160">
        <v>-727.24</v>
      </c>
      <c r="N1160">
        <f t="shared" si="54"/>
        <v>-727.24</v>
      </c>
      <c r="O1160" t="s">
        <v>4104</v>
      </c>
      <c r="P1160" t="str">
        <f t="shared" si="55"/>
        <v xml:space="preserve"> </v>
      </c>
      <c r="Q1160" t="str">
        <f t="shared" si="56"/>
        <v>Unfavorable</v>
      </c>
    </row>
    <row r="1161" spans="1:17">
      <c r="A1161" t="s">
        <v>1171</v>
      </c>
      <c r="B1161" s="2">
        <v>45030</v>
      </c>
      <c r="C1161">
        <v>5000</v>
      </c>
      <c r="D1161" t="s">
        <v>2013</v>
      </c>
      <c r="E1161">
        <v>334.7</v>
      </c>
      <c r="F1161">
        <v>0</v>
      </c>
      <c r="G1161" t="s">
        <v>2022</v>
      </c>
      <c r="H1161" t="s">
        <v>2025</v>
      </c>
      <c r="I1161" t="s">
        <v>3187</v>
      </c>
      <c r="J1161" t="s">
        <v>4029</v>
      </c>
      <c r="K1161" t="s">
        <v>4041</v>
      </c>
      <c r="L1161">
        <v>-334.7</v>
      </c>
      <c r="N1161">
        <f t="shared" si="54"/>
        <v>-334.7</v>
      </c>
      <c r="O1161" t="s">
        <v>4104</v>
      </c>
      <c r="P1161" t="str">
        <f t="shared" si="55"/>
        <v xml:space="preserve"> </v>
      </c>
      <c r="Q1161" t="str">
        <f t="shared" si="56"/>
        <v>Unfavorable</v>
      </c>
    </row>
    <row r="1162" spans="1:17">
      <c r="A1162" t="s">
        <v>1172</v>
      </c>
      <c r="B1162" s="2">
        <v>45021</v>
      </c>
      <c r="C1162">
        <v>6000</v>
      </c>
      <c r="D1162" t="s">
        <v>2014</v>
      </c>
      <c r="E1162">
        <v>620.16999999999996</v>
      </c>
      <c r="F1162">
        <v>0</v>
      </c>
      <c r="G1162" t="s">
        <v>2017</v>
      </c>
      <c r="H1162" t="s">
        <v>2026</v>
      </c>
      <c r="I1162" t="s">
        <v>3188</v>
      </c>
      <c r="J1162" t="s">
        <v>4030</v>
      </c>
      <c r="K1162" t="s">
        <v>4041</v>
      </c>
      <c r="L1162">
        <v>-620.16999999999996</v>
      </c>
      <c r="N1162">
        <f t="shared" si="54"/>
        <v>-620.16999999999996</v>
      </c>
      <c r="O1162" t="s">
        <v>4104</v>
      </c>
      <c r="P1162" t="str">
        <f t="shared" si="55"/>
        <v xml:space="preserve"> </v>
      </c>
      <c r="Q1162" t="str">
        <f t="shared" si="56"/>
        <v>Unfavorable</v>
      </c>
    </row>
    <row r="1163" spans="1:17">
      <c r="A1163" t="s">
        <v>1173</v>
      </c>
      <c r="B1163" s="2">
        <v>45475</v>
      </c>
      <c r="C1163">
        <v>4010</v>
      </c>
      <c r="D1163" t="s">
        <v>2016</v>
      </c>
      <c r="E1163">
        <v>0</v>
      </c>
      <c r="F1163">
        <v>2933.41</v>
      </c>
      <c r="G1163" t="s">
        <v>2017</v>
      </c>
      <c r="H1163" t="s">
        <v>2023</v>
      </c>
      <c r="I1163" t="s">
        <v>3189</v>
      </c>
      <c r="J1163" t="s">
        <v>4028</v>
      </c>
      <c r="K1163" t="s">
        <v>4054</v>
      </c>
      <c r="L1163">
        <v>2933.41</v>
      </c>
      <c r="N1163">
        <f t="shared" si="54"/>
        <v>2933.41</v>
      </c>
      <c r="O1163" t="s">
        <v>4104</v>
      </c>
      <c r="P1163" t="str">
        <f t="shared" si="55"/>
        <v xml:space="preserve"> </v>
      </c>
      <c r="Q1163" t="str">
        <f t="shared" si="56"/>
        <v>Favorable</v>
      </c>
    </row>
    <row r="1164" spans="1:17">
      <c r="A1164" t="s">
        <v>1174</v>
      </c>
      <c r="B1164" s="2">
        <v>45093</v>
      </c>
      <c r="C1164">
        <v>4010</v>
      </c>
      <c r="D1164" t="s">
        <v>2016</v>
      </c>
      <c r="E1164">
        <v>0</v>
      </c>
      <c r="F1164">
        <v>2103.91</v>
      </c>
      <c r="G1164" t="s">
        <v>2017</v>
      </c>
      <c r="H1164" t="s">
        <v>2025</v>
      </c>
      <c r="I1164" t="s">
        <v>3190</v>
      </c>
      <c r="J1164" t="s">
        <v>4032</v>
      </c>
      <c r="K1164" t="s">
        <v>4055</v>
      </c>
      <c r="L1164">
        <v>2103.91</v>
      </c>
      <c r="N1164">
        <f t="shared" si="54"/>
        <v>2103.91</v>
      </c>
      <c r="O1164" t="s">
        <v>4104</v>
      </c>
      <c r="P1164" t="str">
        <f t="shared" si="55"/>
        <v xml:space="preserve"> </v>
      </c>
      <c r="Q1164" t="str">
        <f t="shared" si="56"/>
        <v>Favorable</v>
      </c>
    </row>
    <row r="1165" spans="1:17">
      <c r="A1165" t="s">
        <v>1175</v>
      </c>
      <c r="B1165" s="2">
        <v>45121</v>
      </c>
      <c r="C1165">
        <v>6000</v>
      </c>
      <c r="D1165" t="s">
        <v>2014</v>
      </c>
      <c r="E1165">
        <v>626.96</v>
      </c>
      <c r="F1165">
        <v>0</v>
      </c>
      <c r="G1165" t="s">
        <v>2022</v>
      </c>
      <c r="H1165" t="s">
        <v>2027</v>
      </c>
      <c r="I1165" t="s">
        <v>3191</v>
      </c>
      <c r="J1165" t="s">
        <v>4028</v>
      </c>
      <c r="K1165" t="s">
        <v>4050</v>
      </c>
      <c r="L1165">
        <v>-626.96</v>
      </c>
      <c r="N1165">
        <f t="shared" si="54"/>
        <v>-626.96</v>
      </c>
      <c r="O1165" t="s">
        <v>4104</v>
      </c>
      <c r="P1165" t="str">
        <f t="shared" si="55"/>
        <v xml:space="preserve"> </v>
      </c>
      <c r="Q1165" t="str">
        <f t="shared" si="56"/>
        <v>Unfavorable</v>
      </c>
    </row>
    <row r="1166" spans="1:17">
      <c r="A1166" t="s">
        <v>1176</v>
      </c>
      <c r="B1166" s="2">
        <v>45480</v>
      </c>
      <c r="C1166">
        <v>4000</v>
      </c>
      <c r="D1166" t="s">
        <v>2012</v>
      </c>
      <c r="E1166">
        <v>0</v>
      </c>
      <c r="F1166">
        <v>3001.97</v>
      </c>
      <c r="G1166" t="s">
        <v>2019</v>
      </c>
      <c r="H1166" t="s">
        <v>2026</v>
      </c>
      <c r="I1166" t="s">
        <v>3192</v>
      </c>
      <c r="J1166" t="s">
        <v>4031</v>
      </c>
      <c r="K1166" t="s">
        <v>4054</v>
      </c>
      <c r="L1166">
        <v>3001.97</v>
      </c>
      <c r="N1166">
        <f t="shared" si="54"/>
        <v>3001.97</v>
      </c>
      <c r="O1166" t="s">
        <v>4104</v>
      </c>
      <c r="P1166" t="str">
        <f t="shared" si="55"/>
        <v xml:space="preserve"> </v>
      </c>
      <c r="Q1166" t="str">
        <f t="shared" si="56"/>
        <v>Favorable</v>
      </c>
    </row>
    <row r="1167" spans="1:17">
      <c r="A1167" t="s">
        <v>1177</v>
      </c>
      <c r="B1167" s="2">
        <v>45668</v>
      </c>
      <c r="C1167">
        <v>5000</v>
      </c>
      <c r="D1167" t="s">
        <v>2013</v>
      </c>
      <c r="E1167">
        <v>1130.18</v>
      </c>
      <c r="F1167">
        <v>0</v>
      </c>
      <c r="G1167" t="s">
        <v>2022</v>
      </c>
      <c r="H1167" t="s">
        <v>2026</v>
      </c>
      <c r="I1167" t="s">
        <v>3193</v>
      </c>
      <c r="J1167" t="s">
        <v>4028</v>
      </c>
      <c r="K1167" t="s">
        <v>4035</v>
      </c>
      <c r="L1167">
        <v>-1130.18</v>
      </c>
      <c r="N1167">
        <f t="shared" si="54"/>
        <v>-1130.18</v>
      </c>
      <c r="O1167" t="s">
        <v>4104</v>
      </c>
      <c r="P1167" t="str">
        <f t="shared" si="55"/>
        <v xml:space="preserve"> </v>
      </c>
      <c r="Q1167" t="str">
        <f t="shared" si="56"/>
        <v>Unfavorable</v>
      </c>
    </row>
    <row r="1168" spans="1:17">
      <c r="A1168" t="s">
        <v>1178</v>
      </c>
      <c r="B1168" s="2">
        <v>45261</v>
      </c>
      <c r="C1168">
        <v>5010</v>
      </c>
      <c r="D1168" t="s">
        <v>2015</v>
      </c>
      <c r="E1168">
        <v>1772.72</v>
      </c>
      <c r="F1168">
        <v>0</v>
      </c>
      <c r="G1168" t="s">
        <v>2020</v>
      </c>
      <c r="H1168" t="s">
        <v>2023</v>
      </c>
      <c r="I1168" t="s">
        <v>3194</v>
      </c>
      <c r="J1168" t="s">
        <v>4032</v>
      </c>
      <c r="K1168" t="s">
        <v>4039</v>
      </c>
      <c r="L1168">
        <v>-1772.72</v>
      </c>
      <c r="N1168">
        <f t="shared" si="54"/>
        <v>-1772.72</v>
      </c>
      <c r="O1168" t="s">
        <v>4104</v>
      </c>
      <c r="P1168" t="str">
        <f t="shared" si="55"/>
        <v xml:space="preserve"> </v>
      </c>
      <c r="Q1168" t="str">
        <f t="shared" si="56"/>
        <v>Unfavorable</v>
      </c>
    </row>
    <row r="1169" spans="1:17">
      <c r="A1169" t="s">
        <v>1179</v>
      </c>
      <c r="B1169" s="2">
        <v>45332</v>
      </c>
      <c r="C1169">
        <v>5010</v>
      </c>
      <c r="D1169" t="s">
        <v>2015</v>
      </c>
      <c r="E1169">
        <v>152.83000000000001</v>
      </c>
      <c r="F1169">
        <v>0</v>
      </c>
      <c r="G1169" t="s">
        <v>2017</v>
      </c>
      <c r="H1169" t="s">
        <v>2026</v>
      </c>
      <c r="I1169" t="s">
        <v>3195</v>
      </c>
      <c r="J1169" t="s">
        <v>4032</v>
      </c>
      <c r="K1169" t="s">
        <v>4044</v>
      </c>
      <c r="L1169">
        <v>-152.83000000000001</v>
      </c>
      <c r="N1169">
        <f t="shared" si="54"/>
        <v>-152.83000000000001</v>
      </c>
      <c r="O1169" t="s">
        <v>4104</v>
      </c>
      <c r="P1169" t="str">
        <f t="shared" si="55"/>
        <v xml:space="preserve"> </v>
      </c>
      <c r="Q1169" t="str">
        <f t="shared" si="56"/>
        <v>Unfavorable</v>
      </c>
    </row>
    <row r="1170" spans="1:17">
      <c r="A1170" t="s">
        <v>1180</v>
      </c>
      <c r="B1170" s="2">
        <v>44928</v>
      </c>
      <c r="C1170">
        <v>5000</v>
      </c>
      <c r="D1170" t="s">
        <v>2013</v>
      </c>
      <c r="E1170">
        <v>954.94</v>
      </c>
      <c r="F1170">
        <v>0</v>
      </c>
      <c r="G1170" t="s">
        <v>2018</v>
      </c>
      <c r="H1170" t="s">
        <v>2026</v>
      </c>
      <c r="I1170" t="s">
        <v>3196</v>
      </c>
      <c r="J1170" t="s">
        <v>4029</v>
      </c>
      <c r="K1170" t="s">
        <v>4047</v>
      </c>
      <c r="L1170">
        <v>-954.94</v>
      </c>
      <c r="N1170">
        <f t="shared" si="54"/>
        <v>-954.94</v>
      </c>
      <c r="O1170" t="s">
        <v>4104</v>
      </c>
      <c r="P1170" t="str">
        <f t="shared" si="55"/>
        <v xml:space="preserve"> </v>
      </c>
      <c r="Q1170" t="str">
        <f t="shared" si="56"/>
        <v>Unfavorable</v>
      </c>
    </row>
    <row r="1171" spans="1:17">
      <c r="A1171" t="s">
        <v>1181</v>
      </c>
      <c r="B1171" s="2">
        <v>45826</v>
      </c>
      <c r="C1171">
        <v>4010</v>
      </c>
      <c r="D1171" t="s">
        <v>2016</v>
      </c>
      <c r="E1171">
        <v>0</v>
      </c>
      <c r="F1171">
        <v>4418.1899999999996</v>
      </c>
      <c r="G1171" t="s">
        <v>2019</v>
      </c>
      <c r="H1171" t="s">
        <v>2025</v>
      </c>
      <c r="I1171" t="s">
        <v>3197</v>
      </c>
      <c r="J1171" t="s">
        <v>4032</v>
      </c>
      <c r="K1171" t="s">
        <v>4052</v>
      </c>
      <c r="L1171">
        <v>4418.1899999999996</v>
      </c>
      <c r="N1171">
        <f t="shared" si="54"/>
        <v>4418.1899999999996</v>
      </c>
      <c r="O1171" t="s">
        <v>4104</v>
      </c>
      <c r="P1171" t="str">
        <f t="shared" si="55"/>
        <v xml:space="preserve"> </v>
      </c>
      <c r="Q1171" t="str">
        <f t="shared" si="56"/>
        <v>Favorable</v>
      </c>
    </row>
    <row r="1172" spans="1:17">
      <c r="A1172" t="s">
        <v>1182</v>
      </c>
      <c r="B1172" s="2">
        <v>45363</v>
      </c>
      <c r="C1172">
        <v>5010</v>
      </c>
      <c r="D1172" t="s">
        <v>2015</v>
      </c>
      <c r="E1172">
        <v>1814.27</v>
      </c>
      <c r="F1172">
        <v>0</v>
      </c>
      <c r="G1172" t="s">
        <v>2017</v>
      </c>
      <c r="H1172" t="s">
        <v>2027</v>
      </c>
      <c r="I1172" t="s">
        <v>3198</v>
      </c>
      <c r="J1172" t="s">
        <v>4031</v>
      </c>
      <c r="K1172" t="s">
        <v>4049</v>
      </c>
      <c r="L1172">
        <v>-1814.27</v>
      </c>
      <c r="N1172">
        <f t="shared" si="54"/>
        <v>-1814.27</v>
      </c>
      <c r="O1172" t="s">
        <v>4104</v>
      </c>
      <c r="P1172" t="str">
        <f t="shared" si="55"/>
        <v xml:space="preserve"> </v>
      </c>
      <c r="Q1172" t="str">
        <f t="shared" si="56"/>
        <v>Unfavorable</v>
      </c>
    </row>
    <row r="1173" spans="1:17">
      <c r="A1173" t="s">
        <v>1183</v>
      </c>
      <c r="B1173" s="2">
        <v>45408</v>
      </c>
      <c r="C1173">
        <v>4000</v>
      </c>
      <c r="D1173" t="s">
        <v>2012</v>
      </c>
      <c r="E1173">
        <v>0</v>
      </c>
      <c r="F1173">
        <v>815.4</v>
      </c>
      <c r="G1173" t="s">
        <v>2022</v>
      </c>
      <c r="H1173" t="s">
        <v>2027</v>
      </c>
      <c r="I1173" t="s">
        <v>3199</v>
      </c>
      <c r="J1173" t="s">
        <v>4029</v>
      </c>
      <c r="K1173" t="s">
        <v>4040</v>
      </c>
      <c r="L1173">
        <v>815.4</v>
      </c>
      <c r="N1173">
        <f t="shared" si="54"/>
        <v>815.4</v>
      </c>
      <c r="O1173" t="s">
        <v>4104</v>
      </c>
      <c r="P1173" t="str">
        <f t="shared" si="55"/>
        <v xml:space="preserve"> </v>
      </c>
      <c r="Q1173" t="str">
        <f t="shared" si="56"/>
        <v>Favorable</v>
      </c>
    </row>
    <row r="1174" spans="1:17">
      <c r="A1174" t="s">
        <v>1184</v>
      </c>
      <c r="B1174" s="2">
        <v>45513</v>
      </c>
      <c r="C1174">
        <v>5000</v>
      </c>
      <c r="D1174" t="s">
        <v>2013</v>
      </c>
      <c r="E1174">
        <v>290.05</v>
      </c>
      <c r="F1174">
        <v>0</v>
      </c>
      <c r="G1174" t="s">
        <v>2020</v>
      </c>
      <c r="H1174" t="s">
        <v>2025</v>
      </c>
      <c r="I1174" t="s">
        <v>3200</v>
      </c>
      <c r="J1174" t="s">
        <v>4032</v>
      </c>
      <c r="K1174" t="s">
        <v>4058</v>
      </c>
      <c r="L1174">
        <v>-290.05</v>
      </c>
      <c r="N1174">
        <f t="shared" si="54"/>
        <v>-290.05</v>
      </c>
      <c r="O1174" t="s">
        <v>4104</v>
      </c>
      <c r="P1174" t="str">
        <f t="shared" si="55"/>
        <v xml:space="preserve"> </v>
      </c>
      <c r="Q1174" t="str">
        <f t="shared" si="56"/>
        <v>Unfavorable</v>
      </c>
    </row>
    <row r="1175" spans="1:17">
      <c r="A1175" t="s">
        <v>1185</v>
      </c>
      <c r="B1175" s="2">
        <v>45781</v>
      </c>
      <c r="C1175">
        <v>6000</v>
      </c>
      <c r="D1175" t="s">
        <v>2014</v>
      </c>
      <c r="E1175">
        <v>1726.68</v>
      </c>
      <c r="F1175">
        <v>0</v>
      </c>
      <c r="G1175" t="s">
        <v>2021</v>
      </c>
      <c r="H1175" t="s">
        <v>2024</v>
      </c>
      <c r="I1175" t="s">
        <v>3201</v>
      </c>
      <c r="J1175" t="s">
        <v>4030</v>
      </c>
      <c r="K1175" t="s">
        <v>4038</v>
      </c>
      <c r="L1175">
        <v>-1726.68</v>
      </c>
      <c r="N1175">
        <f t="shared" si="54"/>
        <v>-1726.68</v>
      </c>
      <c r="O1175" t="s">
        <v>4104</v>
      </c>
      <c r="P1175" t="str">
        <f t="shared" si="55"/>
        <v xml:space="preserve"> </v>
      </c>
      <c r="Q1175" t="str">
        <f t="shared" si="56"/>
        <v>Unfavorable</v>
      </c>
    </row>
    <row r="1176" spans="1:17">
      <c r="A1176" t="s">
        <v>1186</v>
      </c>
      <c r="B1176" s="2">
        <v>45772</v>
      </c>
      <c r="C1176">
        <v>4010</v>
      </c>
      <c r="D1176" t="s">
        <v>2016</v>
      </c>
      <c r="E1176">
        <v>0</v>
      </c>
      <c r="F1176">
        <v>2724.33</v>
      </c>
      <c r="G1176" t="s">
        <v>2021</v>
      </c>
      <c r="H1176" t="s">
        <v>2023</v>
      </c>
      <c r="I1176" t="s">
        <v>3202</v>
      </c>
      <c r="J1176" t="s">
        <v>4028</v>
      </c>
      <c r="K1176" t="s">
        <v>4045</v>
      </c>
      <c r="L1176">
        <v>2724.33</v>
      </c>
      <c r="N1176">
        <f t="shared" si="54"/>
        <v>2724.33</v>
      </c>
      <c r="O1176" t="s">
        <v>4104</v>
      </c>
      <c r="P1176" t="str">
        <f t="shared" si="55"/>
        <v xml:space="preserve"> </v>
      </c>
      <c r="Q1176" t="str">
        <f t="shared" si="56"/>
        <v>Favorable</v>
      </c>
    </row>
    <row r="1177" spans="1:17">
      <c r="A1177" t="s">
        <v>1187</v>
      </c>
      <c r="B1177" s="2">
        <v>45018</v>
      </c>
      <c r="C1177">
        <v>4010</v>
      </c>
      <c r="D1177" t="s">
        <v>2016</v>
      </c>
      <c r="E1177">
        <v>0</v>
      </c>
      <c r="F1177">
        <v>517.76</v>
      </c>
      <c r="G1177" t="s">
        <v>2020</v>
      </c>
      <c r="H1177" t="s">
        <v>2027</v>
      </c>
      <c r="I1177" t="s">
        <v>3203</v>
      </c>
      <c r="J1177" t="s">
        <v>4032</v>
      </c>
      <c r="K1177" t="s">
        <v>4041</v>
      </c>
      <c r="L1177">
        <v>517.76</v>
      </c>
      <c r="N1177">
        <f t="shared" si="54"/>
        <v>517.76</v>
      </c>
      <c r="O1177" t="s">
        <v>4104</v>
      </c>
      <c r="P1177" t="str">
        <f t="shared" si="55"/>
        <v xml:space="preserve"> </v>
      </c>
      <c r="Q1177" t="str">
        <f t="shared" si="56"/>
        <v>Favorable</v>
      </c>
    </row>
    <row r="1178" spans="1:17">
      <c r="A1178" t="s">
        <v>1188</v>
      </c>
      <c r="B1178" s="2">
        <v>45155</v>
      </c>
      <c r="C1178">
        <v>5010</v>
      </c>
      <c r="D1178" t="s">
        <v>2015</v>
      </c>
      <c r="E1178">
        <v>1718.84</v>
      </c>
      <c r="F1178">
        <v>0</v>
      </c>
      <c r="G1178" t="s">
        <v>2019</v>
      </c>
      <c r="H1178" t="s">
        <v>2026</v>
      </c>
      <c r="I1178" t="s">
        <v>3204</v>
      </c>
      <c r="J1178" t="s">
        <v>4030</v>
      </c>
      <c r="K1178" t="s">
        <v>4037</v>
      </c>
      <c r="L1178">
        <v>-1718.84</v>
      </c>
      <c r="N1178">
        <f t="shared" si="54"/>
        <v>-1718.84</v>
      </c>
      <c r="O1178" t="s">
        <v>4104</v>
      </c>
      <c r="P1178" t="str">
        <f t="shared" si="55"/>
        <v xml:space="preserve"> </v>
      </c>
      <c r="Q1178" t="str">
        <f t="shared" si="56"/>
        <v>Unfavorable</v>
      </c>
    </row>
    <row r="1179" spans="1:17">
      <c r="A1179" t="s">
        <v>1189</v>
      </c>
      <c r="B1179" s="2">
        <v>45447</v>
      </c>
      <c r="C1179">
        <v>4000</v>
      </c>
      <c r="D1179" t="s">
        <v>2012</v>
      </c>
      <c r="E1179">
        <v>0</v>
      </c>
      <c r="F1179">
        <v>3902.53</v>
      </c>
      <c r="G1179" t="s">
        <v>2019</v>
      </c>
      <c r="H1179" t="s">
        <v>2023</v>
      </c>
      <c r="I1179" t="s">
        <v>3205</v>
      </c>
      <c r="J1179" t="s">
        <v>4031</v>
      </c>
      <c r="K1179" t="s">
        <v>4034</v>
      </c>
      <c r="L1179">
        <v>3902.53</v>
      </c>
      <c r="N1179">
        <f t="shared" si="54"/>
        <v>3902.53</v>
      </c>
      <c r="O1179" t="s">
        <v>4104</v>
      </c>
      <c r="P1179" t="str">
        <f t="shared" si="55"/>
        <v xml:space="preserve"> </v>
      </c>
      <c r="Q1179" t="str">
        <f t="shared" si="56"/>
        <v>Favorable</v>
      </c>
    </row>
    <row r="1180" spans="1:17">
      <c r="A1180" t="s">
        <v>1190</v>
      </c>
      <c r="B1180" s="2">
        <v>45244</v>
      </c>
      <c r="C1180">
        <v>5000</v>
      </c>
      <c r="D1180" t="s">
        <v>2013</v>
      </c>
      <c r="E1180">
        <v>820.59</v>
      </c>
      <c r="F1180">
        <v>0</v>
      </c>
      <c r="G1180" t="s">
        <v>2022</v>
      </c>
      <c r="H1180" t="s">
        <v>2027</v>
      </c>
      <c r="I1180" t="s">
        <v>3206</v>
      </c>
      <c r="J1180" t="s">
        <v>4029</v>
      </c>
      <c r="K1180" t="s">
        <v>4042</v>
      </c>
      <c r="L1180">
        <v>-820.59</v>
      </c>
      <c r="N1180">
        <f t="shared" si="54"/>
        <v>-820.59</v>
      </c>
      <c r="O1180" t="s">
        <v>4104</v>
      </c>
      <c r="P1180" t="str">
        <f t="shared" si="55"/>
        <v xml:space="preserve"> </v>
      </c>
      <c r="Q1180" t="str">
        <f t="shared" si="56"/>
        <v>Unfavorable</v>
      </c>
    </row>
    <row r="1181" spans="1:17">
      <c r="A1181" t="s">
        <v>1191</v>
      </c>
      <c r="B1181" s="2">
        <v>45541</v>
      </c>
      <c r="C1181">
        <v>6000</v>
      </c>
      <c r="D1181" t="s">
        <v>2014</v>
      </c>
      <c r="E1181">
        <v>933.21</v>
      </c>
      <c r="F1181">
        <v>0</v>
      </c>
      <c r="G1181" t="s">
        <v>2019</v>
      </c>
      <c r="H1181" t="s">
        <v>2027</v>
      </c>
      <c r="I1181" t="s">
        <v>3207</v>
      </c>
      <c r="J1181" t="s">
        <v>4030</v>
      </c>
      <c r="K1181" t="s">
        <v>4048</v>
      </c>
      <c r="L1181">
        <v>-933.21</v>
      </c>
      <c r="N1181">
        <f t="shared" si="54"/>
        <v>-933.21</v>
      </c>
      <c r="O1181" t="s">
        <v>4104</v>
      </c>
      <c r="P1181" t="str">
        <f t="shared" si="55"/>
        <v xml:space="preserve"> </v>
      </c>
      <c r="Q1181" t="str">
        <f t="shared" si="56"/>
        <v>Unfavorable</v>
      </c>
    </row>
    <row r="1182" spans="1:17">
      <c r="A1182" t="s">
        <v>1192</v>
      </c>
      <c r="B1182" s="2">
        <v>45381</v>
      </c>
      <c r="C1182">
        <v>4010</v>
      </c>
      <c r="D1182" t="s">
        <v>2016</v>
      </c>
      <c r="E1182">
        <v>0</v>
      </c>
      <c r="F1182">
        <v>581.76</v>
      </c>
      <c r="G1182" t="s">
        <v>2019</v>
      </c>
      <c r="H1182" t="s">
        <v>2025</v>
      </c>
      <c r="I1182" t="s">
        <v>3208</v>
      </c>
      <c r="J1182" t="s">
        <v>4032</v>
      </c>
      <c r="K1182" t="s">
        <v>4049</v>
      </c>
      <c r="L1182">
        <v>581.76</v>
      </c>
      <c r="N1182">
        <f t="shared" si="54"/>
        <v>581.76</v>
      </c>
      <c r="O1182" t="s">
        <v>4104</v>
      </c>
      <c r="P1182" t="str">
        <f t="shared" si="55"/>
        <v xml:space="preserve"> </v>
      </c>
      <c r="Q1182" t="str">
        <f t="shared" si="56"/>
        <v>Favorable</v>
      </c>
    </row>
    <row r="1183" spans="1:17">
      <c r="A1183" t="s">
        <v>1193</v>
      </c>
      <c r="B1183" s="2">
        <v>45030</v>
      </c>
      <c r="C1183">
        <v>4000</v>
      </c>
      <c r="D1183" t="s">
        <v>2012</v>
      </c>
      <c r="E1183">
        <v>0</v>
      </c>
      <c r="F1183">
        <v>2858.3</v>
      </c>
      <c r="G1183" t="s">
        <v>2018</v>
      </c>
      <c r="H1183" t="s">
        <v>2027</v>
      </c>
      <c r="I1183" t="s">
        <v>3209</v>
      </c>
      <c r="J1183" t="s">
        <v>4028</v>
      </c>
      <c r="K1183" t="s">
        <v>4041</v>
      </c>
      <c r="L1183">
        <v>2858.3</v>
      </c>
      <c r="N1183">
        <f t="shared" si="54"/>
        <v>2858.3</v>
      </c>
      <c r="O1183" t="s">
        <v>4104</v>
      </c>
      <c r="P1183" t="str">
        <f t="shared" si="55"/>
        <v xml:space="preserve"> </v>
      </c>
      <c r="Q1183" t="str">
        <f t="shared" si="56"/>
        <v>Favorable</v>
      </c>
    </row>
    <row r="1184" spans="1:17">
      <c r="A1184" t="s">
        <v>1194</v>
      </c>
      <c r="B1184" s="2">
        <v>45299</v>
      </c>
      <c r="C1184">
        <v>4010</v>
      </c>
      <c r="D1184" t="s">
        <v>2016</v>
      </c>
      <c r="E1184">
        <v>0</v>
      </c>
      <c r="F1184">
        <v>1469.73</v>
      </c>
      <c r="G1184" t="s">
        <v>2020</v>
      </c>
      <c r="H1184" t="s">
        <v>2023</v>
      </c>
      <c r="I1184" t="s">
        <v>3210</v>
      </c>
      <c r="J1184" t="s">
        <v>4030</v>
      </c>
      <c r="K1184" t="s">
        <v>4053</v>
      </c>
      <c r="L1184">
        <v>1469.73</v>
      </c>
      <c r="N1184">
        <f t="shared" si="54"/>
        <v>1469.73</v>
      </c>
      <c r="O1184" t="s">
        <v>4104</v>
      </c>
      <c r="P1184" t="str">
        <f t="shared" si="55"/>
        <v xml:space="preserve"> </v>
      </c>
      <c r="Q1184" t="str">
        <f t="shared" si="56"/>
        <v>Favorable</v>
      </c>
    </row>
    <row r="1185" spans="1:17">
      <c r="A1185" t="s">
        <v>1195</v>
      </c>
      <c r="B1185" s="2">
        <v>45457</v>
      </c>
      <c r="C1185">
        <v>4000</v>
      </c>
      <c r="D1185" t="s">
        <v>2012</v>
      </c>
      <c r="E1185">
        <v>0</v>
      </c>
      <c r="F1185">
        <v>4440.72</v>
      </c>
      <c r="G1185" t="s">
        <v>2017</v>
      </c>
      <c r="H1185" t="s">
        <v>2026</v>
      </c>
      <c r="I1185" t="s">
        <v>3211</v>
      </c>
      <c r="J1185" t="s">
        <v>4028</v>
      </c>
      <c r="K1185" t="s">
        <v>4034</v>
      </c>
      <c r="L1185">
        <v>4440.72</v>
      </c>
      <c r="N1185">
        <f t="shared" si="54"/>
        <v>4440.72</v>
      </c>
      <c r="O1185" t="s">
        <v>4104</v>
      </c>
      <c r="P1185" t="str">
        <f t="shared" si="55"/>
        <v xml:space="preserve"> </v>
      </c>
      <c r="Q1185" t="str">
        <f t="shared" si="56"/>
        <v>Favorable</v>
      </c>
    </row>
    <row r="1186" spans="1:17">
      <c r="A1186" t="s">
        <v>1196</v>
      </c>
      <c r="B1186" s="2">
        <v>45741</v>
      </c>
      <c r="C1186">
        <v>5010</v>
      </c>
      <c r="D1186" t="s">
        <v>2015</v>
      </c>
      <c r="E1186">
        <v>1972.41</v>
      </c>
      <c r="F1186">
        <v>0</v>
      </c>
      <c r="G1186" t="s">
        <v>2021</v>
      </c>
      <c r="H1186" t="s">
        <v>2025</v>
      </c>
      <c r="I1186" t="s">
        <v>3212</v>
      </c>
      <c r="J1186" t="s">
        <v>4029</v>
      </c>
      <c r="K1186" t="s">
        <v>4046</v>
      </c>
      <c r="L1186">
        <v>-1972.41</v>
      </c>
      <c r="N1186">
        <f t="shared" si="54"/>
        <v>-1972.41</v>
      </c>
      <c r="O1186" t="s">
        <v>4104</v>
      </c>
      <c r="P1186" t="str">
        <f t="shared" si="55"/>
        <v xml:space="preserve"> </v>
      </c>
      <c r="Q1186" t="str">
        <f t="shared" si="56"/>
        <v>Unfavorable</v>
      </c>
    </row>
    <row r="1187" spans="1:17">
      <c r="A1187" t="s">
        <v>1197</v>
      </c>
      <c r="B1187" s="2">
        <v>45328</v>
      </c>
      <c r="C1187">
        <v>4010</v>
      </c>
      <c r="D1187" t="s">
        <v>2016</v>
      </c>
      <c r="E1187">
        <v>0</v>
      </c>
      <c r="F1187">
        <v>841.52</v>
      </c>
      <c r="G1187" t="s">
        <v>2018</v>
      </c>
      <c r="H1187" t="s">
        <v>2027</v>
      </c>
      <c r="I1187" t="s">
        <v>3213</v>
      </c>
      <c r="J1187" t="s">
        <v>4029</v>
      </c>
      <c r="K1187" t="s">
        <v>4044</v>
      </c>
      <c r="L1187">
        <v>841.52</v>
      </c>
      <c r="N1187">
        <f t="shared" si="54"/>
        <v>841.52</v>
      </c>
      <c r="O1187" t="s">
        <v>4104</v>
      </c>
      <c r="P1187" t="str">
        <f t="shared" si="55"/>
        <v xml:space="preserve"> </v>
      </c>
      <c r="Q1187" t="str">
        <f t="shared" si="56"/>
        <v>Favorable</v>
      </c>
    </row>
    <row r="1188" spans="1:17">
      <c r="A1188" t="s">
        <v>1198</v>
      </c>
      <c r="B1188" s="2">
        <v>45083</v>
      </c>
      <c r="C1188">
        <v>6000</v>
      </c>
      <c r="D1188" t="s">
        <v>2014</v>
      </c>
      <c r="E1188">
        <v>316.14999999999998</v>
      </c>
      <c r="F1188">
        <v>0</v>
      </c>
      <c r="G1188" t="s">
        <v>2020</v>
      </c>
      <c r="H1188" t="s">
        <v>2027</v>
      </c>
      <c r="I1188" t="s">
        <v>3214</v>
      </c>
      <c r="J1188" t="s">
        <v>4032</v>
      </c>
      <c r="K1188" t="s">
        <v>4055</v>
      </c>
      <c r="L1188">
        <v>-316.14999999999998</v>
      </c>
      <c r="N1188">
        <f t="shared" si="54"/>
        <v>-316.14999999999998</v>
      </c>
      <c r="O1188" t="s">
        <v>4104</v>
      </c>
      <c r="P1188" t="str">
        <f t="shared" si="55"/>
        <v xml:space="preserve"> </v>
      </c>
      <c r="Q1188" t="str">
        <f t="shared" si="56"/>
        <v>Unfavorable</v>
      </c>
    </row>
    <row r="1189" spans="1:17">
      <c r="A1189" t="s">
        <v>1199</v>
      </c>
      <c r="B1189" s="2">
        <v>45292</v>
      </c>
      <c r="C1189">
        <v>5010</v>
      </c>
      <c r="D1189" t="s">
        <v>2015</v>
      </c>
      <c r="E1189">
        <v>475.92</v>
      </c>
      <c r="F1189">
        <v>0</v>
      </c>
      <c r="G1189" t="s">
        <v>2022</v>
      </c>
      <c r="H1189" t="s">
        <v>2027</v>
      </c>
      <c r="I1189" t="s">
        <v>3215</v>
      </c>
      <c r="J1189" t="s">
        <v>4030</v>
      </c>
      <c r="K1189" t="s">
        <v>4053</v>
      </c>
      <c r="L1189">
        <v>-475.92</v>
      </c>
      <c r="N1189">
        <f t="shared" si="54"/>
        <v>-475.92</v>
      </c>
      <c r="O1189" t="s">
        <v>4104</v>
      </c>
      <c r="P1189" t="str">
        <f t="shared" si="55"/>
        <v xml:space="preserve"> </v>
      </c>
      <c r="Q1189" t="str">
        <f t="shared" si="56"/>
        <v>Unfavorable</v>
      </c>
    </row>
    <row r="1190" spans="1:17">
      <c r="A1190" t="s">
        <v>1200</v>
      </c>
      <c r="B1190" s="2">
        <v>45294</v>
      </c>
      <c r="C1190">
        <v>6000</v>
      </c>
      <c r="D1190" t="s">
        <v>2014</v>
      </c>
      <c r="E1190">
        <v>1283.6099999999999</v>
      </c>
      <c r="F1190">
        <v>0</v>
      </c>
      <c r="G1190" t="s">
        <v>2018</v>
      </c>
      <c r="H1190" t="s">
        <v>2025</v>
      </c>
      <c r="I1190" t="s">
        <v>3216</v>
      </c>
      <c r="J1190" t="s">
        <v>4028</v>
      </c>
      <c r="K1190" t="s">
        <v>4053</v>
      </c>
      <c r="L1190">
        <v>-1283.6099999999999</v>
      </c>
      <c r="N1190">
        <f t="shared" si="54"/>
        <v>-1283.6099999999999</v>
      </c>
      <c r="O1190" t="s">
        <v>4104</v>
      </c>
      <c r="P1190" t="str">
        <f t="shared" si="55"/>
        <v xml:space="preserve"> </v>
      </c>
      <c r="Q1190" t="str">
        <f t="shared" si="56"/>
        <v>Unfavorable</v>
      </c>
    </row>
    <row r="1191" spans="1:17">
      <c r="A1191" t="s">
        <v>1201</v>
      </c>
      <c r="B1191" s="2">
        <v>45296</v>
      </c>
      <c r="C1191">
        <v>4000</v>
      </c>
      <c r="D1191" t="s">
        <v>2012</v>
      </c>
      <c r="E1191">
        <v>0</v>
      </c>
      <c r="F1191">
        <v>242.31</v>
      </c>
      <c r="G1191" t="s">
        <v>2018</v>
      </c>
      <c r="H1191" t="s">
        <v>2027</v>
      </c>
      <c r="I1191" t="s">
        <v>3217</v>
      </c>
      <c r="J1191" t="s">
        <v>4032</v>
      </c>
      <c r="K1191" t="s">
        <v>4053</v>
      </c>
      <c r="L1191">
        <v>242.31</v>
      </c>
      <c r="N1191">
        <f t="shared" si="54"/>
        <v>242.31</v>
      </c>
      <c r="O1191" t="s">
        <v>4104</v>
      </c>
      <c r="P1191" t="str">
        <f t="shared" si="55"/>
        <v xml:space="preserve"> </v>
      </c>
      <c r="Q1191" t="str">
        <f t="shared" si="56"/>
        <v>Favorable</v>
      </c>
    </row>
    <row r="1192" spans="1:17">
      <c r="A1192" t="s">
        <v>1202</v>
      </c>
      <c r="B1192" s="2">
        <v>45371</v>
      </c>
      <c r="C1192">
        <v>5000</v>
      </c>
      <c r="D1192" t="s">
        <v>2013</v>
      </c>
      <c r="E1192">
        <v>309.44</v>
      </c>
      <c r="F1192">
        <v>0</v>
      </c>
      <c r="G1192" t="s">
        <v>2018</v>
      </c>
      <c r="H1192" t="s">
        <v>2026</v>
      </c>
      <c r="I1192" t="s">
        <v>3218</v>
      </c>
      <c r="J1192" t="s">
        <v>4029</v>
      </c>
      <c r="K1192" t="s">
        <v>4049</v>
      </c>
      <c r="L1192">
        <v>-309.44</v>
      </c>
      <c r="N1192">
        <f t="shared" si="54"/>
        <v>-309.44</v>
      </c>
      <c r="O1192" t="s">
        <v>4104</v>
      </c>
      <c r="P1192" t="str">
        <f t="shared" si="55"/>
        <v xml:space="preserve"> </v>
      </c>
      <c r="Q1192" t="str">
        <f t="shared" si="56"/>
        <v>Unfavorable</v>
      </c>
    </row>
    <row r="1193" spans="1:17">
      <c r="A1193" t="s">
        <v>1203</v>
      </c>
      <c r="B1193" s="2">
        <v>45683</v>
      </c>
      <c r="C1193">
        <v>6000</v>
      </c>
      <c r="D1193" t="s">
        <v>2014</v>
      </c>
      <c r="E1193">
        <v>1158.3800000000001</v>
      </c>
      <c r="F1193">
        <v>0</v>
      </c>
      <c r="G1193" t="s">
        <v>2017</v>
      </c>
      <c r="H1193" t="s">
        <v>2023</v>
      </c>
      <c r="I1193" t="s">
        <v>3219</v>
      </c>
      <c r="J1193" t="s">
        <v>4028</v>
      </c>
      <c r="K1193" t="s">
        <v>4035</v>
      </c>
      <c r="L1193">
        <v>-1158.3800000000001</v>
      </c>
      <c r="N1193">
        <f t="shared" si="54"/>
        <v>-1158.3800000000001</v>
      </c>
      <c r="O1193" t="s">
        <v>4104</v>
      </c>
      <c r="P1193" t="str">
        <f t="shared" si="55"/>
        <v xml:space="preserve"> </v>
      </c>
      <c r="Q1193" t="str">
        <f t="shared" si="56"/>
        <v>Unfavorable</v>
      </c>
    </row>
    <row r="1194" spans="1:17">
      <c r="A1194" t="s">
        <v>1204</v>
      </c>
      <c r="B1194" s="2">
        <v>44990</v>
      </c>
      <c r="C1194">
        <v>4010</v>
      </c>
      <c r="D1194" t="s">
        <v>2016</v>
      </c>
      <c r="E1194">
        <v>0</v>
      </c>
      <c r="F1194">
        <v>1546.54</v>
      </c>
      <c r="G1194" t="s">
        <v>2017</v>
      </c>
      <c r="H1194" t="s">
        <v>2026</v>
      </c>
      <c r="I1194" t="s">
        <v>3220</v>
      </c>
      <c r="J1194" t="s">
        <v>4031</v>
      </c>
      <c r="K1194" t="s">
        <v>4051</v>
      </c>
      <c r="L1194">
        <v>1546.54</v>
      </c>
      <c r="N1194">
        <f t="shared" si="54"/>
        <v>1546.54</v>
      </c>
      <c r="O1194" t="s">
        <v>4104</v>
      </c>
      <c r="P1194" t="str">
        <f t="shared" si="55"/>
        <v xml:space="preserve"> </v>
      </c>
      <c r="Q1194" t="str">
        <f t="shared" si="56"/>
        <v>Favorable</v>
      </c>
    </row>
    <row r="1195" spans="1:17">
      <c r="A1195" t="s">
        <v>1205</v>
      </c>
      <c r="B1195" s="2">
        <v>45011</v>
      </c>
      <c r="C1195">
        <v>4010</v>
      </c>
      <c r="D1195" t="s">
        <v>2016</v>
      </c>
      <c r="E1195">
        <v>0</v>
      </c>
      <c r="F1195">
        <v>4731.97</v>
      </c>
      <c r="G1195" t="s">
        <v>2017</v>
      </c>
      <c r="H1195" t="s">
        <v>2024</v>
      </c>
      <c r="I1195" t="s">
        <v>3221</v>
      </c>
      <c r="J1195" t="s">
        <v>4031</v>
      </c>
      <c r="K1195" t="s">
        <v>4051</v>
      </c>
      <c r="L1195">
        <v>4731.97</v>
      </c>
      <c r="N1195">
        <f t="shared" si="54"/>
        <v>4731.97</v>
      </c>
      <c r="O1195" t="s">
        <v>4104</v>
      </c>
      <c r="P1195" t="str">
        <f t="shared" si="55"/>
        <v xml:space="preserve"> </v>
      </c>
      <c r="Q1195" t="str">
        <f t="shared" si="56"/>
        <v>Favorable</v>
      </c>
    </row>
    <row r="1196" spans="1:17">
      <c r="A1196" t="s">
        <v>1206</v>
      </c>
      <c r="B1196" s="2">
        <v>45352</v>
      </c>
      <c r="C1196">
        <v>6000</v>
      </c>
      <c r="D1196" t="s">
        <v>2014</v>
      </c>
      <c r="E1196">
        <v>825.81</v>
      </c>
      <c r="F1196">
        <v>0</v>
      </c>
      <c r="G1196" t="s">
        <v>2019</v>
      </c>
      <c r="H1196" t="s">
        <v>2027</v>
      </c>
      <c r="I1196" t="s">
        <v>3222</v>
      </c>
      <c r="J1196" t="s">
        <v>4031</v>
      </c>
      <c r="K1196" t="s">
        <v>4049</v>
      </c>
      <c r="L1196">
        <v>-825.81</v>
      </c>
      <c r="N1196">
        <f t="shared" si="54"/>
        <v>-825.81</v>
      </c>
      <c r="O1196" t="s">
        <v>4104</v>
      </c>
      <c r="P1196" t="str">
        <f t="shared" si="55"/>
        <v xml:space="preserve"> </v>
      </c>
      <c r="Q1196" t="str">
        <f t="shared" si="56"/>
        <v>Unfavorable</v>
      </c>
    </row>
    <row r="1197" spans="1:17">
      <c r="A1197" t="s">
        <v>1207</v>
      </c>
      <c r="B1197" s="2">
        <v>45452</v>
      </c>
      <c r="C1197">
        <v>5010</v>
      </c>
      <c r="D1197" t="s">
        <v>2015</v>
      </c>
      <c r="E1197">
        <v>811.62</v>
      </c>
      <c r="F1197">
        <v>0</v>
      </c>
      <c r="G1197" t="s">
        <v>2018</v>
      </c>
      <c r="H1197" t="s">
        <v>2024</v>
      </c>
      <c r="I1197" t="s">
        <v>3223</v>
      </c>
      <c r="J1197" t="s">
        <v>4032</v>
      </c>
      <c r="K1197" t="s">
        <v>4034</v>
      </c>
      <c r="L1197">
        <v>-811.62</v>
      </c>
      <c r="N1197">
        <f t="shared" si="54"/>
        <v>-811.62</v>
      </c>
      <c r="O1197" t="s">
        <v>4104</v>
      </c>
      <c r="P1197" t="str">
        <f t="shared" si="55"/>
        <v xml:space="preserve"> </v>
      </c>
      <c r="Q1197" t="str">
        <f t="shared" si="56"/>
        <v>Unfavorable</v>
      </c>
    </row>
    <row r="1198" spans="1:17">
      <c r="A1198" t="s">
        <v>1208</v>
      </c>
      <c r="B1198" s="2">
        <v>45435</v>
      </c>
      <c r="C1198">
        <v>6000</v>
      </c>
      <c r="D1198" t="s">
        <v>2014</v>
      </c>
      <c r="E1198">
        <v>1792.82</v>
      </c>
      <c r="F1198">
        <v>0</v>
      </c>
      <c r="G1198" t="s">
        <v>2018</v>
      </c>
      <c r="H1198" t="s">
        <v>2023</v>
      </c>
      <c r="I1198" t="s">
        <v>3224</v>
      </c>
      <c r="J1198" t="s">
        <v>4031</v>
      </c>
      <c r="K1198" t="s">
        <v>4033</v>
      </c>
      <c r="L1198">
        <v>-1792.82</v>
      </c>
      <c r="N1198">
        <f t="shared" si="54"/>
        <v>-1792.82</v>
      </c>
      <c r="O1198" t="s">
        <v>4104</v>
      </c>
      <c r="P1198" t="str">
        <f t="shared" si="55"/>
        <v xml:space="preserve"> </v>
      </c>
      <c r="Q1198" t="str">
        <f t="shared" si="56"/>
        <v>Unfavorable</v>
      </c>
    </row>
    <row r="1199" spans="1:17">
      <c r="A1199" t="s">
        <v>1209</v>
      </c>
      <c r="B1199" s="2">
        <v>45565</v>
      </c>
      <c r="C1199">
        <v>4010</v>
      </c>
      <c r="D1199" t="s">
        <v>2016</v>
      </c>
      <c r="E1199">
        <v>0</v>
      </c>
      <c r="F1199">
        <v>2374.8200000000002</v>
      </c>
      <c r="G1199" t="s">
        <v>2018</v>
      </c>
      <c r="H1199" t="s">
        <v>2024</v>
      </c>
      <c r="I1199" t="s">
        <v>3225</v>
      </c>
      <c r="J1199" t="s">
        <v>4031</v>
      </c>
      <c r="K1199" t="s">
        <v>4048</v>
      </c>
      <c r="L1199">
        <v>2374.8200000000002</v>
      </c>
      <c r="N1199">
        <f t="shared" si="54"/>
        <v>2374.8200000000002</v>
      </c>
      <c r="O1199" t="s">
        <v>4104</v>
      </c>
      <c r="P1199" t="str">
        <f t="shared" si="55"/>
        <v xml:space="preserve"> </v>
      </c>
      <c r="Q1199" t="str">
        <f t="shared" si="56"/>
        <v>Favorable</v>
      </c>
    </row>
    <row r="1200" spans="1:17">
      <c r="A1200" t="s">
        <v>1210</v>
      </c>
      <c r="B1200" s="2">
        <v>45440</v>
      </c>
      <c r="C1200">
        <v>4000</v>
      </c>
      <c r="D1200" t="s">
        <v>2012</v>
      </c>
      <c r="E1200">
        <v>0</v>
      </c>
      <c r="F1200">
        <v>383.06</v>
      </c>
      <c r="G1200" t="s">
        <v>2020</v>
      </c>
      <c r="H1200" t="s">
        <v>2027</v>
      </c>
      <c r="I1200" t="s">
        <v>3226</v>
      </c>
      <c r="J1200" t="s">
        <v>4028</v>
      </c>
      <c r="K1200" t="s">
        <v>4033</v>
      </c>
      <c r="L1200">
        <v>383.06</v>
      </c>
      <c r="N1200">
        <f t="shared" si="54"/>
        <v>383.06</v>
      </c>
      <c r="O1200" t="s">
        <v>4104</v>
      </c>
      <c r="P1200" t="str">
        <f t="shared" si="55"/>
        <v xml:space="preserve"> </v>
      </c>
      <c r="Q1200" t="str">
        <f t="shared" si="56"/>
        <v>Favorable</v>
      </c>
    </row>
    <row r="1201" spans="1:17">
      <c r="A1201" t="s">
        <v>1211</v>
      </c>
      <c r="B1201" s="2">
        <v>45496</v>
      </c>
      <c r="C1201">
        <v>4010</v>
      </c>
      <c r="D1201" t="s">
        <v>2016</v>
      </c>
      <c r="E1201">
        <v>0</v>
      </c>
      <c r="F1201">
        <v>3219.96</v>
      </c>
      <c r="G1201" t="s">
        <v>2021</v>
      </c>
      <c r="H1201" t="s">
        <v>2027</v>
      </c>
      <c r="I1201" t="s">
        <v>3227</v>
      </c>
      <c r="J1201" t="s">
        <v>4029</v>
      </c>
      <c r="K1201" t="s">
        <v>4054</v>
      </c>
      <c r="L1201">
        <v>3219.96</v>
      </c>
      <c r="N1201">
        <f t="shared" si="54"/>
        <v>3219.96</v>
      </c>
      <c r="O1201" t="s">
        <v>4104</v>
      </c>
      <c r="P1201" t="str">
        <f t="shared" si="55"/>
        <v xml:space="preserve"> </v>
      </c>
      <c r="Q1201" t="str">
        <f t="shared" si="56"/>
        <v>Favorable</v>
      </c>
    </row>
    <row r="1202" spans="1:17">
      <c r="A1202" t="s">
        <v>1212</v>
      </c>
      <c r="B1202" s="2">
        <v>45004</v>
      </c>
      <c r="C1202">
        <v>4000</v>
      </c>
      <c r="D1202" t="s">
        <v>2012</v>
      </c>
      <c r="E1202">
        <v>0</v>
      </c>
      <c r="F1202">
        <v>1105.3800000000001</v>
      </c>
      <c r="G1202" t="s">
        <v>2017</v>
      </c>
      <c r="H1202" t="s">
        <v>2024</v>
      </c>
      <c r="I1202" t="s">
        <v>3228</v>
      </c>
      <c r="J1202" t="s">
        <v>4030</v>
      </c>
      <c r="K1202" t="s">
        <v>4051</v>
      </c>
      <c r="L1202">
        <v>1105.3800000000001</v>
      </c>
      <c r="N1202">
        <f t="shared" si="54"/>
        <v>1105.3800000000001</v>
      </c>
      <c r="O1202" t="s">
        <v>4104</v>
      </c>
      <c r="P1202" t="str">
        <f t="shared" si="55"/>
        <v xml:space="preserve"> </v>
      </c>
      <c r="Q1202" t="str">
        <f t="shared" si="56"/>
        <v>Favorable</v>
      </c>
    </row>
    <row r="1203" spans="1:17">
      <c r="A1203" t="s">
        <v>1213</v>
      </c>
      <c r="B1203" s="2">
        <v>45502</v>
      </c>
      <c r="C1203">
        <v>5010</v>
      </c>
      <c r="D1203" t="s">
        <v>2015</v>
      </c>
      <c r="E1203">
        <v>600.28</v>
      </c>
      <c r="F1203">
        <v>0</v>
      </c>
      <c r="G1203" t="s">
        <v>2019</v>
      </c>
      <c r="H1203" t="s">
        <v>2027</v>
      </c>
      <c r="I1203" t="s">
        <v>3229</v>
      </c>
      <c r="J1203" t="s">
        <v>4032</v>
      </c>
      <c r="K1203" t="s">
        <v>4054</v>
      </c>
      <c r="L1203">
        <v>-600.28</v>
      </c>
      <c r="N1203">
        <f t="shared" si="54"/>
        <v>-600.28</v>
      </c>
      <c r="O1203" t="s">
        <v>4104</v>
      </c>
      <c r="P1203" t="str">
        <f t="shared" si="55"/>
        <v xml:space="preserve"> </v>
      </c>
      <c r="Q1203" t="str">
        <f t="shared" si="56"/>
        <v>Unfavorable</v>
      </c>
    </row>
    <row r="1204" spans="1:17">
      <c r="A1204" t="s">
        <v>1214</v>
      </c>
      <c r="B1204" s="2">
        <v>45556</v>
      </c>
      <c r="C1204">
        <v>4010</v>
      </c>
      <c r="D1204" t="s">
        <v>2016</v>
      </c>
      <c r="E1204">
        <v>0</v>
      </c>
      <c r="F1204">
        <v>1634.89</v>
      </c>
      <c r="G1204" t="s">
        <v>2021</v>
      </c>
      <c r="H1204" t="s">
        <v>2027</v>
      </c>
      <c r="I1204" t="s">
        <v>3230</v>
      </c>
      <c r="J1204" t="s">
        <v>4030</v>
      </c>
      <c r="K1204" t="s">
        <v>4048</v>
      </c>
      <c r="L1204">
        <v>1634.89</v>
      </c>
      <c r="N1204">
        <f t="shared" si="54"/>
        <v>1634.89</v>
      </c>
      <c r="O1204" t="s">
        <v>4104</v>
      </c>
      <c r="P1204" t="str">
        <f t="shared" si="55"/>
        <v xml:space="preserve"> </v>
      </c>
      <c r="Q1204" t="str">
        <f t="shared" si="56"/>
        <v>Favorable</v>
      </c>
    </row>
    <row r="1205" spans="1:17">
      <c r="A1205" t="s">
        <v>1215</v>
      </c>
      <c r="B1205" s="2">
        <v>45529</v>
      </c>
      <c r="C1205">
        <v>4010</v>
      </c>
      <c r="D1205" t="s">
        <v>2016</v>
      </c>
      <c r="E1205">
        <v>0</v>
      </c>
      <c r="F1205">
        <v>2484.3000000000002</v>
      </c>
      <c r="G1205" t="s">
        <v>2018</v>
      </c>
      <c r="H1205" t="s">
        <v>2023</v>
      </c>
      <c r="I1205" t="s">
        <v>3231</v>
      </c>
      <c r="J1205" t="s">
        <v>4032</v>
      </c>
      <c r="K1205" t="s">
        <v>4058</v>
      </c>
      <c r="L1205">
        <v>2484.3000000000002</v>
      </c>
      <c r="N1205">
        <f t="shared" si="54"/>
        <v>2484.3000000000002</v>
      </c>
      <c r="O1205" t="s">
        <v>4104</v>
      </c>
      <c r="P1205" t="str">
        <f t="shared" si="55"/>
        <v xml:space="preserve"> </v>
      </c>
      <c r="Q1205" t="str">
        <f t="shared" si="56"/>
        <v>Favorable</v>
      </c>
    </row>
    <row r="1206" spans="1:17">
      <c r="A1206" t="s">
        <v>1216</v>
      </c>
      <c r="B1206" s="2">
        <v>45733</v>
      </c>
      <c r="C1206">
        <v>4000</v>
      </c>
      <c r="D1206" t="s">
        <v>2012</v>
      </c>
      <c r="E1206">
        <v>0</v>
      </c>
      <c r="F1206">
        <v>2824.53</v>
      </c>
      <c r="G1206" t="s">
        <v>2021</v>
      </c>
      <c r="H1206" t="s">
        <v>2023</v>
      </c>
      <c r="I1206" t="s">
        <v>3232</v>
      </c>
      <c r="J1206" t="s">
        <v>4028</v>
      </c>
      <c r="K1206" t="s">
        <v>4046</v>
      </c>
      <c r="L1206">
        <v>2824.53</v>
      </c>
      <c r="N1206">
        <f t="shared" si="54"/>
        <v>2824.53</v>
      </c>
      <c r="O1206" t="s">
        <v>4104</v>
      </c>
      <c r="P1206" t="str">
        <f t="shared" si="55"/>
        <v xml:space="preserve"> </v>
      </c>
      <c r="Q1206" t="str">
        <f t="shared" si="56"/>
        <v>Favorable</v>
      </c>
    </row>
    <row r="1207" spans="1:17">
      <c r="A1207" t="s">
        <v>1217</v>
      </c>
      <c r="B1207" s="2">
        <v>45627</v>
      </c>
      <c r="C1207">
        <v>6000</v>
      </c>
      <c r="D1207" t="s">
        <v>2014</v>
      </c>
      <c r="E1207">
        <v>269.73</v>
      </c>
      <c r="F1207">
        <v>0</v>
      </c>
      <c r="G1207" t="s">
        <v>2018</v>
      </c>
      <c r="H1207" t="s">
        <v>2024</v>
      </c>
      <c r="I1207" t="s">
        <v>3233</v>
      </c>
      <c r="J1207" t="s">
        <v>4030</v>
      </c>
      <c r="K1207" t="s">
        <v>4056</v>
      </c>
      <c r="L1207">
        <v>-269.73</v>
      </c>
      <c r="N1207">
        <f t="shared" si="54"/>
        <v>-269.73</v>
      </c>
      <c r="O1207" t="s">
        <v>4104</v>
      </c>
      <c r="P1207" t="str">
        <f t="shared" si="55"/>
        <v xml:space="preserve"> </v>
      </c>
      <c r="Q1207" t="str">
        <f t="shared" si="56"/>
        <v>Unfavorable</v>
      </c>
    </row>
    <row r="1208" spans="1:17">
      <c r="A1208" t="s">
        <v>1218</v>
      </c>
      <c r="B1208" s="2">
        <v>45410</v>
      </c>
      <c r="C1208">
        <v>5010</v>
      </c>
      <c r="D1208" t="s">
        <v>2015</v>
      </c>
      <c r="E1208">
        <v>500.85</v>
      </c>
      <c r="F1208">
        <v>0</v>
      </c>
      <c r="G1208" t="s">
        <v>2020</v>
      </c>
      <c r="H1208" t="s">
        <v>2025</v>
      </c>
      <c r="I1208" t="s">
        <v>3234</v>
      </c>
      <c r="J1208" t="s">
        <v>4031</v>
      </c>
      <c r="K1208" t="s">
        <v>4040</v>
      </c>
      <c r="L1208">
        <v>-500.85</v>
      </c>
      <c r="N1208">
        <f t="shared" si="54"/>
        <v>-500.85</v>
      </c>
      <c r="O1208" t="s">
        <v>4104</v>
      </c>
      <c r="P1208" t="str">
        <f t="shared" si="55"/>
        <v xml:space="preserve"> </v>
      </c>
      <c r="Q1208" t="str">
        <f t="shared" si="56"/>
        <v>Unfavorable</v>
      </c>
    </row>
    <row r="1209" spans="1:17">
      <c r="A1209" t="s">
        <v>1219</v>
      </c>
      <c r="B1209" s="2">
        <v>45220</v>
      </c>
      <c r="C1209">
        <v>4010</v>
      </c>
      <c r="D1209" t="s">
        <v>2016</v>
      </c>
      <c r="E1209">
        <v>0</v>
      </c>
      <c r="F1209">
        <v>2600.9699999999998</v>
      </c>
      <c r="G1209" t="s">
        <v>2019</v>
      </c>
      <c r="H1209" t="s">
        <v>2024</v>
      </c>
      <c r="I1209" t="s">
        <v>3235</v>
      </c>
      <c r="J1209" t="s">
        <v>4028</v>
      </c>
      <c r="K1209" t="s">
        <v>4060</v>
      </c>
      <c r="L1209">
        <v>2600.9699999999998</v>
      </c>
      <c r="N1209">
        <f t="shared" si="54"/>
        <v>2600.9699999999998</v>
      </c>
      <c r="O1209" t="s">
        <v>4104</v>
      </c>
      <c r="P1209" t="str">
        <f t="shared" si="55"/>
        <v xml:space="preserve"> </v>
      </c>
      <c r="Q1209" t="str">
        <f t="shared" si="56"/>
        <v>Favorable</v>
      </c>
    </row>
    <row r="1210" spans="1:17">
      <c r="A1210" t="s">
        <v>1220</v>
      </c>
      <c r="B1210" s="2">
        <v>45068</v>
      </c>
      <c r="C1210">
        <v>5000</v>
      </c>
      <c r="D1210" t="s">
        <v>2013</v>
      </c>
      <c r="E1210">
        <v>1457.86</v>
      </c>
      <c r="F1210">
        <v>0</v>
      </c>
      <c r="G1210" t="s">
        <v>2017</v>
      </c>
      <c r="H1210" t="s">
        <v>2023</v>
      </c>
      <c r="I1210" t="s">
        <v>3236</v>
      </c>
      <c r="J1210" t="s">
        <v>4028</v>
      </c>
      <c r="K1210" t="s">
        <v>4062</v>
      </c>
      <c r="L1210">
        <v>-1457.86</v>
      </c>
      <c r="N1210">
        <f t="shared" si="54"/>
        <v>-1457.86</v>
      </c>
      <c r="O1210" t="s">
        <v>4104</v>
      </c>
      <c r="P1210" t="str">
        <f t="shared" si="55"/>
        <v xml:space="preserve"> </v>
      </c>
      <c r="Q1210" t="str">
        <f t="shared" si="56"/>
        <v>Unfavorable</v>
      </c>
    </row>
    <row r="1211" spans="1:17">
      <c r="A1211" t="s">
        <v>1221</v>
      </c>
      <c r="B1211" s="2">
        <v>45476</v>
      </c>
      <c r="C1211">
        <v>4000</v>
      </c>
      <c r="D1211" t="s">
        <v>2012</v>
      </c>
      <c r="E1211">
        <v>0</v>
      </c>
      <c r="F1211">
        <v>1378.84</v>
      </c>
      <c r="G1211" t="s">
        <v>2021</v>
      </c>
      <c r="H1211" t="s">
        <v>2025</v>
      </c>
      <c r="I1211" t="s">
        <v>3237</v>
      </c>
      <c r="J1211" t="s">
        <v>4030</v>
      </c>
      <c r="K1211" t="s">
        <v>4054</v>
      </c>
      <c r="L1211">
        <v>1378.84</v>
      </c>
      <c r="N1211">
        <f t="shared" si="54"/>
        <v>1378.84</v>
      </c>
      <c r="O1211" t="s">
        <v>4104</v>
      </c>
      <c r="P1211" t="str">
        <f t="shared" si="55"/>
        <v xml:space="preserve"> </v>
      </c>
      <c r="Q1211" t="str">
        <f t="shared" si="56"/>
        <v>Favorable</v>
      </c>
    </row>
    <row r="1212" spans="1:17">
      <c r="A1212" t="s">
        <v>1222</v>
      </c>
      <c r="B1212" s="2">
        <v>45561</v>
      </c>
      <c r="C1212">
        <v>5010</v>
      </c>
      <c r="D1212" t="s">
        <v>2015</v>
      </c>
      <c r="E1212">
        <v>1891.86</v>
      </c>
      <c r="F1212">
        <v>0</v>
      </c>
      <c r="G1212" t="s">
        <v>2021</v>
      </c>
      <c r="H1212" t="s">
        <v>2025</v>
      </c>
      <c r="I1212" t="s">
        <v>3238</v>
      </c>
      <c r="J1212" t="s">
        <v>4030</v>
      </c>
      <c r="K1212" t="s">
        <v>4048</v>
      </c>
      <c r="L1212">
        <v>-1891.86</v>
      </c>
      <c r="N1212">
        <f t="shared" si="54"/>
        <v>-1891.86</v>
      </c>
      <c r="O1212" t="s">
        <v>4104</v>
      </c>
      <c r="P1212" t="str">
        <f t="shared" si="55"/>
        <v xml:space="preserve"> </v>
      </c>
      <c r="Q1212" t="str">
        <f t="shared" si="56"/>
        <v>Unfavorable</v>
      </c>
    </row>
    <row r="1213" spans="1:17">
      <c r="A1213" t="s">
        <v>1223</v>
      </c>
      <c r="B1213" s="2">
        <v>45143</v>
      </c>
      <c r="C1213">
        <v>4000</v>
      </c>
      <c r="D1213" t="s">
        <v>2012</v>
      </c>
      <c r="E1213">
        <v>0</v>
      </c>
      <c r="F1213">
        <v>1330.12</v>
      </c>
      <c r="G1213" t="s">
        <v>2020</v>
      </c>
      <c r="H1213" t="s">
        <v>2025</v>
      </c>
      <c r="I1213" t="s">
        <v>3239</v>
      </c>
      <c r="J1213" t="s">
        <v>4030</v>
      </c>
      <c r="K1213" t="s">
        <v>4037</v>
      </c>
      <c r="L1213">
        <v>1330.12</v>
      </c>
      <c r="N1213">
        <f t="shared" si="54"/>
        <v>1330.12</v>
      </c>
      <c r="O1213" t="s">
        <v>4104</v>
      </c>
      <c r="P1213" t="str">
        <f t="shared" si="55"/>
        <v xml:space="preserve"> </v>
      </c>
      <c r="Q1213" t="str">
        <f t="shared" si="56"/>
        <v>Favorable</v>
      </c>
    </row>
    <row r="1214" spans="1:17">
      <c r="A1214" t="s">
        <v>1224</v>
      </c>
      <c r="B1214" s="2">
        <v>45524</v>
      </c>
      <c r="C1214">
        <v>4010</v>
      </c>
      <c r="D1214" t="s">
        <v>2016</v>
      </c>
      <c r="E1214">
        <v>0</v>
      </c>
      <c r="F1214">
        <v>695.86</v>
      </c>
      <c r="G1214" t="s">
        <v>2019</v>
      </c>
      <c r="H1214" t="s">
        <v>2027</v>
      </c>
      <c r="I1214" t="s">
        <v>3240</v>
      </c>
      <c r="J1214" t="s">
        <v>4030</v>
      </c>
      <c r="K1214" t="s">
        <v>4058</v>
      </c>
      <c r="L1214">
        <v>695.86</v>
      </c>
      <c r="N1214">
        <f t="shared" si="54"/>
        <v>695.86</v>
      </c>
      <c r="O1214" t="s">
        <v>4104</v>
      </c>
      <c r="P1214" t="str">
        <f t="shared" si="55"/>
        <v xml:space="preserve"> </v>
      </c>
      <c r="Q1214" t="str">
        <f t="shared" si="56"/>
        <v>Favorable</v>
      </c>
    </row>
    <row r="1215" spans="1:17">
      <c r="A1215" t="s">
        <v>1225</v>
      </c>
      <c r="B1215" s="2">
        <v>45692</v>
      </c>
      <c r="C1215">
        <v>5010</v>
      </c>
      <c r="D1215" t="s">
        <v>2015</v>
      </c>
      <c r="E1215">
        <v>1628.31</v>
      </c>
      <c r="F1215">
        <v>0</v>
      </c>
      <c r="G1215" t="s">
        <v>2022</v>
      </c>
      <c r="H1215" t="s">
        <v>2026</v>
      </c>
      <c r="I1215" t="s">
        <v>3241</v>
      </c>
      <c r="J1215" t="s">
        <v>4028</v>
      </c>
      <c r="K1215" t="s">
        <v>4061</v>
      </c>
      <c r="L1215">
        <v>-1628.31</v>
      </c>
      <c r="N1215">
        <f t="shared" si="54"/>
        <v>-1628.31</v>
      </c>
      <c r="O1215" t="s">
        <v>4104</v>
      </c>
      <c r="P1215" t="str">
        <f t="shared" si="55"/>
        <v xml:space="preserve"> </v>
      </c>
      <c r="Q1215" t="str">
        <f t="shared" si="56"/>
        <v>Unfavorable</v>
      </c>
    </row>
    <row r="1216" spans="1:17">
      <c r="A1216" t="s">
        <v>1226</v>
      </c>
      <c r="B1216" s="2">
        <v>45064</v>
      </c>
      <c r="C1216">
        <v>4000</v>
      </c>
      <c r="D1216" t="s">
        <v>2012</v>
      </c>
      <c r="E1216">
        <v>0</v>
      </c>
      <c r="F1216">
        <v>4939.1400000000003</v>
      </c>
      <c r="G1216" t="s">
        <v>2020</v>
      </c>
      <c r="H1216" t="s">
        <v>2023</v>
      </c>
      <c r="I1216" t="s">
        <v>3242</v>
      </c>
      <c r="J1216" t="s">
        <v>4028</v>
      </c>
      <c r="K1216" t="s">
        <v>4062</v>
      </c>
      <c r="L1216">
        <v>4939.1400000000003</v>
      </c>
      <c r="N1216">
        <f t="shared" si="54"/>
        <v>4939.1400000000003</v>
      </c>
      <c r="O1216" t="s">
        <v>4104</v>
      </c>
      <c r="P1216" t="str">
        <f t="shared" si="55"/>
        <v xml:space="preserve"> </v>
      </c>
      <c r="Q1216" t="str">
        <f t="shared" si="56"/>
        <v>Favorable</v>
      </c>
    </row>
    <row r="1217" spans="1:17">
      <c r="A1217" t="s">
        <v>1227</v>
      </c>
      <c r="B1217" s="2">
        <v>45066</v>
      </c>
      <c r="C1217">
        <v>5010</v>
      </c>
      <c r="D1217" t="s">
        <v>2015</v>
      </c>
      <c r="E1217">
        <v>1884.45</v>
      </c>
      <c r="F1217">
        <v>0</v>
      </c>
      <c r="G1217" t="s">
        <v>2017</v>
      </c>
      <c r="H1217" t="s">
        <v>2025</v>
      </c>
      <c r="I1217" t="s">
        <v>3243</v>
      </c>
      <c r="J1217" t="s">
        <v>4030</v>
      </c>
      <c r="K1217" t="s">
        <v>4062</v>
      </c>
      <c r="L1217">
        <v>-1884.45</v>
      </c>
      <c r="N1217">
        <f t="shared" si="54"/>
        <v>-1884.45</v>
      </c>
      <c r="O1217" t="s">
        <v>4104</v>
      </c>
      <c r="P1217" t="str">
        <f t="shared" si="55"/>
        <v xml:space="preserve"> </v>
      </c>
      <c r="Q1217" t="str">
        <f t="shared" si="56"/>
        <v>Unfavorable</v>
      </c>
    </row>
    <row r="1218" spans="1:17">
      <c r="A1218" t="s">
        <v>1228</v>
      </c>
      <c r="B1218" s="2">
        <v>45515</v>
      </c>
      <c r="C1218">
        <v>4010</v>
      </c>
      <c r="D1218" t="s">
        <v>2016</v>
      </c>
      <c r="E1218">
        <v>0</v>
      </c>
      <c r="F1218">
        <v>2294.84</v>
      </c>
      <c r="G1218" t="s">
        <v>2019</v>
      </c>
      <c r="H1218" t="s">
        <v>2027</v>
      </c>
      <c r="I1218" t="s">
        <v>3244</v>
      </c>
      <c r="J1218" t="s">
        <v>4031</v>
      </c>
      <c r="K1218" t="s">
        <v>4058</v>
      </c>
      <c r="L1218">
        <v>2294.84</v>
      </c>
      <c r="N1218">
        <f t="shared" si="54"/>
        <v>2294.84</v>
      </c>
      <c r="O1218" t="s">
        <v>4104</v>
      </c>
      <c r="P1218" t="str">
        <f t="shared" si="55"/>
        <v xml:space="preserve"> </v>
      </c>
      <c r="Q1218" t="str">
        <f t="shared" si="56"/>
        <v>Favorable</v>
      </c>
    </row>
    <row r="1219" spans="1:17">
      <c r="A1219" t="s">
        <v>1229</v>
      </c>
      <c r="B1219" s="2">
        <v>45707</v>
      </c>
      <c r="C1219">
        <v>6000</v>
      </c>
      <c r="D1219" t="s">
        <v>2014</v>
      </c>
      <c r="E1219">
        <v>701.24</v>
      </c>
      <c r="F1219">
        <v>0</v>
      </c>
      <c r="G1219" t="s">
        <v>2017</v>
      </c>
      <c r="H1219" t="s">
        <v>2025</v>
      </c>
      <c r="I1219" t="s">
        <v>3245</v>
      </c>
      <c r="J1219" t="s">
        <v>4031</v>
      </c>
      <c r="K1219" t="s">
        <v>4061</v>
      </c>
      <c r="L1219">
        <v>-701.24</v>
      </c>
      <c r="N1219">
        <f t="shared" ref="N1219:N1282" si="57">L:L-M:M</f>
        <v>-701.24</v>
      </c>
      <c r="O1219" t="s">
        <v>4104</v>
      </c>
      <c r="P1219" t="str">
        <f t="shared" ref="P1219:P1282" si="58">IF(AND(ABS(N:N)&gt;10000,M:M&lt;&gt;0),"Material", " ")</f>
        <v xml:space="preserve"> </v>
      </c>
      <c r="Q1219" t="str">
        <f t="shared" ref="Q1219:Q1282" si="59">IF(N:N&gt;0,"Favorable","Unfavorable")</f>
        <v>Unfavorable</v>
      </c>
    </row>
    <row r="1220" spans="1:17">
      <c r="A1220" t="s">
        <v>1230</v>
      </c>
      <c r="B1220" s="2">
        <v>45297</v>
      </c>
      <c r="C1220">
        <v>4000</v>
      </c>
      <c r="D1220" t="s">
        <v>2012</v>
      </c>
      <c r="E1220">
        <v>0</v>
      </c>
      <c r="F1220">
        <v>1406.7</v>
      </c>
      <c r="G1220" t="s">
        <v>2017</v>
      </c>
      <c r="H1220" t="s">
        <v>2026</v>
      </c>
      <c r="I1220" t="s">
        <v>3246</v>
      </c>
      <c r="J1220" t="s">
        <v>4029</v>
      </c>
      <c r="K1220" t="s">
        <v>4053</v>
      </c>
      <c r="L1220">
        <v>1406.7</v>
      </c>
      <c r="N1220">
        <f t="shared" si="57"/>
        <v>1406.7</v>
      </c>
      <c r="O1220" t="s">
        <v>4104</v>
      </c>
      <c r="P1220" t="str">
        <f t="shared" si="58"/>
        <v xml:space="preserve"> </v>
      </c>
      <c r="Q1220" t="str">
        <f t="shared" si="59"/>
        <v>Favorable</v>
      </c>
    </row>
    <row r="1221" spans="1:17">
      <c r="A1221" t="s">
        <v>1231</v>
      </c>
      <c r="B1221" s="2">
        <v>45452</v>
      </c>
      <c r="C1221">
        <v>6000</v>
      </c>
      <c r="D1221" t="s">
        <v>2014</v>
      </c>
      <c r="E1221">
        <v>187.59</v>
      </c>
      <c r="F1221">
        <v>0</v>
      </c>
      <c r="G1221" t="s">
        <v>2019</v>
      </c>
      <c r="H1221" t="s">
        <v>2027</v>
      </c>
      <c r="I1221" t="s">
        <v>3247</v>
      </c>
      <c r="J1221" t="s">
        <v>4029</v>
      </c>
      <c r="K1221" t="s">
        <v>4034</v>
      </c>
      <c r="L1221">
        <v>-187.59</v>
      </c>
      <c r="N1221">
        <f t="shared" si="57"/>
        <v>-187.59</v>
      </c>
      <c r="O1221" t="s">
        <v>4104</v>
      </c>
      <c r="P1221" t="str">
        <f t="shared" si="58"/>
        <v xml:space="preserve"> </v>
      </c>
      <c r="Q1221" t="str">
        <f t="shared" si="59"/>
        <v>Unfavorable</v>
      </c>
    </row>
    <row r="1222" spans="1:17">
      <c r="A1222" t="s">
        <v>1232</v>
      </c>
      <c r="B1222" s="2">
        <v>45091</v>
      </c>
      <c r="C1222">
        <v>4000</v>
      </c>
      <c r="D1222" t="s">
        <v>2012</v>
      </c>
      <c r="E1222">
        <v>0</v>
      </c>
      <c r="F1222">
        <v>1358.12</v>
      </c>
      <c r="G1222" t="s">
        <v>2021</v>
      </c>
      <c r="H1222" t="s">
        <v>2024</v>
      </c>
      <c r="I1222" t="s">
        <v>3248</v>
      </c>
      <c r="J1222" t="s">
        <v>4031</v>
      </c>
      <c r="K1222" t="s">
        <v>4055</v>
      </c>
      <c r="L1222">
        <v>1358.12</v>
      </c>
      <c r="N1222">
        <f t="shared" si="57"/>
        <v>1358.12</v>
      </c>
      <c r="O1222" t="s">
        <v>4104</v>
      </c>
      <c r="P1222" t="str">
        <f t="shared" si="58"/>
        <v xml:space="preserve"> </v>
      </c>
      <c r="Q1222" t="str">
        <f t="shared" si="59"/>
        <v>Favorable</v>
      </c>
    </row>
    <row r="1223" spans="1:17">
      <c r="A1223" t="s">
        <v>1233</v>
      </c>
      <c r="B1223" s="2">
        <v>45792</v>
      </c>
      <c r="C1223">
        <v>5000</v>
      </c>
      <c r="D1223" t="s">
        <v>2013</v>
      </c>
      <c r="E1223">
        <v>695.83</v>
      </c>
      <c r="F1223">
        <v>0</v>
      </c>
      <c r="G1223" t="s">
        <v>2022</v>
      </c>
      <c r="H1223" t="s">
        <v>2025</v>
      </c>
      <c r="I1223" t="s">
        <v>3249</v>
      </c>
      <c r="J1223" t="s">
        <v>4032</v>
      </c>
      <c r="K1223" t="s">
        <v>4038</v>
      </c>
      <c r="L1223">
        <v>-695.83</v>
      </c>
      <c r="N1223">
        <f t="shared" si="57"/>
        <v>-695.83</v>
      </c>
      <c r="O1223" t="s">
        <v>4104</v>
      </c>
      <c r="P1223" t="str">
        <f t="shared" si="58"/>
        <v xml:space="preserve"> </v>
      </c>
      <c r="Q1223" t="str">
        <f t="shared" si="59"/>
        <v>Unfavorable</v>
      </c>
    </row>
    <row r="1224" spans="1:17">
      <c r="A1224" t="s">
        <v>1234</v>
      </c>
      <c r="B1224" s="2">
        <v>45527</v>
      </c>
      <c r="C1224">
        <v>5010</v>
      </c>
      <c r="D1224" t="s">
        <v>2015</v>
      </c>
      <c r="E1224">
        <v>200.78</v>
      </c>
      <c r="F1224">
        <v>0</v>
      </c>
      <c r="G1224" t="s">
        <v>2022</v>
      </c>
      <c r="H1224" t="s">
        <v>2025</v>
      </c>
      <c r="I1224" t="s">
        <v>3250</v>
      </c>
      <c r="J1224" t="s">
        <v>4032</v>
      </c>
      <c r="K1224" t="s">
        <v>4058</v>
      </c>
      <c r="L1224">
        <v>-200.78</v>
      </c>
      <c r="N1224">
        <f t="shared" si="57"/>
        <v>-200.78</v>
      </c>
      <c r="O1224" t="s">
        <v>4104</v>
      </c>
      <c r="P1224" t="str">
        <f t="shared" si="58"/>
        <v xml:space="preserve"> </v>
      </c>
      <c r="Q1224" t="str">
        <f t="shared" si="59"/>
        <v>Unfavorable</v>
      </c>
    </row>
    <row r="1225" spans="1:17">
      <c r="A1225" t="s">
        <v>1235</v>
      </c>
      <c r="B1225" s="2">
        <v>45194</v>
      </c>
      <c r="C1225">
        <v>4000</v>
      </c>
      <c r="D1225" t="s">
        <v>2012</v>
      </c>
      <c r="E1225">
        <v>0</v>
      </c>
      <c r="F1225">
        <v>2848.57</v>
      </c>
      <c r="G1225" t="s">
        <v>2020</v>
      </c>
      <c r="H1225" t="s">
        <v>2024</v>
      </c>
      <c r="I1225" t="s">
        <v>3251</v>
      </c>
      <c r="J1225" t="s">
        <v>4030</v>
      </c>
      <c r="K1225" t="s">
        <v>4036</v>
      </c>
      <c r="L1225">
        <v>2848.57</v>
      </c>
      <c r="N1225">
        <f t="shared" si="57"/>
        <v>2848.57</v>
      </c>
      <c r="O1225" t="s">
        <v>4104</v>
      </c>
      <c r="P1225" t="str">
        <f t="shared" si="58"/>
        <v xml:space="preserve"> </v>
      </c>
      <c r="Q1225" t="str">
        <f t="shared" si="59"/>
        <v>Favorable</v>
      </c>
    </row>
    <row r="1226" spans="1:17">
      <c r="A1226" t="s">
        <v>1236</v>
      </c>
      <c r="B1226" s="2">
        <v>45069</v>
      </c>
      <c r="C1226">
        <v>5000</v>
      </c>
      <c r="D1226" t="s">
        <v>2013</v>
      </c>
      <c r="E1226">
        <v>185.51</v>
      </c>
      <c r="F1226">
        <v>0</v>
      </c>
      <c r="G1226" t="s">
        <v>2017</v>
      </c>
      <c r="H1226" t="s">
        <v>2025</v>
      </c>
      <c r="I1226" t="s">
        <v>3252</v>
      </c>
      <c r="J1226" t="s">
        <v>4028</v>
      </c>
      <c r="K1226" t="s">
        <v>4062</v>
      </c>
      <c r="L1226">
        <v>-185.51</v>
      </c>
      <c r="N1226">
        <f t="shared" si="57"/>
        <v>-185.51</v>
      </c>
      <c r="O1226" t="s">
        <v>4104</v>
      </c>
      <c r="P1226" t="str">
        <f t="shared" si="58"/>
        <v xml:space="preserve"> </v>
      </c>
      <c r="Q1226" t="str">
        <f t="shared" si="59"/>
        <v>Unfavorable</v>
      </c>
    </row>
    <row r="1227" spans="1:17">
      <c r="A1227" t="s">
        <v>1237</v>
      </c>
      <c r="B1227" s="2">
        <v>45298</v>
      </c>
      <c r="C1227">
        <v>6000</v>
      </c>
      <c r="D1227" t="s">
        <v>2014</v>
      </c>
      <c r="E1227">
        <v>935.9</v>
      </c>
      <c r="F1227">
        <v>0</v>
      </c>
      <c r="G1227" t="s">
        <v>2019</v>
      </c>
      <c r="H1227" t="s">
        <v>2023</v>
      </c>
      <c r="I1227" t="s">
        <v>3253</v>
      </c>
      <c r="J1227" t="s">
        <v>4032</v>
      </c>
      <c r="K1227" t="s">
        <v>4053</v>
      </c>
      <c r="L1227">
        <v>-935.9</v>
      </c>
      <c r="N1227">
        <f t="shared" si="57"/>
        <v>-935.9</v>
      </c>
      <c r="O1227" t="s">
        <v>4104</v>
      </c>
      <c r="P1227" t="str">
        <f t="shared" si="58"/>
        <v xml:space="preserve"> </v>
      </c>
      <c r="Q1227" t="str">
        <f t="shared" si="59"/>
        <v>Unfavorable</v>
      </c>
    </row>
    <row r="1228" spans="1:17">
      <c r="A1228" t="s">
        <v>1238</v>
      </c>
      <c r="B1228" s="2">
        <v>45498</v>
      </c>
      <c r="C1228">
        <v>5000</v>
      </c>
      <c r="D1228" t="s">
        <v>2013</v>
      </c>
      <c r="E1228">
        <v>1358.9</v>
      </c>
      <c r="F1228">
        <v>0</v>
      </c>
      <c r="G1228" t="s">
        <v>2020</v>
      </c>
      <c r="H1228" t="s">
        <v>2024</v>
      </c>
      <c r="I1228" t="s">
        <v>3254</v>
      </c>
      <c r="J1228" t="s">
        <v>4031</v>
      </c>
      <c r="K1228" t="s">
        <v>4054</v>
      </c>
      <c r="L1228">
        <v>-1358.9</v>
      </c>
      <c r="N1228">
        <f t="shared" si="57"/>
        <v>-1358.9</v>
      </c>
      <c r="O1228" t="s">
        <v>4104</v>
      </c>
      <c r="P1228" t="str">
        <f t="shared" si="58"/>
        <v xml:space="preserve"> </v>
      </c>
      <c r="Q1228" t="str">
        <f t="shared" si="59"/>
        <v>Unfavorable</v>
      </c>
    </row>
    <row r="1229" spans="1:17">
      <c r="A1229" t="s">
        <v>1239</v>
      </c>
      <c r="B1229" s="2">
        <v>45690</v>
      </c>
      <c r="C1229">
        <v>5000</v>
      </c>
      <c r="D1229" t="s">
        <v>2013</v>
      </c>
      <c r="E1229">
        <v>1242.6500000000001</v>
      </c>
      <c r="F1229">
        <v>0</v>
      </c>
      <c r="G1229" t="s">
        <v>2021</v>
      </c>
      <c r="H1229" t="s">
        <v>2026</v>
      </c>
      <c r="I1229" t="s">
        <v>3255</v>
      </c>
      <c r="J1229" t="s">
        <v>4031</v>
      </c>
      <c r="K1229" t="s">
        <v>4061</v>
      </c>
      <c r="L1229">
        <v>-1242.6500000000001</v>
      </c>
      <c r="N1229">
        <f t="shared" si="57"/>
        <v>-1242.6500000000001</v>
      </c>
      <c r="O1229" t="s">
        <v>4104</v>
      </c>
      <c r="P1229" t="str">
        <f t="shared" si="58"/>
        <v xml:space="preserve"> </v>
      </c>
      <c r="Q1229" t="str">
        <f t="shared" si="59"/>
        <v>Unfavorable</v>
      </c>
    </row>
    <row r="1230" spans="1:17">
      <c r="A1230" t="s">
        <v>1240</v>
      </c>
      <c r="B1230" s="2">
        <v>45489</v>
      </c>
      <c r="C1230">
        <v>4010</v>
      </c>
      <c r="D1230" t="s">
        <v>2016</v>
      </c>
      <c r="E1230">
        <v>0</v>
      </c>
      <c r="F1230">
        <v>1524.63</v>
      </c>
      <c r="G1230" t="s">
        <v>2022</v>
      </c>
      <c r="H1230" t="s">
        <v>2026</v>
      </c>
      <c r="I1230" t="s">
        <v>3256</v>
      </c>
      <c r="J1230" t="s">
        <v>4032</v>
      </c>
      <c r="K1230" t="s">
        <v>4054</v>
      </c>
      <c r="L1230">
        <v>1524.63</v>
      </c>
      <c r="N1230">
        <f t="shared" si="57"/>
        <v>1524.63</v>
      </c>
      <c r="O1230" t="s">
        <v>4104</v>
      </c>
      <c r="P1230" t="str">
        <f t="shared" si="58"/>
        <v xml:space="preserve"> </v>
      </c>
      <c r="Q1230" t="str">
        <f t="shared" si="59"/>
        <v>Favorable</v>
      </c>
    </row>
    <row r="1231" spans="1:17">
      <c r="A1231" t="s">
        <v>1241</v>
      </c>
      <c r="B1231" s="2">
        <v>45735</v>
      </c>
      <c r="C1231">
        <v>4010</v>
      </c>
      <c r="D1231" t="s">
        <v>2016</v>
      </c>
      <c r="E1231">
        <v>0</v>
      </c>
      <c r="F1231">
        <v>1391.91</v>
      </c>
      <c r="G1231" t="s">
        <v>2019</v>
      </c>
      <c r="H1231" t="s">
        <v>2026</v>
      </c>
      <c r="I1231" t="s">
        <v>3257</v>
      </c>
      <c r="J1231" t="s">
        <v>4031</v>
      </c>
      <c r="K1231" t="s">
        <v>4046</v>
      </c>
      <c r="L1231">
        <v>1391.91</v>
      </c>
      <c r="N1231">
        <f t="shared" si="57"/>
        <v>1391.91</v>
      </c>
      <c r="O1231" t="s">
        <v>4104</v>
      </c>
      <c r="P1231" t="str">
        <f t="shared" si="58"/>
        <v xml:space="preserve"> </v>
      </c>
      <c r="Q1231" t="str">
        <f t="shared" si="59"/>
        <v>Favorable</v>
      </c>
    </row>
    <row r="1232" spans="1:17">
      <c r="A1232" t="s">
        <v>1242</v>
      </c>
      <c r="B1232" s="2">
        <v>45566</v>
      </c>
      <c r="C1232">
        <v>4000</v>
      </c>
      <c r="D1232" t="s">
        <v>2012</v>
      </c>
      <c r="E1232">
        <v>0</v>
      </c>
      <c r="F1232">
        <v>3506.68</v>
      </c>
      <c r="G1232" t="s">
        <v>2022</v>
      </c>
      <c r="H1232" t="s">
        <v>2026</v>
      </c>
      <c r="I1232" t="s">
        <v>3258</v>
      </c>
      <c r="J1232" t="s">
        <v>4032</v>
      </c>
      <c r="K1232" t="s">
        <v>4059</v>
      </c>
      <c r="L1232">
        <v>3506.68</v>
      </c>
      <c r="N1232">
        <f t="shared" si="57"/>
        <v>3506.68</v>
      </c>
      <c r="O1232" t="s">
        <v>4104</v>
      </c>
      <c r="P1232" t="str">
        <f t="shared" si="58"/>
        <v xml:space="preserve"> </v>
      </c>
      <c r="Q1232" t="str">
        <f t="shared" si="59"/>
        <v>Favorable</v>
      </c>
    </row>
    <row r="1233" spans="1:17">
      <c r="A1233" t="s">
        <v>1243</v>
      </c>
      <c r="B1233" s="2">
        <v>45517</v>
      </c>
      <c r="C1233">
        <v>5000</v>
      </c>
      <c r="D1233" t="s">
        <v>2013</v>
      </c>
      <c r="E1233">
        <v>1331.89</v>
      </c>
      <c r="F1233">
        <v>0</v>
      </c>
      <c r="G1233" t="s">
        <v>2021</v>
      </c>
      <c r="H1233" t="s">
        <v>2025</v>
      </c>
      <c r="I1233" t="s">
        <v>3259</v>
      </c>
      <c r="J1233" t="s">
        <v>4028</v>
      </c>
      <c r="K1233" t="s">
        <v>4058</v>
      </c>
      <c r="L1233">
        <v>-1331.89</v>
      </c>
      <c r="N1233">
        <f t="shared" si="57"/>
        <v>-1331.89</v>
      </c>
      <c r="O1233" t="s">
        <v>4104</v>
      </c>
      <c r="P1233" t="str">
        <f t="shared" si="58"/>
        <v xml:space="preserve"> </v>
      </c>
      <c r="Q1233" t="str">
        <f t="shared" si="59"/>
        <v>Unfavorable</v>
      </c>
    </row>
    <row r="1234" spans="1:17">
      <c r="A1234" t="s">
        <v>1244</v>
      </c>
      <c r="B1234" s="2">
        <v>45084</v>
      </c>
      <c r="C1234">
        <v>5000</v>
      </c>
      <c r="D1234" t="s">
        <v>2013</v>
      </c>
      <c r="E1234">
        <v>674.31</v>
      </c>
      <c r="F1234">
        <v>0</v>
      </c>
      <c r="G1234" t="s">
        <v>2018</v>
      </c>
      <c r="H1234" t="s">
        <v>2023</v>
      </c>
      <c r="I1234" t="s">
        <v>3260</v>
      </c>
      <c r="J1234" t="s">
        <v>4028</v>
      </c>
      <c r="K1234" t="s">
        <v>4055</v>
      </c>
      <c r="L1234">
        <v>-674.31</v>
      </c>
      <c r="N1234">
        <f t="shared" si="57"/>
        <v>-674.31</v>
      </c>
      <c r="O1234" t="s">
        <v>4104</v>
      </c>
      <c r="P1234" t="str">
        <f t="shared" si="58"/>
        <v xml:space="preserve"> </v>
      </c>
      <c r="Q1234" t="str">
        <f t="shared" si="59"/>
        <v>Unfavorable</v>
      </c>
    </row>
    <row r="1235" spans="1:17">
      <c r="A1235" t="s">
        <v>1245</v>
      </c>
      <c r="B1235" s="2">
        <v>45394</v>
      </c>
      <c r="C1235">
        <v>4000</v>
      </c>
      <c r="D1235" t="s">
        <v>2012</v>
      </c>
      <c r="E1235">
        <v>0</v>
      </c>
      <c r="F1235">
        <v>2570.4299999999998</v>
      </c>
      <c r="G1235" t="s">
        <v>2019</v>
      </c>
      <c r="H1235" t="s">
        <v>2027</v>
      </c>
      <c r="I1235" t="s">
        <v>3261</v>
      </c>
      <c r="J1235" t="s">
        <v>4029</v>
      </c>
      <c r="K1235" t="s">
        <v>4040</v>
      </c>
      <c r="L1235">
        <v>2570.4299999999998</v>
      </c>
      <c r="N1235">
        <f t="shared" si="57"/>
        <v>2570.4299999999998</v>
      </c>
      <c r="O1235" t="s">
        <v>4104</v>
      </c>
      <c r="P1235" t="str">
        <f t="shared" si="58"/>
        <v xml:space="preserve"> </v>
      </c>
      <c r="Q1235" t="str">
        <f t="shared" si="59"/>
        <v>Favorable</v>
      </c>
    </row>
    <row r="1236" spans="1:17">
      <c r="A1236" t="s">
        <v>1246</v>
      </c>
      <c r="B1236" s="2">
        <v>45733</v>
      </c>
      <c r="C1236">
        <v>4010</v>
      </c>
      <c r="D1236" t="s">
        <v>2016</v>
      </c>
      <c r="E1236">
        <v>0</v>
      </c>
      <c r="F1236">
        <v>1312.61</v>
      </c>
      <c r="G1236" t="s">
        <v>2022</v>
      </c>
      <c r="H1236" t="s">
        <v>2026</v>
      </c>
      <c r="I1236" t="s">
        <v>3262</v>
      </c>
      <c r="J1236" t="s">
        <v>4032</v>
      </c>
      <c r="K1236" t="s">
        <v>4046</v>
      </c>
      <c r="L1236">
        <v>1312.61</v>
      </c>
      <c r="N1236">
        <f t="shared" si="57"/>
        <v>1312.61</v>
      </c>
      <c r="O1236" t="s">
        <v>4104</v>
      </c>
      <c r="P1236" t="str">
        <f t="shared" si="58"/>
        <v xml:space="preserve"> </v>
      </c>
      <c r="Q1236" t="str">
        <f t="shared" si="59"/>
        <v>Favorable</v>
      </c>
    </row>
    <row r="1237" spans="1:17">
      <c r="A1237" t="s">
        <v>1247</v>
      </c>
      <c r="B1237" s="2">
        <v>45317</v>
      </c>
      <c r="C1237">
        <v>5000</v>
      </c>
      <c r="D1237" t="s">
        <v>2013</v>
      </c>
      <c r="E1237">
        <v>1101.82</v>
      </c>
      <c r="F1237">
        <v>0</v>
      </c>
      <c r="G1237" t="s">
        <v>2018</v>
      </c>
      <c r="H1237" t="s">
        <v>2024</v>
      </c>
      <c r="I1237" t="s">
        <v>3263</v>
      </c>
      <c r="J1237" t="s">
        <v>4028</v>
      </c>
      <c r="K1237" t="s">
        <v>4053</v>
      </c>
      <c r="L1237">
        <v>-1101.82</v>
      </c>
      <c r="N1237">
        <f t="shared" si="57"/>
        <v>-1101.82</v>
      </c>
      <c r="O1237" t="s">
        <v>4104</v>
      </c>
      <c r="P1237" t="str">
        <f t="shared" si="58"/>
        <v xml:space="preserve"> </v>
      </c>
      <c r="Q1237" t="str">
        <f t="shared" si="59"/>
        <v>Unfavorable</v>
      </c>
    </row>
    <row r="1238" spans="1:17">
      <c r="A1238" t="s">
        <v>1248</v>
      </c>
      <c r="B1238" s="2">
        <v>45458</v>
      </c>
      <c r="C1238">
        <v>4000</v>
      </c>
      <c r="D1238" t="s">
        <v>2012</v>
      </c>
      <c r="E1238">
        <v>0</v>
      </c>
      <c r="F1238">
        <v>143.81</v>
      </c>
      <c r="G1238" t="s">
        <v>2022</v>
      </c>
      <c r="H1238" t="s">
        <v>2025</v>
      </c>
      <c r="I1238" t="s">
        <v>3264</v>
      </c>
      <c r="J1238" t="s">
        <v>4032</v>
      </c>
      <c r="K1238" t="s">
        <v>4034</v>
      </c>
      <c r="L1238">
        <v>143.81</v>
      </c>
      <c r="N1238">
        <f t="shared" si="57"/>
        <v>143.81</v>
      </c>
      <c r="O1238" t="s">
        <v>4104</v>
      </c>
      <c r="P1238" t="str">
        <f t="shared" si="58"/>
        <v xml:space="preserve"> </v>
      </c>
      <c r="Q1238" t="str">
        <f t="shared" si="59"/>
        <v>Favorable</v>
      </c>
    </row>
    <row r="1239" spans="1:17">
      <c r="A1239" t="s">
        <v>1249</v>
      </c>
      <c r="B1239" s="2">
        <v>45610</v>
      </c>
      <c r="C1239">
        <v>4000</v>
      </c>
      <c r="D1239" t="s">
        <v>2012</v>
      </c>
      <c r="E1239">
        <v>0</v>
      </c>
      <c r="F1239">
        <v>838.04</v>
      </c>
      <c r="G1239" t="s">
        <v>2018</v>
      </c>
      <c r="H1239" t="s">
        <v>2023</v>
      </c>
      <c r="I1239" t="s">
        <v>3265</v>
      </c>
      <c r="J1239" t="s">
        <v>4030</v>
      </c>
      <c r="K1239" t="s">
        <v>4043</v>
      </c>
      <c r="L1239">
        <v>838.04</v>
      </c>
      <c r="N1239">
        <f t="shared" si="57"/>
        <v>838.04</v>
      </c>
      <c r="O1239" t="s">
        <v>4104</v>
      </c>
      <c r="P1239" t="str">
        <f t="shared" si="58"/>
        <v xml:space="preserve"> </v>
      </c>
      <c r="Q1239" t="str">
        <f t="shared" si="59"/>
        <v>Favorable</v>
      </c>
    </row>
    <row r="1240" spans="1:17">
      <c r="A1240" t="s">
        <v>1250</v>
      </c>
      <c r="B1240" s="2">
        <v>45356</v>
      </c>
      <c r="C1240">
        <v>6000</v>
      </c>
      <c r="D1240" t="s">
        <v>2014</v>
      </c>
      <c r="E1240">
        <v>1626.01</v>
      </c>
      <c r="F1240">
        <v>0</v>
      </c>
      <c r="G1240" t="s">
        <v>2019</v>
      </c>
      <c r="H1240" t="s">
        <v>2027</v>
      </c>
      <c r="I1240" t="s">
        <v>3266</v>
      </c>
      <c r="J1240" t="s">
        <v>4032</v>
      </c>
      <c r="K1240" t="s">
        <v>4049</v>
      </c>
      <c r="L1240">
        <v>-1626.01</v>
      </c>
      <c r="N1240">
        <f t="shared" si="57"/>
        <v>-1626.01</v>
      </c>
      <c r="O1240" t="s">
        <v>4104</v>
      </c>
      <c r="P1240" t="str">
        <f t="shared" si="58"/>
        <v xml:space="preserve"> </v>
      </c>
      <c r="Q1240" t="str">
        <f t="shared" si="59"/>
        <v>Unfavorable</v>
      </c>
    </row>
    <row r="1241" spans="1:17">
      <c r="A1241" t="s">
        <v>1251</v>
      </c>
      <c r="B1241" s="2">
        <v>45197</v>
      </c>
      <c r="C1241">
        <v>5000</v>
      </c>
      <c r="D1241" t="s">
        <v>2013</v>
      </c>
      <c r="E1241">
        <v>1394.34</v>
      </c>
      <c r="F1241">
        <v>0</v>
      </c>
      <c r="G1241" t="s">
        <v>2019</v>
      </c>
      <c r="H1241" t="s">
        <v>2026</v>
      </c>
      <c r="I1241" t="s">
        <v>3267</v>
      </c>
      <c r="J1241" t="s">
        <v>4029</v>
      </c>
      <c r="K1241" t="s">
        <v>4036</v>
      </c>
      <c r="L1241">
        <v>-1394.34</v>
      </c>
      <c r="N1241">
        <f t="shared" si="57"/>
        <v>-1394.34</v>
      </c>
      <c r="O1241" t="s">
        <v>4104</v>
      </c>
      <c r="P1241" t="str">
        <f t="shared" si="58"/>
        <v xml:space="preserve"> </v>
      </c>
      <c r="Q1241" t="str">
        <f t="shared" si="59"/>
        <v>Unfavorable</v>
      </c>
    </row>
    <row r="1242" spans="1:17">
      <c r="A1242" t="s">
        <v>1252</v>
      </c>
      <c r="B1242" s="2">
        <v>45789</v>
      </c>
      <c r="C1242">
        <v>4010</v>
      </c>
      <c r="D1242" t="s">
        <v>2016</v>
      </c>
      <c r="E1242">
        <v>0</v>
      </c>
      <c r="F1242">
        <v>1022.63</v>
      </c>
      <c r="G1242" t="s">
        <v>2017</v>
      </c>
      <c r="H1242" t="s">
        <v>2027</v>
      </c>
      <c r="I1242" t="s">
        <v>3268</v>
      </c>
      <c r="J1242" t="s">
        <v>4032</v>
      </c>
      <c r="K1242" t="s">
        <v>4038</v>
      </c>
      <c r="L1242">
        <v>1022.63</v>
      </c>
      <c r="N1242">
        <f t="shared" si="57"/>
        <v>1022.63</v>
      </c>
      <c r="O1242" t="s">
        <v>4104</v>
      </c>
      <c r="P1242" t="str">
        <f t="shared" si="58"/>
        <v xml:space="preserve"> </v>
      </c>
      <c r="Q1242" t="str">
        <f t="shared" si="59"/>
        <v>Favorable</v>
      </c>
    </row>
    <row r="1243" spans="1:17">
      <c r="A1243" t="s">
        <v>1253</v>
      </c>
      <c r="B1243" s="2">
        <v>45031</v>
      </c>
      <c r="C1243">
        <v>5010</v>
      </c>
      <c r="D1243" t="s">
        <v>2015</v>
      </c>
      <c r="E1243">
        <v>1757.53</v>
      </c>
      <c r="F1243">
        <v>0</v>
      </c>
      <c r="G1243" t="s">
        <v>2022</v>
      </c>
      <c r="H1243" t="s">
        <v>2027</v>
      </c>
      <c r="I1243" t="s">
        <v>3269</v>
      </c>
      <c r="J1243" t="s">
        <v>4028</v>
      </c>
      <c r="K1243" t="s">
        <v>4041</v>
      </c>
      <c r="L1243">
        <v>-1757.53</v>
      </c>
      <c r="N1243">
        <f t="shared" si="57"/>
        <v>-1757.53</v>
      </c>
      <c r="O1243" t="s">
        <v>4104</v>
      </c>
      <c r="P1243" t="str">
        <f t="shared" si="58"/>
        <v xml:space="preserve"> </v>
      </c>
      <c r="Q1243" t="str">
        <f t="shared" si="59"/>
        <v>Unfavorable</v>
      </c>
    </row>
    <row r="1244" spans="1:17">
      <c r="A1244" t="s">
        <v>1254</v>
      </c>
      <c r="B1244" s="2">
        <v>45797</v>
      </c>
      <c r="C1244">
        <v>4000</v>
      </c>
      <c r="D1244" t="s">
        <v>2012</v>
      </c>
      <c r="E1244">
        <v>0</v>
      </c>
      <c r="F1244">
        <v>1866.82</v>
      </c>
      <c r="G1244" t="s">
        <v>2019</v>
      </c>
      <c r="H1244" t="s">
        <v>2023</v>
      </c>
      <c r="I1244" t="s">
        <v>3270</v>
      </c>
      <c r="J1244" t="s">
        <v>4030</v>
      </c>
      <c r="K1244" t="s">
        <v>4038</v>
      </c>
      <c r="L1244">
        <v>1866.82</v>
      </c>
      <c r="N1244">
        <f t="shared" si="57"/>
        <v>1866.82</v>
      </c>
      <c r="O1244" t="s">
        <v>4104</v>
      </c>
      <c r="P1244" t="str">
        <f t="shared" si="58"/>
        <v xml:space="preserve"> </v>
      </c>
      <c r="Q1244" t="str">
        <f t="shared" si="59"/>
        <v>Favorable</v>
      </c>
    </row>
    <row r="1245" spans="1:17">
      <c r="A1245" t="s">
        <v>1255</v>
      </c>
      <c r="B1245" s="2">
        <v>45767</v>
      </c>
      <c r="C1245">
        <v>6000</v>
      </c>
      <c r="D1245" t="s">
        <v>2014</v>
      </c>
      <c r="E1245">
        <v>1791.42</v>
      </c>
      <c r="F1245">
        <v>0</v>
      </c>
      <c r="G1245" t="s">
        <v>2020</v>
      </c>
      <c r="H1245" t="s">
        <v>2027</v>
      </c>
      <c r="I1245" t="s">
        <v>3271</v>
      </c>
      <c r="J1245" t="s">
        <v>4029</v>
      </c>
      <c r="K1245" t="s">
        <v>4045</v>
      </c>
      <c r="L1245">
        <v>-1791.42</v>
      </c>
      <c r="N1245">
        <f t="shared" si="57"/>
        <v>-1791.42</v>
      </c>
      <c r="O1245" t="s">
        <v>4104</v>
      </c>
      <c r="P1245" t="str">
        <f t="shared" si="58"/>
        <v xml:space="preserve"> </v>
      </c>
      <c r="Q1245" t="str">
        <f t="shared" si="59"/>
        <v>Unfavorable</v>
      </c>
    </row>
    <row r="1246" spans="1:17">
      <c r="A1246" t="s">
        <v>1256</v>
      </c>
      <c r="B1246" s="2">
        <v>45476</v>
      </c>
      <c r="C1246">
        <v>6000</v>
      </c>
      <c r="D1246" t="s">
        <v>2014</v>
      </c>
      <c r="E1246">
        <v>1809.92</v>
      </c>
      <c r="F1246">
        <v>0</v>
      </c>
      <c r="G1246" t="s">
        <v>2018</v>
      </c>
      <c r="H1246" t="s">
        <v>2027</v>
      </c>
      <c r="I1246" t="s">
        <v>3272</v>
      </c>
      <c r="J1246" t="s">
        <v>4029</v>
      </c>
      <c r="K1246" t="s">
        <v>4054</v>
      </c>
      <c r="L1246">
        <v>-1809.92</v>
      </c>
      <c r="N1246">
        <f t="shared" si="57"/>
        <v>-1809.92</v>
      </c>
      <c r="O1246" t="s">
        <v>4104</v>
      </c>
      <c r="P1246" t="str">
        <f t="shared" si="58"/>
        <v xml:space="preserve"> </v>
      </c>
      <c r="Q1246" t="str">
        <f t="shared" si="59"/>
        <v>Unfavorable</v>
      </c>
    </row>
    <row r="1247" spans="1:17">
      <c r="A1247" t="s">
        <v>1257</v>
      </c>
      <c r="B1247" s="2">
        <v>45802</v>
      </c>
      <c r="C1247">
        <v>4010</v>
      </c>
      <c r="D1247" t="s">
        <v>2016</v>
      </c>
      <c r="E1247">
        <v>0</v>
      </c>
      <c r="F1247">
        <v>212.06</v>
      </c>
      <c r="G1247" t="s">
        <v>2017</v>
      </c>
      <c r="H1247" t="s">
        <v>2023</v>
      </c>
      <c r="I1247" t="s">
        <v>3273</v>
      </c>
      <c r="J1247" t="s">
        <v>4030</v>
      </c>
      <c r="K1247" t="s">
        <v>4038</v>
      </c>
      <c r="L1247">
        <v>212.06</v>
      </c>
      <c r="N1247">
        <f t="shared" si="57"/>
        <v>212.06</v>
      </c>
      <c r="O1247" t="s">
        <v>4104</v>
      </c>
      <c r="P1247" t="str">
        <f t="shared" si="58"/>
        <v xml:space="preserve"> </v>
      </c>
      <c r="Q1247" t="str">
        <f t="shared" si="59"/>
        <v>Favorable</v>
      </c>
    </row>
    <row r="1248" spans="1:17">
      <c r="A1248" t="s">
        <v>1258</v>
      </c>
      <c r="B1248" s="2">
        <v>45281</v>
      </c>
      <c r="C1248">
        <v>6000</v>
      </c>
      <c r="D1248" t="s">
        <v>2014</v>
      </c>
      <c r="E1248">
        <v>227.05</v>
      </c>
      <c r="F1248">
        <v>0</v>
      </c>
      <c r="G1248" t="s">
        <v>2018</v>
      </c>
      <c r="H1248" t="s">
        <v>2026</v>
      </c>
      <c r="I1248" t="s">
        <v>3274</v>
      </c>
      <c r="J1248" t="s">
        <v>4030</v>
      </c>
      <c r="K1248" t="s">
        <v>4039</v>
      </c>
      <c r="L1248">
        <v>-227.05</v>
      </c>
      <c r="N1248">
        <f t="shared" si="57"/>
        <v>-227.05</v>
      </c>
      <c r="O1248" t="s">
        <v>4104</v>
      </c>
      <c r="P1248" t="str">
        <f t="shared" si="58"/>
        <v xml:space="preserve"> </v>
      </c>
      <c r="Q1248" t="str">
        <f t="shared" si="59"/>
        <v>Unfavorable</v>
      </c>
    </row>
    <row r="1249" spans="1:17">
      <c r="A1249" t="s">
        <v>1259</v>
      </c>
      <c r="B1249" s="2">
        <v>45424</v>
      </c>
      <c r="C1249">
        <v>4000</v>
      </c>
      <c r="D1249" t="s">
        <v>2012</v>
      </c>
      <c r="E1249">
        <v>0</v>
      </c>
      <c r="F1249">
        <v>3603.35</v>
      </c>
      <c r="G1249" t="s">
        <v>2017</v>
      </c>
      <c r="H1249" t="s">
        <v>2025</v>
      </c>
      <c r="I1249" t="s">
        <v>3275</v>
      </c>
      <c r="J1249" t="s">
        <v>4028</v>
      </c>
      <c r="K1249" t="s">
        <v>4033</v>
      </c>
      <c r="L1249">
        <v>3603.35</v>
      </c>
      <c r="N1249">
        <f t="shared" si="57"/>
        <v>3603.35</v>
      </c>
      <c r="O1249" t="s">
        <v>4104</v>
      </c>
      <c r="P1249" t="str">
        <f t="shared" si="58"/>
        <v xml:space="preserve"> </v>
      </c>
      <c r="Q1249" t="str">
        <f t="shared" si="59"/>
        <v>Favorable</v>
      </c>
    </row>
    <row r="1250" spans="1:17">
      <c r="A1250" t="s">
        <v>1260</v>
      </c>
      <c r="B1250" s="2">
        <v>45411</v>
      </c>
      <c r="C1250">
        <v>5000</v>
      </c>
      <c r="D1250" t="s">
        <v>2013</v>
      </c>
      <c r="E1250">
        <v>185.67</v>
      </c>
      <c r="F1250">
        <v>0</v>
      </c>
      <c r="G1250" t="s">
        <v>2021</v>
      </c>
      <c r="H1250" t="s">
        <v>2024</v>
      </c>
      <c r="I1250" t="s">
        <v>3276</v>
      </c>
      <c r="J1250" t="s">
        <v>4029</v>
      </c>
      <c r="K1250" t="s">
        <v>4040</v>
      </c>
      <c r="L1250">
        <v>-185.67</v>
      </c>
      <c r="N1250">
        <f t="shared" si="57"/>
        <v>-185.67</v>
      </c>
      <c r="O1250" t="s">
        <v>4104</v>
      </c>
      <c r="P1250" t="str">
        <f t="shared" si="58"/>
        <v xml:space="preserve"> </v>
      </c>
      <c r="Q1250" t="str">
        <f t="shared" si="59"/>
        <v>Unfavorable</v>
      </c>
    </row>
    <row r="1251" spans="1:17">
      <c r="A1251" t="s">
        <v>1261</v>
      </c>
      <c r="B1251" s="2">
        <v>45449</v>
      </c>
      <c r="C1251">
        <v>4010</v>
      </c>
      <c r="D1251" t="s">
        <v>2016</v>
      </c>
      <c r="E1251">
        <v>0</v>
      </c>
      <c r="F1251">
        <v>4699.12</v>
      </c>
      <c r="G1251" t="s">
        <v>2020</v>
      </c>
      <c r="H1251" t="s">
        <v>2026</v>
      </c>
      <c r="I1251" t="s">
        <v>3277</v>
      </c>
      <c r="J1251" t="s">
        <v>4029</v>
      </c>
      <c r="K1251" t="s">
        <v>4034</v>
      </c>
      <c r="L1251">
        <v>4699.12</v>
      </c>
      <c r="N1251">
        <f t="shared" si="57"/>
        <v>4699.12</v>
      </c>
      <c r="O1251" t="s">
        <v>4104</v>
      </c>
      <c r="P1251" t="str">
        <f t="shared" si="58"/>
        <v xml:space="preserve"> </v>
      </c>
      <c r="Q1251" t="str">
        <f t="shared" si="59"/>
        <v>Favorable</v>
      </c>
    </row>
    <row r="1252" spans="1:17">
      <c r="A1252" t="s">
        <v>1262</v>
      </c>
      <c r="B1252" s="2">
        <v>45412</v>
      </c>
      <c r="C1252">
        <v>5010</v>
      </c>
      <c r="D1252" t="s">
        <v>2015</v>
      </c>
      <c r="E1252">
        <v>1352.97</v>
      </c>
      <c r="F1252">
        <v>0</v>
      </c>
      <c r="G1252" t="s">
        <v>2020</v>
      </c>
      <c r="H1252" t="s">
        <v>2023</v>
      </c>
      <c r="I1252" t="s">
        <v>3278</v>
      </c>
      <c r="J1252" t="s">
        <v>4032</v>
      </c>
      <c r="K1252" t="s">
        <v>4040</v>
      </c>
      <c r="L1252">
        <v>-1352.97</v>
      </c>
      <c r="N1252">
        <f t="shared" si="57"/>
        <v>-1352.97</v>
      </c>
      <c r="O1252" t="s">
        <v>4104</v>
      </c>
      <c r="P1252" t="str">
        <f t="shared" si="58"/>
        <v xml:space="preserve"> </v>
      </c>
      <c r="Q1252" t="str">
        <f t="shared" si="59"/>
        <v>Unfavorable</v>
      </c>
    </row>
    <row r="1253" spans="1:17">
      <c r="A1253" t="s">
        <v>1263</v>
      </c>
      <c r="B1253" s="2">
        <v>45598</v>
      </c>
      <c r="C1253">
        <v>5000</v>
      </c>
      <c r="D1253" t="s">
        <v>2013</v>
      </c>
      <c r="E1253">
        <v>936.7</v>
      </c>
      <c r="F1253">
        <v>0</v>
      </c>
      <c r="G1253" t="s">
        <v>2021</v>
      </c>
      <c r="H1253" t="s">
        <v>2027</v>
      </c>
      <c r="I1253" t="s">
        <v>3279</v>
      </c>
      <c r="J1253" t="s">
        <v>4032</v>
      </c>
      <c r="K1253" t="s">
        <v>4043</v>
      </c>
      <c r="L1253">
        <v>-936.7</v>
      </c>
      <c r="N1253">
        <f t="shared" si="57"/>
        <v>-936.7</v>
      </c>
      <c r="O1253" t="s">
        <v>4104</v>
      </c>
      <c r="P1253" t="str">
        <f t="shared" si="58"/>
        <v xml:space="preserve"> </v>
      </c>
      <c r="Q1253" t="str">
        <f t="shared" si="59"/>
        <v>Unfavorable</v>
      </c>
    </row>
    <row r="1254" spans="1:17">
      <c r="A1254" t="s">
        <v>1264</v>
      </c>
      <c r="B1254" s="2">
        <v>45483</v>
      </c>
      <c r="C1254">
        <v>4000</v>
      </c>
      <c r="D1254" t="s">
        <v>2012</v>
      </c>
      <c r="E1254">
        <v>0</v>
      </c>
      <c r="F1254">
        <v>3050.31</v>
      </c>
      <c r="G1254" t="s">
        <v>2021</v>
      </c>
      <c r="H1254" t="s">
        <v>2025</v>
      </c>
      <c r="I1254" t="s">
        <v>3280</v>
      </c>
      <c r="J1254" t="s">
        <v>4030</v>
      </c>
      <c r="K1254" t="s">
        <v>4054</v>
      </c>
      <c r="L1254">
        <v>3050.31</v>
      </c>
      <c r="N1254">
        <f t="shared" si="57"/>
        <v>3050.31</v>
      </c>
      <c r="O1254" t="s">
        <v>4104</v>
      </c>
      <c r="P1254" t="str">
        <f t="shared" si="58"/>
        <v xml:space="preserve"> </v>
      </c>
      <c r="Q1254" t="str">
        <f t="shared" si="59"/>
        <v>Favorable</v>
      </c>
    </row>
    <row r="1255" spans="1:17">
      <c r="A1255" t="s">
        <v>1265</v>
      </c>
      <c r="B1255" s="2">
        <v>45395</v>
      </c>
      <c r="C1255">
        <v>6000</v>
      </c>
      <c r="D1255" t="s">
        <v>2014</v>
      </c>
      <c r="E1255">
        <v>574.09</v>
      </c>
      <c r="F1255">
        <v>0</v>
      </c>
      <c r="G1255" t="s">
        <v>2020</v>
      </c>
      <c r="H1255" t="s">
        <v>2026</v>
      </c>
      <c r="I1255" t="s">
        <v>3281</v>
      </c>
      <c r="J1255" t="s">
        <v>4029</v>
      </c>
      <c r="K1255" t="s">
        <v>4040</v>
      </c>
      <c r="L1255">
        <v>-574.09</v>
      </c>
      <c r="N1255">
        <f t="shared" si="57"/>
        <v>-574.09</v>
      </c>
      <c r="O1255" t="s">
        <v>4104</v>
      </c>
      <c r="P1255" t="str">
        <f t="shared" si="58"/>
        <v xml:space="preserve"> </v>
      </c>
      <c r="Q1255" t="str">
        <f t="shared" si="59"/>
        <v>Unfavorable</v>
      </c>
    </row>
    <row r="1256" spans="1:17">
      <c r="A1256" t="s">
        <v>1266</v>
      </c>
      <c r="B1256" s="2">
        <v>45096</v>
      </c>
      <c r="C1256">
        <v>4000</v>
      </c>
      <c r="D1256" t="s">
        <v>2012</v>
      </c>
      <c r="E1256">
        <v>0</v>
      </c>
      <c r="F1256">
        <v>3214.18</v>
      </c>
      <c r="G1256" t="s">
        <v>2021</v>
      </c>
      <c r="H1256" t="s">
        <v>2027</v>
      </c>
      <c r="I1256" t="s">
        <v>3282</v>
      </c>
      <c r="J1256" t="s">
        <v>4028</v>
      </c>
      <c r="K1256" t="s">
        <v>4055</v>
      </c>
      <c r="L1256">
        <v>3214.18</v>
      </c>
      <c r="N1256">
        <f t="shared" si="57"/>
        <v>3214.18</v>
      </c>
      <c r="O1256" t="s">
        <v>4104</v>
      </c>
      <c r="P1256" t="str">
        <f t="shared" si="58"/>
        <v xml:space="preserve"> </v>
      </c>
      <c r="Q1256" t="str">
        <f t="shared" si="59"/>
        <v>Favorable</v>
      </c>
    </row>
    <row r="1257" spans="1:17">
      <c r="A1257" t="s">
        <v>1267</v>
      </c>
      <c r="B1257" s="2">
        <v>45054</v>
      </c>
      <c r="C1257">
        <v>5010</v>
      </c>
      <c r="D1257" t="s">
        <v>2015</v>
      </c>
      <c r="E1257">
        <v>1415.06</v>
      </c>
      <c r="F1257">
        <v>0</v>
      </c>
      <c r="G1257" t="s">
        <v>2022</v>
      </c>
      <c r="H1257" t="s">
        <v>2023</v>
      </c>
      <c r="I1257" t="s">
        <v>3283</v>
      </c>
      <c r="J1257" t="s">
        <v>4030</v>
      </c>
      <c r="K1257" t="s">
        <v>4062</v>
      </c>
      <c r="L1257">
        <v>-1415.06</v>
      </c>
      <c r="N1257">
        <f t="shared" si="57"/>
        <v>-1415.06</v>
      </c>
      <c r="O1257" t="s">
        <v>4104</v>
      </c>
      <c r="P1257" t="str">
        <f t="shared" si="58"/>
        <v xml:space="preserve"> </v>
      </c>
      <c r="Q1257" t="str">
        <f t="shared" si="59"/>
        <v>Unfavorable</v>
      </c>
    </row>
    <row r="1258" spans="1:17">
      <c r="A1258" t="s">
        <v>1268</v>
      </c>
      <c r="B1258" s="2">
        <v>45253</v>
      </c>
      <c r="C1258">
        <v>4000</v>
      </c>
      <c r="D1258" t="s">
        <v>2012</v>
      </c>
      <c r="E1258">
        <v>0</v>
      </c>
      <c r="F1258">
        <v>3142.85</v>
      </c>
      <c r="G1258" t="s">
        <v>2020</v>
      </c>
      <c r="H1258" t="s">
        <v>2027</v>
      </c>
      <c r="I1258" t="s">
        <v>3284</v>
      </c>
      <c r="J1258" t="s">
        <v>4029</v>
      </c>
      <c r="K1258" t="s">
        <v>4042</v>
      </c>
      <c r="L1258">
        <v>3142.85</v>
      </c>
      <c r="N1258">
        <f t="shared" si="57"/>
        <v>3142.85</v>
      </c>
      <c r="O1258" t="s">
        <v>4104</v>
      </c>
      <c r="P1258" t="str">
        <f t="shared" si="58"/>
        <v xml:space="preserve"> </v>
      </c>
      <c r="Q1258" t="str">
        <f t="shared" si="59"/>
        <v>Favorable</v>
      </c>
    </row>
    <row r="1259" spans="1:17">
      <c r="A1259" t="s">
        <v>1269</v>
      </c>
      <c r="B1259" s="2">
        <v>45050</v>
      </c>
      <c r="C1259">
        <v>6000</v>
      </c>
      <c r="D1259" t="s">
        <v>2014</v>
      </c>
      <c r="E1259">
        <v>981.35</v>
      </c>
      <c r="F1259">
        <v>0</v>
      </c>
      <c r="G1259" t="s">
        <v>2020</v>
      </c>
      <c r="H1259" t="s">
        <v>2026</v>
      </c>
      <c r="I1259" t="s">
        <v>3285</v>
      </c>
      <c r="J1259" t="s">
        <v>4032</v>
      </c>
      <c r="K1259" t="s">
        <v>4062</v>
      </c>
      <c r="L1259">
        <v>-981.35</v>
      </c>
      <c r="N1259">
        <f t="shared" si="57"/>
        <v>-981.35</v>
      </c>
      <c r="O1259" t="s">
        <v>4104</v>
      </c>
      <c r="P1259" t="str">
        <f t="shared" si="58"/>
        <v xml:space="preserve"> </v>
      </c>
      <c r="Q1259" t="str">
        <f t="shared" si="59"/>
        <v>Unfavorable</v>
      </c>
    </row>
    <row r="1260" spans="1:17">
      <c r="A1260" t="s">
        <v>1270</v>
      </c>
      <c r="B1260" s="2">
        <v>45781</v>
      </c>
      <c r="C1260">
        <v>4000</v>
      </c>
      <c r="D1260" t="s">
        <v>2012</v>
      </c>
      <c r="E1260">
        <v>0</v>
      </c>
      <c r="F1260">
        <v>2967.52</v>
      </c>
      <c r="G1260" t="s">
        <v>2017</v>
      </c>
      <c r="H1260" t="s">
        <v>2026</v>
      </c>
      <c r="I1260" t="s">
        <v>3286</v>
      </c>
      <c r="J1260" t="s">
        <v>4030</v>
      </c>
      <c r="K1260" t="s">
        <v>4038</v>
      </c>
      <c r="L1260">
        <v>2967.52</v>
      </c>
      <c r="N1260">
        <f t="shared" si="57"/>
        <v>2967.52</v>
      </c>
      <c r="O1260" t="s">
        <v>4104</v>
      </c>
      <c r="P1260" t="str">
        <f t="shared" si="58"/>
        <v xml:space="preserve"> </v>
      </c>
      <c r="Q1260" t="str">
        <f t="shared" si="59"/>
        <v>Favorable</v>
      </c>
    </row>
    <row r="1261" spans="1:17">
      <c r="A1261" t="s">
        <v>1271</v>
      </c>
      <c r="B1261" s="2">
        <v>45745</v>
      </c>
      <c r="C1261">
        <v>4000</v>
      </c>
      <c r="D1261" t="s">
        <v>2012</v>
      </c>
      <c r="E1261">
        <v>0</v>
      </c>
      <c r="F1261">
        <v>3250.84</v>
      </c>
      <c r="G1261" t="s">
        <v>2022</v>
      </c>
      <c r="H1261" t="s">
        <v>2023</v>
      </c>
      <c r="I1261" t="s">
        <v>3287</v>
      </c>
      <c r="J1261" t="s">
        <v>4028</v>
      </c>
      <c r="K1261" t="s">
        <v>4046</v>
      </c>
      <c r="L1261">
        <v>3250.84</v>
      </c>
      <c r="N1261">
        <f t="shared" si="57"/>
        <v>3250.84</v>
      </c>
      <c r="O1261" t="s">
        <v>4104</v>
      </c>
      <c r="P1261" t="str">
        <f t="shared" si="58"/>
        <v xml:space="preserve"> </v>
      </c>
      <c r="Q1261" t="str">
        <f t="shared" si="59"/>
        <v>Favorable</v>
      </c>
    </row>
    <row r="1262" spans="1:17">
      <c r="A1262" t="s">
        <v>1272</v>
      </c>
      <c r="B1262" s="2">
        <v>45338</v>
      </c>
      <c r="C1262">
        <v>4000</v>
      </c>
      <c r="D1262" t="s">
        <v>2012</v>
      </c>
      <c r="E1262">
        <v>0</v>
      </c>
      <c r="F1262">
        <v>2026.45</v>
      </c>
      <c r="G1262" t="s">
        <v>2017</v>
      </c>
      <c r="H1262" t="s">
        <v>2025</v>
      </c>
      <c r="I1262" t="s">
        <v>3288</v>
      </c>
      <c r="J1262" t="s">
        <v>4029</v>
      </c>
      <c r="K1262" t="s">
        <v>4044</v>
      </c>
      <c r="L1262">
        <v>2026.45</v>
      </c>
      <c r="N1262">
        <f t="shared" si="57"/>
        <v>2026.45</v>
      </c>
      <c r="O1262" t="s">
        <v>4104</v>
      </c>
      <c r="P1262" t="str">
        <f t="shared" si="58"/>
        <v xml:space="preserve"> </v>
      </c>
      <c r="Q1262" t="str">
        <f t="shared" si="59"/>
        <v>Favorable</v>
      </c>
    </row>
    <row r="1263" spans="1:17">
      <c r="A1263" t="s">
        <v>1273</v>
      </c>
      <c r="B1263" s="2">
        <v>44928</v>
      </c>
      <c r="C1263">
        <v>5010</v>
      </c>
      <c r="D1263" t="s">
        <v>2015</v>
      </c>
      <c r="E1263">
        <v>1199.5999999999999</v>
      </c>
      <c r="F1263">
        <v>0</v>
      </c>
      <c r="G1263" t="s">
        <v>2019</v>
      </c>
      <c r="H1263" t="s">
        <v>2025</v>
      </c>
      <c r="I1263" t="s">
        <v>3289</v>
      </c>
      <c r="J1263" t="s">
        <v>4029</v>
      </c>
      <c r="K1263" t="s">
        <v>4047</v>
      </c>
      <c r="L1263">
        <v>-1199.5999999999999</v>
      </c>
      <c r="N1263">
        <f t="shared" si="57"/>
        <v>-1199.5999999999999</v>
      </c>
      <c r="O1263" t="s">
        <v>4104</v>
      </c>
      <c r="P1263" t="str">
        <f t="shared" si="58"/>
        <v xml:space="preserve"> </v>
      </c>
      <c r="Q1263" t="str">
        <f t="shared" si="59"/>
        <v>Unfavorable</v>
      </c>
    </row>
    <row r="1264" spans="1:17">
      <c r="A1264" t="s">
        <v>1274</v>
      </c>
      <c r="B1264" s="2">
        <v>44953</v>
      </c>
      <c r="C1264">
        <v>5000</v>
      </c>
      <c r="D1264" t="s">
        <v>2013</v>
      </c>
      <c r="E1264">
        <v>816.81</v>
      </c>
      <c r="F1264">
        <v>0</v>
      </c>
      <c r="G1264" t="s">
        <v>2018</v>
      </c>
      <c r="H1264" t="s">
        <v>2024</v>
      </c>
      <c r="I1264" t="s">
        <v>3290</v>
      </c>
      <c r="J1264" t="s">
        <v>4029</v>
      </c>
      <c r="K1264" t="s">
        <v>4047</v>
      </c>
      <c r="L1264">
        <v>-816.81</v>
      </c>
      <c r="N1264">
        <f t="shared" si="57"/>
        <v>-816.81</v>
      </c>
      <c r="O1264" t="s">
        <v>4104</v>
      </c>
      <c r="P1264" t="str">
        <f t="shared" si="58"/>
        <v xml:space="preserve"> </v>
      </c>
      <c r="Q1264" t="str">
        <f t="shared" si="59"/>
        <v>Unfavorable</v>
      </c>
    </row>
    <row r="1265" spans="1:17">
      <c r="A1265" t="s">
        <v>1275</v>
      </c>
      <c r="B1265" s="2">
        <v>45643</v>
      </c>
      <c r="C1265">
        <v>4000</v>
      </c>
      <c r="D1265" t="s">
        <v>2012</v>
      </c>
      <c r="E1265">
        <v>0</v>
      </c>
      <c r="F1265">
        <v>4074.11</v>
      </c>
      <c r="G1265" t="s">
        <v>2018</v>
      </c>
      <c r="H1265" t="s">
        <v>2025</v>
      </c>
      <c r="I1265" t="s">
        <v>3291</v>
      </c>
      <c r="J1265" t="s">
        <v>4032</v>
      </c>
      <c r="K1265" t="s">
        <v>4056</v>
      </c>
      <c r="L1265">
        <v>4074.11</v>
      </c>
      <c r="N1265">
        <f t="shared" si="57"/>
        <v>4074.11</v>
      </c>
      <c r="O1265" t="s">
        <v>4104</v>
      </c>
      <c r="P1265" t="str">
        <f t="shared" si="58"/>
        <v xml:space="preserve"> </v>
      </c>
      <c r="Q1265" t="str">
        <f t="shared" si="59"/>
        <v>Favorable</v>
      </c>
    </row>
    <row r="1266" spans="1:17">
      <c r="A1266" t="s">
        <v>1276</v>
      </c>
      <c r="B1266" s="2">
        <v>45785</v>
      </c>
      <c r="C1266">
        <v>4000</v>
      </c>
      <c r="D1266" t="s">
        <v>2012</v>
      </c>
      <c r="E1266">
        <v>0</v>
      </c>
      <c r="F1266">
        <v>720.36</v>
      </c>
      <c r="G1266" t="s">
        <v>2022</v>
      </c>
      <c r="H1266" t="s">
        <v>2025</v>
      </c>
      <c r="I1266" t="s">
        <v>3292</v>
      </c>
      <c r="J1266" t="s">
        <v>4032</v>
      </c>
      <c r="K1266" t="s">
        <v>4038</v>
      </c>
      <c r="L1266">
        <v>720.36</v>
      </c>
      <c r="N1266">
        <f t="shared" si="57"/>
        <v>720.36</v>
      </c>
      <c r="O1266" t="s">
        <v>4104</v>
      </c>
      <c r="P1266" t="str">
        <f t="shared" si="58"/>
        <v xml:space="preserve"> </v>
      </c>
      <c r="Q1266" t="str">
        <f t="shared" si="59"/>
        <v>Favorable</v>
      </c>
    </row>
    <row r="1267" spans="1:17">
      <c r="A1267" t="s">
        <v>1277</v>
      </c>
      <c r="B1267" s="2">
        <v>45708</v>
      </c>
      <c r="C1267">
        <v>5010</v>
      </c>
      <c r="D1267" t="s">
        <v>2015</v>
      </c>
      <c r="E1267">
        <v>1279.52</v>
      </c>
      <c r="F1267">
        <v>0</v>
      </c>
      <c r="G1267" t="s">
        <v>2019</v>
      </c>
      <c r="H1267" t="s">
        <v>2025</v>
      </c>
      <c r="I1267" t="s">
        <v>3293</v>
      </c>
      <c r="J1267" t="s">
        <v>4032</v>
      </c>
      <c r="K1267" t="s">
        <v>4061</v>
      </c>
      <c r="L1267">
        <v>-1279.52</v>
      </c>
      <c r="N1267">
        <f t="shared" si="57"/>
        <v>-1279.52</v>
      </c>
      <c r="O1267" t="s">
        <v>4104</v>
      </c>
      <c r="P1267" t="str">
        <f t="shared" si="58"/>
        <v xml:space="preserve"> </v>
      </c>
      <c r="Q1267" t="str">
        <f t="shared" si="59"/>
        <v>Unfavorable</v>
      </c>
    </row>
    <row r="1268" spans="1:17">
      <c r="A1268" t="s">
        <v>1278</v>
      </c>
      <c r="B1268" s="2">
        <v>45492</v>
      </c>
      <c r="C1268">
        <v>5000</v>
      </c>
      <c r="D1268" t="s">
        <v>2013</v>
      </c>
      <c r="E1268">
        <v>1249.06</v>
      </c>
      <c r="F1268">
        <v>0</v>
      </c>
      <c r="G1268" t="s">
        <v>2018</v>
      </c>
      <c r="H1268" t="s">
        <v>2026</v>
      </c>
      <c r="I1268" t="s">
        <v>3294</v>
      </c>
      <c r="J1268" t="s">
        <v>4032</v>
      </c>
      <c r="K1268" t="s">
        <v>4054</v>
      </c>
      <c r="L1268">
        <v>-1249.06</v>
      </c>
      <c r="N1268">
        <f t="shared" si="57"/>
        <v>-1249.06</v>
      </c>
      <c r="O1268" t="s">
        <v>4104</v>
      </c>
      <c r="P1268" t="str">
        <f t="shared" si="58"/>
        <v xml:space="preserve"> </v>
      </c>
      <c r="Q1268" t="str">
        <f t="shared" si="59"/>
        <v>Unfavorable</v>
      </c>
    </row>
    <row r="1269" spans="1:17">
      <c r="A1269" t="s">
        <v>1279</v>
      </c>
      <c r="B1269" s="2">
        <v>45725</v>
      </c>
      <c r="C1269">
        <v>4010</v>
      </c>
      <c r="D1269" t="s">
        <v>2016</v>
      </c>
      <c r="E1269">
        <v>0</v>
      </c>
      <c r="F1269">
        <v>4456.47</v>
      </c>
      <c r="G1269" t="s">
        <v>2017</v>
      </c>
      <c r="H1269" t="s">
        <v>2025</v>
      </c>
      <c r="I1269" t="s">
        <v>3295</v>
      </c>
      <c r="J1269" t="s">
        <v>4029</v>
      </c>
      <c r="K1269" t="s">
        <v>4046</v>
      </c>
      <c r="L1269">
        <v>4456.47</v>
      </c>
      <c r="N1269">
        <f t="shared" si="57"/>
        <v>4456.47</v>
      </c>
      <c r="O1269" t="s">
        <v>4104</v>
      </c>
      <c r="P1269" t="str">
        <f t="shared" si="58"/>
        <v xml:space="preserve"> </v>
      </c>
      <c r="Q1269" t="str">
        <f t="shared" si="59"/>
        <v>Favorable</v>
      </c>
    </row>
    <row r="1270" spans="1:17">
      <c r="A1270" t="s">
        <v>1280</v>
      </c>
      <c r="B1270" s="2">
        <v>45813</v>
      </c>
      <c r="C1270">
        <v>4000</v>
      </c>
      <c r="D1270" t="s">
        <v>2012</v>
      </c>
      <c r="E1270">
        <v>0</v>
      </c>
      <c r="F1270">
        <v>3830.15</v>
      </c>
      <c r="G1270" t="s">
        <v>2017</v>
      </c>
      <c r="H1270" t="s">
        <v>2024</v>
      </c>
      <c r="I1270" t="s">
        <v>3296</v>
      </c>
      <c r="J1270" t="s">
        <v>4028</v>
      </c>
      <c r="K1270" t="s">
        <v>4052</v>
      </c>
      <c r="L1270">
        <v>3830.15</v>
      </c>
      <c r="N1270">
        <f t="shared" si="57"/>
        <v>3830.15</v>
      </c>
      <c r="O1270" t="s">
        <v>4104</v>
      </c>
      <c r="P1270" t="str">
        <f t="shared" si="58"/>
        <v xml:space="preserve"> </v>
      </c>
      <c r="Q1270" t="str">
        <f t="shared" si="59"/>
        <v>Favorable</v>
      </c>
    </row>
    <row r="1271" spans="1:17">
      <c r="A1271" t="s">
        <v>1281</v>
      </c>
      <c r="B1271" s="2">
        <v>45147</v>
      </c>
      <c r="C1271">
        <v>4010</v>
      </c>
      <c r="D1271" t="s">
        <v>2016</v>
      </c>
      <c r="E1271">
        <v>0</v>
      </c>
      <c r="F1271">
        <v>4835.12</v>
      </c>
      <c r="G1271" t="s">
        <v>2022</v>
      </c>
      <c r="H1271" t="s">
        <v>2025</v>
      </c>
      <c r="I1271" t="s">
        <v>3297</v>
      </c>
      <c r="J1271" t="s">
        <v>4030</v>
      </c>
      <c r="K1271" t="s">
        <v>4037</v>
      </c>
      <c r="L1271">
        <v>4835.12</v>
      </c>
      <c r="N1271">
        <f t="shared" si="57"/>
        <v>4835.12</v>
      </c>
      <c r="O1271" t="s">
        <v>4104</v>
      </c>
      <c r="P1271" t="str">
        <f t="shared" si="58"/>
        <v xml:space="preserve"> </v>
      </c>
      <c r="Q1271" t="str">
        <f t="shared" si="59"/>
        <v>Favorable</v>
      </c>
    </row>
    <row r="1272" spans="1:17">
      <c r="A1272" t="s">
        <v>1282</v>
      </c>
      <c r="B1272" s="2">
        <v>45517</v>
      </c>
      <c r="C1272">
        <v>5000</v>
      </c>
      <c r="D1272" t="s">
        <v>2013</v>
      </c>
      <c r="E1272">
        <v>1165.1300000000001</v>
      </c>
      <c r="F1272">
        <v>0</v>
      </c>
      <c r="G1272" t="s">
        <v>2019</v>
      </c>
      <c r="H1272" t="s">
        <v>2024</v>
      </c>
      <c r="I1272" t="s">
        <v>3298</v>
      </c>
      <c r="J1272" t="s">
        <v>4030</v>
      </c>
      <c r="K1272" t="s">
        <v>4058</v>
      </c>
      <c r="L1272">
        <v>-1165.1300000000001</v>
      </c>
      <c r="N1272">
        <f t="shared" si="57"/>
        <v>-1165.1300000000001</v>
      </c>
      <c r="O1272" t="s">
        <v>4104</v>
      </c>
      <c r="P1272" t="str">
        <f t="shared" si="58"/>
        <v xml:space="preserve"> </v>
      </c>
      <c r="Q1272" t="str">
        <f t="shared" si="59"/>
        <v>Unfavorable</v>
      </c>
    </row>
    <row r="1273" spans="1:17">
      <c r="A1273" t="s">
        <v>1283</v>
      </c>
      <c r="B1273" s="2">
        <v>45547</v>
      </c>
      <c r="C1273">
        <v>4000</v>
      </c>
      <c r="D1273" t="s">
        <v>2012</v>
      </c>
      <c r="E1273">
        <v>0</v>
      </c>
      <c r="F1273">
        <v>112.08</v>
      </c>
      <c r="G1273" t="s">
        <v>2018</v>
      </c>
      <c r="H1273" t="s">
        <v>2027</v>
      </c>
      <c r="I1273" t="s">
        <v>3299</v>
      </c>
      <c r="J1273" t="s">
        <v>4031</v>
      </c>
      <c r="K1273" t="s">
        <v>4048</v>
      </c>
      <c r="L1273">
        <v>112.08</v>
      </c>
      <c r="N1273">
        <f t="shared" si="57"/>
        <v>112.08</v>
      </c>
      <c r="O1273" t="s">
        <v>4104</v>
      </c>
      <c r="P1273" t="str">
        <f t="shared" si="58"/>
        <v xml:space="preserve"> </v>
      </c>
      <c r="Q1273" t="str">
        <f t="shared" si="59"/>
        <v>Favorable</v>
      </c>
    </row>
    <row r="1274" spans="1:17">
      <c r="A1274" t="s">
        <v>1284</v>
      </c>
      <c r="B1274" s="2">
        <v>45126</v>
      </c>
      <c r="C1274">
        <v>4010</v>
      </c>
      <c r="D1274" t="s">
        <v>2016</v>
      </c>
      <c r="E1274">
        <v>0</v>
      </c>
      <c r="F1274">
        <v>3589.18</v>
      </c>
      <c r="G1274" t="s">
        <v>2021</v>
      </c>
      <c r="H1274" t="s">
        <v>2024</v>
      </c>
      <c r="I1274" t="s">
        <v>3300</v>
      </c>
      <c r="J1274" t="s">
        <v>4030</v>
      </c>
      <c r="K1274" t="s">
        <v>4050</v>
      </c>
      <c r="L1274">
        <v>3589.18</v>
      </c>
      <c r="N1274">
        <f t="shared" si="57"/>
        <v>3589.18</v>
      </c>
      <c r="O1274" t="s">
        <v>4104</v>
      </c>
      <c r="P1274" t="str">
        <f t="shared" si="58"/>
        <v xml:space="preserve"> </v>
      </c>
      <c r="Q1274" t="str">
        <f t="shared" si="59"/>
        <v>Favorable</v>
      </c>
    </row>
    <row r="1275" spans="1:17">
      <c r="A1275" t="s">
        <v>1285</v>
      </c>
      <c r="B1275" s="2">
        <v>45784</v>
      </c>
      <c r="C1275">
        <v>4000</v>
      </c>
      <c r="D1275" t="s">
        <v>2012</v>
      </c>
      <c r="E1275">
        <v>0</v>
      </c>
      <c r="F1275">
        <v>1841.13</v>
      </c>
      <c r="G1275" t="s">
        <v>2021</v>
      </c>
      <c r="H1275" t="s">
        <v>2025</v>
      </c>
      <c r="I1275" t="s">
        <v>3301</v>
      </c>
      <c r="J1275" t="s">
        <v>4032</v>
      </c>
      <c r="K1275" t="s">
        <v>4038</v>
      </c>
      <c r="L1275">
        <v>1841.13</v>
      </c>
      <c r="N1275">
        <f t="shared" si="57"/>
        <v>1841.13</v>
      </c>
      <c r="O1275" t="s">
        <v>4104</v>
      </c>
      <c r="P1275" t="str">
        <f t="shared" si="58"/>
        <v xml:space="preserve"> </v>
      </c>
      <c r="Q1275" t="str">
        <f t="shared" si="59"/>
        <v>Favorable</v>
      </c>
    </row>
    <row r="1276" spans="1:17">
      <c r="A1276" t="s">
        <v>1286</v>
      </c>
      <c r="B1276" s="2">
        <v>45770</v>
      </c>
      <c r="C1276">
        <v>5000</v>
      </c>
      <c r="D1276" t="s">
        <v>2013</v>
      </c>
      <c r="E1276">
        <v>1321.13</v>
      </c>
      <c r="F1276">
        <v>0</v>
      </c>
      <c r="G1276" t="s">
        <v>2021</v>
      </c>
      <c r="H1276" t="s">
        <v>2024</v>
      </c>
      <c r="I1276" t="s">
        <v>3302</v>
      </c>
      <c r="J1276" t="s">
        <v>4028</v>
      </c>
      <c r="K1276" t="s">
        <v>4045</v>
      </c>
      <c r="L1276">
        <v>-1321.13</v>
      </c>
      <c r="N1276">
        <f t="shared" si="57"/>
        <v>-1321.13</v>
      </c>
      <c r="O1276" t="s">
        <v>4104</v>
      </c>
      <c r="P1276" t="str">
        <f t="shared" si="58"/>
        <v xml:space="preserve"> </v>
      </c>
      <c r="Q1276" t="str">
        <f t="shared" si="59"/>
        <v>Unfavorable</v>
      </c>
    </row>
    <row r="1277" spans="1:17">
      <c r="A1277" t="s">
        <v>1287</v>
      </c>
      <c r="B1277" s="2">
        <v>45704</v>
      </c>
      <c r="C1277">
        <v>5010</v>
      </c>
      <c r="D1277" t="s">
        <v>2015</v>
      </c>
      <c r="E1277">
        <v>501.83</v>
      </c>
      <c r="F1277">
        <v>0</v>
      </c>
      <c r="G1277" t="s">
        <v>2022</v>
      </c>
      <c r="H1277" t="s">
        <v>2027</v>
      </c>
      <c r="I1277" t="s">
        <v>3303</v>
      </c>
      <c r="J1277" t="s">
        <v>4032</v>
      </c>
      <c r="K1277" t="s">
        <v>4061</v>
      </c>
      <c r="L1277">
        <v>-501.83</v>
      </c>
      <c r="N1277">
        <f t="shared" si="57"/>
        <v>-501.83</v>
      </c>
      <c r="O1277" t="s">
        <v>4104</v>
      </c>
      <c r="P1277" t="str">
        <f t="shared" si="58"/>
        <v xml:space="preserve"> </v>
      </c>
      <c r="Q1277" t="str">
        <f t="shared" si="59"/>
        <v>Unfavorable</v>
      </c>
    </row>
    <row r="1278" spans="1:17">
      <c r="A1278" t="s">
        <v>1288</v>
      </c>
      <c r="B1278" s="2">
        <v>45031</v>
      </c>
      <c r="C1278">
        <v>5010</v>
      </c>
      <c r="D1278" t="s">
        <v>2015</v>
      </c>
      <c r="E1278">
        <v>233.68</v>
      </c>
      <c r="F1278">
        <v>0</v>
      </c>
      <c r="G1278" t="s">
        <v>2022</v>
      </c>
      <c r="H1278" t="s">
        <v>2025</v>
      </c>
      <c r="I1278" t="s">
        <v>3304</v>
      </c>
      <c r="J1278" t="s">
        <v>4029</v>
      </c>
      <c r="K1278" t="s">
        <v>4041</v>
      </c>
      <c r="L1278">
        <v>-233.68</v>
      </c>
      <c r="N1278">
        <f t="shared" si="57"/>
        <v>-233.68</v>
      </c>
      <c r="O1278" t="s">
        <v>4104</v>
      </c>
      <c r="P1278" t="str">
        <f t="shared" si="58"/>
        <v xml:space="preserve"> </v>
      </c>
      <c r="Q1278" t="str">
        <f t="shared" si="59"/>
        <v>Unfavorable</v>
      </c>
    </row>
    <row r="1279" spans="1:17">
      <c r="A1279" t="s">
        <v>1289</v>
      </c>
      <c r="B1279" s="2">
        <v>45423</v>
      </c>
      <c r="C1279">
        <v>4010</v>
      </c>
      <c r="D1279" t="s">
        <v>2016</v>
      </c>
      <c r="E1279">
        <v>0</v>
      </c>
      <c r="F1279">
        <v>4225.68</v>
      </c>
      <c r="G1279" t="s">
        <v>2021</v>
      </c>
      <c r="H1279" t="s">
        <v>2027</v>
      </c>
      <c r="I1279" t="s">
        <v>3305</v>
      </c>
      <c r="J1279" t="s">
        <v>4030</v>
      </c>
      <c r="K1279" t="s">
        <v>4033</v>
      </c>
      <c r="L1279">
        <v>4225.68</v>
      </c>
      <c r="N1279">
        <f t="shared" si="57"/>
        <v>4225.68</v>
      </c>
      <c r="O1279" t="s">
        <v>4104</v>
      </c>
      <c r="P1279" t="str">
        <f t="shared" si="58"/>
        <v xml:space="preserve"> </v>
      </c>
      <c r="Q1279" t="str">
        <f t="shared" si="59"/>
        <v>Favorable</v>
      </c>
    </row>
    <row r="1280" spans="1:17">
      <c r="A1280" t="s">
        <v>1290</v>
      </c>
      <c r="B1280" s="2">
        <v>45643</v>
      </c>
      <c r="C1280">
        <v>5010</v>
      </c>
      <c r="D1280" t="s">
        <v>2015</v>
      </c>
      <c r="E1280">
        <v>315.85000000000002</v>
      </c>
      <c r="F1280">
        <v>0</v>
      </c>
      <c r="G1280" t="s">
        <v>2020</v>
      </c>
      <c r="H1280" t="s">
        <v>2026</v>
      </c>
      <c r="I1280" t="s">
        <v>3306</v>
      </c>
      <c r="J1280" t="s">
        <v>4031</v>
      </c>
      <c r="K1280" t="s">
        <v>4056</v>
      </c>
      <c r="L1280">
        <v>-315.85000000000002</v>
      </c>
      <c r="N1280">
        <f t="shared" si="57"/>
        <v>-315.85000000000002</v>
      </c>
      <c r="O1280" t="s">
        <v>4104</v>
      </c>
      <c r="P1280" t="str">
        <f t="shared" si="58"/>
        <v xml:space="preserve"> </v>
      </c>
      <c r="Q1280" t="str">
        <f t="shared" si="59"/>
        <v>Unfavorable</v>
      </c>
    </row>
    <row r="1281" spans="1:17">
      <c r="A1281" t="s">
        <v>1291</v>
      </c>
      <c r="B1281" s="2">
        <v>45465</v>
      </c>
      <c r="C1281">
        <v>6000</v>
      </c>
      <c r="D1281" t="s">
        <v>2014</v>
      </c>
      <c r="E1281">
        <v>1999.52</v>
      </c>
      <c r="F1281">
        <v>0</v>
      </c>
      <c r="G1281" t="s">
        <v>2022</v>
      </c>
      <c r="H1281" t="s">
        <v>2026</v>
      </c>
      <c r="I1281" t="s">
        <v>3307</v>
      </c>
      <c r="J1281" t="s">
        <v>4029</v>
      </c>
      <c r="K1281" t="s">
        <v>4034</v>
      </c>
      <c r="L1281">
        <v>-1999.52</v>
      </c>
      <c r="N1281">
        <f t="shared" si="57"/>
        <v>-1999.52</v>
      </c>
      <c r="O1281" t="s">
        <v>4104</v>
      </c>
      <c r="P1281" t="str">
        <f t="shared" si="58"/>
        <v xml:space="preserve"> </v>
      </c>
      <c r="Q1281" t="str">
        <f t="shared" si="59"/>
        <v>Unfavorable</v>
      </c>
    </row>
    <row r="1282" spans="1:17">
      <c r="A1282" t="s">
        <v>1292</v>
      </c>
      <c r="B1282" s="2">
        <v>44967</v>
      </c>
      <c r="C1282">
        <v>6000</v>
      </c>
      <c r="D1282" t="s">
        <v>2014</v>
      </c>
      <c r="E1282">
        <v>770.08</v>
      </c>
      <c r="F1282">
        <v>0</v>
      </c>
      <c r="G1282" t="s">
        <v>2022</v>
      </c>
      <c r="H1282" t="s">
        <v>2027</v>
      </c>
      <c r="I1282" t="s">
        <v>3308</v>
      </c>
      <c r="J1282" t="s">
        <v>4032</v>
      </c>
      <c r="K1282" t="s">
        <v>4057</v>
      </c>
      <c r="L1282">
        <v>-770.08</v>
      </c>
      <c r="N1282">
        <f t="shared" si="57"/>
        <v>-770.08</v>
      </c>
      <c r="O1282" t="s">
        <v>4104</v>
      </c>
      <c r="P1282" t="str">
        <f t="shared" si="58"/>
        <v xml:space="preserve"> </v>
      </c>
      <c r="Q1282" t="str">
        <f t="shared" si="59"/>
        <v>Unfavorable</v>
      </c>
    </row>
    <row r="1283" spans="1:17">
      <c r="A1283" t="s">
        <v>1293</v>
      </c>
      <c r="B1283" s="2">
        <v>45289</v>
      </c>
      <c r="C1283">
        <v>4010</v>
      </c>
      <c r="D1283" t="s">
        <v>2016</v>
      </c>
      <c r="E1283">
        <v>0</v>
      </c>
      <c r="F1283">
        <v>4953.53</v>
      </c>
      <c r="G1283" t="s">
        <v>2022</v>
      </c>
      <c r="H1283" t="s">
        <v>2023</v>
      </c>
      <c r="I1283" t="s">
        <v>3309</v>
      </c>
      <c r="J1283" t="s">
        <v>4028</v>
      </c>
      <c r="K1283" t="s">
        <v>4039</v>
      </c>
      <c r="L1283">
        <v>4953.53</v>
      </c>
      <c r="N1283">
        <f t="shared" ref="N1283:N1346" si="60">L:L-M:M</f>
        <v>4953.53</v>
      </c>
      <c r="O1283" t="s">
        <v>4104</v>
      </c>
      <c r="P1283" t="str">
        <f t="shared" ref="P1283:P1346" si="61">IF(AND(ABS(N:N)&gt;10000,M:M&lt;&gt;0),"Material", " ")</f>
        <v xml:space="preserve"> </v>
      </c>
      <c r="Q1283" t="str">
        <f t="shared" ref="Q1283:Q1346" si="62">IF(N:N&gt;0,"Favorable","Unfavorable")</f>
        <v>Favorable</v>
      </c>
    </row>
    <row r="1284" spans="1:17">
      <c r="A1284" t="s">
        <v>1294</v>
      </c>
      <c r="B1284" s="2">
        <v>45045</v>
      </c>
      <c r="C1284">
        <v>4010</v>
      </c>
      <c r="D1284" t="s">
        <v>2016</v>
      </c>
      <c r="E1284">
        <v>0</v>
      </c>
      <c r="F1284">
        <v>1360.16</v>
      </c>
      <c r="G1284" t="s">
        <v>2022</v>
      </c>
      <c r="H1284" t="s">
        <v>2023</v>
      </c>
      <c r="I1284" t="s">
        <v>3310</v>
      </c>
      <c r="J1284" t="s">
        <v>4032</v>
      </c>
      <c r="K1284" t="s">
        <v>4041</v>
      </c>
      <c r="L1284">
        <v>1360.16</v>
      </c>
      <c r="N1284">
        <f t="shared" si="60"/>
        <v>1360.16</v>
      </c>
      <c r="O1284" t="s">
        <v>4104</v>
      </c>
      <c r="P1284" t="str">
        <f t="shared" si="61"/>
        <v xml:space="preserve"> </v>
      </c>
      <c r="Q1284" t="str">
        <f t="shared" si="62"/>
        <v>Favorable</v>
      </c>
    </row>
    <row r="1285" spans="1:17">
      <c r="A1285" t="s">
        <v>1295</v>
      </c>
      <c r="B1285" s="2">
        <v>45287</v>
      </c>
      <c r="C1285">
        <v>5000</v>
      </c>
      <c r="D1285" t="s">
        <v>2013</v>
      </c>
      <c r="E1285">
        <v>475.84</v>
      </c>
      <c r="F1285">
        <v>0</v>
      </c>
      <c r="G1285" t="s">
        <v>2018</v>
      </c>
      <c r="H1285" t="s">
        <v>2024</v>
      </c>
      <c r="I1285" t="s">
        <v>3311</v>
      </c>
      <c r="J1285" t="s">
        <v>4031</v>
      </c>
      <c r="K1285" t="s">
        <v>4039</v>
      </c>
      <c r="L1285">
        <v>-475.84</v>
      </c>
      <c r="N1285">
        <f t="shared" si="60"/>
        <v>-475.84</v>
      </c>
      <c r="O1285" t="s">
        <v>4104</v>
      </c>
      <c r="P1285" t="str">
        <f t="shared" si="61"/>
        <v xml:space="preserve"> </v>
      </c>
      <c r="Q1285" t="str">
        <f t="shared" si="62"/>
        <v>Unfavorable</v>
      </c>
    </row>
    <row r="1286" spans="1:17">
      <c r="A1286" t="s">
        <v>1296</v>
      </c>
      <c r="B1286" s="2">
        <v>45405</v>
      </c>
      <c r="C1286">
        <v>5000</v>
      </c>
      <c r="D1286" t="s">
        <v>2013</v>
      </c>
      <c r="E1286">
        <v>1211.1500000000001</v>
      </c>
      <c r="F1286">
        <v>0</v>
      </c>
      <c r="G1286" t="s">
        <v>2022</v>
      </c>
      <c r="H1286" t="s">
        <v>2026</v>
      </c>
      <c r="I1286" t="s">
        <v>3312</v>
      </c>
      <c r="J1286" t="s">
        <v>4032</v>
      </c>
      <c r="K1286" t="s">
        <v>4040</v>
      </c>
      <c r="L1286">
        <v>-1211.1500000000001</v>
      </c>
      <c r="N1286">
        <f t="shared" si="60"/>
        <v>-1211.1500000000001</v>
      </c>
      <c r="O1286" t="s">
        <v>4104</v>
      </c>
      <c r="P1286" t="str">
        <f t="shared" si="61"/>
        <v xml:space="preserve"> </v>
      </c>
      <c r="Q1286" t="str">
        <f t="shared" si="62"/>
        <v>Unfavorable</v>
      </c>
    </row>
    <row r="1287" spans="1:17">
      <c r="A1287" t="s">
        <v>1297</v>
      </c>
      <c r="B1287" s="2">
        <v>45021</v>
      </c>
      <c r="C1287">
        <v>4010</v>
      </c>
      <c r="D1287" t="s">
        <v>2016</v>
      </c>
      <c r="E1287">
        <v>0</v>
      </c>
      <c r="F1287">
        <v>2327.23</v>
      </c>
      <c r="G1287" t="s">
        <v>2017</v>
      </c>
      <c r="H1287" t="s">
        <v>2025</v>
      </c>
      <c r="I1287" t="s">
        <v>3313</v>
      </c>
      <c r="J1287" t="s">
        <v>4029</v>
      </c>
      <c r="K1287" t="s">
        <v>4041</v>
      </c>
      <c r="L1287">
        <v>2327.23</v>
      </c>
      <c r="N1287">
        <f t="shared" si="60"/>
        <v>2327.23</v>
      </c>
      <c r="O1287" t="s">
        <v>4104</v>
      </c>
      <c r="P1287" t="str">
        <f t="shared" si="61"/>
        <v xml:space="preserve"> </v>
      </c>
      <c r="Q1287" t="str">
        <f t="shared" si="62"/>
        <v>Favorable</v>
      </c>
    </row>
    <row r="1288" spans="1:17">
      <c r="A1288" t="s">
        <v>1298</v>
      </c>
      <c r="B1288" s="2">
        <v>45813</v>
      </c>
      <c r="C1288">
        <v>6000</v>
      </c>
      <c r="D1288" t="s">
        <v>2014</v>
      </c>
      <c r="E1288">
        <v>237.68</v>
      </c>
      <c r="F1288">
        <v>0</v>
      </c>
      <c r="G1288" t="s">
        <v>2022</v>
      </c>
      <c r="H1288" t="s">
        <v>2023</v>
      </c>
      <c r="I1288" t="s">
        <v>3314</v>
      </c>
      <c r="J1288" t="s">
        <v>4028</v>
      </c>
      <c r="K1288" t="s">
        <v>4052</v>
      </c>
      <c r="L1288">
        <v>-237.68</v>
      </c>
      <c r="N1288">
        <f t="shared" si="60"/>
        <v>-237.68</v>
      </c>
      <c r="O1288" t="s">
        <v>4104</v>
      </c>
      <c r="P1288" t="str">
        <f t="shared" si="61"/>
        <v xml:space="preserve"> </v>
      </c>
      <c r="Q1288" t="str">
        <f t="shared" si="62"/>
        <v>Unfavorable</v>
      </c>
    </row>
    <row r="1289" spans="1:17">
      <c r="A1289" t="s">
        <v>1299</v>
      </c>
      <c r="B1289" s="2">
        <v>45357</v>
      </c>
      <c r="C1289">
        <v>6000</v>
      </c>
      <c r="D1289" t="s">
        <v>2014</v>
      </c>
      <c r="E1289">
        <v>1902.83</v>
      </c>
      <c r="F1289">
        <v>0</v>
      </c>
      <c r="G1289" t="s">
        <v>2022</v>
      </c>
      <c r="H1289" t="s">
        <v>2027</v>
      </c>
      <c r="I1289" t="s">
        <v>3315</v>
      </c>
      <c r="J1289" t="s">
        <v>4032</v>
      </c>
      <c r="K1289" t="s">
        <v>4049</v>
      </c>
      <c r="L1289">
        <v>-1902.83</v>
      </c>
      <c r="N1289">
        <f t="shared" si="60"/>
        <v>-1902.83</v>
      </c>
      <c r="O1289" t="s">
        <v>4104</v>
      </c>
      <c r="P1289" t="str">
        <f t="shared" si="61"/>
        <v xml:space="preserve"> </v>
      </c>
      <c r="Q1289" t="str">
        <f t="shared" si="62"/>
        <v>Unfavorable</v>
      </c>
    </row>
    <row r="1290" spans="1:17">
      <c r="A1290" t="s">
        <v>1300</v>
      </c>
      <c r="B1290" s="2">
        <v>45724</v>
      </c>
      <c r="C1290">
        <v>4000</v>
      </c>
      <c r="D1290" t="s">
        <v>2012</v>
      </c>
      <c r="E1290">
        <v>0</v>
      </c>
      <c r="F1290">
        <v>2447.1</v>
      </c>
      <c r="G1290" t="s">
        <v>2018</v>
      </c>
      <c r="H1290" t="s">
        <v>2025</v>
      </c>
      <c r="I1290" t="s">
        <v>3316</v>
      </c>
      <c r="J1290" t="s">
        <v>4030</v>
      </c>
      <c r="K1290" t="s">
        <v>4046</v>
      </c>
      <c r="L1290">
        <v>2447.1</v>
      </c>
      <c r="N1290">
        <f t="shared" si="60"/>
        <v>2447.1</v>
      </c>
      <c r="O1290" t="s">
        <v>4104</v>
      </c>
      <c r="P1290" t="str">
        <f t="shared" si="61"/>
        <v xml:space="preserve"> </v>
      </c>
      <c r="Q1290" t="str">
        <f t="shared" si="62"/>
        <v>Favorable</v>
      </c>
    </row>
    <row r="1291" spans="1:17">
      <c r="A1291" t="s">
        <v>1301</v>
      </c>
      <c r="B1291" s="2">
        <v>45620</v>
      </c>
      <c r="C1291">
        <v>6000</v>
      </c>
      <c r="D1291" t="s">
        <v>2014</v>
      </c>
      <c r="E1291">
        <v>520.39</v>
      </c>
      <c r="F1291">
        <v>0</v>
      </c>
      <c r="G1291" t="s">
        <v>2022</v>
      </c>
      <c r="H1291" t="s">
        <v>2026</v>
      </c>
      <c r="I1291" t="s">
        <v>3317</v>
      </c>
      <c r="J1291" t="s">
        <v>4031</v>
      </c>
      <c r="K1291" t="s">
        <v>4043</v>
      </c>
      <c r="L1291">
        <v>-520.39</v>
      </c>
      <c r="N1291">
        <f t="shared" si="60"/>
        <v>-520.39</v>
      </c>
      <c r="O1291" t="s">
        <v>4104</v>
      </c>
      <c r="P1291" t="str">
        <f t="shared" si="61"/>
        <v xml:space="preserve"> </v>
      </c>
      <c r="Q1291" t="str">
        <f t="shared" si="62"/>
        <v>Unfavorable</v>
      </c>
    </row>
    <row r="1292" spans="1:17">
      <c r="A1292" t="s">
        <v>1302</v>
      </c>
      <c r="B1292" s="2">
        <v>45359</v>
      </c>
      <c r="C1292">
        <v>5010</v>
      </c>
      <c r="D1292" t="s">
        <v>2015</v>
      </c>
      <c r="E1292">
        <v>1329.55</v>
      </c>
      <c r="F1292">
        <v>0</v>
      </c>
      <c r="G1292" t="s">
        <v>2021</v>
      </c>
      <c r="H1292" t="s">
        <v>2027</v>
      </c>
      <c r="I1292" t="s">
        <v>3318</v>
      </c>
      <c r="J1292" t="s">
        <v>4032</v>
      </c>
      <c r="K1292" t="s">
        <v>4049</v>
      </c>
      <c r="L1292">
        <v>-1329.55</v>
      </c>
      <c r="N1292">
        <f t="shared" si="60"/>
        <v>-1329.55</v>
      </c>
      <c r="O1292" t="s">
        <v>4104</v>
      </c>
      <c r="P1292" t="str">
        <f t="shared" si="61"/>
        <v xml:space="preserve"> </v>
      </c>
      <c r="Q1292" t="str">
        <f t="shared" si="62"/>
        <v>Unfavorable</v>
      </c>
    </row>
    <row r="1293" spans="1:17">
      <c r="A1293" t="s">
        <v>1303</v>
      </c>
      <c r="B1293" s="2">
        <v>45354</v>
      </c>
      <c r="C1293">
        <v>6000</v>
      </c>
      <c r="D1293" t="s">
        <v>2014</v>
      </c>
      <c r="E1293">
        <v>1991.48</v>
      </c>
      <c r="F1293">
        <v>0</v>
      </c>
      <c r="G1293" t="s">
        <v>2019</v>
      </c>
      <c r="H1293" t="s">
        <v>2025</v>
      </c>
      <c r="I1293" t="s">
        <v>3319</v>
      </c>
      <c r="J1293" t="s">
        <v>4028</v>
      </c>
      <c r="K1293" t="s">
        <v>4049</v>
      </c>
      <c r="L1293">
        <v>-1991.48</v>
      </c>
      <c r="N1293">
        <f t="shared" si="60"/>
        <v>-1991.48</v>
      </c>
      <c r="O1293" t="s">
        <v>4104</v>
      </c>
      <c r="P1293" t="str">
        <f t="shared" si="61"/>
        <v xml:space="preserve"> </v>
      </c>
      <c r="Q1293" t="str">
        <f t="shared" si="62"/>
        <v>Unfavorable</v>
      </c>
    </row>
    <row r="1294" spans="1:17">
      <c r="A1294" t="s">
        <v>1304</v>
      </c>
      <c r="B1294" s="2">
        <v>45643</v>
      </c>
      <c r="C1294">
        <v>5000</v>
      </c>
      <c r="D1294" t="s">
        <v>2013</v>
      </c>
      <c r="E1294">
        <v>637.88</v>
      </c>
      <c r="F1294">
        <v>0</v>
      </c>
      <c r="G1294" t="s">
        <v>2017</v>
      </c>
      <c r="H1294" t="s">
        <v>2024</v>
      </c>
      <c r="I1294" t="s">
        <v>3320</v>
      </c>
      <c r="J1294" t="s">
        <v>4031</v>
      </c>
      <c r="K1294" t="s">
        <v>4056</v>
      </c>
      <c r="L1294">
        <v>-637.88</v>
      </c>
      <c r="N1294">
        <f t="shared" si="60"/>
        <v>-637.88</v>
      </c>
      <c r="O1294" t="s">
        <v>4104</v>
      </c>
      <c r="P1294" t="str">
        <f t="shared" si="61"/>
        <v xml:space="preserve"> </v>
      </c>
      <c r="Q1294" t="str">
        <f t="shared" si="62"/>
        <v>Unfavorable</v>
      </c>
    </row>
    <row r="1295" spans="1:17">
      <c r="A1295" t="s">
        <v>1305</v>
      </c>
      <c r="B1295" s="2">
        <v>45274</v>
      </c>
      <c r="C1295">
        <v>4000</v>
      </c>
      <c r="D1295" t="s">
        <v>2012</v>
      </c>
      <c r="E1295">
        <v>0</v>
      </c>
      <c r="F1295">
        <v>175.56</v>
      </c>
      <c r="G1295" t="s">
        <v>2017</v>
      </c>
      <c r="H1295" t="s">
        <v>2026</v>
      </c>
      <c r="I1295" t="s">
        <v>3321</v>
      </c>
      <c r="J1295" t="s">
        <v>4032</v>
      </c>
      <c r="K1295" t="s">
        <v>4039</v>
      </c>
      <c r="L1295">
        <v>175.56</v>
      </c>
      <c r="N1295">
        <f t="shared" si="60"/>
        <v>175.56</v>
      </c>
      <c r="O1295" t="s">
        <v>4104</v>
      </c>
      <c r="P1295" t="str">
        <f t="shared" si="61"/>
        <v xml:space="preserve"> </v>
      </c>
      <c r="Q1295" t="str">
        <f t="shared" si="62"/>
        <v>Favorable</v>
      </c>
    </row>
    <row r="1296" spans="1:17">
      <c r="A1296" t="s">
        <v>1306</v>
      </c>
      <c r="B1296" s="2">
        <v>45443</v>
      </c>
      <c r="C1296">
        <v>6000</v>
      </c>
      <c r="D1296" t="s">
        <v>2014</v>
      </c>
      <c r="E1296">
        <v>282.05</v>
      </c>
      <c r="F1296">
        <v>0</v>
      </c>
      <c r="G1296" t="s">
        <v>2017</v>
      </c>
      <c r="H1296" t="s">
        <v>2023</v>
      </c>
      <c r="I1296" t="s">
        <v>3322</v>
      </c>
      <c r="J1296" t="s">
        <v>4030</v>
      </c>
      <c r="K1296" t="s">
        <v>4033</v>
      </c>
      <c r="L1296">
        <v>-282.05</v>
      </c>
      <c r="N1296">
        <f t="shared" si="60"/>
        <v>-282.05</v>
      </c>
      <c r="O1296" t="s">
        <v>4104</v>
      </c>
      <c r="P1296" t="str">
        <f t="shared" si="61"/>
        <v xml:space="preserve"> </v>
      </c>
      <c r="Q1296" t="str">
        <f t="shared" si="62"/>
        <v>Unfavorable</v>
      </c>
    </row>
    <row r="1297" spans="1:17">
      <c r="A1297" t="s">
        <v>1307</v>
      </c>
      <c r="B1297" s="2">
        <v>45782</v>
      </c>
      <c r="C1297">
        <v>6000</v>
      </c>
      <c r="D1297" t="s">
        <v>2014</v>
      </c>
      <c r="E1297">
        <v>1993.37</v>
      </c>
      <c r="F1297">
        <v>0</v>
      </c>
      <c r="G1297" t="s">
        <v>2020</v>
      </c>
      <c r="H1297" t="s">
        <v>2024</v>
      </c>
      <c r="I1297" t="s">
        <v>3323</v>
      </c>
      <c r="J1297" t="s">
        <v>4028</v>
      </c>
      <c r="K1297" t="s">
        <v>4038</v>
      </c>
      <c r="L1297">
        <v>-1993.37</v>
      </c>
      <c r="N1297">
        <f t="shared" si="60"/>
        <v>-1993.37</v>
      </c>
      <c r="O1297" t="s">
        <v>4104</v>
      </c>
      <c r="P1297" t="str">
        <f t="shared" si="61"/>
        <v xml:space="preserve"> </v>
      </c>
      <c r="Q1297" t="str">
        <f t="shared" si="62"/>
        <v>Unfavorable</v>
      </c>
    </row>
    <row r="1298" spans="1:17">
      <c r="A1298" t="s">
        <v>1308</v>
      </c>
      <c r="B1298" s="2">
        <v>45372</v>
      </c>
      <c r="C1298">
        <v>6000</v>
      </c>
      <c r="D1298" t="s">
        <v>2014</v>
      </c>
      <c r="E1298">
        <v>294.74</v>
      </c>
      <c r="F1298">
        <v>0</v>
      </c>
      <c r="G1298" t="s">
        <v>2017</v>
      </c>
      <c r="H1298" t="s">
        <v>2026</v>
      </c>
      <c r="I1298" t="s">
        <v>3324</v>
      </c>
      <c r="J1298" t="s">
        <v>4030</v>
      </c>
      <c r="K1298" t="s">
        <v>4049</v>
      </c>
      <c r="L1298">
        <v>-294.74</v>
      </c>
      <c r="N1298">
        <f t="shared" si="60"/>
        <v>-294.74</v>
      </c>
      <c r="O1298" t="s">
        <v>4104</v>
      </c>
      <c r="P1298" t="str">
        <f t="shared" si="61"/>
        <v xml:space="preserve"> </v>
      </c>
      <c r="Q1298" t="str">
        <f t="shared" si="62"/>
        <v>Unfavorable</v>
      </c>
    </row>
    <row r="1299" spans="1:17">
      <c r="A1299" t="s">
        <v>1309</v>
      </c>
      <c r="B1299" s="2">
        <v>45418</v>
      </c>
      <c r="C1299">
        <v>4000</v>
      </c>
      <c r="D1299" t="s">
        <v>2012</v>
      </c>
      <c r="E1299">
        <v>0</v>
      </c>
      <c r="F1299">
        <v>763.55</v>
      </c>
      <c r="G1299" t="s">
        <v>2018</v>
      </c>
      <c r="H1299" t="s">
        <v>2023</v>
      </c>
      <c r="I1299" t="s">
        <v>3325</v>
      </c>
      <c r="J1299" t="s">
        <v>4029</v>
      </c>
      <c r="K1299" t="s">
        <v>4033</v>
      </c>
      <c r="L1299">
        <v>763.55</v>
      </c>
      <c r="N1299">
        <f t="shared" si="60"/>
        <v>763.55</v>
      </c>
      <c r="O1299" t="s">
        <v>4104</v>
      </c>
      <c r="P1299" t="str">
        <f t="shared" si="61"/>
        <v xml:space="preserve"> </v>
      </c>
      <c r="Q1299" t="str">
        <f t="shared" si="62"/>
        <v>Favorable</v>
      </c>
    </row>
    <row r="1300" spans="1:17">
      <c r="A1300" t="s">
        <v>1310</v>
      </c>
      <c r="B1300" s="2">
        <v>45103</v>
      </c>
      <c r="C1300">
        <v>4010</v>
      </c>
      <c r="D1300" t="s">
        <v>2016</v>
      </c>
      <c r="E1300">
        <v>0</v>
      </c>
      <c r="F1300">
        <v>2502.91</v>
      </c>
      <c r="G1300" t="s">
        <v>2021</v>
      </c>
      <c r="H1300" t="s">
        <v>2026</v>
      </c>
      <c r="I1300" t="s">
        <v>3326</v>
      </c>
      <c r="J1300" t="s">
        <v>4028</v>
      </c>
      <c r="K1300" t="s">
        <v>4055</v>
      </c>
      <c r="L1300">
        <v>2502.91</v>
      </c>
      <c r="N1300">
        <f t="shared" si="60"/>
        <v>2502.91</v>
      </c>
      <c r="O1300" t="s">
        <v>4104</v>
      </c>
      <c r="P1300" t="str">
        <f t="shared" si="61"/>
        <v xml:space="preserve"> </v>
      </c>
      <c r="Q1300" t="str">
        <f t="shared" si="62"/>
        <v>Favorable</v>
      </c>
    </row>
    <row r="1301" spans="1:17">
      <c r="A1301" t="s">
        <v>1311</v>
      </c>
      <c r="B1301" s="2">
        <v>45550</v>
      </c>
      <c r="C1301">
        <v>5010</v>
      </c>
      <c r="D1301" t="s">
        <v>2015</v>
      </c>
      <c r="E1301">
        <v>468.89</v>
      </c>
      <c r="F1301">
        <v>0</v>
      </c>
      <c r="G1301" t="s">
        <v>2021</v>
      </c>
      <c r="H1301" t="s">
        <v>2024</v>
      </c>
      <c r="I1301" t="s">
        <v>3327</v>
      </c>
      <c r="J1301" t="s">
        <v>4030</v>
      </c>
      <c r="K1301" t="s">
        <v>4048</v>
      </c>
      <c r="L1301">
        <v>-468.89</v>
      </c>
      <c r="N1301">
        <f t="shared" si="60"/>
        <v>-468.89</v>
      </c>
      <c r="O1301" t="s">
        <v>4104</v>
      </c>
      <c r="P1301" t="str">
        <f t="shared" si="61"/>
        <v xml:space="preserve"> </v>
      </c>
      <c r="Q1301" t="str">
        <f t="shared" si="62"/>
        <v>Unfavorable</v>
      </c>
    </row>
    <row r="1302" spans="1:17">
      <c r="A1302" t="s">
        <v>1312</v>
      </c>
      <c r="B1302" s="2">
        <v>45162</v>
      </c>
      <c r="C1302">
        <v>6000</v>
      </c>
      <c r="D1302" t="s">
        <v>2014</v>
      </c>
      <c r="E1302">
        <v>810.8</v>
      </c>
      <c r="F1302">
        <v>0</v>
      </c>
      <c r="G1302" t="s">
        <v>2020</v>
      </c>
      <c r="H1302" t="s">
        <v>2027</v>
      </c>
      <c r="I1302" t="s">
        <v>3328</v>
      </c>
      <c r="J1302" t="s">
        <v>4028</v>
      </c>
      <c r="K1302" t="s">
        <v>4037</v>
      </c>
      <c r="L1302">
        <v>-810.8</v>
      </c>
      <c r="N1302">
        <f t="shared" si="60"/>
        <v>-810.8</v>
      </c>
      <c r="O1302" t="s">
        <v>4104</v>
      </c>
      <c r="P1302" t="str">
        <f t="shared" si="61"/>
        <v xml:space="preserve"> </v>
      </c>
      <c r="Q1302" t="str">
        <f t="shared" si="62"/>
        <v>Unfavorable</v>
      </c>
    </row>
    <row r="1303" spans="1:17">
      <c r="A1303" t="s">
        <v>1313</v>
      </c>
      <c r="B1303" s="2">
        <v>45451</v>
      </c>
      <c r="C1303">
        <v>5000</v>
      </c>
      <c r="D1303" t="s">
        <v>2013</v>
      </c>
      <c r="E1303">
        <v>1345.83</v>
      </c>
      <c r="F1303">
        <v>0</v>
      </c>
      <c r="G1303" t="s">
        <v>2019</v>
      </c>
      <c r="H1303" t="s">
        <v>2024</v>
      </c>
      <c r="I1303" t="s">
        <v>3329</v>
      </c>
      <c r="J1303" t="s">
        <v>4028</v>
      </c>
      <c r="K1303" t="s">
        <v>4034</v>
      </c>
      <c r="L1303">
        <v>-1345.83</v>
      </c>
      <c r="N1303">
        <f t="shared" si="60"/>
        <v>-1345.83</v>
      </c>
      <c r="O1303" t="s">
        <v>4104</v>
      </c>
      <c r="P1303" t="str">
        <f t="shared" si="61"/>
        <v xml:space="preserve"> </v>
      </c>
      <c r="Q1303" t="str">
        <f t="shared" si="62"/>
        <v>Unfavorable</v>
      </c>
    </row>
    <row r="1304" spans="1:17">
      <c r="A1304" t="s">
        <v>1314</v>
      </c>
      <c r="B1304" s="2">
        <v>45777</v>
      </c>
      <c r="C1304">
        <v>4000</v>
      </c>
      <c r="D1304" t="s">
        <v>2012</v>
      </c>
      <c r="E1304">
        <v>0</v>
      </c>
      <c r="F1304">
        <v>4443.21</v>
      </c>
      <c r="G1304" t="s">
        <v>2017</v>
      </c>
      <c r="H1304" t="s">
        <v>2023</v>
      </c>
      <c r="I1304" t="s">
        <v>3330</v>
      </c>
      <c r="J1304" t="s">
        <v>4030</v>
      </c>
      <c r="K1304" t="s">
        <v>4045</v>
      </c>
      <c r="L1304">
        <v>4443.21</v>
      </c>
      <c r="N1304">
        <f t="shared" si="60"/>
        <v>4443.21</v>
      </c>
      <c r="O1304" t="s">
        <v>4104</v>
      </c>
      <c r="P1304" t="str">
        <f t="shared" si="61"/>
        <v xml:space="preserve"> </v>
      </c>
      <c r="Q1304" t="str">
        <f t="shared" si="62"/>
        <v>Favorable</v>
      </c>
    </row>
    <row r="1305" spans="1:17">
      <c r="A1305" t="s">
        <v>1315</v>
      </c>
      <c r="B1305" s="2">
        <v>45040</v>
      </c>
      <c r="C1305">
        <v>5010</v>
      </c>
      <c r="D1305" t="s">
        <v>2015</v>
      </c>
      <c r="E1305">
        <v>780.61</v>
      </c>
      <c r="F1305">
        <v>0</v>
      </c>
      <c r="G1305" t="s">
        <v>2017</v>
      </c>
      <c r="H1305" t="s">
        <v>2025</v>
      </c>
      <c r="I1305" t="s">
        <v>3331</v>
      </c>
      <c r="J1305" t="s">
        <v>4030</v>
      </c>
      <c r="K1305" t="s">
        <v>4041</v>
      </c>
      <c r="L1305">
        <v>-780.61</v>
      </c>
      <c r="N1305">
        <f t="shared" si="60"/>
        <v>-780.61</v>
      </c>
      <c r="O1305" t="s">
        <v>4104</v>
      </c>
      <c r="P1305" t="str">
        <f t="shared" si="61"/>
        <v xml:space="preserve"> </v>
      </c>
      <c r="Q1305" t="str">
        <f t="shared" si="62"/>
        <v>Unfavorable</v>
      </c>
    </row>
    <row r="1306" spans="1:17">
      <c r="A1306" t="s">
        <v>1316</v>
      </c>
      <c r="B1306" s="2">
        <v>45310</v>
      </c>
      <c r="C1306">
        <v>4010</v>
      </c>
      <c r="D1306" t="s">
        <v>2016</v>
      </c>
      <c r="E1306">
        <v>0</v>
      </c>
      <c r="F1306">
        <v>2988.59</v>
      </c>
      <c r="G1306" t="s">
        <v>2019</v>
      </c>
      <c r="H1306" t="s">
        <v>2024</v>
      </c>
      <c r="I1306" t="s">
        <v>3332</v>
      </c>
      <c r="J1306" t="s">
        <v>4028</v>
      </c>
      <c r="K1306" t="s">
        <v>4053</v>
      </c>
      <c r="L1306">
        <v>2988.59</v>
      </c>
      <c r="N1306">
        <f t="shared" si="60"/>
        <v>2988.59</v>
      </c>
      <c r="O1306" t="s">
        <v>4104</v>
      </c>
      <c r="P1306" t="str">
        <f t="shared" si="61"/>
        <v xml:space="preserve"> </v>
      </c>
      <c r="Q1306" t="str">
        <f t="shared" si="62"/>
        <v>Favorable</v>
      </c>
    </row>
    <row r="1307" spans="1:17">
      <c r="A1307" t="s">
        <v>1317</v>
      </c>
      <c r="B1307" s="2">
        <v>45585</v>
      </c>
      <c r="C1307">
        <v>5010</v>
      </c>
      <c r="D1307" t="s">
        <v>2015</v>
      </c>
      <c r="E1307">
        <v>1463.55</v>
      </c>
      <c r="F1307">
        <v>0</v>
      </c>
      <c r="G1307" t="s">
        <v>2020</v>
      </c>
      <c r="H1307" t="s">
        <v>2023</v>
      </c>
      <c r="I1307" t="s">
        <v>3333</v>
      </c>
      <c r="J1307" t="s">
        <v>4032</v>
      </c>
      <c r="K1307" t="s">
        <v>4059</v>
      </c>
      <c r="L1307">
        <v>-1463.55</v>
      </c>
      <c r="N1307">
        <f t="shared" si="60"/>
        <v>-1463.55</v>
      </c>
      <c r="O1307" t="s">
        <v>4104</v>
      </c>
      <c r="P1307" t="str">
        <f t="shared" si="61"/>
        <v xml:space="preserve"> </v>
      </c>
      <c r="Q1307" t="str">
        <f t="shared" si="62"/>
        <v>Unfavorable</v>
      </c>
    </row>
    <row r="1308" spans="1:17">
      <c r="A1308" t="s">
        <v>1318</v>
      </c>
      <c r="B1308" s="2">
        <v>45398</v>
      </c>
      <c r="C1308">
        <v>4010</v>
      </c>
      <c r="D1308" t="s">
        <v>2016</v>
      </c>
      <c r="E1308">
        <v>0</v>
      </c>
      <c r="F1308">
        <v>790.68</v>
      </c>
      <c r="G1308" t="s">
        <v>2018</v>
      </c>
      <c r="H1308" t="s">
        <v>2023</v>
      </c>
      <c r="I1308" t="s">
        <v>3334</v>
      </c>
      <c r="J1308" t="s">
        <v>4028</v>
      </c>
      <c r="K1308" t="s">
        <v>4040</v>
      </c>
      <c r="L1308">
        <v>790.68</v>
      </c>
      <c r="N1308">
        <f t="shared" si="60"/>
        <v>790.68</v>
      </c>
      <c r="O1308" t="s">
        <v>4104</v>
      </c>
      <c r="P1308" t="str">
        <f t="shared" si="61"/>
        <v xml:space="preserve"> </v>
      </c>
      <c r="Q1308" t="str">
        <f t="shared" si="62"/>
        <v>Favorable</v>
      </c>
    </row>
    <row r="1309" spans="1:17">
      <c r="A1309" t="s">
        <v>1319</v>
      </c>
      <c r="B1309" s="2">
        <v>45090</v>
      </c>
      <c r="C1309">
        <v>4000</v>
      </c>
      <c r="D1309" t="s">
        <v>2012</v>
      </c>
      <c r="E1309">
        <v>0</v>
      </c>
      <c r="F1309">
        <v>3083.05</v>
      </c>
      <c r="G1309" t="s">
        <v>2017</v>
      </c>
      <c r="H1309" t="s">
        <v>2024</v>
      </c>
      <c r="I1309" t="s">
        <v>3335</v>
      </c>
      <c r="J1309" t="s">
        <v>4029</v>
      </c>
      <c r="K1309" t="s">
        <v>4055</v>
      </c>
      <c r="L1309">
        <v>3083.05</v>
      </c>
      <c r="N1309">
        <f t="shared" si="60"/>
        <v>3083.05</v>
      </c>
      <c r="O1309" t="s">
        <v>4104</v>
      </c>
      <c r="P1309" t="str">
        <f t="shared" si="61"/>
        <v xml:space="preserve"> </v>
      </c>
      <c r="Q1309" t="str">
        <f t="shared" si="62"/>
        <v>Favorable</v>
      </c>
    </row>
    <row r="1310" spans="1:17">
      <c r="A1310" t="s">
        <v>1320</v>
      </c>
      <c r="B1310" s="2">
        <v>45340</v>
      </c>
      <c r="C1310">
        <v>5010</v>
      </c>
      <c r="D1310" t="s">
        <v>2015</v>
      </c>
      <c r="E1310">
        <v>473.43</v>
      </c>
      <c r="F1310">
        <v>0</v>
      </c>
      <c r="G1310" t="s">
        <v>2017</v>
      </c>
      <c r="H1310" t="s">
        <v>2026</v>
      </c>
      <c r="I1310" t="s">
        <v>3336</v>
      </c>
      <c r="J1310" t="s">
        <v>4030</v>
      </c>
      <c r="K1310" t="s">
        <v>4044</v>
      </c>
      <c r="L1310">
        <v>-473.43</v>
      </c>
      <c r="N1310">
        <f t="shared" si="60"/>
        <v>-473.43</v>
      </c>
      <c r="O1310" t="s">
        <v>4104</v>
      </c>
      <c r="P1310" t="str">
        <f t="shared" si="61"/>
        <v xml:space="preserve"> </v>
      </c>
      <c r="Q1310" t="str">
        <f t="shared" si="62"/>
        <v>Unfavorable</v>
      </c>
    </row>
    <row r="1311" spans="1:17">
      <c r="A1311" t="s">
        <v>1321</v>
      </c>
      <c r="B1311" s="2">
        <v>45531</v>
      </c>
      <c r="C1311">
        <v>4010</v>
      </c>
      <c r="D1311" t="s">
        <v>2016</v>
      </c>
      <c r="E1311">
        <v>0</v>
      </c>
      <c r="F1311">
        <v>4614.12</v>
      </c>
      <c r="G1311" t="s">
        <v>2020</v>
      </c>
      <c r="H1311" t="s">
        <v>2024</v>
      </c>
      <c r="I1311" t="s">
        <v>3337</v>
      </c>
      <c r="J1311" t="s">
        <v>4029</v>
      </c>
      <c r="K1311" t="s">
        <v>4058</v>
      </c>
      <c r="L1311">
        <v>4614.12</v>
      </c>
      <c r="N1311">
        <f t="shared" si="60"/>
        <v>4614.12</v>
      </c>
      <c r="O1311" t="s">
        <v>4104</v>
      </c>
      <c r="P1311" t="str">
        <f t="shared" si="61"/>
        <v xml:space="preserve"> </v>
      </c>
      <c r="Q1311" t="str">
        <f t="shared" si="62"/>
        <v>Favorable</v>
      </c>
    </row>
    <row r="1312" spans="1:17">
      <c r="A1312" t="s">
        <v>1322</v>
      </c>
      <c r="B1312" s="2">
        <v>44935</v>
      </c>
      <c r="C1312">
        <v>5010</v>
      </c>
      <c r="D1312" t="s">
        <v>2015</v>
      </c>
      <c r="E1312">
        <v>1506.71</v>
      </c>
      <c r="F1312">
        <v>0</v>
      </c>
      <c r="G1312" t="s">
        <v>2019</v>
      </c>
      <c r="H1312" t="s">
        <v>2024</v>
      </c>
      <c r="I1312" t="s">
        <v>3338</v>
      </c>
      <c r="J1312" t="s">
        <v>4032</v>
      </c>
      <c r="K1312" t="s">
        <v>4047</v>
      </c>
      <c r="L1312">
        <v>-1506.71</v>
      </c>
      <c r="N1312">
        <f t="shared" si="60"/>
        <v>-1506.71</v>
      </c>
      <c r="O1312" t="s">
        <v>4104</v>
      </c>
      <c r="P1312" t="str">
        <f t="shared" si="61"/>
        <v xml:space="preserve"> </v>
      </c>
      <c r="Q1312" t="str">
        <f t="shared" si="62"/>
        <v>Unfavorable</v>
      </c>
    </row>
    <row r="1313" spans="1:17">
      <c r="A1313" t="s">
        <v>1323</v>
      </c>
      <c r="B1313" s="2">
        <v>44943</v>
      </c>
      <c r="C1313">
        <v>6000</v>
      </c>
      <c r="D1313" t="s">
        <v>2014</v>
      </c>
      <c r="E1313">
        <v>874.3</v>
      </c>
      <c r="F1313">
        <v>0</v>
      </c>
      <c r="G1313" t="s">
        <v>2017</v>
      </c>
      <c r="H1313" t="s">
        <v>2024</v>
      </c>
      <c r="I1313" t="s">
        <v>3339</v>
      </c>
      <c r="J1313" t="s">
        <v>4028</v>
      </c>
      <c r="K1313" t="s">
        <v>4047</v>
      </c>
      <c r="L1313">
        <v>-874.3</v>
      </c>
      <c r="N1313">
        <f t="shared" si="60"/>
        <v>-874.3</v>
      </c>
      <c r="O1313" t="s">
        <v>4104</v>
      </c>
      <c r="P1313" t="str">
        <f t="shared" si="61"/>
        <v xml:space="preserve"> </v>
      </c>
      <c r="Q1313" t="str">
        <f t="shared" si="62"/>
        <v>Unfavorable</v>
      </c>
    </row>
    <row r="1314" spans="1:17">
      <c r="A1314" t="s">
        <v>1324</v>
      </c>
      <c r="B1314" s="2">
        <v>44938</v>
      </c>
      <c r="C1314">
        <v>5010</v>
      </c>
      <c r="D1314" t="s">
        <v>2015</v>
      </c>
      <c r="E1314">
        <v>770.81</v>
      </c>
      <c r="F1314">
        <v>0</v>
      </c>
      <c r="G1314" t="s">
        <v>2019</v>
      </c>
      <c r="H1314" t="s">
        <v>2027</v>
      </c>
      <c r="I1314" t="s">
        <v>3340</v>
      </c>
      <c r="J1314" t="s">
        <v>4031</v>
      </c>
      <c r="K1314" t="s">
        <v>4047</v>
      </c>
      <c r="L1314">
        <v>-770.81</v>
      </c>
      <c r="N1314">
        <f t="shared" si="60"/>
        <v>-770.81</v>
      </c>
      <c r="O1314" t="s">
        <v>4104</v>
      </c>
      <c r="P1314" t="str">
        <f t="shared" si="61"/>
        <v xml:space="preserve"> </v>
      </c>
      <c r="Q1314" t="str">
        <f t="shared" si="62"/>
        <v>Unfavorable</v>
      </c>
    </row>
    <row r="1315" spans="1:17">
      <c r="A1315" t="s">
        <v>1325</v>
      </c>
      <c r="B1315" s="2">
        <v>45150</v>
      </c>
      <c r="C1315">
        <v>5000</v>
      </c>
      <c r="D1315" t="s">
        <v>2013</v>
      </c>
      <c r="E1315">
        <v>916.64</v>
      </c>
      <c r="F1315">
        <v>0</v>
      </c>
      <c r="G1315" t="s">
        <v>2019</v>
      </c>
      <c r="H1315" t="s">
        <v>2023</v>
      </c>
      <c r="I1315" t="s">
        <v>3341</v>
      </c>
      <c r="J1315" t="s">
        <v>4030</v>
      </c>
      <c r="K1315" t="s">
        <v>4037</v>
      </c>
      <c r="L1315">
        <v>-916.64</v>
      </c>
      <c r="N1315">
        <f t="shared" si="60"/>
        <v>-916.64</v>
      </c>
      <c r="O1315" t="s">
        <v>4104</v>
      </c>
      <c r="P1315" t="str">
        <f t="shared" si="61"/>
        <v xml:space="preserve"> </v>
      </c>
      <c r="Q1315" t="str">
        <f t="shared" si="62"/>
        <v>Unfavorable</v>
      </c>
    </row>
    <row r="1316" spans="1:17">
      <c r="A1316" t="s">
        <v>1326</v>
      </c>
      <c r="B1316" s="2">
        <v>45834</v>
      </c>
      <c r="C1316">
        <v>5000</v>
      </c>
      <c r="D1316" t="s">
        <v>2013</v>
      </c>
      <c r="E1316">
        <v>1378.77</v>
      </c>
      <c r="F1316">
        <v>0</v>
      </c>
      <c r="G1316" t="s">
        <v>2021</v>
      </c>
      <c r="H1316" t="s">
        <v>2023</v>
      </c>
      <c r="I1316" t="s">
        <v>3342</v>
      </c>
      <c r="J1316" t="s">
        <v>4030</v>
      </c>
      <c r="K1316" t="s">
        <v>4052</v>
      </c>
      <c r="L1316">
        <v>-1378.77</v>
      </c>
      <c r="N1316">
        <f t="shared" si="60"/>
        <v>-1378.77</v>
      </c>
      <c r="O1316" t="s">
        <v>4104</v>
      </c>
      <c r="P1316" t="str">
        <f t="shared" si="61"/>
        <v xml:space="preserve"> </v>
      </c>
      <c r="Q1316" t="str">
        <f t="shared" si="62"/>
        <v>Unfavorable</v>
      </c>
    </row>
    <row r="1317" spans="1:17">
      <c r="A1317" t="s">
        <v>1327</v>
      </c>
      <c r="B1317" s="2">
        <v>45544</v>
      </c>
      <c r="C1317">
        <v>5010</v>
      </c>
      <c r="D1317" t="s">
        <v>2015</v>
      </c>
      <c r="E1317">
        <v>1403.4</v>
      </c>
      <c r="F1317">
        <v>0</v>
      </c>
      <c r="G1317" t="s">
        <v>2020</v>
      </c>
      <c r="H1317" t="s">
        <v>2024</v>
      </c>
      <c r="I1317" t="s">
        <v>3343</v>
      </c>
      <c r="J1317" t="s">
        <v>4030</v>
      </c>
      <c r="K1317" t="s">
        <v>4048</v>
      </c>
      <c r="L1317">
        <v>-1403.4</v>
      </c>
      <c r="N1317">
        <f t="shared" si="60"/>
        <v>-1403.4</v>
      </c>
      <c r="O1317" t="s">
        <v>4104</v>
      </c>
      <c r="P1317" t="str">
        <f t="shared" si="61"/>
        <v xml:space="preserve"> </v>
      </c>
      <c r="Q1317" t="str">
        <f t="shared" si="62"/>
        <v>Unfavorable</v>
      </c>
    </row>
    <row r="1318" spans="1:17">
      <c r="A1318" t="s">
        <v>1328</v>
      </c>
      <c r="B1318" s="2">
        <v>45130</v>
      </c>
      <c r="C1318">
        <v>5000</v>
      </c>
      <c r="D1318" t="s">
        <v>2013</v>
      </c>
      <c r="E1318">
        <v>710.78</v>
      </c>
      <c r="F1318">
        <v>0</v>
      </c>
      <c r="G1318" t="s">
        <v>2021</v>
      </c>
      <c r="H1318" t="s">
        <v>2023</v>
      </c>
      <c r="I1318" t="s">
        <v>3344</v>
      </c>
      <c r="J1318" t="s">
        <v>4032</v>
      </c>
      <c r="K1318" t="s">
        <v>4050</v>
      </c>
      <c r="L1318">
        <v>-710.78</v>
      </c>
      <c r="N1318">
        <f t="shared" si="60"/>
        <v>-710.78</v>
      </c>
      <c r="O1318" t="s">
        <v>4104</v>
      </c>
      <c r="P1318" t="str">
        <f t="shared" si="61"/>
        <v xml:space="preserve"> </v>
      </c>
      <c r="Q1318" t="str">
        <f t="shared" si="62"/>
        <v>Unfavorable</v>
      </c>
    </row>
    <row r="1319" spans="1:17">
      <c r="A1319" t="s">
        <v>1329</v>
      </c>
      <c r="B1319" s="2">
        <v>45836</v>
      </c>
      <c r="C1319">
        <v>4010</v>
      </c>
      <c r="D1319" t="s">
        <v>2016</v>
      </c>
      <c r="E1319">
        <v>0</v>
      </c>
      <c r="F1319">
        <v>2077.61</v>
      </c>
      <c r="G1319" t="s">
        <v>2017</v>
      </c>
      <c r="H1319" t="s">
        <v>2024</v>
      </c>
      <c r="I1319" t="s">
        <v>3345</v>
      </c>
      <c r="J1319" t="s">
        <v>4031</v>
      </c>
      <c r="K1319" t="s">
        <v>4052</v>
      </c>
      <c r="L1319">
        <v>2077.61</v>
      </c>
      <c r="N1319">
        <f t="shared" si="60"/>
        <v>2077.61</v>
      </c>
      <c r="O1319" t="s">
        <v>4104</v>
      </c>
      <c r="P1319" t="str">
        <f t="shared" si="61"/>
        <v xml:space="preserve"> </v>
      </c>
      <c r="Q1319" t="str">
        <f t="shared" si="62"/>
        <v>Favorable</v>
      </c>
    </row>
    <row r="1320" spans="1:17">
      <c r="A1320" t="s">
        <v>1330</v>
      </c>
      <c r="B1320" s="2">
        <v>45106</v>
      </c>
      <c r="C1320">
        <v>4000</v>
      </c>
      <c r="D1320" t="s">
        <v>2012</v>
      </c>
      <c r="E1320">
        <v>0</v>
      </c>
      <c r="F1320">
        <v>2075.2600000000002</v>
      </c>
      <c r="G1320" t="s">
        <v>2018</v>
      </c>
      <c r="H1320" t="s">
        <v>2023</v>
      </c>
      <c r="I1320" t="s">
        <v>3346</v>
      </c>
      <c r="J1320" t="s">
        <v>4031</v>
      </c>
      <c r="K1320" t="s">
        <v>4055</v>
      </c>
      <c r="L1320">
        <v>2075.2600000000002</v>
      </c>
      <c r="N1320">
        <f t="shared" si="60"/>
        <v>2075.2600000000002</v>
      </c>
      <c r="O1320" t="s">
        <v>4104</v>
      </c>
      <c r="P1320" t="str">
        <f t="shared" si="61"/>
        <v xml:space="preserve"> </v>
      </c>
      <c r="Q1320" t="str">
        <f t="shared" si="62"/>
        <v>Favorable</v>
      </c>
    </row>
    <row r="1321" spans="1:17">
      <c r="A1321" t="s">
        <v>1331</v>
      </c>
      <c r="B1321" s="2">
        <v>45321</v>
      </c>
      <c r="C1321">
        <v>5000</v>
      </c>
      <c r="D1321" t="s">
        <v>2013</v>
      </c>
      <c r="E1321">
        <v>955.82</v>
      </c>
      <c r="F1321">
        <v>0</v>
      </c>
      <c r="G1321" t="s">
        <v>2019</v>
      </c>
      <c r="H1321" t="s">
        <v>2025</v>
      </c>
      <c r="I1321" t="s">
        <v>3347</v>
      </c>
      <c r="J1321" t="s">
        <v>4028</v>
      </c>
      <c r="K1321" t="s">
        <v>4053</v>
      </c>
      <c r="L1321">
        <v>-955.82</v>
      </c>
      <c r="N1321">
        <f t="shared" si="60"/>
        <v>-955.82</v>
      </c>
      <c r="O1321" t="s">
        <v>4104</v>
      </c>
      <c r="P1321" t="str">
        <f t="shared" si="61"/>
        <v xml:space="preserve"> </v>
      </c>
      <c r="Q1321" t="str">
        <f t="shared" si="62"/>
        <v>Unfavorable</v>
      </c>
    </row>
    <row r="1322" spans="1:17">
      <c r="A1322" t="s">
        <v>1332</v>
      </c>
      <c r="B1322" s="2">
        <v>45712</v>
      </c>
      <c r="C1322">
        <v>5000</v>
      </c>
      <c r="D1322" t="s">
        <v>2013</v>
      </c>
      <c r="E1322">
        <v>1924.14</v>
      </c>
      <c r="F1322">
        <v>0</v>
      </c>
      <c r="G1322" t="s">
        <v>2020</v>
      </c>
      <c r="H1322" t="s">
        <v>2027</v>
      </c>
      <c r="I1322" t="s">
        <v>3348</v>
      </c>
      <c r="J1322" t="s">
        <v>4032</v>
      </c>
      <c r="K1322" t="s">
        <v>4061</v>
      </c>
      <c r="L1322">
        <v>-1924.14</v>
      </c>
      <c r="N1322">
        <f t="shared" si="60"/>
        <v>-1924.14</v>
      </c>
      <c r="O1322" t="s">
        <v>4104</v>
      </c>
      <c r="P1322" t="str">
        <f t="shared" si="61"/>
        <v xml:space="preserve"> </v>
      </c>
      <c r="Q1322" t="str">
        <f t="shared" si="62"/>
        <v>Unfavorable</v>
      </c>
    </row>
    <row r="1323" spans="1:17">
      <c r="A1323" t="s">
        <v>1333</v>
      </c>
      <c r="B1323" s="2">
        <v>45382</v>
      </c>
      <c r="C1323">
        <v>4010</v>
      </c>
      <c r="D1323" t="s">
        <v>2016</v>
      </c>
      <c r="E1323">
        <v>0</v>
      </c>
      <c r="F1323">
        <v>4238.9799999999996</v>
      </c>
      <c r="G1323" t="s">
        <v>2022</v>
      </c>
      <c r="H1323" t="s">
        <v>2023</v>
      </c>
      <c r="I1323" t="s">
        <v>3349</v>
      </c>
      <c r="J1323" t="s">
        <v>4029</v>
      </c>
      <c r="K1323" t="s">
        <v>4049</v>
      </c>
      <c r="L1323">
        <v>4238.9799999999996</v>
      </c>
      <c r="N1323">
        <f t="shared" si="60"/>
        <v>4238.9799999999996</v>
      </c>
      <c r="O1323" t="s">
        <v>4104</v>
      </c>
      <c r="P1323" t="str">
        <f t="shared" si="61"/>
        <v xml:space="preserve"> </v>
      </c>
      <c r="Q1323" t="str">
        <f t="shared" si="62"/>
        <v>Favorable</v>
      </c>
    </row>
    <row r="1324" spans="1:17">
      <c r="A1324" t="s">
        <v>1334</v>
      </c>
      <c r="B1324" s="2">
        <v>45636</v>
      </c>
      <c r="C1324">
        <v>5010</v>
      </c>
      <c r="D1324" t="s">
        <v>2015</v>
      </c>
      <c r="E1324">
        <v>1471.95</v>
      </c>
      <c r="F1324">
        <v>0</v>
      </c>
      <c r="G1324" t="s">
        <v>2018</v>
      </c>
      <c r="H1324" t="s">
        <v>2025</v>
      </c>
      <c r="I1324" t="s">
        <v>3350</v>
      </c>
      <c r="J1324" t="s">
        <v>4028</v>
      </c>
      <c r="K1324" t="s">
        <v>4056</v>
      </c>
      <c r="L1324">
        <v>-1471.95</v>
      </c>
      <c r="N1324">
        <f t="shared" si="60"/>
        <v>-1471.95</v>
      </c>
      <c r="O1324" t="s">
        <v>4104</v>
      </c>
      <c r="P1324" t="str">
        <f t="shared" si="61"/>
        <v xml:space="preserve"> </v>
      </c>
      <c r="Q1324" t="str">
        <f t="shared" si="62"/>
        <v>Unfavorable</v>
      </c>
    </row>
    <row r="1325" spans="1:17">
      <c r="A1325" t="s">
        <v>1335</v>
      </c>
      <c r="B1325" s="2">
        <v>45826</v>
      </c>
      <c r="C1325">
        <v>4010</v>
      </c>
      <c r="D1325" t="s">
        <v>2016</v>
      </c>
      <c r="E1325">
        <v>0</v>
      </c>
      <c r="F1325">
        <v>1269.44</v>
      </c>
      <c r="G1325" t="s">
        <v>2017</v>
      </c>
      <c r="H1325" t="s">
        <v>2026</v>
      </c>
      <c r="I1325" t="s">
        <v>3351</v>
      </c>
      <c r="J1325" t="s">
        <v>4030</v>
      </c>
      <c r="K1325" t="s">
        <v>4052</v>
      </c>
      <c r="L1325">
        <v>1269.44</v>
      </c>
      <c r="N1325">
        <f t="shared" si="60"/>
        <v>1269.44</v>
      </c>
      <c r="O1325" t="s">
        <v>4104</v>
      </c>
      <c r="P1325" t="str">
        <f t="shared" si="61"/>
        <v xml:space="preserve"> </v>
      </c>
      <c r="Q1325" t="str">
        <f t="shared" si="62"/>
        <v>Favorable</v>
      </c>
    </row>
    <row r="1326" spans="1:17">
      <c r="A1326" t="s">
        <v>1336</v>
      </c>
      <c r="B1326" s="2">
        <v>45171</v>
      </c>
      <c r="C1326">
        <v>5000</v>
      </c>
      <c r="D1326" t="s">
        <v>2013</v>
      </c>
      <c r="E1326">
        <v>97.3</v>
      </c>
      <c r="F1326">
        <v>0</v>
      </c>
      <c r="G1326" t="s">
        <v>2022</v>
      </c>
      <c r="H1326" t="s">
        <v>2023</v>
      </c>
      <c r="I1326" t="s">
        <v>3352</v>
      </c>
      <c r="J1326" t="s">
        <v>4030</v>
      </c>
      <c r="K1326" t="s">
        <v>4036</v>
      </c>
      <c r="L1326">
        <v>-97.3</v>
      </c>
      <c r="N1326">
        <f t="shared" si="60"/>
        <v>-97.3</v>
      </c>
      <c r="O1326" t="s">
        <v>4104</v>
      </c>
      <c r="P1326" t="str">
        <f t="shared" si="61"/>
        <v xml:space="preserve"> </v>
      </c>
      <c r="Q1326" t="str">
        <f t="shared" si="62"/>
        <v>Unfavorable</v>
      </c>
    </row>
    <row r="1327" spans="1:17">
      <c r="A1327" t="s">
        <v>1337</v>
      </c>
      <c r="B1327" s="2">
        <v>44986</v>
      </c>
      <c r="C1327">
        <v>6000</v>
      </c>
      <c r="D1327" t="s">
        <v>2014</v>
      </c>
      <c r="E1327">
        <v>557.66</v>
      </c>
      <c r="F1327">
        <v>0</v>
      </c>
      <c r="G1327" t="s">
        <v>2022</v>
      </c>
      <c r="H1327" t="s">
        <v>2023</v>
      </c>
      <c r="I1327" t="s">
        <v>3353</v>
      </c>
      <c r="J1327" t="s">
        <v>4031</v>
      </c>
      <c r="K1327" t="s">
        <v>4051</v>
      </c>
      <c r="L1327">
        <v>-557.66</v>
      </c>
      <c r="N1327">
        <f t="shared" si="60"/>
        <v>-557.66</v>
      </c>
      <c r="O1327" t="s">
        <v>4104</v>
      </c>
      <c r="P1327" t="str">
        <f t="shared" si="61"/>
        <v xml:space="preserve"> </v>
      </c>
      <c r="Q1327" t="str">
        <f t="shared" si="62"/>
        <v>Unfavorable</v>
      </c>
    </row>
    <row r="1328" spans="1:17">
      <c r="A1328" t="s">
        <v>1338</v>
      </c>
      <c r="B1328" s="2">
        <v>45374</v>
      </c>
      <c r="C1328">
        <v>5010</v>
      </c>
      <c r="D1328" t="s">
        <v>2015</v>
      </c>
      <c r="E1328">
        <v>1380.55</v>
      </c>
      <c r="F1328">
        <v>0</v>
      </c>
      <c r="G1328" t="s">
        <v>2018</v>
      </c>
      <c r="H1328" t="s">
        <v>2025</v>
      </c>
      <c r="I1328" t="s">
        <v>3354</v>
      </c>
      <c r="J1328" t="s">
        <v>4030</v>
      </c>
      <c r="K1328" t="s">
        <v>4049</v>
      </c>
      <c r="L1328">
        <v>-1380.55</v>
      </c>
      <c r="N1328">
        <f t="shared" si="60"/>
        <v>-1380.55</v>
      </c>
      <c r="O1328" t="s">
        <v>4104</v>
      </c>
      <c r="P1328" t="str">
        <f t="shared" si="61"/>
        <v xml:space="preserve"> </v>
      </c>
      <c r="Q1328" t="str">
        <f t="shared" si="62"/>
        <v>Unfavorable</v>
      </c>
    </row>
    <row r="1329" spans="1:17">
      <c r="A1329" t="s">
        <v>1339</v>
      </c>
      <c r="B1329" s="2">
        <v>45689</v>
      </c>
      <c r="C1329">
        <v>5000</v>
      </c>
      <c r="D1329" t="s">
        <v>2013</v>
      </c>
      <c r="E1329">
        <v>606.16</v>
      </c>
      <c r="F1329">
        <v>0</v>
      </c>
      <c r="G1329" t="s">
        <v>2018</v>
      </c>
      <c r="H1329" t="s">
        <v>2026</v>
      </c>
      <c r="I1329" t="s">
        <v>3355</v>
      </c>
      <c r="J1329" t="s">
        <v>4030</v>
      </c>
      <c r="K1329" t="s">
        <v>4061</v>
      </c>
      <c r="L1329">
        <v>-606.16</v>
      </c>
      <c r="N1329">
        <f t="shared" si="60"/>
        <v>-606.16</v>
      </c>
      <c r="O1329" t="s">
        <v>4104</v>
      </c>
      <c r="P1329" t="str">
        <f t="shared" si="61"/>
        <v xml:space="preserve"> </v>
      </c>
      <c r="Q1329" t="str">
        <f t="shared" si="62"/>
        <v>Unfavorable</v>
      </c>
    </row>
    <row r="1330" spans="1:17">
      <c r="A1330" t="s">
        <v>1340</v>
      </c>
      <c r="B1330" s="2">
        <v>45423</v>
      </c>
      <c r="C1330">
        <v>6000</v>
      </c>
      <c r="D1330" t="s">
        <v>2014</v>
      </c>
      <c r="E1330">
        <v>1885.28</v>
      </c>
      <c r="F1330">
        <v>0</v>
      </c>
      <c r="G1330" t="s">
        <v>2020</v>
      </c>
      <c r="H1330" t="s">
        <v>2024</v>
      </c>
      <c r="I1330" t="s">
        <v>3356</v>
      </c>
      <c r="J1330" t="s">
        <v>4032</v>
      </c>
      <c r="K1330" t="s">
        <v>4033</v>
      </c>
      <c r="L1330">
        <v>-1885.28</v>
      </c>
      <c r="N1330">
        <f t="shared" si="60"/>
        <v>-1885.28</v>
      </c>
      <c r="O1330" t="s">
        <v>4104</v>
      </c>
      <c r="P1330" t="str">
        <f t="shared" si="61"/>
        <v xml:space="preserve"> </v>
      </c>
      <c r="Q1330" t="str">
        <f t="shared" si="62"/>
        <v>Unfavorable</v>
      </c>
    </row>
    <row r="1331" spans="1:17">
      <c r="A1331" t="s">
        <v>1341</v>
      </c>
      <c r="B1331" s="2">
        <v>45623</v>
      </c>
      <c r="C1331">
        <v>5010</v>
      </c>
      <c r="D1331" t="s">
        <v>2015</v>
      </c>
      <c r="E1331">
        <v>1731.77</v>
      </c>
      <c r="F1331">
        <v>0</v>
      </c>
      <c r="G1331" t="s">
        <v>2020</v>
      </c>
      <c r="H1331" t="s">
        <v>2025</v>
      </c>
      <c r="I1331" t="s">
        <v>3357</v>
      </c>
      <c r="J1331" t="s">
        <v>4032</v>
      </c>
      <c r="K1331" t="s">
        <v>4043</v>
      </c>
      <c r="L1331">
        <v>-1731.77</v>
      </c>
      <c r="N1331">
        <f t="shared" si="60"/>
        <v>-1731.77</v>
      </c>
      <c r="O1331" t="s">
        <v>4104</v>
      </c>
      <c r="P1331" t="str">
        <f t="shared" si="61"/>
        <v xml:space="preserve"> </v>
      </c>
      <c r="Q1331" t="str">
        <f t="shared" si="62"/>
        <v>Unfavorable</v>
      </c>
    </row>
    <row r="1332" spans="1:17">
      <c r="A1332" t="s">
        <v>1342</v>
      </c>
      <c r="B1332" s="2">
        <v>45069</v>
      </c>
      <c r="C1332">
        <v>5000</v>
      </c>
      <c r="D1332" t="s">
        <v>2013</v>
      </c>
      <c r="E1332">
        <v>394.02</v>
      </c>
      <c r="F1332">
        <v>0</v>
      </c>
      <c r="G1332" t="s">
        <v>2018</v>
      </c>
      <c r="H1332" t="s">
        <v>2023</v>
      </c>
      <c r="I1332" t="s">
        <v>3358</v>
      </c>
      <c r="J1332" t="s">
        <v>4028</v>
      </c>
      <c r="K1332" t="s">
        <v>4062</v>
      </c>
      <c r="L1332">
        <v>-394.02</v>
      </c>
      <c r="N1332">
        <f t="shared" si="60"/>
        <v>-394.02</v>
      </c>
      <c r="O1332" t="s">
        <v>4104</v>
      </c>
      <c r="P1332" t="str">
        <f t="shared" si="61"/>
        <v xml:space="preserve"> </v>
      </c>
      <c r="Q1332" t="str">
        <f t="shared" si="62"/>
        <v>Unfavorable</v>
      </c>
    </row>
    <row r="1333" spans="1:17">
      <c r="A1333" t="s">
        <v>1343</v>
      </c>
      <c r="B1333" s="2">
        <v>45298</v>
      </c>
      <c r="C1333">
        <v>4000</v>
      </c>
      <c r="D1333" t="s">
        <v>2012</v>
      </c>
      <c r="E1333">
        <v>0</v>
      </c>
      <c r="F1333">
        <v>687.07</v>
      </c>
      <c r="G1333" t="s">
        <v>2018</v>
      </c>
      <c r="H1333" t="s">
        <v>2024</v>
      </c>
      <c r="I1333" t="s">
        <v>3359</v>
      </c>
      <c r="J1333" t="s">
        <v>4032</v>
      </c>
      <c r="K1333" t="s">
        <v>4053</v>
      </c>
      <c r="L1333">
        <v>687.07</v>
      </c>
      <c r="N1333">
        <f t="shared" si="60"/>
        <v>687.07</v>
      </c>
      <c r="O1333" t="s">
        <v>4104</v>
      </c>
      <c r="P1333" t="str">
        <f t="shared" si="61"/>
        <v xml:space="preserve"> </v>
      </c>
      <c r="Q1333" t="str">
        <f t="shared" si="62"/>
        <v>Favorable</v>
      </c>
    </row>
    <row r="1334" spans="1:17">
      <c r="A1334" t="s">
        <v>1344</v>
      </c>
      <c r="B1334" s="2">
        <v>45272</v>
      </c>
      <c r="C1334">
        <v>4010</v>
      </c>
      <c r="D1334" t="s">
        <v>2016</v>
      </c>
      <c r="E1334">
        <v>0</v>
      </c>
      <c r="F1334">
        <v>4603.0200000000004</v>
      </c>
      <c r="G1334" t="s">
        <v>2020</v>
      </c>
      <c r="H1334" t="s">
        <v>2024</v>
      </c>
      <c r="I1334" t="s">
        <v>3360</v>
      </c>
      <c r="J1334" t="s">
        <v>4028</v>
      </c>
      <c r="K1334" t="s">
        <v>4039</v>
      </c>
      <c r="L1334">
        <v>4603.0200000000004</v>
      </c>
      <c r="N1334">
        <f t="shared" si="60"/>
        <v>4603.0200000000004</v>
      </c>
      <c r="O1334" t="s">
        <v>4104</v>
      </c>
      <c r="P1334" t="str">
        <f t="shared" si="61"/>
        <v xml:space="preserve"> </v>
      </c>
      <c r="Q1334" t="str">
        <f t="shared" si="62"/>
        <v>Favorable</v>
      </c>
    </row>
    <row r="1335" spans="1:17">
      <c r="A1335" t="s">
        <v>1345</v>
      </c>
      <c r="B1335" s="2">
        <v>45461</v>
      </c>
      <c r="C1335">
        <v>6000</v>
      </c>
      <c r="D1335" t="s">
        <v>2014</v>
      </c>
      <c r="E1335">
        <v>675.05</v>
      </c>
      <c r="F1335">
        <v>0</v>
      </c>
      <c r="G1335" t="s">
        <v>2020</v>
      </c>
      <c r="H1335" t="s">
        <v>2025</v>
      </c>
      <c r="I1335" t="s">
        <v>3361</v>
      </c>
      <c r="J1335" t="s">
        <v>4031</v>
      </c>
      <c r="K1335" t="s">
        <v>4034</v>
      </c>
      <c r="L1335">
        <v>-675.05</v>
      </c>
      <c r="N1335">
        <f t="shared" si="60"/>
        <v>-675.05</v>
      </c>
      <c r="O1335" t="s">
        <v>4104</v>
      </c>
      <c r="P1335" t="str">
        <f t="shared" si="61"/>
        <v xml:space="preserve"> </v>
      </c>
      <c r="Q1335" t="str">
        <f t="shared" si="62"/>
        <v>Unfavorable</v>
      </c>
    </row>
    <row r="1336" spans="1:17">
      <c r="A1336" t="s">
        <v>1346</v>
      </c>
      <c r="B1336" s="2">
        <v>45201</v>
      </c>
      <c r="C1336">
        <v>5000</v>
      </c>
      <c r="D1336" t="s">
        <v>2013</v>
      </c>
      <c r="E1336">
        <v>1487.83</v>
      </c>
      <c r="F1336">
        <v>0</v>
      </c>
      <c r="G1336" t="s">
        <v>2019</v>
      </c>
      <c r="H1336" t="s">
        <v>2026</v>
      </c>
      <c r="I1336" t="s">
        <v>3362</v>
      </c>
      <c r="J1336" t="s">
        <v>4030</v>
      </c>
      <c r="K1336" t="s">
        <v>4060</v>
      </c>
      <c r="L1336">
        <v>-1487.83</v>
      </c>
      <c r="N1336">
        <f t="shared" si="60"/>
        <v>-1487.83</v>
      </c>
      <c r="O1336" t="s">
        <v>4104</v>
      </c>
      <c r="P1336" t="str">
        <f t="shared" si="61"/>
        <v xml:space="preserve"> </v>
      </c>
      <c r="Q1336" t="str">
        <f t="shared" si="62"/>
        <v>Unfavorable</v>
      </c>
    </row>
    <row r="1337" spans="1:17">
      <c r="A1337" t="s">
        <v>1347</v>
      </c>
      <c r="B1337" s="2">
        <v>45062</v>
      </c>
      <c r="C1337">
        <v>6000</v>
      </c>
      <c r="D1337" t="s">
        <v>2014</v>
      </c>
      <c r="E1337">
        <v>792.43</v>
      </c>
      <c r="F1337">
        <v>0</v>
      </c>
      <c r="G1337" t="s">
        <v>2021</v>
      </c>
      <c r="H1337" t="s">
        <v>2024</v>
      </c>
      <c r="I1337" t="s">
        <v>3363</v>
      </c>
      <c r="J1337" t="s">
        <v>4028</v>
      </c>
      <c r="K1337" t="s">
        <v>4062</v>
      </c>
      <c r="L1337">
        <v>-792.43</v>
      </c>
      <c r="N1337">
        <f t="shared" si="60"/>
        <v>-792.43</v>
      </c>
      <c r="O1337" t="s">
        <v>4104</v>
      </c>
      <c r="P1337" t="str">
        <f t="shared" si="61"/>
        <v xml:space="preserve"> </v>
      </c>
      <c r="Q1337" t="str">
        <f t="shared" si="62"/>
        <v>Unfavorable</v>
      </c>
    </row>
    <row r="1338" spans="1:17">
      <c r="A1338" t="s">
        <v>1348</v>
      </c>
      <c r="B1338" s="2">
        <v>45835</v>
      </c>
      <c r="C1338">
        <v>4000</v>
      </c>
      <c r="D1338" t="s">
        <v>2012</v>
      </c>
      <c r="E1338">
        <v>0</v>
      </c>
      <c r="F1338">
        <v>1819.9</v>
      </c>
      <c r="G1338" t="s">
        <v>2018</v>
      </c>
      <c r="H1338" t="s">
        <v>2026</v>
      </c>
      <c r="I1338" t="s">
        <v>3364</v>
      </c>
      <c r="J1338" t="s">
        <v>4028</v>
      </c>
      <c r="K1338" t="s">
        <v>4052</v>
      </c>
      <c r="L1338">
        <v>1819.9</v>
      </c>
      <c r="N1338">
        <f t="shared" si="60"/>
        <v>1819.9</v>
      </c>
      <c r="O1338" t="s">
        <v>4104</v>
      </c>
      <c r="P1338" t="str">
        <f t="shared" si="61"/>
        <v xml:space="preserve"> </v>
      </c>
      <c r="Q1338" t="str">
        <f t="shared" si="62"/>
        <v>Favorable</v>
      </c>
    </row>
    <row r="1339" spans="1:17">
      <c r="A1339" t="s">
        <v>1349</v>
      </c>
      <c r="B1339" s="2">
        <v>45696</v>
      </c>
      <c r="C1339">
        <v>5000</v>
      </c>
      <c r="D1339" t="s">
        <v>2013</v>
      </c>
      <c r="E1339">
        <v>1966.73</v>
      </c>
      <c r="F1339">
        <v>0</v>
      </c>
      <c r="G1339" t="s">
        <v>2019</v>
      </c>
      <c r="H1339" t="s">
        <v>2024</v>
      </c>
      <c r="I1339" t="s">
        <v>3365</v>
      </c>
      <c r="J1339" t="s">
        <v>4028</v>
      </c>
      <c r="K1339" t="s">
        <v>4061</v>
      </c>
      <c r="L1339">
        <v>-1966.73</v>
      </c>
      <c r="N1339">
        <f t="shared" si="60"/>
        <v>-1966.73</v>
      </c>
      <c r="O1339" t="s">
        <v>4104</v>
      </c>
      <c r="P1339" t="str">
        <f t="shared" si="61"/>
        <v xml:space="preserve"> </v>
      </c>
      <c r="Q1339" t="str">
        <f t="shared" si="62"/>
        <v>Unfavorable</v>
      </c>
    </row>
    <row r="1340" spans="1:17">
      <c r="A1340" t="s">
        <v>1350</v>
      </c>
      <c r="B1340" s="2">
        <v>44957</v>
      </c>
      <c r="C1340">
        <v>4010</v>
      </c>
      <c r="D1340" t="s">
        <v>2016</v>
      </c>
      <c r="E1340">
        <v>0</v>
      </c>
      <c r="F1340">
        <v>1355.21</v>
      </c>
      <c r="G1340" t="s">
        <v>2022</v>
      </c>
      <c r="H1340" t="s">
        <v>2027</v>
      </c>
      <c r="I1340" t="s">
        <v>3366</v>
      </c>
      <c r="J1340" t="s">
        <v>4032</v>
      </c>
      <c r="K1340" t="s">
        <v>4047</v>
      </c>
      <c r="L1340">
        <v>1355.21</v>
      </c>
      <c r="N1340">
        <f t="shared" si="60"/>
        <v>1355.21</v>
      </c>
      <c r="O1340" t="s">
        <v>4104</v>
      </c>
      <c r="P1340" t="str">
        <f t="shared" si="61"/>
        <v xml:space="preserve"> </v>
      </c>
      <c r="Q1340" t="str">
        <f t="shared" si="62"/>
        <v>Favorable</v>
      </c>
    </row>
    <row r="1341" spans="1:17">
      <c r="A1341" t="s">
        <v>1351</v>
      </c>
      <c r="B1341" s="2">
        <v>45629</v>
      </c>
      <c r="C1341">
        <v>4010</v>
      </c>
      <c r="D1341" t="s">
        <v>2016</v>
      </c>
      <c r="E1341">
        <v>0</v>
      </c>
      <c r="F1341">
        <v>4992.45</v>
      </c>
      <c r="G1341" t="s">
        <v>2018</v>
      </c>
      <c r="H1341" t="s">
        <v>2023</v>
      </c>
      <c r="I1341" t="s">
        <v>3367</v>
      </c>
      <c r="J1341" t="s">
        <v>4032</v>
      </c>
      <c r="K1341" t="s">
        <v>4056</v>
      </c>
      <c r="L1341">
        <v>4992.45</v>
      </c>
      <c r="N1341">
        <f t="shared" si="60"/>
        <v>4992.45</v>
      </c>
      <c r="O1341" t="s">
        <v>4104</v>
      </c>
      <c r="P1341" t="str">
        <f t="shared" si="61"/>
        <v xml:space="preserve"> </v>
      </c>
      <c r="Q1341" t="str">
        <f t="shared" si="62"/>
        <v>Favorable</v>
      </c>
    </row>
    <row r="1342" spans="1:17">
      <c r="A1342" t="s">
        <v>1352</v>
      </c>
      <c r="B1342" s="2">
        <v>45591</v>
      </c>
      <c r="C1342">
        <v>5000</v>
      </c>
      <c r="D1342" t="s">
        <v>2013</v>
      </c>
      <c r="E1342">
        <v>1949.81</v>
      </c>
      <c r="F1342">
        <v>0</v>
      </c>
      <c r="G1342" t="s">
        <v>2018</v>
      </c>
      <c r="H1342" t="s">
        <v>2026</v>
      </c>
      <c r="I1342" t="s">
        <v>3368</v>
      </c>
      <c r="J1342" t="s">
        <v>4029</v>
      </c>
      <c r="K1342" t="s">
        <v>4059</v>
      </c>
      <c r="L1342">
        <v>-1949.81</v>
      </c>
      <c r="N1342">
        <f t="shared" si="60"/>
        <v>-1949.81</v>
      </c>
      <c r="O1342" t="s">
        <v>4104</v>
      </c>
      <c r="P1342" t="str">
        <f t="shared" si="61"/>
        <v xml:space="preserve"> </v>
      </c>
      <c r="Q1342" t="str">
        <f t="shared" si="62"/>
        <v>Unfavorable</v>
      </c>
    </row>
    <row r="1343" spans="1:17">
      <c r="A1343" t="s">
        <v>1353</v>
      </c>
      <c r="B1343" s="2">
        <v>45620</v>
      </c>
      <c r="C1343">
        <v>5010</v>
      </c>
      <c r="D1343" t="s">
        <v>2015</v>
      </c>
      <c r="E1343">
        <v>733.3</v>
      </c>
      <c r="F1343">
        <v>0</v>
      </c>
      <c r="G1343" t="s">
        <v>2018</v>
      </c>
      <c r="H1343" t="s">
        <v>2024</v>
      </c>
      <c r="I1343" t="s">
        <v>3369</v>
      </c>
      <c r="J1343" t="s">
        <v>4029</v>
      </c>
      <c r="K1343" t="s">
        <v>4043</v>
      </c>
      <c r="L1343">
        <v>-733.3</v>
      </c>
      <c r="N1343">
        <f t="shared" si="60"/>
        <v>-733.3</v>
      </c>
      <c r="O1343" t="s">
        <v>4104</v>
      </c>
      <c r="P1343" t="str">
        <f t="shared" si="61"/>
        <v xml:space="preserve"> </v>
      </c>
      <c r="Q1343" t="str">
        <f t="shared" si="62"/>
        <v>Unfavorable</v>
      </c>
    </row>
    <row r="1344" spans="1:17">
      <c r="A1344" t="s">
        <v>1354</v>
      </c>
      <c r="B1344" s="2">
        <v>45647</v>
      </c>
      <c r="C1344">
        <v>5000</v>
      </c>
      <c r="D1344" t="s">
        <v>2013</v>
      </c>
      <c r="E1344">
        <v>1405.39</v>
      </c>
      <c r="F1344">
        <v>0</v>
      </c>
      <c r="G1344" t="s">
        <v>2017</v>
      </c>
      <c r="H1344" t="s">
        <v>2023</v>
      </c>
      <c r="I1344" t="s">
        <v>3370</v>
      </c>
      <c r="J1344" t="s">
        <v>4031</v>
      </c>
      <c r="K1344" t="s">
        <v>4056</v>
      </c>
      <c r="L1344">
        <v>-1405.39</v>
      </c>
      <c r="N1344">
        <f t="shared" si="60"/>
        <v>-1405.39</v>
      </c>
      <c r="O1344" t="s">
        <v>4104</v>
      </c>
      <c r="P1344" t="str">
        <f t="shared" si="61"/>
        <v xml:space="preserve"> </v>
      </c>
      <c r="Q1344" t="str">
        <f t="shared" si="62"/>
        <v>Unfavorable</v>
      </c>
    </row>
    <row r="1345" spans="1:17">
      <c r="A1345" t="s">
        <v>1355</v>
      </c>
      <c r="B1345" s="2">
        <v>45197</v>
      </c>
      <c r="C1345">
        <v>4000</v>
      </c>
      <c r="D1345" t="s">
        <v>2012</v>
      </c>
      <c r="E1345">
        <v>0</v>
      </c>
      <c r="F1345">
        <v>599.19000000000005</v>
      </c>
      <c r="G1345" t="s">
        <v>2017</v>
      </c>
      <c r="H1345" t="s">
        <v>2027</v>
      </c>
      <c r="I1345" t="s">
        <v>3371</v>
      </c>
      <c r="J1345" t="s">
        <v>4029</v>
      </c>
      <c r="K1345" t="s">
        <v>4036</v>
      </c>
      <c r="L1345">
        <v>599.19000000000005</v>
      </c>
      <c r="N1345">
        <f t="shared" si="60"/>
        <v>599.19000000000005</v>
      </c>
      <c r="O1345" t="s">
        <v>4104</v>
      </c>
      <c r="P1345" t="str">
        <f t="shared" si="61"/>
        <v xml:space="preserve"> </v>
      </c>
      <c r="Q1345" t="str">
        <f t="shared" si="62"/>
        <v>Favorable</v>
      </c>
    </row>
    <row r="1346" spans="1:17">
      <c r="A1346" t="s">
        <v>1356</v>
      </c>
      <c r="B1346" s="2">
        <v>45495</v>
      </c>
      <c r="C1346">
        <v>4010</v>
      </c>
      <c r="D1346" t="s">
        <v>2016</v>
      </c>
      <c r="E1346">
        <v>0</v>
      </c>
      <c r="F1346">
        <v>872.03</v>
      </c>
      <c r="G1346" t="s">
        <v>2022</v>
      </c>
      <c r="H1346" t="s">
        <v>2025</v>
      </c>
      <c r="I1346" t="s">
        <v>3372</v>
      </c>
      <c r="J1346" t="s">
        <v>4028</v>
      </c>
      <c r="K1346" t="s">
        <v>4054</v>
      </c>
      <c r="L1346">
        <v>872.03</v>
      </c>
      <c r="N1346">
        <f t="shared" si="60"/>
        <v>872.03</v>
      </c>
      <c r="O1346" t="s">
        <v>4104</v>
      </c>
      <c r="P1346" t="str">
        <f t="shared" si="61"/>
        <v xml:space="preserve"> </v>
      </c>
      <c r="Q1346" t="str">
        <f t="shared" si="62"/>
        <v>Favorable</v>
      </c>
    </row>
    <row r="1347" spans="1:17">
      <c r="A1347" t="s">
        <v>1357</v>
      </c>
      <c r="B1347" s="2">
        <v>45061</v>
      </c>
      <c r="C1347">
        <v>4000</v>
      </c>
      <c r="D1347" t="s">
        <v>2012</v>
      </c>
      <c r="E1347">
        <v>0</v>
      </c>
      <c r="F1347">
        <v>3873.21</v>
      </c>
      <c r="G1347" t="s">
        <v>2019</v>
      </c>
      <c r="H1347" t="s">
        <v>2025</v>
      </c>
      <c r="I1347" t="s">
        <v>3373</v>
      </c>
      <c r="J1347" t="s">
        <v>4030</v>
      </c>
      <c r="K1347" t="s">
        <v>4062</v>
      </c>
      <c r="L1347">
        <v>3873.21</v>
      </c>
      <c r="N1347">
        <f t="shared" ref="N1347:N1410" si="63">L:L-M:M</f>
        <v>3873.21</v>
      </c>
      <c r="O1347" t="s">
        <v>4104</v>
      </c>
      <c r="P1347" t="str">
        <f t="shared" ref="P1347:P1410" si="64">IF(AND(ABS(N:N)&gt;10000,M:M&lt;&gt;0),"Material", " ")</f>
        <v xml:space="preserve"> </v>
      </c>
      <c r="Q1347" t="str">
        <f t="shared" ref="Q1347:Q1410" si="65">IF(N:N&gt;0,"Favorable","Unfavorable")</f>
        <v>Favorable</v>
      </c>
    </row>
    <row r="1348" spans="1:17">
      <c r="A1348" t="s">
        <v>1358</v>
      </c>
      <c r="B1348" s="2">
        <v>45833</v>
      </c>
      <c r="C1348">
        <v>5010</v>
      </c>
      <c r="D1348" t="s">
        <v>2015</v>
      </c>
      <c r="E1348">
        <v>122.84</v>
      </c>
      <c r="F1348">
        <v>0</v>
      </c>
      <c r="G1348" t="s">
        <v>2019</v>
      </c>
      <c r="H1348" t="s">
        <v>2027</v>
      </c>
      <c r="I1348" t="s">
        <v>3374</v>
      </c>
      <c r="J1348" t="s">
        <v>4031</v>
      </c>
      <c r="K1348" t="s">
        <v>4052</v>
      </c>
      <c r="L1348">
        <v>-122.84</v>
      </c>
      <c r="N1348">
        <f t="shared" si="63"/>
        <v>-122.84</v>
      </c>
      <c r="O1348" t="s">
        <v>4104</v>
      </c>
      <c r="P1348" t="str">
        <f t="shared" si="64"/>
        <v xml:space="preserve"> </v>
      </c>
      <c r="Q1348" t="str">
        <f t="shared" si="65"/>
        <v>Unfavorable</v>
      </c>
    </row>
    <row r="1349" spans="1:17">
      <c r="A1349" t="s">
        <v>1359</v>
      </c>
      <c r="B1349" s="2">
        <v>45698</v>
      </c>
      <c r="C1349">
        <v>4010</v>
      </c>
      <c r="D1349" t="s">
        <v>2016</v>
      </c>
      <c r="E1349">
        <v>0</v>
      </c>
      <c r="F1349">
        <v>1039.28</v>
      </c>
      <c r="G1349" t="s">
        <v>2022</v>
      </c>
      <c r="H1349" t="s">
        <v>2027</v>
      </c>
      <c r="I1349" t="s">
        <v>3375</v>
      </c>
      <c r="J1349" t="s">
        <v>4029</v>
      </c>
      <c r="K1349" t="s">
        <v>4061</v>
      </c>
      <c r="L1349">
        <v>1039.28</v>
      </c>
      <c r="N1349">
        <f t="shared" si="63"/>
        <v>1039.28</v>
      </c>
      <c r="O1349" t="s">
        <v>4104</v>
      </c>
      <c r="P1349" t="str">
        <f t="shared" si="64"/>
        <v xml:space="preserve"> </v>
      </c>
      <c r="Q1349" t="str">
        <f t="shared" si="65"/>
        <v>Favorable</v>
      </c>
    </row>
    <row r="1350" spans="1:17">
      <c r="A1350" t="s">
        <v>1360</v>
      </c>
      <c r="B1350" s="2">
        <v>45759</v>
      </c>
      <c r="C1350">
        <v>4010</v>
      </c>
      <c r="D1350" t="s">
        <v>2016</v>
      </c>
      <c r="E1350">
        <v>0</v>
      </c>
      <c r="F1350">
        <v>1214.51</v>
      </c>
      <c r="G1350" t="s">
        <v>2020</v>
      </c>
      <c r="H1350" t="s">
        <v>2027</v>
      </c>
      <c r="I1350" t="s">
        <v>3376</v>
      </c>
      <c r="J1350" t="s">
        <v>4028</v>
      </c>
      <c r="K1350" t="s">
        <v>4045</v>
      </c>
      <c r="L1350">
        <v>1214.51</v>
      </c>
      <c r="N1350">
        <f t="shared" si="63"/>
        <v>1214.51</v>
      </c>
      <c r="O1350" t="s">
        <v>4104</v>
      </c>
      <c r="P1350" t="str">
        <f t="shared" si="64"/>
        <v xml:space="preserve"> </v>
      </c>
      <c r="Q1350" t="str">
        <f t="shared" si="65"/>
        <v>Favorable</v>
      </c>
    </row>
    <row r="1351" spans="1:17">
      <c r="A1351" t="s">
        <v>1361</v>
      </c>
      <c r="B1351" s="2">
        <v>45677</v>
      </c>
      <c r="C1351">
        <v>5010</v>
      </c>
      <c r="D1351" t="s">
        <v>2015</v>
      </c>
      <c r="E1351">
        <v>1318.81</v>
      </c>
      <c r="F1351">
        <v>0</v>
      </c>
      <c r="G1351" t="s">
        <v>2020</v>
      </c>
      <c r="H1351" t="s">
        <v>2025</v>
      </c>
      <c r="I1351" t="s">
        <v>3377</v>
      </c>
      <c r="J1351" t="s">
        <v>4030</v>
      </c>
      <c r="K1351" t="s">
        <v>4035</v>
      </c>
      <c r="L1351">
        <v>-1318.81</v>
      </c>
      <c r="N1351">
        <f t="shared" si="63"/>
        <v>-1318.81</v>
      </c>
      <c r="O1351" t="s">
        <v>4104</v>
      </c>
      <c r="P1351" t="str">
        <f t="shared" si="64"/>
        <v xml:space="preserve"> </v>
      </c>
      <c r="Q1351" t="str">
        <f t="shared" si="65"/>
        <v>Unfavorable</v>
      </c>
    </row>
    <row r="1352" spans="1:17">
      <c r="A1352" t="s">
        <v>1362</v>
      </c>
      <c r="B1352" s="2">
        <v>45131</v>
      </c>
      <c r="C1352">
        <v>4010</v>
      </c>
      <c r="D1352" t="s">
        <v>2016</v>
      </c>
      <c r="E1352">
        <v>0</v>
      </c>
      <c r="F1352">
        <v>3395.3</v>
      </c>
      <c r="G1352" t="s">
        <v>2018</v>
      </c>
      <c r="H1352" t="s">
        <v>2024</v>
      </c>
      <c r="I1352" t="s">
        <v>3378</v>
      </c>
      <c r="J1352" t="s">
        <v>4028</v>
      </c>
      <c r="K1352" t="s">
        <v>4050</v>
      </c>
      <c r="L1352">
        <v>3395.3</v>
      </c>
      <c r="N1352">
        <f t="shared" si="63"/>
        <v>3395.3</v>
      </c>
      <c r="O1352" t="s">
        <v>4104</v>
      </c>
      <c r="P1352" t="str">
        <f t="shared" si="64"/>
        <v xml:space="preserve"> </v>
      </c>
      <c r="Q1352" t="str">
        <f t="shared" si="65"/>
        <v>Favorable</v>
      </c>
    </row>
    <row r="1353" spans="1:17">
      <c r="A1353" t="s">
        <v>1363</v>
      </c>
      <c r="B1353" s="2">
        <v>45562</v>
      </c>
      <c r="C1353">
        <v>6000</v>
      </c>
      <c r="D1353" t="s">
        <v>2014</v>
      </c>
      <c r="E1353">
        <v>1554.18</v>
      </c>
      <c r="F1353">
        <v>0</v>
      </c>
      <c r="G1353" t="s">
        <v>2022</v>
      </c>
      <c r="H1353" t="s">
        <v>2024</v>
      </c>
      <c r="I1353" t="s">
        <v>3379</v>
      </c>
      <c r="J1353" t="s">
        <v>4030</v>
      </c>
      <c r="K1353" t="s">
        <v>4048</v>
      </c>
      <c r="L1353">
        <v>-1554.18</v>
      </c>
      <c r="N1353">
        <f t="shared" si="63"/>
        <v>-1554.18</v>
      </c>
      <c r="O1353" t="s">
        <v>4104</v>
      </c>
      <c r="P1353" t="str">
        <f t="shared" si="64"/>
        <v xml:space="preserve"> </v>
      </c>
      <c r="Q1353" t="str">
        <f t="shared" si="65"/>
        <v>Unfavorable</v>
      </c>
    </row>
    <row r="1354" spans="1:17">
      <c r="A1354" t="s">
        <v>1364</v>
      </c>
      <c r="B1354" s="2">
        <v>45619</v>
      </c>
      <c r="C1354">
        <v>4000</v>
      </c>
      <c r="D1354" t="s">
        <v>2012</v>
      </c>
      <c r="E1354">
        <v>0</v>
      </c>
      <c r="F1354">
        <v>4613.7</v>
      </c>
      <c r="G1354" t="s">
        <v>2017</v>
      </c>
      <c r="H1354" t="s">
        <v>2024</v>
      </c>
      <c r="I1354" t="s">
        <v>3380</v>
      </c>
      <c r="J1354" t="s">
        <v>4031</v>
      </c>
      <c r="K1354" t="s">
        <v>4043</v>
      </c>
      <c r="L1354">
        <v>4613.7</v>
      </c>
      <c r="N1354">
        <f t="shared" si="63"/>
        <v>4613.7</v>
      </c>
      <c r="O1354" t="s">
        <v>4104</v>
      </c>
      <c r="P1354" t="str">
        <f t="shared" si="64"/>
        <v xml:space="preserve"> </v>
      </c>
      <c r="Q1354" t="str">
        <f t="shared" si="65"/>
        <v>Favorable</v>
      </c>
    </row>
    <row r="1355" spans="1:17">
      <c r="A1355" t="s">
        <v>1365</v>
      </c>
      <c r="B1355" s="2">
        <v>45838</v>
      </c>
      <c r="C1355">
        <v>5010</v>
      </c>
      <c r="D1355" t="s">
        <v>2015</v>
      </c>
      <c r="E1355">
        <v>803.03</v>
      </c>
      <c r="F1355">
        <v>0</v>
      </c>
      <c r="G1355" t="s">
        <v>2021</v>
      </c>
      <c r="H1355" t="s">
        <v>2026</v>
      </c>
      <c r="I1355" t="s">
        <v>3381</v>
      </c>
      <c r="J1355" t="s">
        <v>4032</v>
      </c>
      <c r="K1355" t="s">
        <v>4052</v>
      </c>
      <c r="L1355">
        <v>-803.03</v>
      </c>
      <c r="N1355">
        <f t="shared" si="63"/>
        <v>-803.03</v>
      </c>
      <c r="O1355" t="s">
        <v>4104</v>
      </c>
      <c r="P1355" t="str">
        <f t="shared" si="64"/>
        <v xml:space="preserve"> </v>
      </c>
      <c r="Q1355" t="str">
        <f t="shared" si="65"/>
        <v>Unfavorable</v>
      </c>
    </row>
    <row r="1356" spans="1:17">
      <c r="A1356" t="s">
        <v>1366</v>
      </c>
      <c r="B1356" s="2">
        <v>45795</v>
      </c>
      <c r="C1356">
        <v>5010</v>
      </c>
      <c r="D1356" t="s">
        <v>2015</v>
      </c>
      <c r="E1356">
        <v>1564.19</v>
      </c>
      <c r="F1356">
        <v>0</v>
      </c>
      <c r="G1356" t="s">
        <v>2017</v>
      </c>
      <c r="H1356" t="s">
        <v>2026</v>
      </c>
      <c r="I1356" t="s">
        <v>3382</v>
      </c>
      <c r="J1356" t="s">
        <v>4032</v>
      </c>
      <c r="K1356" t="s">
        <v>4038</v>
      </c>
      <c r="L1356">
        <v>-1564.19</v>
      </c>
      <c r="N1356">
        <f t="shared" si="63"/>
        <v>-1564.19</v>
      </c>
      <c r="O1356" t="s">
        <v>4104</v>
      </c>
      <c r="P1356" t="str">
        <f t="shared" si="64"/>
        <v xml:space="preserve"> </v>
      </c>
      <c r="Q1356" t="str">
        <f t="shared" si="65"/>
        <v>Unfavorable</v>
      </c>
    </row>
    <row r="1357" spans="1:17">
      <c r="A1357" t="s">
        <v>1367</v>
      </c>
      <c r="B1357" s="2">
        <v>45675</v>
      </c>
      <c r="C1357">
        <v>6000</v>
      </c>
      <c r="D1357" t="s">
        <v>2014</v>
      </c>
      <c r="E1357">
        <v>1942.89</v>
      </c>
      <c r="F1357">
        <v>0</v>
      </c>
      <c r="G1357" t="s">
        <v>2017</v>
      </c>
      <c r="H1357" t="s">
        <v>2027</v>
      </c>
      <c r="I1357" t="s">
        <v>3383</v>
      </c>
      <c r="J1357" t="s">
        <v>4031</v>
      </c>
      <c r="K1357" t="s">
        <v>4035</v>
      </c>
      <c r="L1357">
        <v>-1942.89</v>
      </c>
      <c r="N1357">
        <f t="shared" si="63"/>
        <v>-1942.89</v>
      </c>
      <c r="O1357" t="s">
        <v>4104</v>
      </c>
      <c r="P1357" t="str">
        <f t="shared" si="64"/>
        <v xml:space="preserve"> </v>
      </c>
      <c r="Q1357" t="str">
        <f t="shared" si="65"/>
        <v>Unfavorable</v>
      </c>
    </row>
    <row r="1358" spans="1:17">
      <c r="A1358" t="s">
        <v>1368</v>
      </c>
      <c r="B1358" s="2">
        <v>45578</v>
      </c>
      <c r="C1358">
        <v>4000</v>
      </c>
      <c r="D1358" t="s">
        <v>2012</v>
      </c>
      <c r="E1358">
        <v>0</v>
      </c>
      <c r="F1358">
        <v>4122.6000000000004</v>
      </c>
      <c r="G1358" t="s">
        <v>2019</v>
      </c>
      <c r="H1358" t="s">
        <v>2026</v>
      </c>
      <c r="I1358" t="s">
        <v>3384</v>
      </c>
      <c r="J1358" t="s">
        <v>4028</v>
      </c>
      <c r="K1358" t="s">
        <v>4059</v>
      </c>
      <c r="L1358">
        <v>4122.6000000000004</v>
      </c>
      <c r="N1358">
        <f t="shared" si="63"/>
        <v>4122.6000000000004</v>
      </c>
      <c r="O1358" t="s">
        <v>4104</v>
      </c>
      <c r="P1358" t="str">
        <f t="shared" si="64"/>
        <v xml:space="preserve"> </v>
      </c>
      <c r="Q1358" t="str">
        <f t="shared" si="65"/>
        <v>Favorable</v>
      </c>
    </row>
    <row r="1359" spans="1:17">
      <c r="A1359" t="s">
        <v>1369</v>
      </c>
      <c r="B1359" s="2">
        <v>45667</v>
      </c>
      <c r="C1359">
        <v>4010</v>
      </c>
      <c r="D1359" t="s">
        <v>2016</v>
      </c>
      <c r="E1359">
        <v>0</v>
      </c>
      <c r="F1359">
        <v>3139.71</v>
      </c>
      <c r="G1359" t="s">
        <v>2019</v>
      </c>
      <c r="H1359" t="s">
        <v>2027</v>
      </c>
      <c r="I1359" t="s">
        <v>3385</v>
      </c>
      <c r="J1359" t="s">
        <v>4029</v>
      </c>
      <c r="K1359" t="s">
        <v>4035</v>
      </c>
      <c r="L1359">
        <v>3139.71</v>
      </c>
      <c r="N1359">
        <f t="shared" si="63"/>
        <v>3139.71</v>
      </c>
      <c r="O1359" t="s">
        <v>4104</v>
      </c>
      <c r="P1359" t="str">
        <f t="shared" si="64"/>
        <v xml:space="preserve"> </v>
      </c>
      <c r="Q1359" t="str">
        <f t="shared" si="65"/>
        <v>Favorable</v>
      </c>
    </row>
    <row r="1360" spans="1:17">
      <c r="A1360" t="s">
        <v>1370</v>
      </c>
      <c r="B1360" s="2">
        <v>45058</v>
      </c>
      <c r="C1360">
        <v>5010</v>
      </c>
      <c r="D1360" t="s">
        <v>2015</v>
      </c>
      <c r="E1360">
        <v>168.07</v>
      </c>
      <c r="F1360">
        <v>0</v>
      </c>
      <c r="G1360" t="s">
        <v>2018</v>
      </c>
      <c r="H1360" t="s">
        <v>2023</v>
      </c>
      <c r="I1360" t="s">
        <v>3386</v>
      </c>
      <c r="J1360" t="s">
        <v>4032</v>
      </c>
      <c r="K1360" t="s">
        <v>4062</v>
      </c>
      <c r="L1360">
        <v>-168.07</v>
      </c>
      <c r="N1360">
        <f t="shared" si="63"/>
        <v>-168.07</v>
      </c>
      <c r="O1360" t="s">
        <v>4104</v>
      </c>
      <c r="P1360" t="str">
        <f t="shared" si="64"/>
        <v xml:space="preserve"> </v>
      </c>
      <c r="Q1360" t="str">
        <f t="shared" si="65"/>
        <v>Unfavorable</v>
      </c>
    </row>
    <row r="1361" spans="1:17">
      <c r="A1361" t="s">
        <v>1371</v>
      </c>
      <c r="B1361" s="2">
        <v>44975</v>
      </c>
      <c r="C1361">
        <v>4000</v>
      </c>
      <c r="D1361" t="s">
        <v>2012</v>
      </c>
      <c r="E1361">
        <v>0</v>
      </c>
      <c r="F1361">
        <v>2067.23</v>
      </c>
      <c r="G1361" t="s">
        <v>2019</v>
      </c>
      <c r="H1361" t="s">
        <v>2026</v>
      </c>
      <c r="I1361" t="s">
        <v>3387</v>
      </c>
      <c r="J1361" t="s">
        <v>4028</v>
      </c>
      <c r="K1361" t="s">
        <v>4057</v>
      </c>
      <c r="L1361">
        <v>2067.23</v>
      </c>
      <c r="N1361">
        <f t="shared" si="63"/>
        <v>2067.23</v>
      </c>
      <c r="O1361" t="s">
        <v>4104</v>
      </c>
      <c r="P1361" t="str">
        <f t="shared" si="64"/>
        <v xml:space="preserve"> </v>
      </c>
      <c r="Q1361" t="str">
        <f t="shared" si="65"/>
        <v>Favorable</v>
      </c>
    </row>
    <row r="1362" spans="1:17">
      <c r="A1362" t="s">
        <v>1372</v>
      </c>
      <c r="B1362" s="2">
        <v>45837</v>
      </c>
      <c r="C1362">
        <v>5010</v>
      </c>
      <c r="D1362" t="s">
        <v>2015</v>
      </c>
      <c r="E1362">
        <v>364.93</v>
      </c>
      <c r="F1362">
        <v>0</v>
      </c>
      <c r="G1362" t="s">
        <v>2022</v>
      </c>
      <c r="H1362" t="s">
        <v>2026</v>
      </c>
      <c r="I1362" t="s">
        <v>3388</v>
      </c>
      <c r="J1362" t="s">
        <v>4031</v>
      </c>
      <c r="K1362" t="s">
        <v>4052</v>
      </c>
      <c r="L1362">
        <v>-364.93</v>
      </c>
      <c r="N1362">
        <f t="shared" si="63"/>
        <v>-364.93</v>
      </c>
      <c r="O1362" t="s">
        <v>4104</v>
      </c>
      <c r="P1362" t="str">
        <f t="shared" si="64"/>
        <v xml:space="preserve"> </v>
      </c>
      <c r="Q1362" t="str">
        <f t="shared" si="65"/>
        <v>Unfavorable</v>
      </c>
    </row>
    <row r="1363" spans="1:17">
      <c r="A1363" t="s">
        <v>1373</v>
      </c>
      <c r="B1363" s="2">
        <v>45694</v>
      </c>
      <c r="C1363">
        <v>5000</v>
      </c>
      <c r="D1363" t="s">
        <v>2013</v>
      </c>
      <c r="E1363">
        <v>488.16</v>
      </c>
      <c r="F1363">
        <v>0</v>
      </c>
      <c r="G1363" t="s">
        <v>2020</v>
      </c>
      <c r="H1363" t="s">
        <v>2023</v>
      </c>
      <c r="I1363" t="s">
        <v>3389</v>
      </c>
      <c r="J1363" t="s">
        <v>4028</v>
      </c>
      <c r="K1363" t="s">
        <v>4061</v>
      </c>
      <c r="L1363">
        <v>-488.16</v>
      </c>
      <c r="N1363">
        <f t="shared" si="63"/>
        <v>-488.16</v>
      </c>
      <c r="O1363" t="s">
        <v>4104</v>
      </c>
      <c r="P1363" t="str">
        <f t="shared" si="64"/>
        <v xml:space="preserve"> </v>
      </c>
      <c r="Q1363" t="str">
        <f t="shared" si="65"/>
        <v>Unfavorable</v>
      </c>
    </row>
    <row r="1364" spans="1:17">
      <c r="A1364" t="s">
        <v>1374</v>
      </c>
      <c r="B1364" s="2">
        <v>44968</v>
      </c>
      <c r="C1364">
        <v>5000</v>
      </c>
      <c r="D1364" t="s">
        <v>2013</v>
      </c>
      <c r="E1364">
        <v>506.43</v>
      </c>
      <c r="F1364">
        <v>0</v>
      </c>
      <c r="G1364" t="s">
        <v>2022</v>
      </c>
      <c r="H1364" t="s">
        <v>2027</v>
      </c>
      <c r="I1364" t="s">
        <v>3390</v>
      </c>
      <c r="J1364" t="s">
        <v>4031</v>
      </c>
      <c r="K1364" t="s">
        <v>4057</v>
      </c>
      <c r="L1364">
        <v>-506.43</v>
      </c>
      <c r="N1364">
        <f t="shared" si="63"/>
        <v>-506.43</v>
      </c>
      <c r="O1364" t="s">
        <v>4104</v>
      </c>
      <c r="P1364" t="str">
        <f t="shared" si="64"/>
        <v xml:space="preserve"> </v>
      </c>
      <c r="Q1364" t="str">
        <f t="shared" si="65"/>
        <v>Unfavorable</v>
      </c>
    </row>
    <row r="1365" spans="1:17">
      <c r="A1365" t="s">
        <v>1375</v>
      </c>
      <c r="B1365" s="2">
        <v>45498</v>
      </c>
      <c r="C1365">
        <v>5000</v>
      </c>
      <c r="D1365" t="s">
        <v>2013</v>
      </c>
      <c r="E1365">
        <v>517.6</v>
      </c>
      <c r="F1365">
        <v>0</v>
      </c>
      <c r="G1365" t="s">
        <v>2018</v>
      </c>
      <c r="H1365" t="s">
        <v>2025</v>
      </c>
      <c r="I1365" t="s">
        <v>3391</v>
      </c>
      <c r="J1365" t="s">
        <v>4029</v>
      </c>
      <c r="K1365" t="s">
        <v>4054</v>
      </c>
      <c r="L1365">
        <v>-517.6</v>
      </c>
      <c r="N1365">
        <f t="shared" si="63"/>
        <v>-517.6</v>
      </c>
      <c r="O1365" t="s">
        <v>4104</v>
      </c>
      <c r="P1365" t="str">
        <f t="shared" si="64"/>
        <v xml:space="preserve"> </v>
      </c>
      <c r="Q1365" t="str">
        <f t="shared" si="65"/>
        <v>Unfavorable</v>
      </c>
    </row>
    <row r="1366" spans="1:17">
      <c r="A1366" t="s">
        <v>1376</v>
      </c>
      <c r="B1366" s="2">
        <v>45279</v>
      </c>
      <c r="C1366">
        <v>6000</v>
      </c>
      <c r="D1366" t="s">
        <v>2014</v>
      </c>
      <c r="E1366">
        <v>846.47</v>
      </c>
      <c r="F1366">
        <v>0</v>
      </c>
      <c r="G1366" t="s">
        <v>2019</v>
      </c>
      <c r="H1366" t="s">
        <v>2026</v>
      </c>
      <c r="I1366" t="s">
        <v>3392</v>
      </c>
      <c r="J1366" t="s">
        <v>4030</v>
      </c>
      <c r="K1366" t="s">
        <v>4039</v>
      </c>
      <c r="L1366">
        <v>-846.47</v>
      </c>
      <c r="N1366">
        <f t="shared" si="63"/>
        <v>-846.47</v>
      </c>
      <c r="O1366" t="s">
        <v>4104</v>
      </c>
      <c r="P1366" t="str">
        <f t="shared" si="64"/>
        <v xml:space="preserve"> </v>
      </c>
      <c r="Q1366" t="str">
        <f t="shared" si="65"/>
        <v>Unfavorable</v>
      </c>
    </row>
    <row r="1367" spans="1:17">
      <c r="A1367" t="s">
        <v>1377</v>
      </c>
      <c r="B1367" s="2">
        <v>45007</v>
      </c>
      <c r="C1367">
        <v>4010</v>
      </c>
      <c r="D1367" t="s">
        <v>2016</v>
      </c>
      <c r="E1367">
        <v>0</v>
      </c>
      <c r="F1367">
        <v>998.83</v>
      </c>
      <c r="G1367" t="s">
        <v>2022</v>
      </c>
      <c r="H1367" t="s">
        <v>2027</v>
      </c>
      <c r="I1367" t="s">
        <v>3393</v>
      </c>
      <c r="J1367" t="s">
        <v>4031</v>
      </c>
      <c r="K1367" t="s">
        <v>4051</v>
      </c>
      <c r="L1367">
        <v>998.83</v>
      </c>
      <c r="N1367">
        <f t="shared" si="63"/>
        <v>998.83</v>
      </c>
      <c r="O1367" t="s">
        <v>4104</v>
      </c>
      <c r="P1367" t="str">
        <f t="shared" si="64"/>
        <v xml:space="preserve"> </v>
      </c>
      <c r="Q1367" t="str">
        <f t="shared" si="65"/>
        <v>Favorable</v>
      </c>
    </row>
    <row r="1368" spans="1:17">
      <c r="A1368" t="s">
        <v>1378</v>
      </c>
      <c r="B1368" s="2">
        <v>45268</v>
      </c>
      <c r="C1368">
        <v>5010</v>
      </c>
      <c r="D1368" t="s">
        <v>2015</v>
      </c>
      <c r="E1368">
        <v>714.9</v>
      </c>
      <c r="F1368">
        <v>0</v>
      </c>
      <c r="G1368" t="s">
        <v>2017</v>
      </c>
      <c r="H1368" t="s">
        <v>2023</v>
      </c>
      <c r="I1368" t="s">
        <v>3394</v>
      </c>
      <c r="J1368" t="s">
        <v>4028</v>
      </c>
      <c r="K1368" t="s">
        <v>4039</v>
      </c>
      <c r="L1368">
        <v>-714.9</v>
      </c>
      <c r="N1368">
        <f t="shared" si="63"/>
        <v>-714.9</v>
      </c>
      <c r="O1368" t="s">
        <v>4104</v>
      </c>
      <c r="P1368" t="str">
        <f t="shared" si="64"/>
        <v xml:space="preserve"> </v>
      </c>
      <c r="Q1368" t="str">
        <f t="shared" si="65"/>
        <v>Unfavorable</v>
      </c>
    </row>
    <row r="1369" spans="1:17">
      <c r="A1369" t="s">
        <v>1379</v>
      </c>
      <c r="B1369" s="2">
        <v>45261</v>
      </c>
      <c r="C1369">
        <v>4010</v>
      </c>
      <c r="D1369" t="s">
        <v>2016</v>
      </c>
      <c r="E1369">
        <v>0</v>
      </c>
      <c r="F1369">
        <v>1049.58</v>
      </c>
      <c r="G1369" t="s">
        <v>2019</v>
      </c>
      <c r="H1369" t="s">
        <v>2023</v>
      </c>
      <c r="I1369" t="s">
        <v>3395</v>
      </c>
      <c r="J1369" t="s">
        <v>4030</v>
      </c>
      <c r="K1369" t="s">
        <v>4039</v>
      </c>
      <c r="L1369">
        <v>1049.58</v>
      </c>
      <c r="N1369">
        <f t="shared" si="63"/>
        <v>1049.58</v>
      </c>
      <c r="O1369" t="s">
        <v>4104</v>
      </c>
      <c r="P1369" t="str">
        <f t="shared" si="64"/>
        <v xml:space="preserve"> </v>
      </c>
      <c r="Q1369" t="str">
        <f t="shared" si="65"/>
        <v>Favorable</v>
      </c>
    </row>
    <row r="1370" spans="1:17">
      <c r="A1370" t="s">
        <v>1380</v>
      </c>
      <c r="B1370" s="2">
        <v>44943</v>
      </c>
      <c r="C1370">
        <v>5010</v>
      </c>
      <c r="D1370" t="s">
        <v>2015</v>
      </c>
      <c r="E1370">
        <v>1962.1</v>
      </c>
      <c r="F1370">
        <v>0</v>
      </c>
      <c r="G1370" t="s">
        <v>2017</v>
      </c>
      <c r="H1370" t="s">
        <v>2027</v>
      </c>
      <c r="I1370" t="s">
        <v>3396</v>
      </c>
      <c r="J1370" t="s">
        <v>4031</v>
      </c>
      <c r="K1370" t="s">
        <v>4047</v>
      </c>
      <c r="L1370">
        <v>-1962.1</v>
      </c>
      <c r="N1370">
        <f t="shared" si="63"/>
        <v>-1962.1</v>
      </c>
      <c r="O1370" t="s">
        <v>4104</v>
      </c>
      <c r="P1370" t="str">
        <f t="shared" si="64"/>
        <v xml:space="preserve"> </v>
      </c>
      <c r="Q1370" t="str">
        <f t="shared" si="65"/>
        <v>Unfavorable</v>
      </c>
    </row>
    <row r="1371" spans="1:17">
      <c r="A1371" t="s">
        <v>1381</v>
      </c>
      <c r="B1371" s="2">
        <v>44946</v>
      </c>
      <c r="C1371">
        <v>5000</v>
      </c>
      <c r="D1371" t="s">
        <v>2013</v>
      </c>
      <c r="E1371">
        <v>773.23</v>
      </c>
      <c r="F1371">
        <v>0</v>
      </c>
      <c r="G1371" t="s">
        <v>2022</v>
      </c>
      <c r="H1371" t="s">
        <v>2024</v>
      </c>
      <c r="I1371" t="s">
        <v>3397</v>
      </c>
      <c r="J1371" t="s">
        <v>4032</v>
      </c>
      <c r="K1371" t="s">
        <v>4047</v>
      </c>
      <c r="L1371">
        <v>-773.23</v>
      </c>
      <c r="N1371">
        <f t="shared" si="63"/>
        <v>-773.23</v>
      </c>
      <c r="O1371" t="s">
        <v>4104</v>
      </c>
      <c r="P1371" t="str">
        <f t="shared" si="64"/>
        <v xml:space="preserve"> </v>
      </c>
      <c r="Q1371" t="str">
        <f t="shared" si="65"/>
        <v>Unfavorable</v>
      </c>
    </row>
    <row r="1372" spans="1:17">
      <c r="A1372" t="s">
        <v>1382</v>
      </c>
      <c r="B1372" s="2">
        <v>45804</v>
      </c>
      <c r="C1372">
        <v>5010</v>
      </c>
      <c r="D1372" t="s">
        <v>2015</v>
      </c>
      <c r="E1372">
        <v>485.53</v>
      </c>
      <c r="F1372">
        <v>0</v>
      </c>
      <c r="G1372" t="s">
        <v>2020</v>
      </c>
      <c r="H1372" t="s">
        <v>2023</v>
      </c>
      <c r="I1372" t="s">
        <v>3398</v>
      </c>
      <c r="J1372" t="s">
        <v>4028</v>
      </c>
      <c r="K1372" t="s">
        <v>4038</v>
      </c>
      <c r="L1372">
        <v>-485.53</v>
      </c>
      <c r="N1372">
        <f t="shared" si="63"/>
        <v>-485.53</v>
      </c>
      <c r="O1372" t="s">
        <v>4104</v>
      </c>
      <c r="P1372" t="str">
        <f t="shared" si="64"/>
        <v xml:space="preserve"> </v>
      </c>
      <c r="Q1372" t="str">
        <f t="shared" si="65"/>
        <v>Unfavorable</v>
      </c>
    </row>
    <row r="1373" spans="1:17">
      <c r="A1373" t="s">
        <v>1383</v>
      </c>
      <c r="B1373" s="2">
        <v>45360</v>
      </c>
      <c r="C1373">
        <v>4010</v>
      </c>
      <c r="D1373" t="s">
        <v>2016</v>
      </c>
      <c r="E1373">
        <v>0</v>
      </c>
      <c r="F1373">
        <v>586.21</v>
      </c>
      <c r="G1373" t="s">
        <v>2020</v>
      </c>
      <c r="H1373" t="s">
        <v>2025</v>
      </c>
      <c r="I1373" t="s">
        <v>3399</v>
      </c>
      <c r="J1373" t="s">
        <v>4029</v>
      </c>
      <c r="K1373" t="s">
        <v>4049</v>
      </c>
      <c r="L1373">
        <v>586.21</v>
      </c>
      <c r="N1373">
        <f t="shared" si="63"/>
        <v>586.21</v>
      </c>
      <c r="O1373" t="s">
        <v>4104</v>
      </c>
      <c r="P1373" t="str">
        <f t="shared" si="64"/>
        <v xml:space="preserve"> </v>
      </c>
      <c r="Q1373" t="str">
        <f t="shared" si="65"/>
        <v>Favorable</v>
      </c>
    </row>
    <row r="1374" spans="1:17">
      <c r="A1374" t="s">
        <v>1384</v>
      </c>
      <c r="B1374" s="2">
        <v>45744</v>
      </c>
      <c r="C1374">
        <v>4000</v>
      </c>
      <c r="D1374" t="s">
        <v>2012</v>
      </c>
      <c r="E1374">
        <v>0</v>
      </c>
      <c r="F1374">
        <v>1624.21</v>
      </c>
      <c r="G1374" t="s">
        <v>2020</v>
      </c>
      <c r="H1374" t="s">
        <v>2026</v>
      </c>
      <c r="I1374" t="s">
        <v>3400</v>
      </c>
      <c r="J1374" t="s">
        <v>4028</v>
      </c>
      <c r="K1374" t="s">
        <v>4046</v>
      </c>
      <c r="L1374">
        <v>1624.21</v>
      </c>
      <c r="N1374">
        <f t="shared" si="63"/>
        <v>1624.21</v>
      </c>
      <c r="O1374" t="s">
        <v>4104</v>
      </c>
      <c r="P1374" t="str">
        <f t="shared" si="64"/>
        <v xml:space="preserve"> </v>
      </c>
      <c r="Q1374" t="str">
        <f t="shared" si="65"/>
        <v>Favorable</v>
      </c>
    </row>
    <row r="1375" spans="1:17">
      <c r="A1375" t="s">
        <v>1385</v>
      </c>
      <c r="B1375" s="2">
        <v>45089</v>
      </c>
      <c r="C1375">
        <v>5010</v>
      </c>
      <c r="D1375" t="s">
        <v>2015</v>
      </c>
      <c r="E1375">
        <v>680.82</v>
      </c>
      <c r="F1375">
        <v>0</v>
      </c>
      <c r="G1375" t="s">
        <v>2022</v>
      </c>
      <c r="H1375" t="s">
        <v>2027</v>
      </c>
      <c r="I1375" t="s">
        <v>3401</v>
      </c>
      <c r="J1375" t="s">
        <v>4031</v>
      </c>
      <c r="K1375" t="s">
        <v>4055</v>
      </c>
      <c r="L1375">
        <v>-680.82</v>
      </c>
      <c r="N1375">
        <f t="shared" si="63"/>
        <v>-680.82</v>
      </c>
      <c r="O1375" t="s">
        <v>4104</v>
      </c>
      <c r="P1375" t="str">
        <f t="shared" si="64"/>
        <v xml:space="preserve"> </v>
      </c>
      <c r="Q1375" t="str">
        <f t="shared" si="65"/>
        <v>Unfavorable</v>
      </c>
    </row>
    <row r="1376" spans="1:17">
      <c r="A1376" t="s">
        <v>1386</v>
      </c>
      <c r="B1376" s="2">
        <v>45262</v>
      </c>
      <c r="C1376">
        <v>6000</v>
      </c>
      <c r="D1376" t="s">
        <v>2014</v>
      </c>
      <c r="E1376">
        <v>167.34</v>
      </c>
      <c r="F1376">
        <v>0</v>
      </c>
      <c r="G1376" t="s">
        <v>2020</v>
      </c>
      <c r="H1376" t="s">
        <v>2025</v>
      </c>
      <c r="I1376" t="s">
        <v>3402</v>
      </c>
      <c r="J1376" t="s">
        <v>4031</v>
      </c>
      <c r="K1376" t="s">
        <v>4039</v>
      </c>
      <c r="L1376">
        <v>-167.34</v>
      </c>
      <c r="N1376">
        <f t="shared" si="63"/>
        <v>-167.34</v>
      </c>
      <c r="O1376" t="s">
        <v>4104</v>
      </c>
      <c r="P1376" t="str">
        <f t="shared" si="64"/>
        <v xml:space="preserve"> </v>
      </c>
      <c r="Q1376" t="str">
        <f t="shared" si="65"/>
        <v>Unfavorable</v>
      </c>
    </row>
    <row r="1377" spans="1:17">
      <c r="A1377" t="s">
        <v>1387</v>
      </c>
      <c r="B1377" s="2">
        <v>45489</v>
      </c>
      <c r="C1377">
        <v>4000</v>
      </c>
      <c r="D1377" t="s">
        <v>2012</v>
      </c>
      <c r="E1377">
        <v>0</v>
      </c>
      <c r="F1377">
        <v>1929.16</v>
      </c>
      <c r="G1377" t="s">
        <v>2020</v>
      </c>
      <c r="H1377" t="s">
        <v>2026</v>
      </c>
      <c r="I1377" t="s">
        <v>3403</v>
      </c>
      <c r="J1377" t="s">
        <v>4029</v>
      </c>
      <c r="K1377" t="s">
        <v>4054</v>
      </c>
      <c r="L1377">
        <v>1929.16</v>
      </c>
      <c r="N1377">
        <f t="shared" si="63"/>
        <v>1929.16</v>
      </c>
      <c r="O1377" t="s">
        <v>4104</v>
      </c>
      <c r="P1377" t="str">
        <f t="shared" si="64"/>
        <v xml:space="preserve"> </v>
      </c>
      <c r="Q1377" t="str">
        <f t="shared" si="65"/>
        <v>Favorable</v>
      </c>
    </row>
    <row r="1378" spans="1:17">
      <c r="A1378" t="s">
        <v>1388</v>
      </c>
      <c r="B1378" s="2">
        <v>45240</v>
      </c>
      <c r="C1378">
        <v>5010</v>
      </c>
      <c r="D1378" t="s">
        <v>2015</v>
      </c>
      <c r="E1378">
        <v>400.54</v>
      </c>
      <c r="F1378">
        <v>0</v>
      </c>
      <c r="G1378" t="s">
        <v>2020</v>
      </c>
      <c r="H1378" t="s">
        <v>2025</v>
      </c>
      <c r="I1378" t="s">
        <v>3404</v>
      </c>
      <c r="J1378" t="s">
        <v>4029</v>
      </c>
      <c r="K1378" t="s">
        <v>4042</v>
      </c>
      <c r="L1378">
        <v>-400.54</v>
      </c>
      <c r="N1378">
        <f t="shared" si="63"/>
        <v>-400.54</v>
      </c>
      <c r="O1378" t="s">
        <v>4104</v>
      </c>
      <c r="P1378" t="str">
        <f t="shared" si="64"/>
        <v xml:space="preserve"> </v>
      </c>
      <c r="Q1378" t="str">
        <f t="shared" si="65"/>
        <v>Unfavorable</v>
      </c>
    </row>
    <row r="1379" spans="1:17">
      <c r="A1379" t="s">
        <v>1389</v>
      </c>
      <c r="B1379" s="2">
        <v>45397</v>
      </c>
      <c r="C1379">
        <v>4010</v>
      </c>
      <c r="D1379" t="s">
        <v>2016</v>
      </c>
      <c r="E1379">
        <v>0</v>
      </c>
      <c r="F1379">
        <v>1657.49</v>
      </c>
      <c r="G1379" t="s">
        <v>2022</v>
      </c>
      <c r="H1379" t="s">
        <v>2025</v>
      </c>
      <c r="I1379" t="s">
        <v>3405</v>
      </c>
      <c r="J1379" t="s">
        <v>4028</v>
      </c>
      <c r="K1379" t="s">
        <v>4040</v>
      </c>
      <c r="L1379">
        <v>1657.49</v>
      </c>
      <c r="N1379">
        <f t="shared" si="63"/>
        <v>1657.49</v>
      </c>
      <c r="O1379" t="s">
        <v>4104</v>
      </c>
      <c r="P1379" t="str">
        <f t="shared" si="64"/>
        <v xml:space="preserve"> </v>
      </c>
      <c r="Q1379" t="str">
        <f t="shared" si="65"/>
        <v>Favorable</v>
      </c>
    </row>
    <row r="1380" spans="1:17">
      <c r="A1380" t="s">
        <v>1390</v>
      </c>
      <c r="B1380" s="2">
        <v>45388</v>
      </c>
      <c r="C1380">
        <v>4000</v>
      </c>
      <c r="D1380" t="s">
        <v>2012</v>
      </c>
      <c r="E1380">
        <v>0</v>
      </c>
      <c r="F1380">
        <v>1718.15</v>
      </c>
      <c r="G1380" t="s">
        <v>2017</v>
      </c>
      <c r="H1380" t="s">
        <v>2026</v>
      </c>
      <c r="I1380" t="s">
        <v>3406</v>
      </c>
      <c r="J1380" t="s">
        <v>4028</v>
      </c>
      <c r="K1380" t="s">
        <v>4040</v>
      </c>
      <c r="L1380">
        <v>1718.15</v>
      </c>
      <c r="N1380">
        <f t="shared" si="63"/>
        <v>1718.15</v>
      </c>
      <c r="O1380" t="s">
        <v>4104</v>
      </c>
      <c r="P1380" t="str">
        <f t="shared" si="64"/>
        <v xml:space="preserve"> </v>
      </c>
      <c r="Q1380" t="str">
        <f t="shared" si="65"/>
        <v>Favorable</v>
      </c>
    </row>
    <row r="1381" spans="1:17">
      <c r="A1381" t="s">
        <v>1391</v>
      </c>
      <c r="B1381" s="2">
        <v>45824</v>
      </c>
      <c r="C1381">
        <v>4010</v>
      </c>
      <c r="D1381" t="s">
        <v>2016</v>
      </c>
      <c r="E1381">
        <v>0</v>
      </c>
      <c r="F1381">
        <v>3216.06</v>
      </c>
      <c r="G1381" t="s">
        <v>2021</v>
      </c>
      <c r="H1381" t="s">
        <v>2027</v>
      </c>
      <c r="I1381" t="s">
        <v>3407</v>
      </c>
      <c r="J1381" t="s">
        <v>4032</v>
      </c>
      <c r="K1381" t="s">
        <v>4052</v>
      </c>
      <c r="L1381">
        <v>3216.06</v>
      </c>
      <c r="N1381">
        <f t="shared" si="63"/>
        <v>3216.06</v>
      </c>
      <c r="O1381" t="s">
        <v>4104</v>
      </c>
      <c r="P1381" t="str">
        <f t="shared" si="64"/>
        <v xml:space="preserve"> </v>
      </c>
      <c r="Q1381" t="str">
        <f t="shared" si="65"/>
        <v>Favorable</v>
      </c>
    </row>
    <row r="1382" spans="1:17">
      <c r="A1382" t="s">
        <v>1392</v>
      </c>
      <c r="B1382" s="2">
        <v>45065</v>
      </c>
      <c r="C1382">
        <v>4010</v>
      </c>
      <c r="D1382" t="s">
        <v>2016</v>
      </c>
      <c r="E1382">
        <v>0</v>
      </c>
      <c r="F1382">
        <v>3406.43</v>
      </c>
      <c r="G1382" t="s">
        <v>2019</v>
      </c>
      <c r="H1382" t="s">
        <v>2027</v>
      </c>
      <c r="I1382" t="s">
        <v>3408</v>
      </c>
      <c r="J1382" t="s">
        <v>4030</v>
      </c>
      <c r="K1382" t="s">
        <v>4062</v>
      </c>
      <c r="L1382">
        <v>3406.43</v>
      </c>
      <c r="N1382">
        <f t="shared" si="63"/>
        <v>3406.43</v>
      </c>
      <c r="O1382" t="s">
        <v>4104</v>
      </c>
      <c r="P1382" t="str">
        <f t="shared" si="64"/>
        <v xml:space="preserve"> </v>
      </c>
      <c r="Q1382" t="str">
        <f t="shared" si="65"/>
        <v>Favorable</v>
      </c>
    </row>
    <row r="1383" spans="1:17">
      <c r="A1383" t="s">
        <v>1393</v>
      </c>
      <c r="B1383" s="2">
        <v>45744</v>
      </c>
      <c r="C1383">
        <v>6000</v>
      </c>
      <c r="D1383" t="s">
        <v>2014</v>
      </c>
      <c r="E1383">
        <v>1047.53</v>
      </c>
      <c r="F1383">
        <v>0</v>
      </c>
      <c r="G1383" t="s">
        <v>2021</v>
      </c>
      <c r="H1383" t="s">
        <v>2026</v>
      </c>
      <c r="I1383" t="s">
        <v>3409</v>
      </c>
      <c r="J1383" t="s">
        <v>4031</v>
      </c>
      <c r="K1383" t="s">
        <v>4046</v>
      </c>
      <c r="L1383">
        <v>-1047.53</v>
      </c>
      <c r="N1383">
        <f t="shared" si="63"/>
        <v>-1047.53</v>
      </c>
      <c r="O1383" t="s">
        <v>4104</v>
      </c>
      <c r="P1383" t="str">
        <f t="shared" si="64"/>
        <v xml:space="preserve"> </v>
      </c>
      <c r="Q1383" t="str">
        <f t="shared" si="65"/>
        <v>Unfavorable</v>
      </c>
    </row>
    <row r="1384" spans="1:17">
      <c r="A1384" t="s">
        <v>1394</v>
      </c>
      <c r="B1384" s="2">
        <v>45599</v>
      </c>
      <c r="C1384">
        <v>5010</v>
      </c>
      <c r="D1384" t="s">
        <v>2015</v>
      </c>
      <c r="E1384">
        <v>129.62</v>
      </c>
      <c r="F1384">
        <v>0</v>
      </c>
      <c r="G1384" t="s">
        <v>2021</v>
      </c>
      <c r="H1384" t="s">
        <v>2023</v>
      </c>
      <c r="I1384" t="s">
        <v>3410</v>
      </c>
      <c r="J1384" t="s">
        <v>4029</v>
      </c>
      <c r="K1384" t="s">
        <v>4043</v>
      </c>
      <c r="L1384">
        <v>-129.62</v>
      </c>
      <c r="N1384">
        <f t="shared" si="63"/>
        <v>-129.62</v>
      </c>
      <c r="O1384" t="s">
        <v>4104</v>
      </c>
      <c r="P1384" t="str">
        <f t="shared" si="64"/>
        <v xml:space="preserve"> </v>
      </c>
      <c r="Q1384" t="str">
        <f t="shared" si="65"/>
        <v>Unfavorable</v>
      </c>
    </row>
    <row r="1385" spans="1:17">
      <c r="A1385" t="s">
        <v>1395</v>
      </c>
      <c r="B1385" s="2">
        <v>45158</v>
      </c>
      <c r="C1385">
        <v>4010</v>
      </c>
      <c r="D1385" t="s">
        <v>2016</v>
      </c>
      <c r="E1385">
        <v>0</v>
      </c>
      <c r="F1385">
        <v>2334.75</v>
      </c>
      <c r="G1385" t="s">
        <v>2019</v>
      </c>
      <c r="H1385" t="s">
        <v>2026</v>
      </c>
      <c r="I1385" t="s">
        <v>3411</v>
      </c>
      <c r="J1385" t="s">
        <v>4030</v>
      </c>
      <c r="K1385" t="s">
        <v>4037</v>
      </c>
      <c r="L1385">
        <v>2334.75</v>
      </c>
      <c r="N1385">
        <f t="shared" si="63"/>
        <v>2334.75</v>
      </c>
      <c r="O1385" t="s">
        <v>4104</v>
      </c>
      <c r="P1385" t="str">
        <f t="shared" si="64"/>
        <v xml:space="preserve"> </v>
      </c>
      <c r="Q1385" t="str">
        <f t="shared" si="65"/>
        <v>Favorable</v>
      </c>
    </row>
    <row r="1386" spans="1:17">
      <c r="A1386" t="s">
        <v>1396</v>
      </c>
      <c r="B1386" s="2">
        <v>45091</v>
      </c>
      <c r="C1386">
        <v>6000</v>
      </c>
      <c r="D1386" t="s">
        <v>2014</v>
      </c>
      <c r="E1386">
        <v>1023.61</v>
      </c>
      <c r="F1386">
        <v>0</v>
      </c>
      <c r="G1386" t="s">
        <v>2017</v>
      </c>
      <c r="H1386" t="s">
        <v>2024</v>
      </c>
      <c r="I1386" t="s">
        <v>3412</v>
      </c>
      <c r="J1386" t="s">
        <v>4028</v>
      </c>
      <c r="K1386" t="s">
        <v>4055</v>
      </c>
      <c r="L1386">
        <v>-1023.61</v>
      </c>
      <c r="N1386">
        <f t="shared" si="63"/>
        <v>-1023.61</v>
      </c>
      <c r="O1386" t="s">
        <v>4104</v>
      </c>
      <c r="P1386" t="str">
        <f t="shared" si="64"/>
        <v xml:space="preserve"> </v>
      </c>
      <c r="Q1386" t="str">
        <f t="shared" si="65"/>
        <v>Unfavorable</v>
      </c>
    </row>
    <row r="1387" spans="1:17">
      <c r="A1387" t="s">
        <v>1397</v>
      </c>
      <c r="B1387" s="2">
        <v>45311</v>
      </c>
      <c r="C1387">
        <v>5010</v>
      </c>
      <c r="D1387" t="s">
        <v>2015</v>
      </c>
      <c r="E1387">
        <v>182.89</v>
      </c>
      <c r="F1387">
        <v>0</v>
      </c>
      <c r="G1387" t="s">
        <v>2020</v>
      </c>
      <c r="H1387" t="s">
        <v>2024</v>
      </c>
      <c r="I1387" t="s">
        <v>3413</v>
      </c>
      <c r="J1387" t="s">
        <v>4028</v>
      </c>
      <c r="K1387" t="s">
        <v>4053</v>
      </c>
      <c r="L1387">
        <v>-182.89</v>
      </c>
      <c r="N1387">
        <f t="shared" si="63"/>
        <v>-182.89</v>
      </c>
      <c r="O1387" t="s">
        <v>4104</v>
      </c>
      <c r="P1387" t="str">
        <f t="shared" si="64"/>
        <v xml:space="preserve"> </v>
      </c>
      <c r="Q1387" t="str">
        <f t="shared" si="65"/>
        <v>Unfavorable</v>
      </c>
    </row>
    <row r="1388" spans="1:17">
      <c r="A1388" t="s">
        <v>1398</v>
      </c>
      <c r="B1388" s="2">
        <v>45476</v>
      </c>
      <c r="C1388">
        <v>6000</v>
      </c>
      <c r="D1388" t="s">
        <v>2014</v>
      </c>
      <c r="E1388">
        <v>229.97</v>
      </c>
      <c r="F1388">
        <v>0</v>
      </c>
      <c r="G1388" t="s">
        <v>2017</v>
      </c>
      <c r="H1388" t="s">
        <v>2024</v>
      </c>
      <c r="I1388" t="s">
        <v>3414</v>
      </c>
      <c r="J1388" t="s">
        <v>4028</v>
      </c>
      <c r="K1388" t="s">
        <v>4054</v>
      </c>
      <c r="L1388">
        <v>-229.97</v>
      </c>
      <c r="N1388">
        <f t="shared" si="63"/>
        <v>-229.97</v>
      </c>
      <c r="O1388" t="s">
        <v>4104</v>
      </c>
      <c r="P1388" t="str">
        <f t="shared" si="64"/>
        <v xml:space="preserve"> </v>
      </c>
      <c r="Q1388" t="str">
        <f t="shared" si="65"/>
        <v>Unfavorable</v>
      </c>
    </row>
    <row r="1389" spans="1:17">
      <c r="A1389" t="s">
        <v>1399</v>
      </c>
      <c r="B1389" s="2">
        <v>45548</v>
      </c>
      <c r="C1389">
        <v>6000</v>
      </c>
      <c r="D1389" t="s">
        <v>2014</v>
      </c>
      <c r="E1389">
        <v>1443.86</v>
      </c>
      <c r="F1389">
        <v>0</v>
      </c>
      <c r="G1389" t="s">
        <v>2020</v>
      </c>
      <c r="H1389" t="s">
        <v>2027</v>
      </c>
      <c r="I1389" t="s">
        <v>3415</v>
      </c>
      <c r="J1389" t="s">
        <v>4031</v>
      </c>
      <c r="K1389" t="s">
        <v>4048</v>
      </c>
      <c r="L1389">
        <v>-1443.86</v>
      </c>
      <c r="N1389">
        <f t="shared" si="63"/>
        <v>-1443.86</v>
      </c>
      <c r="O1389" t="s">
        <v>4104</v>
      </c>
      <c r="P1389" t="str">
        <f t="shared" si="64"/>
        <v xml:space="preserve"> </v>
      </c>
      <c r="Q1389" t="str">
        <f t="shared" si="65"/>
        <v>Unfavorable</v>
      </c>
    </row>
    <row r="1390" spans="1:17">
      <c r="A1390" t="s">
        <v>1400</v>
      </c>
      <c r="B1390" s="2">
        <v>45391</v>
      </c>
      <c r="C1390">
        <v>4010</v>
      </c>
      <c r="D1390" t="s">
        <v>2016</v>
      </c>
      <c r="E1390">
        <v>0</v>
      </c>
      <c r="F1390">
        <v>1270.57</v>
      </c>
      <c r="G1390" t="s">
        <v>2019</v>
      </c>
      <c r="H1390" t="s">
        <v>2024</v>
      </c>
      <c r="I1390" t="s">
        <v>3416</v>
      </c>
      <c r="J1390" t="s">
        <v>4030</v>
      </c>
      <c r="K1390" t="s">
        <v>4040</v>
      </c>
      <c r="L1390">
        <v>1270.57</v>
      </c>
      <c r="N1390">
        <f t="shared" si="63"/>
        <v>1270.57</v>
      </c>
      <c r="O1390" t="s">
        <v>4104</v>
      </c>
      <c r="P1390" t="str">
        <f t="shared" si="64"/>
        <v xml:space="preserve"> </v>
      </c>
      <c r="Q1390" t="str">
        <f t="shared" si="65"/>
        <v>Favorable</v>
      </c>
    </row>
    <row r="1391" spans="1:17">
      <c r="A1391" t="s">
        <v>1401</v>
      </c>
      <c r="B1391" s="2">
        <v>45139</v>
      </c>
      <c r="C1391">
        <v>4010</v>
      </c>
      <c r="D1391" t="s">
        <v>2016</v>
      </c>
      <c r="E1391">
        <v>0</v>
      </c>
      <c r="F1391">
        <v>1310.5899999999999</v>
      </c>
      <c r="G1391" t="s">
        <v>2022</v>
      </c>
      <c r="H1391" t="s">
        <v>2027</v>
      </c>
      <c r="I1391" t="s">
        <v>3417</v>
      </c>
      <c r="J1391" t="s">
        <v>4032</v>
      </c>
      <c r="K1391" t="s">
        <v>4037</v>
      </c>
      <c r="L1391">
        <v>1310.5899999999999</v>
      </c>
      <c r="N1391">
        <f t="shared" si="63"/>
        <v>1310.5899999999999</v>
      </c>
      <c r="O1391" t="s">
        <v>4104</v>
      </c>
      <c r="P1391" t="str">
        <f t="shared" si="64"/>
        <v xml:space="preserve"> </v>
      </c>
      <c r="Q1391" t="str">
        <f t="shared" si="65"/>
        <v>Favorable</v>
      </c>
    </row>
    <row r="1392" spans="1:17">
      <c r="A1392" t="s">
        <v>1402</v>
      </c>
      <c r="B1392" s="2">
        <v>45344</v>
      </c>
      <c r="C1392">
        <v>4010</v>
      </c>
      <c r="D1392" t="s">
        <v>2016</v>
      </c>
      <c r="E1392">
        <v>0</v>
      </c>
      <c r="F1392">
        <v>3868.62</v>
      </c>
      <c r="G1392" t="s">
        <v>2022</v>
      </c>
      <c r="H1392" t="s">
        <v>2027</v>
      </c>
      <c r="I1392" t="s">
        <v>3418</v>
      </c>
      <c r="J1392" t="s">
        <v>4030</v>
      </c>
      <c r="K1392" t="s">
        <v>4044</v>
      </c>
      <c r="L1392">
        <v>3868.62</v>
      </c>
      <c r="N1392">
        <f t="shared" si="63"/>
        <v>3868.62</v>
      </c>
      <c r="O1392" t="s">
        <v>4104</v>
      </c>
      <c r="P1392" t="str">
        <f t="shared" si="64"/>
        <v xml:space="preserve"> </v>
      </c>
      <c r="Q1392" t="str">
        <f t="shared" si="65"/>
        <v>Favorable</v>
      </c>
    </row>
    <row r="1393" spans="1:17">
      <c r="A1393" t="s">
        <v>1403</v>
      </c>
      <c r="B1393" s="2">
        <v>45094</v>
      </c>
      <c r="C1393">
        <v>4000</v>
      </c>
      <c r="D1393" t="s">
        <v>2012</v>
      </c>
      <c r="E1393">
        <v>0</v>
      </c>
      <c r="F1393">
        <v>138.43</v>
      </c>
      <c r="G1393" t="s">
        <v>2018</v>
      </c>
      <c r="H1393" t="s">
        <v>2023</v>
      </c>
      <c r="I1393" t="s">
        <v>3419</v>
      </c>
      <c r="J1393" t="s">
        <v>4028</v>
      </c>
      <c r="K1393" t="s">
        <v>4055</v>
      </c>
      <c r="L1393">
        <v>138.43</v>
      </c>
      <c r="N1393">
        <f t="shared" si="63"/>
        <v>138.43</v>
      </c>
      <c r="O1393" t="s">
        <v>4104</v>
      </c>
      <c r="P1393" t="str">
        <f t="shared" si="64"/>
        <v xml:space="preserve"> </v>
      </c>
      <c r="Q1393" t="str">
        <f t="shared" si="65"/>
        <v>Favorable</v>
      </c>
    </row>
    <row r="1394" spans="1:17">
      <c r="A1394" t="s">
        <v>1404</v>
      </c>
      <c r="B1394" s="2">
        <v>45210</v>
      </c>
      <c r="C1394">
        <v>5000</v>
      </c>
      <c r="D1394" t="s">
        <v>2013</v>
      </c>
      <c r="E1394">
        <v>1749.68</v>
      </c>
      <c r="F1394">
        <v>0</v>
      </c>
      <c r="G1394" t="s">
        <v>2018</v>
      </c>
      <c r="H1394" t="s">
        <v>2026</v>
      </c>
      <c r="I1394" t="s">
        <v>3420</v>
      </c>
      <c r="J1394" t="s">
        <v>4029</v>
      </c>
      <c r="K1394" t="s">
        <v>4060</v>
      </c>
      <c r="L1394">
        <v>-1749.68</v>
      </c>
      <c r="N1394">
        <f t="shared" si="63"/>
        <v>-1749.68</v>
      </c>
      <c r="O1394" t="s">
        <v>4104</v>
      </c>
      <c r="P1394" t="str">
        <f t="shared" si="64"/>
        <v xml:space="preserve"> </v>
      </c>
      <c r="Q1394" t="str">
        <f t="shared" si="65"/>
        <v>Unfavorable</v>
      </c>
    </row>
    <row r="1395" spans="1:17">
      <c r="A1395" t="s">
        <v>1405</v>
      </c>
      <c r="B1395" s="2">
        <v>45807</v>
      </c>
      <c r="C1395">
        <v>4010</v>
      </c>
      <c r="D1395" t="s">
        <v>2016</v>
      </c>
      <c r="E1395">
        <v>0</v>
      </c>
      <c r="F1395">
        <v>4955.21</v>
      </c>
      <c r="G1395" t="s">
        <v>2019</v>
      </c>
      <c r="H1395" t="s">
        <v>2026</v>
      </c>
      <c r="I1395" t="s">
        <v>3421</v>
      </c>
      <c r="J1395" t="s">
        <v>4029</v>
      </c>
      <c r="K1395" t="s">
        <v>4038</v>
      </c>
      <c r="L1395">
        <v>4955.21</v>
      </c>
      <c r="N1395">
        <f t="shared" si="63"/>
        <v>4955.21</v>
      </c>
      <c r="O1395" t="s">
        <v>4104</v>
      </c>
      <c r="P1395" t="str">
        <f t="shared" si="64"/>
        <v xml:space="preserve"> </v>
      </c>
      <c r="Q1395" t="str">
        <f t="shared" si="65"/>
        <v>Favorable</v>
      </c>
    </row>
    <row r="1396" spans="1:17">
      <c r="A1396" t="s">
        <v>1406</v>
      </c>
      <c r="B1396" s="2">
        <v>45223</v>
      </c>
      <c r="C1396">
        <v>5010</v>
      </c>
      <c r="D1396" t="s">
        <v>2015</v>
      </c>
      <c r="E1396">
        <v>1030.07</v>
      </c>
      <c r="F1396">
        <v>0</v>
      </c>
      <c r="G1396" t="s">
        <v>2018</v>
      </c>
      <c r="H1396" t="s">
        <v>2024</v>
      </c>
      <c r="I1396" t="s">
        <v>3422</v>
      </c>
      <c r="J1396" t="s">
        <v>4032</v>
      </c>
      <c r="K1396" t="s">
        <v>4060</v>
      </c>
      <c r="L1396">
        <v>-1030.07</v>
      </c>
      <c r="N1396">
        <f t="shared" si="63"/>
        <v>-1030.07</v>
      </c>
      <c r="O1396" t="s">
        <v>4104</v>
      </c>
      <c r="P1396" t="str">
        <f t="shared" si="64"/>
        <v xml:space="preserve"> </v>
      </c>
      <c r="Q1396" t="str">
        <f t="shared" si="65"/>
        <v>Unfavorable</v>
      </c>
    </row>
    <row r="1397" spans="1:17">
      <c r="A1397" t="s">
        <v>1407</v>
      </c>
      <c r="B1397" s="2">
        <v>44951</v>
      </c>
      <c r="C1397">
        <v>6000</v>
      </c>
      <c r="D1397" t="s">
        <v>2014</v>
      </c>
      <c r="E1397">
        <v>1552.9</v>
      </c>
      <c r="F1397">
        <v>0</v>
      </c>
      <c r="G1397" t="s">
        <v>2018</v>
      </c>
      <c r="H1397" t="s">
        <v>2024</v>
      </c>
      <c r="I1397" t="s">
        <v>3423</v>
      </c>
      <c r="J1397" t="s">
        <v>4028</v>
      </c>
      <c r="K1397" t="s">
        <v>4047</v>
      </c>
      <c r="L1397">
        <v>-1552.9</v>
      </c>
      <c r="N1397">
        <f t="shared" si="63"/>
        <v>-1552.9</v>
      </c>
      <c r="O1397" t="s">
        <v>4104</v>
      </c>
      <c r="P1397" t="str">
        <f t="shared" si="64"/>
        <v xml:space="preserve"> </v>
      </c>
      <c r="Q1397" t="str">
        <f t="shared" si="65"/>
        <v>Unfavorable</v>
      </c>
    </row>
    <row r="1398" spans="1:17">
      <c r="A1398" t="s">
        <v>1408</v>
      </c>
      <c r="B1398" s="2">
        <v>45009</v>
      </c>
      <c r="C1398">
        <v>5000</v>
      </c>
      <c r="D1398" t="s">
        <v>2013</v>
      </c>
      <c r="E1398">
        <v>1837.1</v>
      </c>
      <c r="F1398">
        <v>0</v>
      </c>
      <c r="G1398" t="s">
        <v>2018</v>
      </c>
      <c r="H1398" t="s">
        <v>2023</v>
      </c>
      <c r="I1398" t="s">
        <v>3424</v>
      </c>
      <c r="J1398" t="s">
        <v>4031</v>
      </c>
      <c r="K1398" t="s">
        <v>4051</v>
      </c>
      <c r="L1398">
        <v>-1837.1</v>
      </c>
      <c r="N1398">
        <f t="shared" si="63"/>
        <v>-1837.1</v>
      </c>
      <c r="O1398" t="s">
        <v>4104</v>
      </c>
      <c r="P1398" t="str">
        <f t="shared" si="64"/>
        <v xml:space="preserve"> </v>
      </c>
      <c r="Q1398" t="str">
        <f t="shared" si="65"/>
        <v>Unfavorable</v>
      </c>
    </row>
    <row r="1399" spans="1:17">
      <c r="A1399" t="s">
        <v>1409</v>
      </c>
      <c r="B1399" s="2">
        <v>45200</v>
      </c>
      <c r="C1399">
        <v>4000</v>
      </c>
      <c r="D1399" t="s">
        <v>2012</v>
      </c>
      <c r="E1399">
        <v>0</v>
      </c>
      <c r="F1399">
        <v>3838.99</v>
      </c>
      <c r="G1399" t="s">
        <v>2018</v>
      </c>
      <c r="H1399" t="s">
        <v>2024</v>
      </c>
      <c r="I1399" t="s">
        <v>3425</v>
      </c>
      <c r="J1399" t="s">
        <v>4030</v>
      </c>
      <c r="K1399" t="s">
        <v>4060</v>
      </c>
      <c r="L1399">
        <v>3838.99</v>
      </c>
      <c r="N1399">
        <f t="shared" si="63"/>
        <v>3838.99</v>
      </c>
      <c r="O1399" t="s">
        <v>4104</v>
      </c>
      <c r="P1399" t="str">
        <f t="shared" si="64"/>
        <v xml:space="preserve"> </v>
      </c>
      <c r="Q1399" t="str">
        <f t="shared" si="65"/>
        <v>Favorable</v>
      </c>
    </row>
    <row r="1400" spans="1:17">
      <c r="A1400" t="s">
        <v>1410</v>
      </c>
      <c r="B1400" s="2">
        <v>45352</v>
      </c>
      <c r="C1400">
        <v>6000</v>
      </c>
      <c r="D1400" t="s">
        <v>2014</v>
      </c>
      <c r="E1400">
        <v>1204.07</v>
      </c>
      <c r="F1400">
        <v>0</v>
      </c>
      <c r="G1400" t="s">
        <v>2018</v>
      </c>
      <c r="H1400" t="s">
        <v>2026</v>
      </c>
      <c r="I1400" t="s">
        <v>3426</v>
      </c>
      <c r="J1400" t="s">
        <v>4029</v>
      </c>
      <c r="K1400" t="s">
        <v>4049</v>
      </c>
      <c r="L1400">
        <v>-1204.07</v>
      </c>
      <c r="N1400">
        <f t="shared" si="63"/>
        <v>-1204.07</v>
      </c>
      <c r="O1400" t="s">
        <v>4104</v>
      </c>
      <c r="P1400" t="str">
        <f t="shared" si="64"/>
        <v xml:space="preserve"> </v>
      </c>
      <c r="Q1400" t="str">
        <f t="shared" si="65"/>
        <v>Unfavorable</v>
      </c>
    </row>
    <row r="1401" spans="1:17">
      <c r="A1401" t="s">
        <v>1411</v>
      </c>
      <c r="B1401" s="2">
        <v>45128</v>
      </c>
      <c r="C1401">
        <v>5010</v>
      </c>
      <c r="D1401" t="s">
        <v>2015</v>
      </c>
      <c r="E1401">
        <v>1122.26</v>
      </c>
      <c r="F1401">
        <v>0</v>
      </c>
      <c r="G1401" t="s">
        <v>2019</v>
      </c>
      <c r="H1401" t="s">
        <v>2023</v>
      </c>
      <c r="I1401" t="s">
        <v>3427</v>
      </c>
      <c r="J1401" t="s">
        <v>4030</v>
      </c>
      <c r="K1401" t="s">
        <v>4050</v>
      </c>
      <c r="L1401">
        <v>-1122.26</v>
      </c>
      <c r="N1401">
        <f t="shared" si="63"/>
        <v>-1122.26</v>
      </c>
      <c r="O1401" t="s">
        <v>4104</v>
      </c>
      <c r="P1401" t="str">
        <f t="shared" si="64"/>
        <v xml:space="preserve"> </v>
      </c>
      <c r="Q1401" t="str">
        <f t="shared" si="65"/>
        <v>Unfavorable</v>
      </c>
    </row>
    <row r="1402" spans="1:17">
      <c r="A1402" t="s">
        <v>1412</v>
      </c>
      <c r="B1402" s="2">
        <v>45257</v>
      </c>
      <c r="C1402">
        <v>5010</v>
      </c>
      <c r="D1402" t="s">
        <v>2015</v>
      </c>
      <c r="E1402">
        <v>633.59</v>
      </c>
      <c r="F1402">
        <v>0</v>
      </c>
      <c r="G1402" t="s">
        <v>2020</v>
      </c>
      <c r="H1402" t="s">
        <v>2024</v>
      </c>
      <c r="I1402" t="s">
        <v>3428</v>
      </c>
      <c r="J1402" t="s">
        <v>4032</v>
      </c>
      <c r="K1402" t="s">
        <v>4042</v>
      </c>
      <c r="L1402">
        <v>-633.59</v>
      </c>
      <c r="N1402">
        <f t="shared" si="63"/>
        <v>-633.59</v>
      </c>
      <c r="O1402" t="s">
        <v>4104</v>
      </c>
      <c r="P1402" t="str">
        <f t="shared" si="64"/>
        <v xml:space="preserve"> </v>
      </c>
      <c r="Q1402" t="str">
        <f t="shared" si="65"/>
        <v>Unfavorable</v>
      </c>
    </row>
    <row r="1403" spans="1:17">
      <c r="A1403" t="s">
        <v>1413</v>
      </c>
      <c r="B1403" s="2">
        <v>44935</v>
      </c>
      <c r="C1403">
        <v>4010</v>
      </c>
      <c r="D1403" t="s">
        <v>2016</v>
      </c>
      <c r="E1403">
        <v>0</v>
      </c>
      <c r="F1403">
        <v>4074.33</v>
      </c>
      <c r="G1403" t="s">
        <v>2019</v>
      </c>
      <c r="H1403" t="s">
        <v>2027</v>
      </c>
      <c r="I1403" t="s">
        <v>3429</v>
      </c>
      <c r="J1403" t="s">
        <v>4031</v>
      </c>
      <c r="K1403" t="s">
        <v>4047</v>
      </c>
      <c r="L1403">
        <v>4074.33</v>
      </c>
      <c r="N1403">
        <f t="shared" si="63"/>
        <v>4074.33</v>
      </c>
      <c r="O1403" t="s">
        <v>4104</v>
      </c>
      <c r="P1403" t="str">
        <f t="shared" si="64"/>
        <v xml:space="preserve"> </v>
      </c>
      <c r="Q1403" t="str">
        <f t="shared" si="65"/>
        <v>Favorable</v>
      </c>
    </row>
    <row r="1404" spans="1:17">
      <c r="A1404" t="s">
        <v>1414</v>
      </c>
      <c r="B1404" s="2">
        <v>45540</v>
      </c>
      <c r="C1404">
        <v>6000</v>
      </c>
      <c r="D1404" t="s">
        <v>2014</v>
      </c>
      <c r="E1404">
        <v>340.22</v>
      </c>
      <c r="F1404">
        <v>0</v>
      </c>
      <c r="G1404" t="s">
        <v>2022</v>
      </c>
      <c r="H1404" t="s">
        <v>2025</v>
      </c>
      <c r="I1404" t="s">
        <v>3430</v>
      </c>
      <c r="J1404" t="s">
        <v>4028</v>
      </c>
      <c r="K1404" t="s">
        <v>4048</v>
      </c>
      <c r="L1404">
        <v>-340.22</v>
      </c>
      <c r="N1404">
        <f t="shared" si="63"/>
        <v>-340.22</v>
      </c>
      <c r="O1404" t="s">
        <v>4104</v>
      </c>
      <c r="P1404" t="str">
        <f t="shared" si="64"/>
        <v xml:space="preserve"> </v>
      </c>
      <c r="Q1404" t="str">
        <f t="shared" si="65"/>
        <v>Unfavorable</v>
      </c>
    </row>
    <row r="1405" spans="1:17">
      <c r="A1405" t="s">
        <v>1415</v>
      </c>
      <c r="B1405" s="2">
        <v>45796</v>
      </c>
      <c r="C1405">
        <v>6000</v>
      </c>
      <c r="D1405" t="s">
        <v>2014</v>
      </c>
      <c r="E1405">
        <v>1891.61</v>
      </c>
      <c r="F1405">
        <v>0</v>
      </c>
      <c r="G1405" t="s">
        <v>2017</v>
      </c>
      <c r="H1405" t="s">
        <v>2023</v>
      </c>
      <c r="I1405" t="s">
        <v>3431</v>
      </c>
      <c r="J1405" t="s">
        <v>4029</v>
      </c>
      <c r="K1405" t="s">
        <v>4038</v>
      </c>
      <c r="L1405">
        <v>-1891.61</v>
      </c>
      <c r="N1405">
        <f t="shared" si="63"/>
        <v>-1891.61</v>
      </c>
      <c r="O1405" t="s">
        <v>4104</v>
      </c>
      <c r="P1405" t="str">
        <f t="shared" si="64"/>
        <v xml:space="preserve"> </v>
      </c>
      <c r="Q1405" t="str">
        <f t="shared" si="65"/>
        <v>Unfavorable</v>
      </c>
    </row>
    <row r="1406" spans="1:17">
      <c r="A1406" t="s">
        <v>1416</v>
      </c>
      <c r="B1406" s="2">
        <v>45694</v>
      </c>
      <c r="C1406">
        <v>5000</v>
      </c>
      <c r="D1406" t="s">
        <v>2013</v>
      </c>
      <c r="E1406">
        <v>1998.5</v>
      </c>
      <c r="F1406">
        <v>0</v>
      </c>
      <c r="G1406" t="s">
        <v>2020</v>
      </c>
      <c r="H1406" t="s">
        <v>2026</v>
      </c>
      <c r="I1406" t="s">
        <v>3432</v>
      </c>
      <c r="J1406" t="s">
        <v>4029</v>
      </c>
      <c r="K1406" t="s">
        <v>4061</v>
      </c>
      <c r="L1406">
        <v>-1998.5</v>
      </c>
      <c r="N1406">
        <f t="shared" si="63"/>
        <v>-1998.5</v>
      </c>
      <c r="O1406" t="s">
        <v>4104</v>
      </c>
      <c r="P1406" t="str">
        <f t="shared" si="64"/>
        <v xml:space="preserve"> </v>
      </c>
      <c r="Q1406" t="str">
        <f t="shared" si="65"/>
        <v>Unfavorable</v>
      </c>
    </row>
    <row r="1407" spans="1:17">
      <c r="A1407" t="s">
        <v>1417</v>
      </c>
      <c r="B1407" s="2">
        <v>45816</v>
      </c>
      <c r="C1407">
        <v>4000</v>
      </c>
      <c r="D1407" t="s">
        <v>2012</v>
      </c>
      <c r="E1407">
        <v>0</v>
      </c>
      <c r="F1407">
        <v>2567.37</v>
      </c>
      <c r="G1407" t="s">
        <v>2020</v>
      </c>
      <c r="H1407" t="s">
        <v>2025</v>
      </c>
      <c r="I1407" t="s">
        <v>3433</v>
      </c>
      <c r="J1407" t="s">
        <v>4029</v>
      </c>
      <c r="K1407" t="s">
        <v>4052</v>
      </c>
      <c r="L1407">
        <v>2567.37</v>
      </c>
      <c r="N1407">
        <f t="shared" si="63"/>
        <v>2567.37</v>
      </c>
      <c r="O1407" t="s">
        <v>4104</v>
      </c>
      <c r="P1407" t="str">
        <f t="shared" si="64"/>
        <v xml:space="preserve"> </v>
      </c>
      <c r="Q1407" t="str">
        <f t="shared" si="65"/>
        <v>Favorable</v>
      </c>
    </row>
    <row r="1408" spans="1:17">
      <c r="A1408" t="s">
        <v>1418</v>
      </c>
      <c r="B1408" s="2">
        <v>45784</v>
      </c>
      <c r="C1408">
        <v>5000</v>
      </c>
      <c r="D1408" t="s">
        <v>2013</v>
      </c>
      <c r="E1408">
        <v>1097.98</v>
      </c>
      <c r="F1408">
        <v>0</v>
      </c>
      <c r="G1408" t="s">
        <v>2022</v>
      </c>
      <c r="H1408" t="s">
        <v>2027</v>
      </c>
      <c r="I1408" t="s">
        <v>3434</v>
      </c>
      <c r="J1408" t="s">
        <v>4029</v>
      </c>
      <c r="K1408" t="s">
        <v>4038</v>
      </c>
      <c r="L1408">
        <v>-1097.98</v>
      </c>
      <c r="N1408">
        <f t="shared" si="63"/>
        <v>-1097.98</v>
      </c>
      <c r="O1408" t="s">
        <v>4104</v>
      </c>
      <c r="P1408" t="str">
        <f t="shared" si="64"/>
        <v xml:space="preserve"> </v>
      </c>
      <c r="Q1408" t="str">
        <f t="shared" si="65"/>
        <v>Unfavorable</v>
      </c>
    </row>
    <row r="1409" spans="1:17">
      <c r="A1409" t="s">
        <v>1419</v>
      </c>
      <c r="B1409" s="2">
        <v>45736</v>
      </c>
      <c r="C1409">
        <v>6000</v>
      </c>
      <c r="D1409" t="s">
        <v>2014</v>
      </c>
      <c r="E1409">
        <v>443.66</v>
      </c>
      <c r="F1409">
        <v>0</v>
      </c>
      <c r="G1409" t="s">
        <v>2020</v>
      </c>
      <c r="H1409" t="s">
        <v>2025</v>
      </c>
      <c r="I1409" t="s">
        <v>3435</v>
      </c>
      <c r="J1409" t="s">
        <v>4028</v>
      </c>
      <c r="K1409" t="s">
        <v>4046</v>
      </c>
      <c r="L1409">
        <v>-443.66</v>
      </c>
      <c r="N1409">
        <f t="shared" si="63"/>
        <v>-443.66</v>
      </c>
      <c r="O1409" t="s">
        <v>4104</v>
      </c>
      <c r="P1409" t="str">
        <f t="shared" si="64"/>
        <v xml:space="preserve"> </v>
      </c>
      <c r="Q1409" t="str">
        <f t="shared" si="65"/>
        <v>Unfavorable</v>
      </c>
    </row>
    <row r="1410" spans="1:17">
      <c r="A1410" t="s">
        <v>1420</v>
      </c>
      <c r="B1410" s="2">
        <v>45021</v>
      </c>
      <c r="C1410">
        <v>5000</v>
      </c>
      <c r="D1410" t="s">
        <v>2013</v>
      </c>
      <c r="E1410">
        <v>225.89</v>
      </c>
      <c r="F1410">
        <v>0</v>
      </c>
      <c r="G1410" t="s">
        <v>2018</v>
      </c>
      <c r="H1410" t="s">
        <v>2025</v>
      </c>
      <c r="I1410" t="s">
        <v>3436</v>
      </c>
      <c r="J1410" t="s">
        <v>4030</v>
      </c>
      <c r="K1410" t="s">
        <v>4041</v>
      </c>
      <c r="L1410">
        <v>-225.89</v>
      </c>
      <c r="N1410">
        <f t="shared" si="63"/>
        <v>-225.89</v>
      </c>
      <c r="O1410" t="s">
        <v>4104</v>
      </c>
      <c r="P1410" t="str">
        <f t="shared" si="64"/>
        <v xml:space="preserve"> </v>
      </c>
      <c r="Q1410" t="str">
        <f t="shared" si="65"/>
        <v>Unfavorable</v>
      </c>
    </row>
    <row r="1411" spans="1:17">
      <c r="A1411" t="s">
        <v>1421</v>
      </c>
      <c r="B1411" s="2">
        <v>45199</v>
      </c>
      <c r="C1411">
        <v>5000</v>
      </c>
      <c r="D1411" t="s">
        <v>2013</v>
      </c>
      <c r="E1411">
        <v>90.95</v>
      </c>
      <c r="F1411">
        <v>0</v>
      </c>
      <c r="G1411" t="s">
        <v>2020</v>
      </c>
      <c r="H1411" t="s">
        <v>2026</v>
      </c>
      <c r="I1411" t="s">
        <v>3437</v>
      </c>
      <c r="J1411" t="s">
        <v>4031</v>
      </c>
      <c r="K1411" t="s">
        <v>4036</v>
      </c>
      <c r="L1411">
        <v>-90.95</v>
      </c>
      <c r="N1411">
        <f t="shared" ref="N1411:N1474" si="66">L:L-M:M</f>
        <v>-90.95</v>
      </c>
      <c r="O1411" t="s">
        <v>4104</v>
      </c>
      <c r="P1411" t="str">
        <f t="shared" ref="P1411:P1474" si="67">IF(AND(ABS(N:N)&gt;10000,M:M&lt;&gt;0),"Material", " ")</f>
        <v xml:space="preserve"> </v>
      </c>
      <c r="Q1411" t="str">
        <f t="shared" ref="Q1411:Q1474" si="68">IF(N:N&gt;0,"Favorable","Unfavorable")</f>
        <v>Unfavorable</v>
      </c>
    </row>
    <row r="1412" spans="1:17">
      <c r="A1412" t="s">
        <v>1422</v>
      </c>
      <c r="B1412" s="2">
        <v>45793</v>
      </c>
      <c r="C1412">
        <v>4010</v>
      </c>
      <c r="D1412" t="s">
        <v>2016</v>
      </c>
      <c r="E1412">
        <v>0</v>
      </c>
      <c r="F1412">
        <v>4806.1400000000003</v>
      </c>
      <c r="G1412" t="s">
        <v>2020</v>
      </c>
      <c r="H1412" t="s">
        <v>2027</v>
      </c>
      <c r="I1412" t="s">
        <v>3438</v>
      </c>
      <c r="J1412" t="s">
        <v>4029</v>
      </c>
      <c r="K1412" t="s">
        <v>4038</v>
      </c>
      <c r="L1412">
        <v>4806.1400000000003</v>
      </c>
      <c r="N1412">
        <f t="shared" si="66"/>
        <v>4806.1400000000003</v>
      </c>
      <c r="O1412" t="s">
        <v>4104</v>
      </c>
      <c r="P1412" t="str">
        <f t="shared" si="67"/>
        <v xml:space="preserve"> </v>
      </c>
      <c r="Q1412" t="str">
        <f t="shared" si="68"/>
        <v>Favorable</v>
      </c>
    </row>
    <row r="1413" spans="1:17">
      <c r="A1413" t="s">
        <v>1423</v>
      </c>
      <c r="B1413" s="2">
        <v>45582</v>
      </c>
      <c r="C1413">
        <v>4010</v>
      </c>
      <c r="D1413" t="s">
        <v>2016</v>
      </c>
      <c r="E1413">
        <v>0</v>
      </c>
      <c r="F1413">
        <v>2397.21</v>
      </c>
      <c r="G1413" t="s">
        <v>2022</v>
      </c>
      <c r="H1413" t="s">
        <v>2026</v>
      </c>
      <c r="I1413" t="s">
        <v>3439</v>
      </c>
      <c r="J1413" t="s">
        <v>4028</v>
      </c>
      <c r="K1413" t="s">
        <v>4059</v>
      </c>
      <c r="L1413">
        <v>2397.21</v>
      </c>
      <c r="N1413">
        <f t="shared" si="66"/>
        <v>2397.21</v>
      </c>
      <c r="O1413" t="s">
        <v>4104</v>
      </c>
      <c r="P1413" t="str">
        <f t="shared" si="67"/>
        <v xml:space="preserve"> </v>
      </c>
      <c r="Q1413" t="str">
        <f t="shared" si="68"/>
        <v>Favorable</v>
      </c>
    </row>
    <row r="1414" spans="1:17">
      <c r="A1414" t="s">
        <v>1424</v>
      </c>
      <c r="B1414" s="2">
        <v>45022</v>
      </c>
      <c r="C1414">
        <v>4010</v>
      </c>
      <c r="D1414" t="s">
        <v>2016</v>
      </c>
      <c r="E1414">
        <v>0</v>
      </c>
      <c r="F1414">
        <v>1164.68</v>
      </c>
      <c r="G1414" t="s">
        <v>2017</v>
      </c>
      <c r="H1414" t="s">
        <v>2026</v>
      </c>
      <c r="I1414" t="s">
        <v>3440</v>
      </c>
      <c r="J1414" t="s">
        <v>4031</v>
      </c>
      <c r="K1414" t="s">
        <v>4041</v>
      </c>
      <c r="L1414">
        <v>1164.68</v>
      </c>
      <c r="N1414">
        <f t="shared" si="66"/>
        <v>1164.68</v>
      </c>
      <c r="O1414" t="s">
        <v>4104</v>
      </c>
      <c r="P1414" t="str">
        <f t="shared" si="67"/>
        <v xml:space="preserve"> </v>
      </c>
      <c r="Q1414" t="str">
        <f t="shared" si="68"/>
        <v>Favorable</v>
      </c>
    </row>
    <row r="1415" spans="1:17">
      <c r="A1415" t="s">
        <v>1425</v>
      </c>
      <c r="B1415" s="2">
        <v>45432</v>
      </c>
      <c r="C1415">
        <v>4000</v>
      </c>
      <c r="D1415" t="s">
        <v>2012</v>
      </c>
      <c r="E1415">
        <v>0</v>
      </c>
      <c r="F1415">
        <v>4994.2</v>
      </c>
      <c r="G1415" t="s">
        <v>2020</v>
      </c>
      <c r="H1415" t="s">
        <v>2026</v>
      </c>
      <c r="I1415" t="s">
        <v>3441</v>
      </c>
      <c r="J1415" t="s">
        <v>4032</v>
      </c>
      <c r="K1415" t="s">
        <v>4033</v>
      </c>
      <c r="L1415">
        <v>4994.2</v>
      </c>
      <c r="N1415">
        <f t="shared" si="66"/>
        <v>4994.2</v>
      </c>
      <c r="O1415" t="s">
        <v>4104</v>
      </c>
      <c r="P1415" t="str">
        <f t="shared" si="67"/>
        <v xml:space="preserve"> </v>
      </c>
      <c r="Q1415" t="str">
        <f t="shared" si="68"/>
        <v>Favorable</v>
      </c>
    </row>
    <row r="1416" spans="1:17">
      <c r="A1416" t="s">
        <v>1426</v>
      </c>
      <c r="B1416" s="2">
        <v>45312</v>
      </c>
      <c r="C1416">
        <v>4010</v>
      </c>
      <c r="D1416" t="s">
        <v>2016</v>
      </c>
      <c r="E1416">
        <v>0</v>
      </c>
      <c r="F1416">
        <v>127.25</v>
      </c>
      <c r="G1416" t="s">
        <v>2021</v>
      </c>
      <c r="H1416" t="s">
        <v>2024</v>
      </c>
      <c r="I1416" t="s">
        <v>3442</v>
      </c>
      <c r="J1416" t="s">
        <v>4032</v>
      </c>
      <c r="K1416" t="s">
        <v>4053</v>
      </c>
      <c r="L1416">
        <v>127.25</v>
      </c>
      <c r="N1416">
        <f t="shared" si="66"/>
        <v>127.25</v>
      </c>
      <c r="O1416" t="s">
        <v>4104</v>
      </c>
      <c r="P1416" t="str">
        <f t="shared" si="67"/>
        <v xml:space="preserve"> </v>
      </c>
      <c r="Q1416" t="str">
        <f t="shared" si="68"/>
        <v>Favorable</v>
      </c>
    </row>
    <row r="1417" spans="1:17">
      <c r="A1417" t="s">
        <v>1427</v>
      </c>
      <c r="B1417" s="2">
        <v>45812</v>
      </c>
      <c r="C1417">
        <v>5010</v>
      </c>
      <c r="D1417" t="s">
        <v>2015</v>
      </c>
      <c r="E1417">
        <v>1383.8</v>
      </c>
      <c r="F1417">
        <v>0</v>
      </c>
      <c r="G1417" t="s">
        <v>2022</v>
      </c>
      <c r="H1417" t="s">
        <v>2026</v>
      </c>
      <c r="I1417" t="s">
        <v>3443</v>
      </c>
      <c r="J1417" t="s">
        <v>4032</v>
      </c>
      <c r="K1417" t="s">
        <v>4052</v>
      </c>
      <c r="L1417">
        <v>-1383.8</v>
      </c>
      <c r="N1417">
        <f t="shared" si="66"/>
        <v>-1383.8</v>
      </c>
      <c r="O1417" t="s">
        <v>4104</v>
      </c>
      <c r="P1417" t="str">
        <f t="shared" si="67"/>
        <v xml:space="preserve"> </v>
      </c>
      <c r="Q1417" t="str">
        <f t="shared" si="68"/>
        <v>Unfavorable</v>
      </c>
    </row>
    <row r="1418" spans="1:17">
      <c r="A1418" t="s">
        <v>1428</v>
      </c>
      <c r="B1418" s="2">
        <v>45535</v>
      </c>
      <c r="C1418">
        <v>4010</v>
      </c>
      <c r="D1418" t="s">
        <v>2016</v>
      </c>
      <c r="E1418">
        <v>0</v>
      </c>
      <c r="F1418">
        <v>4604.16</v>
      </c>
      <c r="G1418" t="s">
        <v>2021</v>
      </c>
      <c r="H1418" t="s">
        <v>2026</v>
      </c>
      <c r="I1418" t="s">
        <v>3444</v>
      </c>
      <c r="J1418" t="s">
        <v>4028</v>
      </c>
      <c r="K1418" t="s">
        <v>4058</v>
      </c>
      <c r="L1418">
        <v>4604.16</v>
      </c>
      <c r="N1418">
        <f t="shared" si="66"/>
        <v>4604.16</v>
      </c>
      <c r="O1418" t="s">
        <v>4104</v>
      </c>
      <c r="P1418" t="str">
        <f t="shared" si="67"/>
        <v xml:space="preserve"> </v>
      </c>
      <c r="Q1418" t="str">
        <f t="shared" si="68"/>
        <v>Favorable</v>
      </c>
    </row>
    <row r="1419" spans="1:17">
      <c r="A1419" t="s">
        <v>1429</v>
      </c>
      <c r="B1419" s="2">
        <v>45522</v>
      </c>
      <c r="C1419">
        <v>4000</v>
      </c>
      <c r="D1419" t="s">
        <v>2012</v>
      </c>
      <c r="E1419">
        <v>0</v>
      </c>
      <c r="F1419">
        <v>4835.3</v>
      </c>
      <c r="G1419" t="s">
        <v>2019</v>
      </c>
      <c r="H1419" t="s">
        <v>2027</v>
      </c>
      <c r="I1419" t="s">
        <v>3445</v>
      </c>
      <c r="J1419" t="s">
        <v>4028</v>
      </c>
      <c r="K1419" t="s">
        <v>4058</v>
      </c>
      <c r="L1419">
        <v>4835.3</v>
      </c>
      <c r="N1419">
        <f t="shared" si="66"/>
        <v>4835.3</v>
      </c>
      <c r="O1419" t="s">
        <v>4104</v>
      </c>
      <c r="P1419" t="str">
        <f t="shared" si="67"/>
        <v xml:space="preserve"> </v>
      </c>
      <c r="Q1419" t="str">
        <f t="shared" si="68"/>
        <v>Favorable</v>
      </c>
    </row>
    <row r="1420" spans="1:17">
      <c r="A1420" t="s">
        <v>1430</v>
      </c>
      <c r="B1420" s="2">
        <v>45750</v>
      </c>
      <c r="C1420">
        <v>4010</v>
      </c>
      <c r="D1420" t="s">
        <v>2016</v>
      </c>
      <c r="E1420">
        <v>0</v>
      </c>
      <c r="F1420">
        <v>1057.72</v>
      </c>
      <c r="G1420" t="s">
        <v>2021</v>
      </c>
      <c r="H1420" t="s">
        <v>2023</v>
      </c>
      <c r="I1420" t="s">
        <v>3446</v>
      </c>
      <c r="J1420" t="s">
        <v>4032</v>
      </c>
      <c r="K1420" t="s">
        <v>4045</v>
      </c>
      <c r="L1420">
        <v>1057.72</v>
      </c>
      <c r="N1420">
        <f t="shared" si="66"/>
        <v>1057.72</v>
      </c>
      <c r="O1420" t="s">
        <v>4104</v>
      </c>
      <c r="P1420" t="str">
        <f t="shared" si="67"/>
        <v xml:space="preserve"> </v>
      </c>
      <c r="Q1420" t="str">
        <f t="shared" si="68"/>
        <v>Favorable</v>
      </c>
    </row>
    <row r="1421" spans="1:17">
      <c r="A1421" t="s">
        <v>1431</v>
      </c>
      <c r="B1421" s="2">
        <v>45175</v>
      </c>
      <c r="C1421">
        <v>5010</v>
      </c>
      <c r="D1421" t="s">
        <v>2015</v>
      </c>
      <c r="E1421">
        <v>1394.77</v>
      </c>
      <c r="F1421">
        <v>0</v>
      </c>
      <c r="G1421" t="s">
        <v>2017</v>
      </c>
      <c r="H1421" t="s">
        <v>2027</v>
      </c>
      <c r="I1421" t="s">
        <v>3447</v>
      </c>
      <c r="J1421" t="s">
        <v>4032</v>
      </c>
      <c r="K1421" t="s">
        <v>4036</v>
      </c>
      <c r="L1421">
        <v>-1394.77</v>
      </c>
      <c r="N1421">
        <f t="shared" si="66"/>
        <v>-1394.77</v>
      </c>
      <c r="O1421" t="s">
        <v>4104</v>
      </c>
      <c r="P1421" t="str">
        <f t="shared" si="67"/>
        <v xml:space="preserve"> </v>
      </c>
      <c r="Q1421" t="str">
        <f t="shared" si="68"/>
        <v>Unfavorable</v>
      </c>
    </row>
    <row r="1422" spans="1:17">
      <c r="A1422" t="s">
        <v>1432</v>
      </c>
      <c r="B1422" s="2">
        <v>45244</v>
      </c>
      <c r="C1422">
        <v>5000</v>
      </c>
      <c r="D1422" t="s">
        <v>2013</v>
      </c>
      <c r="E1422">
        <v>803.08</v>
      </c>
      <c r="F1422">
        <v>0</v>
      </c>
      <c r="G1422" t="s">
        <v>2021</v>
      </c>
      <c r="H1422" t="s">
        <v>2025</v>
      </c>
      <c r="I1422" t="s">
        <v>3448</v>
      </c>
      <c r="J1422" t="s">
        <v>4030</v>
      </c>
      <c r="K1422" t="s">
        <v>4042</v>
      </c>
      <c r="L1422">
        <v>-803.08</v>
      </c>
      <c r="N1422">
        <f t="shared" si="66"/>
        <v>-803.08</v>
      </c>
      <c r="O1422" t="s">
        <v>4104</v>
      </c>
      <c r="P1422" t="str">
        <f t="shared" si="67"/>
        <v xml:space="preserve"> </v>
      </c>
      <c r="Q1422" t="str">
        <f t="shared" si="68"/>
        <v>Unfavorable</v>
      </c>
    </row>
    <row r="1423" spans="1:17">
      <c r="A1423" t="s">
        <v>1433</v>
      </c>
      <c r="B1423" s="2">
        <v>45169</v>
      </c>
      <c r="C1423">
        <v>6000</v>
      </c>
      <c r="D1423" t="s">
        <v>2014</v>
      </c>
      <c r="E1423">
        <v>500.5</v>
      </c>
      <c r="F1423">
        <v>0</v>
      </c>
      <c r="G1423" t="s">
        <v>2017</v>
      </c>
      <c r="H1423" t="s">
        <v>2023</v>
      </c>
      <c r="I1423" t="s">
        <v>3449</v>
      </c>
      <c r="J1423" t="s">
        <v>4032</v>
      </c>
      <c r="K1423" t="s">
        <v>4037</v>
      </c>
      <c r="L1423">
        <v>-500.5</v>
      </c>
      <c r="N1423">
        <f t="shared" si="66"/>
        <v>-500.5</v>
      </c>
      <c r="O1423" t="s">
        <v>4104</v>
      </c>
      <c r="P1423" t="str">
        <f t="shared" si="67"/>
        <v xml:space="preserve"> </v>
      </c>
      <c r="Q1423" t="str">
        <f t="shared" si="68"/>
        <v>Unfavorable</v>
      </c>
    </row>
    <row r="1424" spans="1:17">
      <c r="A1424" t="s">
        <v>1434</v>
      </c>
      <c r="B1424" s="2">
        <v>44962</v>
      </c>
      <c r="C1424">
        <v>5010</v>
      </c>
      <c r="D1424" t="s">
        <v>2015</v>
      </c>
      <c r="E1424">
        <v>413.05</v>
      </c>
      <c r="F1424">
        <v>0</v>
      </c>
      <c r="G1424" t="s">
        <v>2022</v>
      </c>
      <c r="H1424" t="s">
        <v>2025</v>
      </c>
      <c r="I1424" t="s">
        <v>3450</v>
      </c>
      <c r="J1424" t="s">
        <v>4028</v>
      </c>
      <c r="K1424" t="s">
        <v>4057</v>
      </c>
      <c r="L1424">
        <v>-413.05</v>
      </c>
      <c r="N1424">
        <f t="shared" si="66"/>
        <v>-413.05</v>
      </c>
      <c r="O1424" t="s">
        <v>4104</v>
      </c>
      <c r="P1424" t="str">
        <f t="shared" si="67"/>
        <v xml:space="preserve"> </v>
      </c>
      <c r="Q1424" t="str">
        <f t="shared" si="68"/>
        <v>Unfavorable</v>
      </c>
    </row>
    <row r="1425" spans="1:17">
      <c r="A1425" t="s">
        <v>1435</v>
      </c>
      <c r="B1425" s="2">
        <v>45217</v>
      </c>
      <c r="C1425">
        <v>5000</v>
      </c>
      <c r="D1425" t="s">
        <v>2013</v>
      </c>
      <c r="E1425">
        <v>1483.66</v>
      </c>
      <c r="F1425">
        <v>0</v>
      </c>
      <c r="G1425" t="s">
        <v>2020</v>
      </c>
      <c r="H1425" t="s">
        <v>2024</v>
      </c>
      <c r="I1425" t="s">
        <v>3451</v>
      </c>
      <c r="J1425" t="s">
        <v>4029</v>
      </c>
      <c r="K1425" t="s">
        <v>4060</v>
      </c>
      <c r="L1425">
        <v>-1483.66</v>
      </c>
      <c r="N1425">
        <f t="shared" si="66"/>
        <v>-1483.66</v>
      </c>
      <c r="O1425" t="s">
        <v>4104</v>
      </c>
      <c r="P1425" t="str">
        <f t="shared" si="67"/>
        <v xml:space="preserve"> </v>
      </c>
      <c r="Q1425" t="str">
        <f t="shared" si="68"/>
        <v>Unfavorable</v>
      </c>
    </row>
    <row r="1426" spans="1:17">
      <c r="A1426" t="s">
        <v>1436</v>
      </c>
      <c r="B1426" s="2">
        <v>45019</v>
      </c>
      <c r="C1426">
        <v>5010</v>
      </c>
      <c r="D1426" t="s">
        <v>2015</v>
      </c>
      <c r="E1426">
        <v>1752.32</v>
      </c>
      <c r="F1426">
        <v>0</v>
      </c>
      <c r="G1426" t="s">
        <v>2017</v>
      </c>
      <c r="H1426" t="s">
        <v>2025</v>
      </c>
      <c r="I1426" t="s">
        <v>3452</v>
      </c>
      <c r="J1426" t="s">
        <v>4032</v>
      </c>
      <c r="K1426" t="s">
        <v>4041</v>
      </c>
      <c r="L1426">
        <v>-1752.32</v>
      </c>
      <c r="N1426">
        <f t="shared" si="66"/>
        <v>-1752.32</v>
      </c>
      <c r="O1426" t="s">
        <v>4104</v>
      </c>
      <c r="P1426" t="str">
        <f t="shared" si="67"/>
        <v xml:space="preserve"> </v>
      </c>
      <c r="Q1426" t="str">
        <f t="shared" si="68"/>
        <v>Unfavorable</v>
      </c>
    </row>
    <row r="1427" spans="1:17">
      <c r="A1427" t="s">
        <v>1437</v>
      </c>
      <c r="B1427" s="2">
        <v>45255</v>
      </c>
      <c r="C1427">
        <v>4000</v>
      </c>
      <c r="D1427" t="s">
        <v>2012</v>
      </c>
      <c r="E1427">
        <v>0</v>
      </c>
      <c r="F1427">
        <v>1556.95</v>
      </c>
      <c r="G1427" t="s">
        <v>2020</v>
      </c>
      <c r="H1427" t="s">
        <v>2027</v>
      </c>
      <c r="I1427" t="s">
        <v>3453</v>
      </c>
      <c r="J1427" t="s">
        <v>4032</v>
      </c>
      <c r="K1427" t="s">
        <v>4042</v>
      </c>
      <c r="L1427">
        <v>1556.95</v>
      </c>
      <c r="N1427">
        <f t="shared" si="66"/>
        <v>1556.95</v>
      </c>
      <c r="O1427" t="s">
        <v>4104</v>
      </c>
      <c r="P1427" t="str">
        <f t="shared" si="67"/>
        <v xml:space="preserve"> </v>
      </c>
      <c r="Q1427" t="str">
        <f t="shared" si="68"/>
        <v>Favorable</v>
      </c>
    </row>
    <row r="1428" spans="1:17">
      <c r="A1428" t="s">
        <v>1438</v>
      </c>
      <c r="B1428" s="2">
        <v>45621</v>
      </c>
      <c r="C1428">
        <v>5010</v>
      </c>
      <c r="D1428" t="s">
        <v>2015</v>
      </c>
      <c r="E1428">
        <v>1162.76</v>
      </c>
      <c r="F1428">
        <v>0</v>
      </c>
      <c r="G1428" t="s">
        <v>2022</v>
      </c>
      <c r="H1428" t="s">
        <v>2026</v>
      </c>
      <c r="I1428" t="s">
        <v>3454</v>
      </c>
      <c r="J1428" t="s">
        <v>4032</v>
      </c>
      <c r="K1428" t="s">
        <v>4043</v>
      </c>
      <c r="L1428">
        <v>-1162.76</v>
      </c>
      <c r="N1428">
        <f t="shared" si="66"/>
        <v>-1162.76</v>
      </c>
      <c r="O1428" t="s">
        <v>4104</v>
      </c>
      <c r="P1428" t="str">
        <f t="shared" si="67"/>
        <v xml:space="preserve"> </v>
      </c>
      <c r="Q1428" t="str">
        <f t="shared" si="68"/>
        <v>Unfavorable</v>
      </c>
    </row>
    <row r="1429" spans="1:17">
      <c r="A1429" t="s">
        <v>1439</v>
      </c>
      <c r="B1429" s="2">
        <v>45304</v>
      </c>
      <c r="C1429">
        <v>4000</v>
      </c>
      <c r="D1429" t="s">
        <v>2012</v>
      </c>
      <c r="E1429">
        <v>0</v>
      </c>
      <c r="F1429">
        <v>3293.95</v>
      </c>
      <c r="G1429" t="s">
        <v>2021</v>
      </c>
      <c r="H1429" t="s">
        <v>2026</v>
      </c>
      <c r="I1429" t="s">
        <v>3455</v>
      </c>
      <c r="J1429" t="s">
        <v>4032</v>
      </c>
      <c r="K1429" t="s">
        <v>4053</v>
      </c>
      <c r="L1429">
        <v>3293.95</v>
      </c>
      <c r="N1429">
        <f t="shared" si="66"/>
        <v>3293.95</v>
      </c>
      <c r="O1429" t="s">
        <v>4104</v>
      </c>
      <c r="P1429" t="str">
        <f t="shared" si="67"/>
        <v xml:space="preserve"> </v>
      </c>
      <c r="Q1429" t="str">
        <f t="shared" si="68"/>
        <v>Favorable</v>
      </c>
    </row>
    <row r="1430" spans="1:17">
      <c r="A1430" t="s">
        <v>1440</v>
      </c>
      <c r="B1430" s="2">
        <v>45340</v>
      </c>
      <c r="C1430">
        <v>5010</v>
      </c>
      <c r="D1430" t="s">
        <v>2015</v>
      </c>
      <c r="E1430">
        <v>949.79</v>
      </c>
      <c r="F1430">
        <v>0</v>
      </c>
      <c r="G1430" t="s">
        <v>2017</v>
      </c>
      <c r="H1430" t="s">
        <v>2027</v>
      </c>
      <c r="I1430" t="s">
        <v>3456</v>
      </c>
      <c r="J1430" t="s">
        <v>4028</v>
      </c>
      <c r="K1430" t="s">
        <v>4044</v>
      </c>
      <c r="L1430">
        <v>-949.79</v>
      </c>
      <c r="N1430">
        <f t="shared" si="66"/>
        <v>-949.79</v>
      </c>
      <c r="O1430" t="s">
        <v>4104</v>
      </c>
      <c r="P1430" t="str">
        <f t="shared" si="67"/>
        <v xml:space="preserve"> </v>
      </c>
      <c r="Q1430" t="str">
        <f t="shared" si="68"/>
        <v>Unfavorable</v>
      </c>
    </row>
    <row r="1431" spans="1:17">
      <c r="A1431" t="s">
        <v>1441</v>
      </c>
      <c r="B1431" s="2">
        <v>45364</v>
      </c>
      <c r="C1431">
        <v>4010</v>
      </c>
      <c r="D1431" t="s">
        <v>2016</v>
      </c>
      <c r="E1431">
        <v>0</v>
      </c>
      <c r="F1431">
        <v>536.59</v>
      </c>
      <c r="G1431" t="s">
        <v>2017</v>
      </c>
      <c r="H1431" t="s">
        <v>2027</v>
      </c>
      <c r="I1431" t="s">
        <v>3457</v>
      </c>
      <c r="J1431" t="s">
        <v>4031</v>
      </c>
      <c r="K1431" t="s">
        <v>4049</v>
      </c>
      <c r="L1431">
        <v>536.59</v>
      </c>
      <c r="N1431">
        <f t="shared" si="66"/>
        <v>536.59</v>
      </c>
      <c r="O1431" t="s">
        <v>4104</v>
      </c>
      <c r="P1431" t="str">
        <f t="shared" si="67"/>
        <v xml:space="preserve"> </v>
      </c>
      <c r="Q1431" t="str">
        <f t="shared" si="68"/>
        <v>Favorable</v>
      </c>
    </row>
    <row r="1432" spans="1:17">
      <c r="A1432" t="s">
        <v>1442</v>
      </c>
      <c r="B1432" s="2">
        <v>45088</v>
      </c>
      <c r="C1432">
        <v>4000</v>
      </c>
      <c r="D1432" t="s">
        <v>2012</v>
      </c>
      <c r="E1432">
        <v>0</v>
      </c>
      <c r="F1432">
        <v>352.44</v>
      </c>
      <c r="G1432" t="s">
        <v>2021</v>
      </c>
      <c r="H1432" t="s">
        <v>2025</v>
      </c>
      <c r="I1432" t="s">
        <v>3458</v>
      </c>
      <c r="J1432" t="s">
        <v>4032</v>
      </c>
      <c r="K1432" t="s">
        <v>4055</v>
      </c>
      <c r="L1432">
        <v>352.44</v>
      </c>
      <c r="N1432">
        <f t="shared" si="66"/>
        <v>352.44</v>
      </c>
      <c r="O1432" t="s">
        <v>4104</v>
      </c>
      <c r="P1432" t="str">
        <f t="shared" si="67"/>
        <v xml:space="preserve"> </v>
      </c>
      <c r="Q1432" t="str">
        <f t="shared" si="68"/>
        <v>Favorable</v>
      </c>
    </row>
    <row r="1433" spans="1:17">
      <c r="A1433" t="s">
        <v>1443</v>
      </c>
      <c r="B1433" s="2">
        <v>45484</v>
      </c>
      <c r="C1433">
        <v>5000</v>
      </c>
      <c r="D1433" t="s">
        <v>2013</v>
      </c>
      <c r="E1433">
        <v>479.39</v>
      </c>
      <c r="F1433">
        <v>0</v>
      </c>
      <c r="G1433" t="s">
        <v>2017</v>
      </c>
      <c r="H1433" t="s">
        <v>2023</v>
      </c>
      <c r="I1433" t="s">
        <v>3459</v>
      </c>
      <c r="J1433" t="s">
        <v>4029</v>
      </c>
      <c r="K1433" t="s">
        <v>4054</v>
      </c>
      <c r="L1433">
        <v>-479.39</v>
      </c>
      <c r="N1433">
        <f t="shared" si="66"/>
        <v>-479.39</v>
      </c>
      <c r="O1433" t="s">
        <v>4104</v>
      </c>
      <c r="P1433" t="str">
        <f t="shared" si="67"/>
        <v xml:space="preserve"> </v>
      </c>
      <c r="Q1433" t="str">
        <f t="shared" si="68"/>
        <v>Unfavorable</v>
      </c>
    </row>
    <row r="1434" spans="1:17">
      <c r="A1434" t="s">
        <v>1444</v>
      </c>
      <c r="B1434" s="2">
        <v>45663</v>
      </c>
      <c r="C1434">
        <v>6000</v>
      </c>
      <c r="D1434" t="s">
        <v>2014</v>
      </c>
      <c r="E1434">
        <v>875.44</v>
      </c>
      <c r="F1434">
        <v>0</v>
      </c>
      <c r="G1434" t="s">
        <v>2018</v>
      </c>
      <c r="H1434" t="s">
        <v>2023</v>
      </c>
      <c r="I1434" t="s">
        <v>3460</v>
      </c>
      <c r="J1434" t="s">
        <v>4031</v>
      </c>
      <c r="K1434" t="s">
        <v>4035</v>
      </c>
      <c r="L1434">
        <v>-875.44</v>
      </c>
      <c r="N1434">
        <f t="shared" si="66"/>
        <v>-875.44</v>
      </c>
      <c r="O1434" t="s">
        <v>4104</v>
      </c>
      <c r="P1434" t="str">
        <f t="shared" si="67"/>
        <v xml:space="preserve"> </v>
      </c>
      <c r="Q1434" t="str">
        <f t="shared" si="68"/>
        <v>Unfavorable</v>
      </c>
    </row>
    <row r="1435" spans="1:17">
      <c r="A1435" t="s">
        <v>1445</v>
      </c>
      <c r="B1435" s="2">
        <v>45676</v>
      </c>
      <c r="C1435">
        <v>5000</v>
      </c>
      <c r="D1435" t="s">
        <v>2013</v>
      </c>
      <c r="E1435">
        <v>726.79</v>
      </c>
      <c r="F1435">
        <v>0</v>
      </c>
      <c r="G1435" t="s">
        <v>2022</v>
      </c>
      <c r="H1435" t="s">
        <v>2024</v>
      </c>
      <c r="I1435" t="s">
        <v>3461</v>
      </c>
      <c r="J1435" t="s">
        <v>4028</v>
      </c>
      <c r="K1435" t="s">
        <v>4035</v>
      </c>
      <c r="L1435">
        <v>-726.79</v>
      </c>
      <c r="N1435">
        <f t="shared" si="66"/>
        <v>-726.79</v>
      </c>
      <c r="O1435" t="s">
        <v>4104</v>
      </c>
      <c r="P1435" t="str">
        <f t="shared" si="67"/>
        <v xml:space="preserve"> </v>
      </c>
      <c r="Q1435" t="str">
        <f t="shared" si="68"/>
        <v>Unfavorable</v>
      </c>
    </row>
    <row r="1436" spans="1:17">
      <c r="A1436" t="s">
        <v>1446</v>
      </c>
      <c r="B1436" s="2">
        <v>45114</v>
      </c>
      <c r="C1436">
        <v>4010</v>
      </c>
      <c r="D1436" t="s">
        <v>2016</v>
      </c>
      <c r="E1436">
        <v>0</v>
      </c>
      <c r="F1436">
        <v>3492.12</v>
      </c>
      <c r="G1436" t="s">
        <v>2018</v>
      </c>
      <c r="H1436" t="s">
        <v>2023</v>
      </c>
      <c r="I1436" t="s">
        <v>3462</v>
      </c>
      <c r="J1436" t="s">
        <v>4031</v>
      </c>
      <c r="K1436" t="s">
        <v>4050</v>
      </c>
      <c r="L1436">
        <v>3492.12</v>
      </c>
      <c r="N1436">
        <f t="shared" si="66"/>
        <v>3492.12</v>
      </c>
      <c r="O1436" t="s">
        <v>4104</v>
      </c>
      <c r="P1436" t="str">
        <f t="shared" si="67"/>
        <v xml:space="preserve"> </v>
      </c>
      <c r="Q1436" t="str">
        <f t="shared" si="68"/>
        <v>Favorable</v>
      </c>
    </row>
    <row r="1437" spans="1:17">
      <c r="A1437" t="s">
        <v>1447</v>
      </c>
      <c r="B1437" s="2">
        <v>45422</v>
      </c>
      <c r="C1437">
        <v>5010</v>
      </c>
      <c r="D1437" t="s">
        <v>2015</v>
      </c>
      <c r="E1437">
        <v>868.34</v>
      </c>
      <c r="F1437">
        <v>0</v>
      </c>
      <c r="G1437" t="s">
        <v>2018</v>
      </c>
      <c r="H1437" t="s">
        <v>2025</v>
      </c>
      <c r="I1437" t="s">
        <v>3463</v>
      </c>
      <c r="J1437" t="s">
        <v>4031</v>
      </c>
      <c r="K1437" t="s">
        <v>4033</v>
      </c>
      <c r="L1437">
        <v>-868.34</v>
      </c>
      <c r="N1437">
        <f t="shared" si="66"/>
        <v>-868.34</v>
      </c>
      <c r="O1437" t="s">
        <v>4104</v>
      </c>
      <c r="P1437" t="str">
        <f t="shared" si="67"/>
        <v xml:space="preserve"> </v>
      </c>
      <c r="Q1437" t="str">
        <f t="shared" si="68"/>
        <v>Unfavorable</v>
      </c>
    </row>
    <row r="1438" spans="1:17">
      <c r="A1438" t="s">
        <v>1448</v>
      </c>
      <c r="B1438" s="2">
        <v>44998</v>
      </c>
      <c r="C1438">
        <v>4000</v>
      </c>
      <c r="D1438" t="s">
        <v>2012</v>
      </c>
      <c r="E1438">
        <v>0</v>
      </c>
      <c r="F1438">
        <v>1610.63</v>
      </c>
      <c r="G1438" t="s">
        <v>2021</v>
      </c>
      <c r="H1438" t="s">
        <v>2023</v>
      </c>
      <c r="I1438" t="s">
        <v>3464</v>
      </c>
      <c r="J1438" t="s">
        <v>4032</v>
      </c>
      <c r="K1438" t="s">
        <v>4051</v>
      </c>
      <c r="L1438">
        <v>1610.63</v>
      </c>
      <c r="N1438">
        <f t="shared" si="66"/>
        <v>1610.63</v>
      </c>
      <c r="O1438" t="s">
        <v>4104</v>
      </c>
      <c r="P1438" t="str">
        <f t="shared" si="67"/>
        <v xml:space="preserve"> </v>
      </c>
      <c r="Q1438" t="str">
        <f t="shared" si="68"/>
        <v>Favorable</v>
      </c>
    </row>
    <row r="1439" spans="1:17">
      <c r="A1439" t="s">
        <v>1449</v>
      </c>
      <c r="B1439" s="2">
        <v>45089</v>
      </c>
      <c r="C1439">
        <v>6000</v>
      </c>
      <c r="D1439" t="s">
        <v>2014</v>
      </c>
      <c r="E1439">
        <v>1429.61</v>
      </c>
      <c r="F1439">
        <v>0</v>
      </c>
      <c r="G1439" t="s">
        <v>2018</v>
      </c>
      <c r="H1439" t="s">
        <v>2024</v>
      </c>
      <c r="I1439" t="s">
        <v>3465</v>
      </c>
      <c r="J1439" t="s">
        <v>4029</v>
      </c>
      <c r="K1439" t="s">
        <v>4055</v>
      </c>
      <c r="L1439">
        <v>-1429.61</v>
      </c>
      <c r="N1439">
        <f t="shared" si="66"/>
        <v>-1429.61</v>
      </c>
      <c r="O1439" t="s">
        <v>4104</v>
      </c>
      <c r="P1439" t="str">
        <f t="shared" si="67"/>
        <v xml:space="preserve"> </v>
      </c>
      <c r="Q1439" t="str">
        <f t="shared" si="68"/>
        <v>Unfavorable</v>
      </c>
    </row>
    <row r="1440" spans="1:17">
      <c r="A1440" t="s">
        <v>1450</v>
      </c>
      <c r="B1440" s="2">
        <v>45251</v>
      </c>
      <c r="C1440">
        <v>5000</v>
      </c>
      <c r="D1440" t="s">
        <v>2013</v>
      </c>
      <c r="E1440">
        <v>918.99</v>
      </c>
      <c r="F1440">
        <v>0</v>
      </c>
      <c r="G1440" t="s">
        <v>2021</v>
      </c>
      <c r="H1440" t="s">
        <v>2026</v>
      </c>
      <c r="I1440" t="s">
        <v>3466</v>
      </c>
      <c r="J1440" t="s">
        <v>4029</v>
      </c>
      <c r="K1440" t="s">
        <v>4042</v>
      </c>
      <c r="L1440">
        <v>-918.99</v>
      </c>
      <c r="N1440">
        <f t="shared" si="66"/>
        <v>-918.99</v>
      </c>
      <c r="O1440" t="s">
        <v>4104</v>
      </c>
      <c r="P1440" t="str">
        <f t="shared" si="67"/>
        <v xml:space="preserve"> </v>
      </c>
      <c r="Q1440" t="str">
        <f t="shared" si="68"/>
        <v>Unfavorable</v>
      </c>
    </row>
    <row r="1441" spans="1:17">
      <c r="A1441" t="s">
        <v>1451</v>
      </c>
      <c r="B1441" s="2">
        <v>45829</v>
      </c>
      <c r="C1441">
        <v>5010</v>
      </c>
      <c r="D1441" t="s">
        <v>2015</v>
      </c>
      <c r="E1441">
        <v>189.23</v>
      </c>
      <c r="F1441">
        <v>0</v>
      </c>
      <c r="G1441" t="s">
        <v>2018</v>
      </c>
      <c r="H1441" t="s">
        <v>2027</v>
      </c>
      <c r="I1441" t="s">
        <v>3467</v>
      </c>
      <c r="J1441" t="s">
        <v>4029</v>
      </c>
      <c r="K1441" t="s">
        <v>4052</v>
      </c>
      <c r="L1441">
        <v>-189.23</v>
      </c>
      <c r="N1441">
        <f t="shared" si="66"/>
        <v>-189.23</v>
      </c>
      <c r="O1441" t="s">
        <v>4104</v>
      </c>
      <c r="P1441" t="str">
        <f t="shared" si="67"/>
        <v xml:space="preserve"> </v>
      </c>
      <c r="Q1441" t="str">
        <f t="shared" si="68"/>
        <v>Unfavorable</v>
      </c>
    </row>
    <row r="1442" spans="1:17">
      <c r="A1442" t="s">
        <v>1452</v>
      </c>
      <c r="B1442" s="2">
        <v>45818</v>
      </c>
      <c r="C1442">
        <v>4010</v>
      </c>
      <c r="D1442" t="s">
        <v>2016</v>
      </c>
      <c r="E1442">
        <v>0</v>
      </c>
      <c r="F1442">
        <v>4553.74</v>
      </c>
      <c r="G1442" t="s">
        <v>2019</v>
      </c>
      <c r="H1442" t="s">
        <v>2023</v>
      </c>
      <c r="I1442" t="s">
        <v>3468</v>
      </c>
      <c r="J1442" t="s">
        <v>4031</v>
      </c>
      <c r="K1442" t="s">
        <v>4052</v>
      </c>
      <c r="L1442">
        <v>4553.74</v>
      </c>
      <c r="N1442">
        <f t="shared" si="66"/>
        <v>4553.74</v>
      </c>
      <c r="O1442" t="s">
        <v>4104</v>
      </c>
      <c r="P1442" t="str">
        <f t="shared" si="67"/>
        <v xml:space="preserve"> </v>
      </c>
      <c r="Q1442" t="str">
        <f t="shared" si="68"/>
        <v>Favorable</v>
      </c>
    </row>
    <row r="1443" spans="1:17">
      <c r="A1443" t="s">
        <v>1453</v>
      </c>
      <c r="B1443" s="2">
        <v>45618</v>
      </c>
      <c r="C1443">
        <v>4010</v>
      </c>
      <c r="D1443" t="s">
        <v>2016</v>
      </c>
      <c r="E1443">
        <v>0</v>
      </c>
      <c r="F1443">
        <v>224.69</v>
      </c>
      <c r="G1443" t="s">
        <v>2022</v>
      </c>
      <c r="H1443" t="s">
        <v>2026</v>
      </c>
      <c r="I1443" t="s">
        <v>3469</v>
      </c>
      <c r="J1443" t="s">
        <v>4030</v>
      </c>
      <c r="K1443" t="s">
        <v>4043</v>
      </c>
      <c r="L1443">
        <v>224.69</v>
      </c>
      <c r="N1443">
        <f t="shared" si="66"/>
        <v>224.69</v>
      </c>
      <c r="O1443" t="s">
        <v>4104</v>
      </c>
      <c r="P1443" t="str">
        <f t="shared" si="67"/>
        <v xml:space="preserve"> </v>
      </c>
      <c r="Q1443" t="str">
        <f t="shared" si="68"/>
        <v>Favorable</v>
      </c>
    </row>
    <row r="1444" spans="1:17">
      <c r="A1444" t="s">
        <v>1454</v>
      </c>
      <c r="B1444" s="2">
        <v>45359</v>
      </c>
      <c r="C1444">
        <v>5000</v>
      </c>
      <c r="D1444" t="s">
        <v>2013</v>
      </c>
      <c r="E1444">
        <v>1447.98</v>
      </c>
      <c r="F1444">
        <v>0</v>
      </c>
      <c r="G1444" t="s">
        <v>2021</v>
      </c>
      <c r="H1444" t="s">
        <v>2026</v>
      </c>
      <c r="I1444" t="s">
        <v>3470</v>
      </c>
      <c r="J1444" t="s">
        <v>4028</v>
      </c>
      <c r="K1444" t="s">
        <v>4049</v>
      </c>
      <c r="L1444">
        <v>-1447.98</v>
      </c>
      <c r="N1444">
        <f t="shared" si="66"/>
        <v>-1447.98</v>
      </c>
      <c r="O1444" t="s">
        <v>4104</v>
      </c>
      <c r="P1444" t="str">
        <f t="shared" si="67"/>
        <v xml:space="preserve"> </v>
      </c>
      <c r="Q1444" t="str">
        <f t="shared" si="68"/>
        <v>Unfavorable</v>
      </c>
    </row>
    <row r="1445" spans="1:17">
      <c r="A1445" t="s">
        <v>1455</v>
      </c>
      <c r="B1445" s="2">
        <v>44964</v>
      </c>
      <c r="C1445">
        <v>6000</v>
      </c>
      <c r="D1445" t="s">
        <v>2014</v>
      </c>
      <c r="E1445">
        <v>1846.98</v>
      </c>
      <c r="F1445">
        <v>0</v>
      </c>
      <c r="G1445" t="s">
        <v>2018</v>
      </c>
      <c r="H1445" t="s">
        <v>2025</v>
      </c>
      <c r="I1445" t="s">
        <v>3471</v>
      </c>
      <c r="J1445" t="s">
        <v>4031</v>
      </c>
      <c r="K1445" t="s">
        <v>4057</v>
      </c>
      <c r="L1445">
        <v>-1846.98</v>
      </c>
      <c r="N1445">
        <f t="shared" si="66"/>
        <v>-1846.98</v>
      </c>
      <c r="O1445" t="s">
        <v>4104</v>
      </c>
      <c r="P1445" t="str">
        <f t="shared" si="67"/>
        <v xml:space="preserve"> </v>
      </c>
      <c r="Q1445" t="str">
        <f t="shared" si="68"/>
        <v>Unfavorable</v>
      </c>
    </row>
    <row r="1446" spans="1:17">
      <c r="A1446" t="s">
        <v>1456</v>
      </c>
      <c r="B1446" s="2">
        <v>45680</v>
      </c>
      <c r="C1446">
        <v>5010</v>
      </c>
      <c r="D1446" t="s">
        <v>2015</v>
      </c>
      <c r="E1446">
        <v>1709.33</v>
      </c>
      <c r="F1446">
        <v>0</v>
      </c>
      <c r="G1446" t="s">
        <v>2019</v>
      </c>
      <c r="H1446" t="s">
        <v>2024</v>
      </c>
      <c r="I1446" t="s">
        <v>3472</v>
      </c>
      <c r="J1446" t="s">
        <v>4032</v>
      </c>
      <c r="K1446" t="s">
        <v>4035</v>
      </c>
      <c r="L1446">
        <v>-1709.33</v>
      </c>
      <c r="N1446">
        <f t="shared" si="66"/>
        <v>-1709.33</v>
      </c>
      <c r="O1446" t="s">
        <v>4104</v>
      </c>
      <c r="P1446" t="str">
        <f t="shared" si="67"/>
        <v xml:space="preserve"> </v>
      </c>
      <c r="Q1446" t="str">
        <f t="shared" si="68"/>
        <v>Unfavorable</v>
      </c>
    </row>
    <row r="1447" spans="1:17">
      <c r="A1447" t="s">
        <v>1457</v>
      </c>
      <c r="B1447" s="2">
        <v>45171</v>
      </c>
      <c r="C1447">
        <v>4010</v>
      </c>
      <c r="D1447" t="s">
        <v>2016</v>
      </c>
      <c r="E1447">
        <v>0</v>
      </c>
      <c r="F1447">
        <v>4210.6499999999996</v>
      </c>
      <c r="G1447" t="s">
        <v>2018</v>
      </c>
      <c r="H1447" t="s">
        <v>2023</v>
      </c>
      <c r="I1447" t="s">
        <v>3473</v>
      </c>
      <c r="J1447" t="s">
        <v>4029</v>
      </c>
      <c r="K1447" t="s">
        <v>4036</v>
      </c>
      <c r="L1447">
        <v>4210.6499999999996</v>
      </c>
      <c r="N1447">
        <f t="shared" si="66"/>
        <v>4210.6499999999996</v>
      </c>
      <c r="O1447" t="s">
        <v>4104</v>
      </c>
      <c r="P1447" t="str">
        <f t="shared" si="67"/>
        <v xml:space="preserve"> </v>
      </c>
      <c r="Q1447" t="str">
        <f t="shared" si="68"/>
        <v>Favorable</v>
      </c>
    </row>
    <row r="1448" spans="1:17">
      <c r="A1448" t="s">
        <v>1458</v>
      </c>
      <c r="B1448" s="2">
        <v>45519</v>
      </c>
      <c r="C1448">
        <v>5010</v>
      </c>
      <c r="D1448" t="s">
        <v>2015</v>
      </c>
      <c r="E1448">
        <v>1733.89</v>
      </c>
      <c r="F1448">
        <v>0</v>
      </c>
      <c r="G1448" t="s">
        <v>2020</v>
      </c>
      <c r="H1448" t="s">
        <v>2023</v>
      </c>
      <c r="I1448" t="s">
        <v>3474</v>
      </c>
      <c r="J1448" t="s">
        <v>4029</v>
      </c>
      <c r="K1448" t="s">
        <v>4058</v>
      </c>
      <c r="L1448">
        <v>-1733.89</v>
      </c>
      <c r="N1448">
        <f t="shared" si="66"/>
        <v>-1733.89</v>
      </c>
      <c r="O1448" t="s">
        <v>4104</v>
      </c>
      <c r="P1448" t="str">
        <f t="shared" si="67"/>
        <v xml:space="preserve"> </v>
      </c>
      <c r="Q1448" t="str">
        <f t="shared" si="68"/>
        <v>Unfavorable</v>
      </c>
    </row>
    <row r="1449" spans="1:17">
      <c r="A1449" t="s">
        <v>1459</v>
      </c>
      <c r="B1449" s="2">
        <v>45317</v>
      </c>
      <c r="C1449">
        <v>4000</v>
      </c>
      <c r="D1449" t="s">
        <v>2012</v>
      </c>
      <c r="E1449">
        <v>0</v>
      </c>
      <c r="F1449">
        <v>4741</v>
      </c>
      <c r="G1449" t="s">
        <v>2019</v>
      </c>
      <c r="H1449" t="s">
        <v>2024</v>
      </c>
      <c r="I1449" t="s">
        <v>3475</v>
      </c>
      <c r="J1449" t="s">
        <v>4031</v>
      </c>
      <c r="K1449" t="s">
        <v>4053</v>
      </c>
      <c r="L1449">
        <v>4741</v>
      </c>
      <c r="N1449">
        <f t="shared" si="66"/>
        <v>4741</v>
      </c>
      <c r="O1449" t="s">
        <v>4104</v>
      </c>
      <c r="P1449" t="str">
        <f t="shared" si="67"/>
        <v xml:space="preserve"> </v>
      </c>
      <c r="Q1449" t="str">
        <f t="shared" si="68"/>
        <v>Favorable</v>
      </c>
    </row>
    <row r="1450" spans="1:17">
      <c r="A1450" t="s">
        <v>1460</v>
      </c>
      <c r="B1450" s="2">
        <v>45197</v>
      </c>
      <c r="C1450">
        <v>6000</v>
      </c>
      <c r="D1450" t="s">
        <v>2014</v>
      </c>
      <c r="E1450">
        <v>1800.94</v>
      </c>
      <c r="F1450">
        <v>0</v>
      </c>
      <c r="G1450" t="s">
        <v>2022</v>
      </c>
      <c r="H1450" t="s">
        <v>2023</v>
      </c>
      <c r="I1450" t="s">
        <v>3476</v>
      </c>
      <c r="J1450" t="s">
        <v>4029</v>
      </c>
      <c r="K1450" t="s">
        <v>4036</v>
      </c>
      <c r="L1450">
        <v>-1800.94</v>
      </c>
      <c r="N1450">
        <f t="shared" si="66"/>
        <v>-1800.94</v>
      </c>
      <c r="O1450" t="s">
        <v>4104</v>
      </c>
      <c r="P1450" t="str">
        <f t="shared" si="67"/>
        <v xml:space="preserve"> </v>
      </c>
      <c r="Q1450" t="str">
        <f t="shared" si="68"/>
        <v>Unfavorable</v>
      </c>
    </row>
    <row r="1451" spans="1:17">
      <c r="A1451" t="s">
        <v>1461</v>
      </c>
      <c r="B1451" s="2">
        <v>45431</v>
      </c>
      <c r="C1451">
        <v>6000</v>
      </c>
      <c r="D1451" t="s">
        <v>2014</v>
      </c>
      <c r="E1451">
        <v>1648.82</v>
      </c>
      <c r="F1451">
        <v>0</v>
      </c>
      <c r="G1451" t="s">
        <v>2019</v>
      </c>
      <c r="H1451" t="s">
        <v>2027</v>
      </c>
      <c r="I1451" t="s">
        <v>3477</v>
      </c>
      <c r="J1451" t="s">
        <v>4030</v>
      </c>
      <c r="K1451" t="s">
        <v>4033</v>
      </c>
      <c r="L1451">
        <v>-1648.82</v>
      </c>
      <c r="N1451">
        <f t="shared" si="66"/>
        <v>-1648.82</v>
      </c>
      <c r="O1451" t="s">
        <v>4104</v>
      </c>
      <c r="P1451" t="str">
        <f t="shared" si="67"/>
        <v xml:space="preserve"> </v>
      </c>
      <c r="Q1451" t="str">
        <f t="shared" si="68"/>
        <v>Unfavorable</v>
      </c>
    </row>
    <row r="1452" spans="1:17">
      <c r="A1452" t="s">
        <v>1462</v>
      </c>
      <c r="B1452" s="2">
        <v>45781</v>
      </c>
      <c r="C1452">
        <v>4010</v>
      </c>
      <c r="D1452" t="s">
        <v>2016</v>
      </c>
      <c r="E1452">
        <v>0</v>
      </c>
      <c r="F1452">
        <v>174.57</v>
      </c>
      <c r="G1452" t="s">
        <v>2022</v>
      </c>
      <c r="H1452" t="s">
        <v>2023</v>
      </c>
      <c r="I1452" t="s">
        <v>3478</v>
      </c>
      <c r="J1452" t="s">
        <v>4031</v>
      </c>
      <c r="K1452" t="s">
        <v>4038</v>
      </c>
      <c r="L1452">
        <v>174.57</v>
      </c>
      <c r="N1452">
        <f t="shared" si="66"/>
        <v>174.57</v>
      </c>
      <c r="O1452" t="s">
        <v>4104</v>
      </c>
      <c r="P1452" t="str">
        <f t="shared" si="67"/>
        <v xml:space="preserve"> </v>
      </c>
      <c r="Q1452" t="str">
        <f t="shared" si="68"/>
        <v>Favorable</v>
      </c>
    </row>
    <row r="1453" spans="1:17">
      <c r="A1453" t="s">
        <v>1463</v>
      </c>
      <c r="B1453" s="2">
        <v>45366</v>
      </c>
      <c r="C1453">
        <v>6000</v>
      </c>
      <c r="D1453" t="s">
        <v>2014</v>
      </c>
      <c r="E1453">
        <v>302.02999999999997</v>
      </c>
      <c r="F1453">
        <v>0</v>
      </c>
      <c r="G1453" t="s">
        <v>2018</v>
      </c>
      <c r="H1453" t="s">
        <v>2026</v>
      </c>
      <c r="I1453" t="s">
        <v>3479</v>
      </c>
      <c r="J1453" t="s">
        <v>4029</v>
      </c>
      <c r="K1453" t="s">
        <v>4049</v>
      </c>
      <c r="L1453">
        <v>-302.02999999999997</v>
      </c>
      <c r="N1453">
        <f t="shared" si="66"/>
        <v>-302.02999999999997</v>
      </c>
      <c r="O1453" t="s">
        <v>4104</v>
      </c>
      <c r="P1453" t="str">
        <f t="shared" si="67"/>
        <v xml:space="preserve"> </v>
      </c>
      <c r="Q1453" t="str">
        <f t="shared" si="68"/>
        <v>Unfavorable</v>
      </c>
    </row>
    <row r="1454" spans="1:17">
      <c r="A1454" t="s">
        <v>1464</v>
      </c>
      <c r="B1454" s="2">
        <v>45450</v>
      </c>
      <c r="C1454">
        <v>6000</v>
      </c>
      <c r="D1454" t="s">
        <v>2014</v>
      </c>
      <c r="E1454">
        <v>226.75</v>
      </c>
      <c r="F1454">
        <v>0</v>
      </c>
      <c r="G1454" t="s">
        <v>2018</v>
      </c>
      <c r="H1454" t="s">
        <v>2024</v>
      </c>
      <c r="I1454" t="s">
        <v>3480</v>
      </c>
      <c r="J1454" t="s">
        <v>4032</v>
      </c>
      <c r="K1454" t="s">
        <v>4034</v>
      </c>
      <c r="L1454">
        <v>-226.75</v>
      </c>
      <c r="N1454">
        <f t="shared" si="66"/>
        <v>-226.75</v>
      </c>
      <c r="O1454" t="s">
        <v>4104</v>
      </c>
      <c r="P1454" t="str">
        <f t="shared" si="67"/>
        <v xml:space="preserve"> </v>
      </c>
      <c r="Q1454" t="str">
        <f t="shared" si="68"/>
        <v>Unfavorable</v>
      </c>
    </row>
    <row r="1455" spans="1:17">
      <c r="A1455" t="s">
        <v>1465</v>
      </c>
      <c r="B1455" s="2">
        <v>45141</v>
      </c>
      <c r="C1455">
        <v>4010</v>
      </c>
      <c r="D1455" t="s">
        <v>2016</v>
      </c>
      <c r="E1455">
        <v>0</v>
      </c>
      <c r="F1455">
        <v>3167.06</v>
      </c>
      <c r="G1455" t="s">
        <v>2017</v>
      </c>
      <c r="H1455" t="s">
        <v>2025</v>
      </c>
      <c r="I1455" t="s">
        <v>3481</v>
      </c>
      <c r="J1455" t="s">
        <v>4030</v>
      </c>
      <c r="K1455" t="s">
        <v>4037</v>
      </c>
      <c r="L1455">
        <v>3167.06</v>
      </c>
      <c r="N1455">
        <f t="shared" si="66"/>
        <v>3167.06</v>
      </c>
      <c r="O1455" t="s">
        <v>4104</v>
      </c>
      <c r="P1455" t="str">
        <f t="shared" si="67"/>
        <v xml:space="preserve"> </v>
      </c>
      <c r="Q1455" t="str">
        <f t="shared" si="68"/>
        <v>Favorable</v>
      </c>
    </row>
    <row r="1456" spans="1:17">
      <c r="A1456" t="s">
        <v>1466</v>
      </c>
      <c r="B1456" s="2">
        <v>44929</v>
      </c>
      <c r="C1456">
        <v>5000</v>
      </c>
      <c r="D1456" t="s">
        <v>2013</v>
      </c>
      <c r="E1456">
        <v>1135.3699999999999</v>
      </c>
      <c r="F1456">
        <v>0</v>
      </c>
      <c r="G1456" t="s">
        <v>2020</v>
      </c>
      <c r="H1456" t="s">
        <v>2027</v>
      </c>
      <c r="I1456" t="s">
        <v>3482</v>
      </c>
      <c r="J1456" t="s">
        <v>4030</v>
      </c>
      <c r="K1456" t="s">
        <v>4047</v>
      </c>
      <c r="L1456">
        <v>-1135.3699999999999</v>
      </c>
      <c r="N1456">
        <f t="shared" si="66"/>
        <v>-1135.3699999999999</v>
      </c>
      <c r="O1456" t="s">
        <v>4104</v>
      </c>
      <c r="P1456" t="str">
        <f t="shared" si="67"/>
        <v xml:space="preserve"> </v>
      </c>
      <c r="Q1456" t="str">
        <f t="shared" si="68"/>
        <v>Unfavorable</v>
      </c>
    </row>
    <row r="1457" spans="1:17">
      <c r="A1457" t="s">
        <v>1467</v>
      </c>
      <c r="B1457" s="2">
        <v>45649</v>
      </c>
      <c r="C1457">
        <v>6000</v>
      </c>
      <c r="D1457" t="s">
        <v>2014</v>
      </c>
      <c r="E1457">
        <v>418.07</v>
      </c>
      <c r="F1457">
        <v>0</v>
      </c>
      <c r="G1457" t="s">
        <v>2022</v>
      </c>
      <c r="H1457" t="s">
        <v>2027</v>
      </c>
      <c r="I1457" t="s">
        <v>3483</v>
      </c>
      <c r="J1457" t="s">
        <v>4032</v>
      </c>
      <c r="K1457" t="s">
        <v>4056</v>
      </c>
      <c r="L1457">
        <v>-418.07</v>
      </c>
      <c r="N1457">
        <f t="shared" si="66"/>
        <v>-418.07</v>
      </c>
      <c r="O1457" t="s">
        <v>4104</v>
      </c>
      <c r="P1457" t="str">
        <f t="shared" si="67"/>
        <v xml:space="preserve"> </v>
      </c>
      <c r="Q1457" t="str">
        <f t="shared" si="68"/>
        <v>Unfavorable</v>
      </c>
    </row>
    <row r="1458" spans="1:17">
      <c r="A1458" t="s">
        <v>1468</v>
      </c>
      <c r="B1458" s="2">
        <v>45635</v>
      </c>
      <c r="C1458">
        <v>4000</v>
      </c>
      <c r="D1458" t="s">
        <v>2012</v>
      </c>
      <c r="E1458">
        <v>0</v>
      </c>
      <c r="F1458">
        <v>3400.48</v>
      </c>
      <c r="G1458" t="s">
        <v>2017</v>
      </c>
      <c r="H1458" t="s">
        <v>2027</v>
      </c>
      <c r="I1458" t="s">
        <v>3484</v>
      </c>
      <c r="J1458" t="s">
        <v>4030</v>
      </c>
      <c r="K1458" t="s">
        <v>4056</v>
      </c>
      <c r="L1458">
        <v>3400.48</v>
      </c>
      <c r="N1458">
        <f t="shared" si="66"/>
        <v>3400.48</v>
      </c>
      <c r="O1458" t="s">
        <v>4104</v>
      </c>
      <c r="P1458" t="str">
        <f t="shared" si="67"/>
        <v xml:space="preserve"> </v>
      </c>
      <c r="Q1458" t="str">
        <f t="shared" si="68"/>
        <v>Favorable</v>
      </c>
    </row>
    <row r="1459" spans="1:17">
      <c r="A1459" t="s">
        <v>1469</v>
      </c>
      <c r="B1459" s="2">
        <v>45327</v>
      </c>
      <c r="C1459">
        <v>5000</v>
      </c>
      <c r="D1459" t="s">
        <v>2013</v>
      </c>
      <c r="E1459">
        <v>67.56</v>
      </c>
      <c r="F1459">
        <v>0</v>
      </c>
      <c r="G1459" t="s">
        <v>2022</v>
      </c>
      <c r="H1459" t="s">
        <v>2023</v>
      </c>
      <c r="I1459" t="s">
        <v>3485</v>
      </c>
      <c r="J1459" t="s">
        <v>4028</v>
      </c>
      <c r="K1459" t="s">
        <v>4044</v>
      </c>
      <c r="L1459">
        <v>-67.56</v>
      </c>
      <c r="N1459">
        <f t="shared" si="66"/>
        <v>-67.56</v>
      </c>
      <c r="O1459" t="s">
        <v>4104</v>
      </c>
      <c r="P1459" t="str">
        <f t="shared" si="67"/>
        <v xml:space="preserve"> </v>
      </c>
      <c r="Q1459" t="str">
        <f t="shared" si="68"/>
        <v>Unfavorable</v>
      </c>
    </row>
    <row r="1460" spans="1:17">
      <c r="A1460" t="s">
        <v>1470</v>
      </c>
      <c r="B1460" s="2">
        <v>45430</v>
      </c>
      <c r="C1460">
        <v>4000</v>
      </c>
      <c r="D1460" t="s">
        <v>2012</v>
      </c>
      <c r="E1460">
        <v>0</v>
      </c>
      <c r="F1460">
        <v>2980.92</v>
      </c>
      <c r="G1460" t="s">
        <v>2020</v>
      </c>
      <c r="H1460" t="s">
        <v>2025</v>
      </c>
      <c r="I1460" t="s">
        <v>3486</v>
      </c>
      <c r="J1460" t="s">
        <v>4030</v>
      </c>
      <c r="K1460" t="s">
        <v>4033</v>
      </c>
      <c r="L1460">
        <v>2980.92</v>
      </c>
      <c r="N1460">
        <f t="shared" si="66"/>
        <v>2980.92</v>
      </c>
      <c r="O1460" t="s">
        <v>4104</v>
      </c>
      <c r="P1460" t="str">
        <f t="shared" si="67"/>
        <v xml:space="preserve"> </v>
      </c>
      <c r="Q1460" t="str">
        <f t="shared" si="68"/>
        <v>Favorable</v>
      </c>
    </row>
    <row r="1461" spans="1:17">
      <c r="A1461" t="s">
        <v>1471</v>
      </c>
      <c r="B1461" s="2">
        <v>45452</v>
      </c>
      <c r="C1461">
        <v>5010</v>
      </c>
      <c r="D1461" t="s">
        <v>2015</v>
      </c>
      <c r="E1461">
        <v>1093.1300000000001</v>
      </c>
      <c r="F1461">
        <v>0</v>
      </c>
      <c r="G1461" t="s">
        <v>2019</v>
      </c>
      <c r="H1461" t="s">
        <v>2026</v>
      </c>
      <c r="I1461" t="s">
        <v>3487</v>
      </c>
      <c r="J1461" t="s">
        <v>4031</v>
      </c>
      <c r="K1461" t="s">
        <v>4034</v>
      </c>
      <c r="L1461">
        <v>-1093.1300000000001</v>
      </c>
      <c r="N1461">
        <f t="shared" si="66"/>
        <v>-1093.1300000000001</v>
      </c>
      <c r="O1461" t="s">
        <v>4104</v>
      </c>
      <c r="P1461" t="str">
        <f t="shared" si="67"/>
        <v xml:space="preserve"> </v>
      </c>
      <c r="Q1461" t="str">
        <f t="shared" si="68"/>
        <v>Unfavorable</v>
      </c>
    </row>
    <row r="1462" spans="1:17">
      <c r="A1462" t="s">
        <v>1472</v>
      </c>
      <c r="B1462" s="2">
        <v>45823</v>
      </c>
      <c r="C1462">
        <v>4010</v>
      </c>
      <c r="D1462" t="s">
        <v>2016</v>
      </c>
      <c r="E1462">
        <v>0</v>
      </c>
      <c r="F1462">
        <v>3048.03</v>
      </c>
      <c r="G1462" t="s">
        <v>2021</v>
      </c>
      <c r="H1462" t="s">
        <v>2027</v>
      </c>
      <c r="I1462" t="s">
        <v>3488</v>
      </c>
      <c r="J1462" t="s">
        <v>4032</v>
      </c>
      <c r="K1462" t="s">
        <v>4052</v>
      </c>
      <c r="L1462">
        <v>3048.03</v>
      </c>
      <c r="N1462">
        <f t="shared" si="66"/>
        <v>3048.03</v>
      </c>
      <c r="O1462" t="s">
        <v>4104</v>
      </c>
      <c r="P1462" t="str">
        <f t="shared" si="67"/>
        <v xml:space="preserve"> </v>
      </c>
      <c r="Q1462" t="str">
        <f t="shared" si="68"/>
        <v>Favorable</v>
      </c>
    </row>
    <row r="1463" spans="1:17">
      <c r="A1463" t="s">
        <v>1473</v>
      </c>
      <c r="B1463" s="2">
        <v>45649</v>
      </c>
      <c r="C1463">
        <v>6000</v>
      </c>
      <c r="D1463" t="s">
        <v>2014</v>
      </c>
      <c r="E1463">
        <v>1020.63</v>
      </c>
      <c r="F1463">
        <v>0</v>
      </c>
      <c r="G1463" t="s">
        <v>2020</v>
      </c>
      <c r="H1463" t="s">
        <v>2025</v>
      </c>
      <c r="I1463" t="s">
        <v>3489</v>
      </c>
      <c r="J1463" t="s">
        <v>4030</v>
      </c>
      <c r="K1463" t="s">
        <v>4056</v>
      </c>
      <c r="L1463">
        <v>-1020.63</v>
      </c>
      <c r="N1463">
        <f t="shared" si="66"/>
        <v>-1020.63</v>
      </c>
      <c r="O1463" t="s">
        <v>4104</v>
      </c>
      <c r="P1463" t="str">
        <f t="shared" si="67"/>
        <v xml:space="preserve"> </v>
      </c>
      <c r="Q1463" t="str">
        <f t="shared" si="68"/>
        <v>Unfavorable</v>
      </c>
    </row>
    <row r="1464" spans="1:17">
      <c r="A1464" t="s">
        <v>1474</v>
      </c>
      <c r="B1464" s="2">
        <v>45047</v>
      </c>
      <c r="C1464">
        <v>5010</v>
      </c>
      <c r="D1464" t="s">
        <v>2015</v>
      </c>
      <c r="E1464">
        <v>1162.8900000000001</v>
      </c>
      <c r="F1464">
        <v>0</v>
      </c>
      <c r="G1464" t="s">
        <v>2017</v>
      </c>
      <c r="H1464" t="s">
        <v>2023</v>
      </c>
      <c r="I1464" t="s">
        <v>3490</v>
      </c>
      <c r="J1464" t="s">
        <v>4028</v>
      </c>
      <c r="K1464" t="s">
        <v>4062</v>
      </c>
      <c r="L1464">
        <v>-1162.8900000000001</v>
      </c>
      <c r="N1464">
        <f t="shared" si="66"/>
        <v>-1162.8900000000001</v>
      </c>
      <c r="O1464" t="s">
        <v>4104</v>
      </c>
      <c r="P1464" t="str">
        <f t="shared" si="67"/>
        <v xml:space="preserve"> </v>
      </c>
      <c r="Q1464" t="str">
        <f t="shared" si="68"/>
        <v>Unfavorable</v>
      </c>
    </row>
    <row r="1465" spans="1:17">
      <c r="A1465" t="s">
        <v>1475</v>
      </c>
      <c r="B1465" s="2">
        <v>45824</v>
      </c>
      <c r="C1465">
        <v>5000</v>
      </c>
      <c r="D1465" t="s">
        <v>2013</v>
      </c>
      <c r="E1465">
        <v>783.53</v>
      </c>
      <c r="F1465">
        <v>0</v>
      </c>
      <c r="G1465" t="s">
        <v>2022</v>
      </c>
      <c r="H1465" t="s">
        <v>2024</v>
      </c>
      <c r="I1465" t="s">
        <v>3491</v>
      </c>
      <c r="J1465" t="s">
        <v>4028</v>
      </c>
      <c r="K1465" t="s">
        <v>4052</v>
      </c>
      <c r="L1465">
        <v>-783.53</v>
      </c>
      <c r="N1465">
        <f t="shared" si="66"/>
        <v>-783.53</v>
      </c>
      <c r="O1465" t="s">
        <v>4104</v>
      </c>
      <c r="P1465" t="str">
        <f t="shared" si="67"/>
        <v xml:space="preserve"> </v>
      </c>
      <c r="Q1465" t="str">
        <f t="shared" si="68"/>
        <v>Unfavorable</v>
      </c>
    </row>
    <row r="1466" spans="1:17">
      <c r="A1466" t="s">
        <v>1476</v>
      </c>
      <c r="B1466" s="2">
        <v>45337</v>
      </c>
      <c r="C1466">
        <v>4000</v>
      </c>
      <c r="D1466" t="s">
        <v>2012</v>
      </c>
      <c r="E1466">
        <v>0</v>
      </c>
      <c r="F1466">
        <v>3125.16</v>
      </c>
      <c r="G1466" t="s">
        <v>2017</v>
      </c>
      <c r="H1466" t="s">
        <v>2026</v>
      </c>
      <c r="I1466" t="s">
        <v>3492</v>
      </c>
      <c r="J1466" t="s">
        <v>4029</v>
      </c>
      <c r="K1466" t="s">
        <v>4044</v>
      </c>
      <c r="L1466">
        <v>3125.16</v>
      </c>
      <c r="N1466">
        <f t="shared" si="66"/>
        <v>3125.16</v>
      </c>
      <c r="O1466" t="s">
        <v>4104</v>
      </c>
      <c r="P1466" t="str">
        <f t="shared" si="67"/>
        <v xml:space="preserve"> </v>
      </c>
      <c r="Q1466" t="str">
        <f t="shared" si="68"/>
        <v>Favorable</v>
      </c>
    </row>
    <row r="1467" spans="1:17">
      <c r="A1467" t="s">
        <v>1477</v>
      </c>
      <c r="B1467" s="2">
        <v>45508</v>
      </c>
      <c r="C1467">
        <v>5000</v>
      </c>
      <c r="D1467" t="s">
        <v>2013</v>
      </c>
      <c r="E1467">
        <v>1578.71</v>
      </c>
      <c r="F1467">
        <v>0</v>
      </c>
      <c r="G1467" t="s">
        <v>2021</v>
      </c>
      <c r="H1467" t="s">
        <v>2024</v>
      </c>
      <c r="I1467" t="s">
        <v>3493</v>
      </c>
      <c r="J1467" t="s">
        <v>4029</v>
      </c>
      <c r="K1467" t="s">
        <v>4058</v>
      </c>
      <c r="L1467">
        <v>-1578.71</v>
      </c>
      <c r="N1467">
        <f t="shared" si="66"/>
        <v>-1578.71</v>
      </c>
      <c r="O1467" t="s">
        <v>4104</v>
      </c>
      <c r="P1467" t="str">
        <f t="shared" si="67"/>
        <v xml:space="preserve"> </v>
      </c>
      <c r="Q1467" t="str">
        <f t="shared" si="68"/>
        <v>Unfavorable</v>
      </c>
    </row>
    <row r="1468" spans="1:17">
      <c r="A1468" t="s">
        <v>1478</v>
      </c>
      <c r="B1468" s="2">
        <v>45247</v>
      </c>
      <c r="C1468">
        <v>4000</v>
      </c>
      <c r="D1468" t="s">
        <v>2012</v>
      </c>
      <c r="E1468">
        <v>0</v>
      </c>
      <c r="F1468">
        <v>4453.8</v>
      </c>
      <c r="G1468" t="s">
        <v>2021</v>
      </c>
      <c r="H1468" t="s">
        <v>2025</v>
      </c>
      <c r="I1468" t="s">
        <v>3494</v>
      </c>
      <c r="J1468" t="s">
        <v>4031</v>
      </c>
      <c r="K1468" t="s">
        <v>4042</v>
      </c>
      <c r="L1468">
        <v>4453.8</v>
      </c>
      <c r="N1468">
        <f t="shared" si="66"/>
        <v>4453.8</v>
      </c>
      <c r="O1468" t="s">
        <v>4104</v>
      </c>
      <c r="P1468" t="str">
        <f t="shared" si="67"/>
        <v xml:space="preserve"> </v>
      </c>
      <c r="Q1468" t="str">
        <f t="shared" si="68"/>
        <v>Favorable</v>
      </c>
    </row>
    <row r="1469" spans="1:17">
      <c r="A1469" t="s">
        <v>1479</v>
      </c>
      <c r="B1469" s="2">
        <v>45173</v>
      </c>
      <c r="C1469">
        <v>4000</v>
      </c>
      <c r="D1469" t="s">
        <v>2012</v>
      </c>
      <c r="E1469">
        <v>0</v>
      </c>
      <c r="F1469">
        <v>4929.5200000000004</v>
      </c>
      <c r="G1469" t="s">
        <v>2022</v>
      </c>
      <c r="H1469" t="s">
        <v>2025</v>
      </c>
      <c r="I1469" t="s">
        <v>3495</v>
      </c>
      <c r="J1469" t="s">
        <v>4028</v>
      </c>
      <c r="K1469" t="s">
        <v>4036</v>
      </c>
      <c r="L1469">
        <v>4929.5200000000004</v>
      </c>
      <c r="N1469">
        <f t="shared" si="66"/>
        <v>4929.5200000000004</v>
      </c>
      <c r="O1469" t="s">
        <v>4104</v>
      </c>
      <c r="P1469" t="str">
        <f t="shared" si="67"/>
        <v xml:space="preserve"> </v>
      </c>
      <c r="Q1469" t="str">
        <f t="shared" si="68"/>
        <v>Favorable</v>
      </c>
    </row>
    <row r="1470" spans="1:17">
      <c r="A1470" t="s">
        <v>1480</v>
      </c>
      <c r="B1470" s="2">
        <v>44976</v>
      </c>
      <c r="C1470">
        <v>5000</v>
      </c>
      <c r="D1470" t="s">
        <v>2013</v>
      </c>
      <c r="E1470">
        <v>537.51</v>
      </c>
      <c r="F1470">
        <v>0</v>
      </c>
      <c r="G1470" t="s">
        <v>2021</v>
      </c>
      <c r="H1470" t="s">
        <v>2025</v>
      </c>
      <c r="I1470" t="s">
        <v>3496</v>
      </c>
      <c r="J1470" t="s">
        <v>4028</v>
      </c>
      <c r="K1470" t="s">
        <v>4057</v>
      </c>
      <c r="L1470">
        <v>-537.51</v>
      </c>
      <c r="N1470">
        <f t="shared" si="66"/>
        <v>-537.51</v>
      </c>
      <c r="O1470" t="s">
        <v>4104</v>
      </c>
      <c r="P1470" t="str">
        <f t="shared" si="67"/>
        <v xml:space="preserve"> </v>
      </c>
      <c r="Q1470" t="str">
        <f t="shared" si="68"/>
        <v>Unfavorable</v>
      </c>
    </row>
    <row r="1471" spans="1:17">
      <c r="A1471" t="s">
        <v>1481</v>
      </c>
      <c r="B1471" s="2">
        <v>45641</v>
      </c>
      <c r="C1471">
        <v>5000</v>
      </c>
      <c r="D1471" t="s">
        <v>2013</v>
      </c>
      <c r="E1471">
        <v>554.87</v>
      </c>
      <c r="F1471">
        <v>0</v>
      </c>
      <c r="G1471" t="s">
        <v>2020</v>
      </c>
      <c r="H1471" t="s">
        <v>2024</v>
      </c>
      <c r="I1471" t="s">
        <v>3497</v>
      </c>
      <c r="J1471" t="s">
        <v>4028</v>
      </c>
      <c r="K1471" t="s">
        <v>4056</v>
      </c>
      <c r="L1471">
        <v>-554.87</v>
      </c>
      <c r="N1471">
        <f t="shared" si="66"/>
        <v>-554.87</v>
      </c>
      <c r="O1471" t="s">
        <v>4104</v>
      </c>
      <c r="P1471" t="str">
        <f t="shared" si="67"/>
        <v xml:space="preserve"> </v>
      </c>
      <c r="Q1471" t="str">
        <f t="shared" si="68"/>
        <v>Unfavorable</v>
      </c>
    </row>
    <row r="1472" spans="1:17">
      <c r="A1472" t="s">
        <v>1482</v>
      </c>
      <c r="B1472" s="2">
        <v>45406</v>
      </c>
      <c r="C1472">
        <v>4010</v>
      </c>
      <c r="D1472" t="s">
        <v>2016</v>
      </c>
      <c r="E1472">
        <v>0</v>
      </c>
      <c r="F1472">
        <v>4941.29</v>
      </c>
      <c r="G1472" t="s">
        <v>2020</v>
      </c>
      <c r="H1472" t="s">
        <v>2026</v>
      </c>
      <c r="I1472" t="s">
        <v>3498</v>
      </c>
      <c r="J1472" t="s">
        <v>4030</v>
      </c>
      <c r="K1472" t="s">
        <v>4040</v>
      </c>
      <c r="L1472">
        <v>4941.29</v>
      </c>
      <c r="N1472">
        <f t="shared" si="66"/>
        <v>4941.29</v>
      </c>
      <c r="O1472" t="s">
        <v>4104</v>
      </c>
      <c r="P1472" t="str">
        <f t="shared" si="67"/>
        <v xml:space="preserve"> </v>
      </c>
      <c r="Q1472" t="str">
        <f t="shared" si="68"/>
        <v>Favorable</v>
      </c>
    </row>
    <row r="1473" spans="1:17">
      <c r="A1473" t="s">
        <v>1483</v>
      </c>
      <c r="B1473" s="2">
        <v>45246</v>
      </c>
      <c r="C1473">
        <v>5000</v>
      </c>
      <c r="D1473" t="s">
        <v>2013</v>
      </c>
      <c r="E1473">
        <v>1427.31</v>
      </c>
      <c r="F1473">
        <v>0</v>
      </c>
      <c r="G1473" t="s">
        <v>2018</v>
      </c>
      <c r="H1473" t="s">
        <v>2026</v>
      </c>
      <c r="I1473" t="s">
        <v>3499</v>
      </c>
      <c r="J1473" t="s">
        <v>4029</v>
      </c>
      <c r="K1473" t="s">
        <v>4042</v>
      </c>
      <c r="L1473">
        <v>-1427.31</v>
      </c>
      <c r="N1473">
        <f t="shared" si="66"/>
        <v>-1427.31</v>
      </c>
      <c r="O1473" t="s">
        <v>4104</v>
      </c>
      <c r="P1473" t="str">
        <f t="shared" si="67"/>
        <v xml:space="preserve"> </v>
      </c>
      <c r="Q1473" t="str">
        <f t="shared" si="68"/>
        <v>Unfavorable</v>
      </c>
    </row>
    <row r="1474" spans="1:17">
      <c r="A1474" t="s">
        <v>1484</v>
      </c>
      <c r="B1474" s="2">
        <v>45234</v>
      </c>
      <c r="C1474">
        <v>4000</v>
      </c>
      <c r="D1474" t="s">
        <v>2012</v>
      </c>
      <c r="E1474">
        <v>0</v>
      </c>
      <c r="F1474">
        <v>1063.56</v>
      </c>
      <c r="G1474" t="s">
        <v>2021</v>
      </c>
      <c r="H1474" t="s">
        <v>2027</v>
      </c>
      <c r="I1474" t="s">
        <v>3500</v>
      </c>
      <c r="J1474" t="s">
        <v>4029</v>
      </c>
      <c r="K1474" t="s">
        <v>4042</v>
      </c>
      <c r="L1474">
        <v>1063.56</v>
      </c>
      <c r="N1474">
        <f t="shared" si="66"/>
        <v>1063.56</v>
      </c>
      <c r="O1474" t="s">
        <v>4104</v>
      </c>
      <c r="P1474" t="str">
        <f t="shared" si="67"/>
        <v xml:space="preserve"> </v>
      </c>
      <c r="Q1474" t="str">
        <f t="shared" si="68"/>
        <v>Favorable</v>
      </c>
    </row>
    <row r="1475" spans="1:17">
      <c r="A1475" t="s">
        <v>1485</v>
      </c>
      <c r="B1475" s="2">
        <v>45061</v>
      </c>
      <c r="C1475">
        <v>6000</v>
      </c>
      <c r="D1475" t="s">
        <v>2014</v>
      </c>
      <c r="E1475">
        <v>665.12</v>
      </c>
      <c r="F1475">
        <v>0</v>
      </c>
      <c r="G1475" t="s">
        <v>2020</v>
      </c>
      <c r="H1475" t="s">
        <v>2026</v>
      </c>
      <c r="I1475" t="s">
        <v>3501</v>
      </c>
      <c r="J1475" t="s">
        <v>4032</v>
      </c>
      <c r="K1475" t="s">
        <v>4062</v>
      </c>
      <c r="L1475">
        <v>-665.12</v>
      </c>
      <c r="N1475">
        <f t="shared" ref="N1475:N1538" si="69">L:L-M:M</f>
        <v>-665.12</v>
      </c>
      <c r="O1475" t="s">
        <v>4104</v>
      </c>
      <c r="P1475" t="str">
        <f t="shared" ref="P1475:P1538" si="70">IF(AND(ABS(N:N)&gt;10000,M:M&lt;&gt;0),"Material", " ")</f>
        <v xml:space="preserve"> </v>
      </c>
      <c r="Q1475" t="str">
        <f t="shared" ref="Q1475:Q1538" si="71">IF(N:N&gt;0,"Favorable","Unfavorable")</f>
        <v>Unfavorable</v>
      </c>
    </row>
    <row r="1476" spans="1:17">
      <c r="A1476" t="s">
        <v>1486</v>
      </c>
      <c r="B1476" s="2">
        <v>45427</v>
      </c>
      <c r="C1476">
        <v>4000</v>
      </c>
      <c r="D1476" t="s">
        <v>2012</v>
      </c>
      <c r="E1476">
        <v>0</v>
      </c>
      <c r="F1476">
        <v>185.76</v>
      </c>
      <c r="G1476" t="s">
        <v>2020</v>
      </c>
      <c r="H1476" t="s">
        <v>2024</v>
      </c>
      <c r="I1476" t="s">
        <v>3502</v>
      </c>
      <c r="J1476" t="s">
        <v>4031</v>
      </c>
      <c r="K1476" t="s">
        <v>4033</v>
      </c>
      <c r="L1476">
        <v>185.76</v>
      </c>
      <c r="N1476">
        <f t="shared" si="69"/>
        <v>185.76</v>
      </c>
      <c r="O1476" t="s">
        <v>4104</v>
      </c>
      <c r="P1476" t="str">
        <f t="shared" si="70"/>
        <v xml:space="preserve"> </v>
      </c>
      <c r="Q1476" t="str">
        <f t="shared" si="71"/>
        <v>Favorable</v>
      </c>
    </row>
    <row r="1477" spans="1:17">
      <c r="A1477" t="s">
        <v>1487</v>
      </c>
      <c r="B1477" s="2">
        <v>45695</v>
      </c>
      <c r="C1477">
        <v>4010</v>
      </c>
      <c r="D1477" t="s">
        <v>2016</v>
      </c>
      <c r="E1477">
        <v>0</v>
      </c>
      <c r="F1477">
        <v>278.45999999999998</v>
      </c>
      <c r="G1477" t="s">
        <v>2020</v>
      </c>
      <c r="H1477" t="s">
        <v>2025</v>
      </c>
      <c r="I1477" t="s">
        <v>3503</v>
      </c>
      <c r="J1477" t="s">
        <v>4030</v>
      </c>
      <c r="K1477" t="s">
        <v>4061</v>
      </c>
      <c r="L1477">
        <v>278.45999999999998</v>
      </c>
      <c r="N1477">
        <f t="shared" si="69"/>
        <v>278.45999999999998</v>
      </c>
      <c r="O1477" t="s">
        <v>4104</v>
      </c>
      <c r="P1477" t="str">
        <f t="shared" si="70"/>
        <v xml:space="preserve"> </v>
      </c>
      <c r="Q1477" t="str">
        <f t="shared" si="71"/>
        <v>Favorable</v>
      </c>
    </row>
    <row r="1478" spans="1:17">
      <c r="A1478" t="s">
        <v>1488</v>
      </c>
      <c r="B1478" s="2">
        <v>45336</v>
      </c>
      <c r="C1478">
        <v>4000</v>
      </c>
      <c r="D1478" t="s">
        <v>2012</v>
      </c>
      <c r="E1478">
        <v>0</v>
      </c>
      <c r="F1478">
        <v>4294.84</v>
      </c>
      <c r="G1478" t="s">
        <v>2020</v>
      </c>
      <c r="H1478" t="s">
        <v>2023</v>
      </c>
      <c r="I1478" t="s">
        <v>3504</v>
      </c>
      <c r="J1478" t="s">
        <v>4032</v>
      </c>
      <c r="K1478" t="s">
        <v>4044</v>
      </c>
      <c r="L1478">
        <v>4294.84</v>
      </c>
      <c r="N1478">
        <f t="shared" si="69"/>
        <v>4294.84</v>
      </c>
      <c r="O1478" t="s">
        <v>4104</v>
      </c>
      <c r="P1478" t="str">
        <f t="shared" si="70"/>
        <v xml:space="preserve"> </v>
      </c>
      <c r="Q1478" t="str">
        <f t="shared" si="71"/>
        <v>Favorable</v>
      </c>
    </row>
    <row r="1479" spans="1:17">
      <c r="A1479" t="s">
        <v>1489</v>
      </c>
      <c r="B1479" s="2">
        <v>45199</v>
      </c>
      <c r="C1479">
        <v>5010</v>
      </c>
      <c r="D1479" t="s">
        <v>2015</v>
      </c>
      <c r="E1479">
        <v>1675.83</v>
      </c>
      <c r="F1479">
        <v>0</v>
      </c>
      <c r="G1479" t="s">
        <v>2017</v>
      </c>
      <c r="H1479" t="s">
        <v>2025</v>
      </c>
      <c r="I1479" t="s">
        <v>3505</v>
      </c>
      <c r="J1479" t="s">
        <v>4031</v>
      </c>
      <c r="K1479" t="s">
        <v>4036</v>
      </c>
      <c r="L1479">
        <v>-1675.83</v>
      </c>
      <c r="N1479">
        <f t="shared" si="69"/>
        <v>-1675.83</v>
      </c>
      <c r="O1479" t="s">
        <v>4104</v>
      </c>
      <c r="P1479" t="str">
        <f t="shared" si="70"/>
        <v xml:space="preserve"> </v>
      </c>
      <c r="Q1479" t="str">
        <f t="shared" si="71"/>
        <v>Unfavorable</v>
      </c>
    </row>
    <row r="1480" spans="1:17">
      <c r="A1480" t="s">
        <v>1490</v>
      </c>
      <c r="B1480" s="2">
        <v>45578</v>
      </c>
      <c r="C1480">
        <v>5010</v>
      </c>
      <c r="D1480" t="s">
        <v>2015</v>
      </c>
      <c r="E1480">
        <v>658.13</v>
      </c>
      <c r="F1480">
        <v>0</v>
      </c>
      <c r="G1480" t="s">
        <v>2019</v>
      </c>
      <c r="H1480" t="s">
        <v>2023</v>
      </c>
      <c r="I1480" t="s">
        <v>3506</v>
      </c>
      <c r="J1480" t="s">
        <v>4028</v>
      </c>
      <c r="K1480" t="s">
        <v>4059</v>
      </c>
      <c r="L1480">
        <v>-658.13</v>
      </c>
      <c r="N1480">
        <f t="shared" si="69"/>
        <v>-658.13</v>
      </c>
      <c r="O1480" t="s">
        <v>4104</v>
      </c>
      <c r="P1480" t="str">
        <f t="shared" si="70"/>
        <v xml:space="preserve"> </v>
      </c>
      <c r="Q1480" t="str">
        <f t="shared" si="71"/>
        <v>Unfavorable</v>
      </c>
    </row>
    <row r="1481" spans="1:17">
      <c r="A1481" t="s">
        <v>1491</v>
      </c>
      <c r="B1481" s="2">
        <v>45794</v>
      </c>
      <c r="C1481">
        <v>6000</v>
      </c>
      <c r="D1481" t="s">
        <v>2014</v>
      </c>
      <c r="E1481">
        <v>1615.35</v>
      </c>
      <c r="F1481">
        <v>0</v>
      </c>
      <c r="G1481" t="s">
        <v>2019</v>
      </c>
      <c r="H1481" t="s">
        <v>2023</v>
      </c>
      <c r="I1481" t="s">
        <v>3507</v>
      </c>
      <c r="J1481" t="s">
        <v>4032</v>
      </c>
      <c r="K1481" t="s">
        <v>4038</v>
      </c>
      <c r="L1481">
        <v>-1615.35</v>
      </c>
      <c r="N1481">
        <f t="shared" si="69"/>
        <v>-1615.35</v>
      </c>
      <c r="O1481" t="s">
        <v>4104</v>
      </c>
      <c r="P1481" t="str">
        <f t="shared" si="70"/>
        <v xml:space="preserve"> </v>
      </c>
      <c r="Q1481" t="str">
        <f t="shared" si="71"/>
        <v>Unfavorable</v>
      </c>
    </row>
    <row r="1482" spans="1:17">
      <c r="A1482" t="s">
        <v>1492</v>
      </c>
      <c r="B1482" s="2">
        <v>45195</v>
      </c>
      <c r="C1482">
        <v>4010</v>
      </c>
      <c r="D1482" t="s">
        <v>2016</v>
      </c>
      <c r="E1482">
        <v>0</v>
      </c>
      <c r="F1482">
        <v>4040.21</v>
      </c>
      <c r="G1482" t="s">
        <v>2020</v>
      </c>
      <c r="H1482" t="s">
        <v>2026</v>
      </c>
      <c r="I1482" t="s">
        <v>3508</v>
      </c>
      <c r="J1482" t="s">
        <v>4032</v>
      </c>
      <c r="K1482" t="s">
        <v>4036</v>
      </c>
      <c r="L1482">
        <v>4040.21</v>
      </c>
      <c r="N1482">
        <f t="shared" si="69"/>
        <v>4040.21</v>
      </c>
      <c r="O1482" t="s">
        <v>4104</v>
      </c>
      <c r="P1482" t="str">
        <f t="shared" si="70"/>
        <v xml:space="preserve"> </v>
      </c>
      <c r="Q1482" t="str">
        <f t="shared" si="71"/>
        <v>Favorable</v>
      </c>
    </row>
    <row r="1483" spans="1:17">
      <c r="A1483" t="s">
        <v>1493</v>
      </c>
      <c r="B1483" s="2">
        <v>45804</v>
      </c>
      <c r="C1483">
        <v>4000</v>
      </c>
      <c r="D1483" t="s">
        <v>2012</v>
      </c>
      <c r="E1483">
        <v>0</v>
      </c>
      <c r="F1483">
        <v>1080.5</v>
      </c>
      <c r="G1483" t="s">
        <v>2017</v>
      </c>
      <c r="H1483" t="s">
        <v>2027</v>
      </c>
      <c r="I1483" t="s">
        <v>3509</v>
      </c>
      <c r="J1483" t="s">
        <v>4029</v>
      </c>
      <c r="K1483" t="s">
        <v>4038</v>
      </c>
      <c r="L1483">
        <v>1080.5</v>
      </c>
      <c r="N1483">
        <f t="shared" si="69"/>
        <v>1080.5</v>
      </c>
      <c r="O1483" t="s">
        <v>4104</v>
      </c>
      <c r="P1483" t="str">
        <f t="shared" si="70"/>
        <v xml:space="preserve"> </v>
      </c>
      <c r="Q1483" t="str">
        <f t="shared" si="71"/>
        <v>Favorable</v>
      </c>
    </row>
    <row r="1484" spans="1:17">
      <c r="A1484" t="s">
        <v>1494</v>
      </c>
      <c r="B1484" s="2">
        <v>45754</v>
      </c>
      <c r="C1484">
        <v>6000</v>
      </c>
      <c r="D1484" t="s">
        <v>2014</v>
      </c>
      <c r="E1484">
        <v>1674.78</v>
      </c>
      <c r="F1484">
        <v>0</v>
      </c>
      <c r="G1484" t="s">
        <v>2021</v>
      </c>
      <c r="H1484" t="s">
        <v>2025</v>
      </c>
      <c r="I1484" t="s">
        <v>3510</v>
      </c>
      <c r="J1484" t="s">
        <v>4029</v>
      </c>
      <c r="K1484" t="s">
        <v>4045</v>
      </c>
      <c r="L1484">
        <v>-1674.78</v>
      </c>
      <c r="N1484">
        <f t="shared" si="69"/>
        <v>-1674.78</v>
      </c>
      <c r="O1484" t="s">
        <v>4104</v>
      </c>
      <c r="P1484" t="str">
        <f t="shared" si="70"/>
        <v xml:space="preserve"> </v>
      </c>
      <c r="Q1484" t="str">
        <f t="shared" si="71"/>
        <v>Unfavorable</v>
      </c>
    </row>
    <row r="1485" spans="1:17">
      <c r="A1485" t="s">
        <v>1495</v>
      </c>
      <c r="B1485" s="2">
        <v>45611</v>
      </c>
      <c r="C1485">
        <v>5010</v>
      </c>
      <c r="D1485" t="s">
        <v>2015</v>
      </c>
      <c r="E1485">
        <v>959.69</v>
      </c>
      <c r="F1485">
        <v>0</v>
      </c>
      <c r="G1485" t="s">
        <v>2022</v>
      </c>
      <c r="H1485" t="s">
        <v>2024</v>
      </c>
      <c r="I1485" t="s">
        <v>3511</v>
      </c>
      <c r="J1485" t="s">
        <v>4031</v>
      </c>
      <c r="K1485" t="s">
        <v>4043</v>
      </c>
      <c r="L1485">
        <v>-959.69</v>
      </c>
      <c r="N1485">
        <f t="shared" si="69"/>
        <v>-959.69</v>
      </c>
      <c r="O1485" t="s">
        <v>4104</v>
      </c>
      <c r="P1485" t="str">
        <f t="shared" si="70"/>
        <v xml:space="preserve"> </v>
      </c>
      <c r="Q1485" t="str">
        <f t="shared" si="71"/>
        <v>Unfavorable</v>
      </c>
    </row>
    <row r="1486" spans="1:17">
      <c r="A1486" t="s">
        <v>1496</v>
      </c>
      <c r="B1486" s="2">
        <v>45461</v>
      </c>
      <c r="C1486">
        <v>5000</v>
      </c>
      <c r="D1486" t="s">
        <v>2013</v>
      </c>
      <c r="E1486">
        <v>1883.44</v>
      </c>
      <c r="F1486">
        <v>0</v>
      </c>
      <c r="G1486" t="s">
        <v>2021</v>
      </c>
      <c r="H1486" t="s">
        <v>2027</v>
      </c>
      <c r="I1486" t="s">
        <v>3512</v>
      </c>
      <c r="J1486" t="s">
        <v>4030</v>
      </c>
      <c r="K1486" t="s">
        <v>4034</v>
      </c>
      <c r="L1486">
        <v>-1883.44</v>
      </c>
      <c r="N1486">
        <f t="shared" si="69"/>
        <v>-1883.44</v>
      </c>
      <c r="O1486" t="s">
        <v>4104</v>
      </c>
      <c r="P1486" t="str">
        <f t="shared" si="70"/>
        <v xml:space="preserve"> </v>
      </c>
      <c r="Q1486" t="str">
        <f t="shared" si="71"/>
        <v>Unfavorable</v>
      </c>
    </row>
    <row r="1487" spans="1:17">
      <c r="A1487" t="s">
        <v>1497</v>
      </c>
      <c r="B1487" s="2">
        <v>45285</v>
      </c>
      <c r="C1487">
        <v>4000</v>
      </c>
      <c r="D1487" t="s">
        <v>2012</v>
      </c>
      <c r="E1487">
        <v>0</v>
      </c>
      <c r="F1487">
        <v>1071.33</v>
      </c>
      <c r="G1487" t="s">
        <v>2021</v>
      </c>
      <c r="H1487" t="s">
        <v>2027</v>
      </c>
      <c r="I1487" t="s">
        <v>3513</v>
      </c>
      <c r="J1487" t="s">
        <v>4031</v>
      </c>
      <c r="K1487" t="s">
        <v>4039</v>
      </c>
      <c r="L1487">
        <v>1071.33</v>
      </c>
      <c r="N1487">
        <f t="shared" si="69"/>
        <v>1071.33</v>
      </c>
      <c r="O1487" t="s">
        <v>4104</v>
      </c>
      <c r="P1487" t="str">
        <f t="shared" si="70"/>
        <v xml:space="preserve"> </v>
      </c>
      <c r="Q1487" t="str">
        <f t="shared" si="71"/>
        <v>Favorable</v>
      </c>
    </row>
    <row r="1488" spans="1:17">
      <c r="A1488" t="s">
        <v>1498</v>
      </c>
      <c r="B1488" s="2">
        <v>45412</v>
      </c>
      <c r="C1488">
        <v>4010</v>
      </c>
      <c r="D1488" t="s">
        <v>2016</v>
      </c>
      <c r="E1488">
        <v>0</v>
      </c>
      <c r="F1488">
        <v>3543.57</v>
      </c>
      <c r="G1488" t="s">
        <v>2022</v>
      </c>
      <c r="H1488" t="s">
        <v>2027</v>
      </c>
      <c r="I1488" t="s">
        <v>3514</v>
      </c>
      <c r="J1488" t="s">
        <v>4031</v>
      </c>
      <c r="K1488" t="s">
        <v>4040</v>
      </c>
      <c r="L1488">
        <v>3543.57</v>
      </c>
      <c r="N1488">
        <f t="shared" si="69"/>
        <v>3543.57</v>
      </c>
      <c r="O1488" t="s">
        <v>4104</v>
      </c>
      <c r="P1488" t="str">
        <f t="shared" si="70"/>
        <v xml:space="preserve"> </v>
      </c>
      <c r="Q1488" t="str">
        <f t="shared" si="71"/>
        <v>Favorable</v>
      </c>
    </row>
    <row r="1489" spans="1:17">
      <c r="A1489" t="s">
        <v>1499</v>
      </c>
      <c r="B1489" s="2">
        <v>45379</v>
      </c>
      <c r="C1489">
        <v>5000</v>
      </c>
      <c r="D1489" t="s">
        <v>2013</v>
      </c>
      <c r="E1489">
        <v>489.81</v>
      </c>
      <c r="F1489">
        <v>0</v>
      </c>
      <c r="G1489" t="s">
        <v>2018</v>
      </c>
      <c r="H1489" t="s">
        <v>2027</v>
      </c>
      <c r="I1489" t="s">
        <v>3515</v>
      </c>
      <c r="J1489" t="s">
        <v>4030</v>
      </c>
      <c r="K1489" t="s">
        <v>4049</v>
      </c>
      <c r="L1489">
        <v>-489.81</v>
      </c>
      <c r="N1489">
        <f t="shared" si="69"/>
        <v>-489.81</v>
      </c>
      <c r="O1489" t="s">
        <v>4104</v>
      </c>
      <c r="P1489" t="str">
        <f t="shared" si="70"/>
        <v xml:space="preserve"> </v>
      </c>
      <c r="Q1489" t="str">
        <f t="shared" si="71"/>
        <v>Unfavorable</v>
      </c>
    </row>
    <row r="1490" spans="1:17">
      <c r="A1490" t="s">
        <v>1500</v>
      </c>
      <c r="B1490" s="2">
        <v>45624</v>
      </c>
      <c r="C1490">
        <v>5010</v>
      </c>
      <c r="D1490" t="s">
        <v>2015</v>
      </c>
      <c r="E1490">
        <v>505.72</v>
      </c>
      <c r="F1490">
        <v>0</v>
      </c>
      <c r="G1490" t="s">
        <v>2021</v>
      </c>
      <c r="H1490" t="s">
        <v>2026</v>
      </c>
      <c r="I1490" t="s">
        <v>3516</v>
      </c>
      <c r="J1490" t="s">
        <v>4032</v>
      </c>
      <c r="K1490" t="s">
        <v>4043</v>
      </c>
      <c r="L1490">
        <v>-505.72</v>
      </c>
      <c r="N1490">
        <f t="shared" si="69"/>
        <v>-505.72</v>
      </c>
      <c r="O1490" t="s">
        <v>4104</v>
      </c>
      <c r="P1490" t="str">
        <f t="shared" si="70"/>
        <v xml:space="preserve"> </v>
      </c>
      <c r="Q1490" t="str">
        <f t="shared" si="71"/>
        <v>Unfavorable</v>
      </c>
    </row>
    <row r="1491" spans="1:17">
      <c r="A1491" t="s">
        <v>1501</v>
      </c>
      <c r="B1491" s="2">
        <v>45263</v>
      </c>
      <c r="C1491">
        <v>5010</v>
      </c>
      <c r="D1491" t="s">
        <v>2015</v>
      </c>
      <c r="E1491">
        <v>178.76</v>
      </c>
      <c r="F1491">
        <v>0</v>
      </c>
      <c r="G1491" t="s">
        <v>2022</v>
      </c>
      <c r="H1491" t="s">
        <v>2027</v>
      </c>
      <c r="I1491" t="s">
        <v>3517</v>
      </c>
      <c r="J1491" t="s">
        <v>4029</v>
      </c>
      <c r="K1491" t="s">
        <v>4039</v>
      </c>
      <c r="L1491">
        <v>-178.76</v>
      </c>
      <c r="N1491">
        <f t="shared" si="69"/>
        <v>-178.76</v>
      </c>
      <c r="O1491" t="s">
        <v>4104</v>
      </c>
      <c r="P1491" t="str">
        <f t="shared" si="70"/>
        <v xml:space="preserve"> </v>
      </c>
      <c r="Q1491" t="str">
        <f t="shared" si="71"/>
        <v>Unfavorable</v>
      </c>
    </row>
    <row r="1492" spans="1:17">
      <c r="A1492" t="s">
        <v>1502</v>
      </c>
      <c r="B1492" s="2">
        <v>45681</v>
      </c>
      <c r="C1492">
        <v>6000</v>
      </c>
      <c r="D1492" t="s">
        <v>2014</v>
      </c>
      <c r="E1492">
        <v>495.06</v>
      </c>
      <c r="F1492">
        <v>0</v>
      </c>
      <c r="G1492" t="s">
        <v>2021</v>
      </c>
      <c r="H1492" t="s">
        <v>2023</v>
      </c>
      <c r="I1492" t="s">
        <v>3518</v>
      </c>
      <c r="J1492" t="s">
        <v>4028</v>
      </c>
      <c r="K1492" t="s">
        <v>4035</v>
      </c>
      <c r="L1492">
        <v>-495.06</v>
      </c>
      <c r="N1492">
        <f t="shared" si="69"/>
        <v>-495.06</v>
      </c>
      <c r="O1492" t="s">
        <v>4104</v>
      </c>
      <c r="P1492" t="str">
        <f t="shared" si="70"/>
        <v xml:space="preserve"> </v>
      </c>
      <c r="Q1492" t="str">
        <f t="shared" si="71"/>
        <v>Unfavorable</v>
      </c>
    </row>
    <row r="1493" spans="1:17">
      <c r="A1493" t="s">
        <v>1503</v>
      </c>
      <c r="B1493" s="2">
        <v>45732</v>
      </c>
      <c r="C1493">
        <v>4010</v>
      </c>
      <c r="D1493" t="s">
        <v>2016</v>
      </c>
      <c r="E1493">
        <v>0</v>
      </c>
      <c r="F1493">
        <v>309.72000000000003</v>
      </c>
      <c r="G1493" t="s">
        <v>2017</v>
      </c>
      <c r="H1493" t="s">
        <v>2027</v>
      </c>
      <c r="I1493" t="s">
        <v>3519</v>
      </c>
      <c r="J1493" t="s">
        <v>4028</v>
      </c>
      <c r="K1493" t="s">
        <v>4046</v>
      </c>
      <c r="L1493">
        <v>309.72000000000003</v>
      </c>
      <c r="N1493">
        <f t="shared" si="69"/>
        <v>309.72000000000003</v>
      </c>
      <c r="O1493" t="s">
        <v>4104</v>
      </c>
      <c r="P1493" t="str">
        <f t="shared" si="70"/>
        <v xml:space="preserve"> </v>
      </c>
      <c r="Q1493" t="str">
        <f t="shared" si="71"/>
        <v>Favorable</v>
      </c>
    </row>
    <row r="1494" spans="1:17">
      <c r="A1494" t="s">
        <v>1504</v>
      </c>
      <c r="B1494" s="2">
        <v>44941</v>
      </c>
      <c r="C1494">
        <v>5010</v>
      </c>
      <c r="D1494" t="s">
        <v>2015</v>
      </c>
      <c r="E1494">
        <v>1106.6600000000001</v>
      </c>
      <c r="F1494">
        <v>0</v>
      </c>
      <c r="G1494" t="s">
        <v>2019</v>
      </c>
      <c r="H1494" t="s">
        <v>2023</v>
      </c>
      <c r="I1494" t="s">
        <v>3520</v>
      </c>
      <c r="J1494" t="s">
        <v>4030</v>
      </c>
      <c r="K1494" t="s">
        <v>4047</v>
      </c>
      <c r="L1494">
        <v>-1106.6600000000001</v>
      </c>
      <c r="N1494">
        <f t="shared" si="69"/>
        <v>-1106.6600000000001</v>
      </c>
      <c r="O1494" t="s">
        <v>4104</v>
      </c>
      <c r="P1494" t="str">
        <f t="shared" si="70"/>
        <v xml:space="preserve"> </v>
      </c>
      <c r="Q1494" t="str">
        <f t="shared" si="71"/>
        <v>Unfavorable</v>
      </c>
    </row>
    <row r="1495" spans="1:17">
      <c r="A1495" t="s">
        <v>1505</v>
      </c>
      <c r="B1495" s="2">
        <v>45771</v>
      </c>
      <c r="C1495">
        <v>4010</v>
      </c>
      <c r="D1495" t="s">
        <v>2016</v>
      </c>
      <c r="E1495">
        <v>0</v>
      </c>
      <c r="F1495">
        <v>4204.9399999999996</v>
      </c>
      <c r="G1495" t="s">
        <v>2022</v>
      </c>
      <c r="H1495" t="s">
        <v>2025</v>
      </c>
      <c r="I1495" t="s">
        <v>3521</v>
      </c>
      <c r="J1495" t="s">
        <v>4032</v>
      </c>
      <c r="K1495" t="s">
        <v>4045</v>
      </c>
      <c r="L1495">
        <v>4204.9399999999996</v>
      </c>
      <c r="N1495">
        <f t="shared" si="69"/>
        <v>4204.9399999999996</v>
      </c>
      <c r="O1495" t="s">
        <v>4104</v>
      </c>
      <c r="P1495" t="str">
        <f t="shared" si="70"/>
        <v xml:space="preserve"> </v>
      </c>
      <c r="Q1495" t="str">
        <f t="shared" si="71"/>
        <v>Favorable</v>
      </c>
    </row>
    <row r="1496" spans="1:17">
      <c r="A1496" t="s">
        <v>1506</v>
      </c>
      <c r="B1496" s="2">
        <v>45039</v>
      </c>
      <c r="C1496">
        <v>6000</v>
      </c>
      <c r="D1496" t="s">
        <v>2014</v>
      </c>
      <c r="E1496">
        <v>850.43</v>
      </c>
      <c r="F1496">
        <v>0</v>
      </c>
      <c r="G1496" t="s">
        <v>2017</v>
      </c>
      <c r="H1496" t="s">
        <v>2025</v>
      </c>
      <c r="I1496" t="s">
        <v>3522</v>
      </c>
      <c r="J1496" t="s">
        <v>4032</v>
      </c>
      <c r="K1496" t="s">
        <v>4041</v>
      </c>
      <c r="L1496">
        <v>-850.43</v>
      </c>
      <c r="N1496">
        <f t="shared" si="69"/>
        <v>-850.43</v>
      </c>
      <c r="O1496" t="s">
        <v>4104</v>
      </c>
      <c r="P1496" t="str">
        <f t="shared" si="70"/>
        <v xml:space="preserve"> </v>
      </c>
      <c r="Q1496" t="str">
        <f t="shared" si="71"/>
        <v>Unfavorable</v>
      </c>
    </row>
    <row r="1497" spans="1:17">
      <c r="A1497" t="s">
        <v>1507</v>
      </c>
      <c r="B1497" s="2">
        <v>45288</v>
      </c>
      <c r="C1497">
        <v>4000</v>
      </c>
      <c r="D1497" t="s">
        <v>2012</v>
      </c>
      <c r="E1497">
        <v>0</v>
      </c>
      <c r="F1497">
        <v>4145.32</v>
      </c>
      <c r="G1497" t="s">
        <v>2022</v>
      </c>
      <c r="H1497" t="s">
        <v>2027</v>
      </c>
      <c r="I1497" t="s">
        <v>3523</v>
      </c>
      <c r="J1497" t="s">
        <v>4028</v>
      </c>
      <c r="K1497" t="s">
        <v>4039</v>
      </c>
      <c r="L1497">
        <v>4145.32</v>
      </c>
      <c r="N1497">
        <f t="shared" si="69"/>
        <v>4145.32</v>
      </c>
      <c r="O1497" t="s">
        <v>4104</v>
      </c>
      <c r="P1497" t="str">
        <f t="shared" si="70"/>
        <v xml:space="preserve"> </v>
      </c>
      <c r="Q1497" t="str">
        <f t="shared" si="71"/>
        <v>Favorable</v>
      </c>
    </row>
    <row r="1498" spans="1:17">
      <c r="A1498" t="s">
        <v>1508</v>
      </c>
      <c r="B1498" s="2">
        <v>45328</v>
      </c>
      <c r="C1498">
        <v>5010</v>
      </c>
      <c r="D1498" t="s">
        <v>2015</v>
      </c>
      <c r="E1498">
        <v>1312.14</v>
      </c>
      <c r="F1498">
        <v>0</v>
      </c>
      <c r="G1498" t="s">
        <v>2020</v>
      </c>
      <c r="H1498" t="s">
        <v>2025</v>
      </c>
      <c r="I1498" t="s">
        <v>3524</v>
      </c>
      <c r="J1498" t="s">
        <v>4032</v>
      </c>
      <c r="K1498" t="s">
        <v>4044</v>
      </c>
      <c r="L1498">
        <v>-1312.14</v>
      </c>
      <c r="N1498">
        <f t="shared" si="69"/>
        <v>-1312.14</v>
      </c>
      <c r="O1498" t="s">
        <v>4104</v>
      </c>
      <c r="P1498" t="str">
        <f t="shared" si="70"/>
        <v xml:space="preserve"> </v>
      </c>
      <c r="Q1498" t="str">
        <f t="shared" si="71"/>
        <v>Unfavorable</v>
      </c>
    </row>
    <row r="1499" spans="1:17">
      <c r="A1499" t="s">
        <v>1509</v>
      </c>
      <c r="B1499" s="2">
        <v>45152</v>
      </c>
      <c r="C1499">
        <v>5010</v>
      </c>
      <c r="D1499" t="s">
        <v>2015</v>
      </c>
      <c r="E1499">
        <v>1270.1400000000001</v>
      </c>
      <c r="F1499">
        <v>0</v>
      </c>
      <c r="G1499" t="s">
        <v>2018</v>
      </c>
      <c r="H1499" t="s">
        <v>2026</v>
      </c>
      <c r="I1499" t="s">
        <v>3525</v>
      </c>
      <c r="J1499" t="s">
        <v>4028</v>
      </c>
      <c r="K1499" t="s">
        <v>4037</v>
      </c>
      <c r="L1499">
        <v>-1270.1400000000001</v>
      </c>
      <c r="N1499">
        <f t="shared" si="69"/>
        <v>-1270.1400000000001</v>
      </c>
      <c r="O1499" t="s">
        <v>4104</v>
      </c>
      <c r="P1499" t="str">
        <f t="shared" si="70"/>
        <v xml:space="preserve"> </v>
      </c>
      <c r="Q1499" t="str">
        <f t="shared" si="71"/>
        <v>Unfavorable</v>
      </c>
    </row>
    <row r="1500" spans="1:17">
      <c r="A1500" t="s">
        <v>1510</v>
      </c>
      <c r="B1500" s="2">
        <v>44948</v>
      </c>
      <c r="C1500">
        <v>5000</v>
      </c>
      <c r="D1500" t="s">
        <v>2013</v>
      </c>
      <c r="E1500">
        <v>1891.12</v>
      </c>
      <c r="F1500">
        <v>0</v>
      </c>
      <c r="G1500" t="s">
        <v>2018</v>
      </c>
      <c r="H1500" t="s">
        <v>2026</v>
      </c>
      <c r="I1500" t="s">
        <v>3526</v>
      </c>
      <c r="J1500" t="s">
        <v>4028</v>
      </c>
      <c r="K1500" t="s">
        <v>4047</v>
      </c>
      <c r="L1500">
        <v>-1891.12</v>
      </c>
      <c r="N1500">
        <f t="shared" si="69"/>
        <v>-1891.12</v>
      </c>
      <c r="O1500" t="s">
        <v>4104</v>
      </c>
      <c r="P1500" t="str">
        <f t="shared" si="70"/>
        <v xml:space="preserve"> </v>
      </c>
      <c r="Q1500" t="str">
        <f t="shared" si="71"/>
        <v>Unfavorable</v>
      </c>
    </row>
    <row r="1501" spans="1:17">
      <c r="A1501" t="s">
        <v>1511</v>
      </c>
      <c r="B1501" s="2">
        <v>45005</v>
      </c>
      <c r="C1501">
        <v>4000</v>
      </c>
      <c r="D1501" t="s">
        <v>2012</v>
      </c>
      <c r="E1501">
        <v>0</v>
      </c>
      <c r="F1501">
        <v>4859.24</v>
      </c>
      <c r="G1501" t="s">
        <v>2021</v>
      </c>
      <c r="H1501" t="s">
        <v>2025</v>
      </c>
      <c r="I1501" t="s">
        <v>3527</v>
      </c>
      <c r="J1501" t="s">
        <v>4028</v>
      </c>
      <c r="K1501" t="s">
        <v>4051</v>
      </c>
      <c r="L1501">
        <v>4859.24</v>
      </c>
      <c r="N1501">
        <f t="shared" si="69"/>
        <v>4859.24</v>
      </c>
      <c r="O1501" t="s">
        <v>4104</v>
      </c>
      <c r="P1501" t="str">
        <f t="shared" si="70"/>
        <v xml:space="preserve"> </v>
      </c>
      <c r="Q1501" t="str">
        <f t="shared" si="71"/>
        <v>Favorable</v>
      </c>
    </row>
    <row r="1502" spans="1:17">
      <c r="A1502" t="s">
        <v>1512</v>
      </c>
      <c r="B1502" s="2">
        <v>45221</v>
      </c>
      <c r="C1502">
        <v>4000</v>
      </c>
      <c r="D1502" t="s">
        <v>2012</v>
      </c>
      <c r="E1502">
        <v>0</v>
      </c>
      <c r="F1502">
        <v>2711.83</v>
      </c>
      <c r="G1502" t="s">
        <v>2021</v>
      </c>
      <c r="H1502" t="s">
        <v>2026</v>
      </c>
      <c r="I1502" t="s">
        <v>3528</v>
      </c>
      <c r="J1502" t="s">
        <v>4028</v>
      </c>
      <c r="K1502" t="s">
        <v>4060</v>
      </c>
      <c r="L1502">
        <v>2711.83</v>
      </c>
      <c r="N1502">
        <f t="shared" si="69"/>
        <v>2711.83</v>
      </c>
      <c r="O1502" t="s">
        <v>4104</v>
      </c>
      <c r="P1502" t="str">
        <f t="shared" si="70"/>
        <v xml:space="preserve"> </v>
      </c>
      <c r="Q1502" t="str">
        <f t="shared" si="71"/>
        <v>Favorable</v>
      </c>
    </row>
    <row r="1503" spans="1:17">
      <c r="A1503" t="s">
        <v>1513</v>
      </c>
      <c r="B1503" s="2">
        <v>45751</v>
      </c>
      <c r="C1503">
        <v>6000</v>
      </c>
      <c r="D1503" t="s">
        <v>2014</v>
      </c>
      <c r="E1503">
        <v>648.23</v>
      </c>
      <c r="F1503">
        <v>0</v>
      </c>
      <c r="G1503" t="s">
        <v>2018</v>
      </c>
      <c r="H1503" t="s">
        <v>2024</v>
      </c>
      <c r="I1503" t="s">
        <v>3529</v>
      </c>
      <c r="J1503" t="s">
        <v>4032</v>
      </c>
      <c r="K1503" t="s">
        <v>4045</v>
      </c>
      <c r="L1503">
        <v>-648.23</v>
      </c>
      <c r="N1503">
        <f t="shared" si="69"/>
        <v>-648.23</v>
      </c>
      <c r="O1503" t="s">
        <v>4104</v>
      </c>
      <c r="P1503" t="str">
        <f t="shared" si="70"/>
        <v xml:space="preserve"> </v>
      </c>
      <c r="Q1503" t="str">
        <f t="shared" si="71"/>
        <v>Unfavorable</v>
      </c>
    </row>
    <row r="1504" spans="1:17">
      <c r="A1504" t="s">
        <v>1514</v>
      </c>
      <c r="B1504" s="2">
        <v>45238</v>
      </c>
      <c r="C1504">
        <v>4010</v>
      </c>
      <c r="D1504" t="s">
        <v>2016</v>
      </c>
      <c r="E1504">
        <v>0</v>
      </c>
      <c r="F1504">
        <v>3468.1</v>
      </c>
      <c r="G1504" t="s">
        <v>2020</v>
      </c>
      <c r="H1504" t="s">
        <v>2024</v>
      </c>
      <c r="I1504" t="s">
        <v>3530</v>
      </c>
      <c r="J1504" t="s">
        <v>4029</v>
      </c>
      <c r="K1504" t="s">
        <v>4042</v>
      </c>
      <c r="L1504">
        <v>3468.1</v>
      </c>
      <c r="N1504">
        <f t="shared" si="69"/>
        <v>3468.1</v>
      </c>
      <c r="O1504" t="s">
        <v>4104</v>
      </c>
      <c r="P1504" t="str">
        <f t="shared" si="70"/>
        <v xml:space="preserve"> </v>
      </c>
      <c r="Q1504" t="str">
        <f t="shared" si="71"/>
        <v>Favorable</v>
      </c>
    </row>
    <row r="1505" spans="1:17">
      <c r="A1505" t="s">
        <v>1515</v>
      </c>
      <c r="B1505" s="2">
        <v>45526</v>
      </c>
      <c r="C1505">
        <v>4010</v>
      </c>
      <c r="D1505" t="s">
        <v>2016</v>
      </c>
      <c r="E1505">
        <v>0</v>
      </c>
      <c r="F1505">
        <v>252.83</v>
      </c>
      <c r="G1505" t="s">
        <v>2020</v>
      </c>
      <c r="H1505" t="s">
        <v>2025</v>
      </c>
      <c r="I1505" t="s">
        <v>3531</v>
      </c>
      <c r="J1505" t="s">
        <v>4032</v>
      </c>
      <c r="K1505" t="s">
        <v>4058</v>
      </c>
      <c r="L1505">
        <v>252.83</v>
      </c>
      <c r="N1505">
        <f t="shared" si="69"/>
        <v>252.83</v>
      </c>
      <c r="O1505" t="s">
        <v>4104</v>
      </c>
      <c r="P1505" t="str">
        <f t="shared" si="70"/>
        <v xml:space="preserve"> </v>
      </c>
      <c r="Q1505" t="str">
        <f t="shared" si="71"/>
        <v>Favorable</v>
      </c>
    </row>
    <row r="1506" spans="1:17">
      <c r="A1506" t="s">
        <v>1516</v>
      </c>
      <c r="B1506" s="2">
        <v>45437</v>
      </c>
      <c r="C1506">
        <v>5010</v>
      </c>
      <c r="D1506" t="s">
        <v>2015</v>
      </c>
      <c r="E1506">
        <v>1268.1099999999999</v>
      </c>
      <c r="F1506">
        <v>0</v>
      </c>
      <c r="G1506" t="s">
        <v>2018</v>
      </c>
      <c r="H1506" t="s">
        <v>2027</v>
      </c>
      <c r="I1506" t="s">
        <v>3532</v>
      </c>
      <c r="J1506" t="s">
        <v>4032</v>
      </c>
      <c r="K1506" t="s">
        <v>4033</v>
      </c>
      <c r="L1506">
        <v>-1268.1099999999999</v>
      </c>
      <c r="N1506">
        <f t="shared" si="69"/>
        <v>-1268.1099999999999</v>
      </c>
      <c r="O1506" t="s">
        <v>4104</v>
      </c>
      <c r="P1506" t="str">
        <f t="shared" si="70"/>
        <v xml:space="preserve"> </v>
      </c>
      <c r="Q1506" t="str">
        <f t="shared" si="71"/>
        <v>Unfavorable</v>
      </c>
    </row>
    <row r="1507" spans="1:17">
      <c r="A1507" t="s">
        <v>1517</v>
      </c>
      <c r="B1507" s="2">
        <v>45574</v>
      </c>
      <c r="C1507">
        <v>5000</v>
      </c>
      <c r="D1507" t="s">
        <v>2013</v>
      </c>
      <c r="E1507">
        <v>574.22</v>
      </c>
      <c r="F1507">
        <v>0</v>
      </c>
      <c r="G1507" t="s">
        <v>2020</v>
      </c>
      <c r="H1507" t="s">
        <v>2024</v>
      </c>
      <c r="I1507" t="s">
        <v>3533</v>
      </c>
      <c r="J1507" t="s">
        <v>4030</v>
      </c>
      <c r="K1507" t="s">
        <v>4059</v>
      </c>
      <c r="L1507">
        <v>-574.22</v>
      </c>
      <c r="N1507">
        <f t="shared" si="69"/>
        <v>-574.22</v>
      </c>
      <c r="O1507" t="s">
        <v>4104</v>
      </c>
      <c r="P1507" t="str">
        <f t="shared" si="70"/>
        <v xml:space="preserve"> </v>
      </c>
      <c r="Q1507" t="str">
        <f t="shared" si="71"/>
        <v>Unfavorable</v>
      </c>
    </row>
    <row r="1508" spans="1:17">
      <c r="A1508" t="s">
        <v>1518</v>
      </c>
      <c r="B1508" s="2">
        <v>45367</v>
      </c>
      <c r="C1508">
        <v>5010</v>
      </c>
      <c r="D1508" t="s">
        <v>2015</v>
      </c>
      <c r="E1508">
        <v>406.62</v>
      </c>
      <c r="F1508">
        <v>0</v>
      </c>
      <c r="G1508" t="s">
        <v>2018</v>
      </c>
      <c r="H1508" t="s">
        <v>2027</v>
      </c>
      <c r="I1508" t="s">
        <v>3534</v>
      </c>
      <c r="J1508" t="s">
        <v>4029</v>
      </c>
      <c r="K1508" t="s">
        <v>4049</v>
      </c>
      <c r="L1508">
        <v>-406.62</v>
      </c>
      <c r="N1508">
        <f t="shared" si="69"/>
        <v>-406.62</v>
      </c>
      <c r="O1508" t="s">
        <v>4104</v>
      </c>
      <c r="P1508" t="str">
        <f t="shared" si="70"/>
        <v xml:space="preserve"> </v>
      </c>
      <c r="Q1508" t="str">
        <f t="shared" si="71"/>
        <v>Unfavorable</v>
      </c>
    </row>
    <row r="1509" spans="1:17">
      <c r="A1509" t="s">
        <v>1519</v>
      </c>
      <c r="B1509" s="2">
        <v>45366</v>
      </c>
      <c r="C1509">
        <v>4010</v>
      </c>
      <c r="D1509" t="s">
        <v>2016</v>
      </c>
      <c r="E1509">
        <v>0</v>
      </c>
      <c r="F1509">
        <v>4055.84</v>
      </c>
      <c r="G1509" t="s">
        <v>2022</v>
      </c>
      <c r="H1509" t="s">
        <v>2027</v>
      </c>
      <c r="I1509" t="s">
        <v>3535</v>
      </c>
      <c r="J1509" t="s">
        <v>4028</v>
      </c>
      <c r="K1509" t="s">
        <v>4049</v>
      </c>
      <c r="L1509">
        <v>4055.84</v>
      </c>
      <c r="N1509">
        <f t="shared" si="69"/>
        <v>4055.84</v>
      </c>
      <c r="O1509" t="s">
        <v>4104</v>
      </c>
      <c r="P1509" t="str">
        <f t="shared" si="70"/>
        <v xml:space="preserve"> </v>
      </c>
      <c r="Q1509" t="str">
        <f t="shared" si="71"/>
        <v>Favorable</v>
      </c>
    </row>
    <row r="1510" spans="1:17">
      <c r="A1510" t="s">
        <v>1520</v>
      </c>
      <c r="B1510" s="2">
        <v>45394</v>
      </c>
      <c r="C1510">
        <v>4000</v>
      </c>
      <c r="D1510" t="s">
        <v>2012</v>
      </c>
      <c r="E1510">
        <v>0</v>
      </c>
      <c r="F1510">
        <v>3804.94</v>
      </c>
      <c r="G1510" t="s">
        <v>2017</v>
      </c>
      <c r="H1510" t="s">
        <v>2027</v>
      </c>
      <c r="I1510" t="s">
        <v>3536</v>
      </c>
      <c r="J1510" t="s">
        <v>4028</v>
      </c>
      <c r="K1510" t="s">
        <v>4040</v>
      </c>
      <c r="L1510">
        <v>3804.94</v>
      </c>
      <c r="N1510">
        <f t="shared" si="69"/>
        <v>3804.94</v>
      </c>
      <c r="O1510" t="s">
        <v>4104</v>
      </c>
      <c r="P1510" t="str">
        <f t="shared" si="70"/>
        <v xml:space="preserve"> </v>
      </c>
      <c r="Q1510" t="str">
        <f t="shared" si="71"/>
        <v>Favorable</v>
      </c>
    </row>
    <row r="1511" spans="1:17">
      <c r="A1511" t="s">
        <v>1521</v>
      </c>
      <c r="B1511" s="2">
        <v>45277</v>
      </c>
      <c r="C1511">
        <v>4000</v>
      </c>
      <c r="D1511" t="s">
        <v>2012</v>
      </c>
      <c r="E1511">
        <v>0</v>
      </c>
      <c r="F1511">
        <v>2037.61</v>
      </c>
      <c r="G1511" t="s">
        <v>2022</v>
      </c>
      <c r="H1511" t="s">
        <v>2025</v>
      </c>
      <c r="I1511" t="s">
        <v>3537</v>
      </c>
      <c r="J1511" t="s">
        <v>4030</v>
      </c>
      <c r="K1511" t="s">
        <v>4039</v>
      </c>
      <c r="L1511">
        <v>2037.61</v>
      </c>
      <c r="N1511">
        <f t="shared" si="69"/>
        <v>2037.61</v>
      </c>
      <c r="O1511" t="s">
        <v>4104</v>
      </c>
      <c r="P1511" t="str">
        <f t="shared" si="70"/>
        <v xml:space="preserve"> </v>
      </c>
      <c r="Q1511" t="str">
        <f t="shared" si="71"/>
        <v>Favorable</v>
      </c>
    </row>
    <row r="1512" spans="1:17">
      <c r="A1512" t="s">
        <v>1522</v>
      </c>
      <c r="B1512" s="2">
        <v>45537</v>
      </c>
      <c r="C1512">
        <v>5000</v>
      </c>
      <c r="D1512" t="s">
        <v>2013</v>
      </c>
      <c r="E1512">
        <v>1702.53</v>
      </c>
      <c r="F1512">
        <v>0</v>
      </c>
      <c r="G1512" t="s">
        <v>2019</v>
      </c>
      <c r="H1512" t="s">
        <v>2027</v>
      </c>
      <c r="I1512" t="s">
        <v>3538</v>
      </c>
      <c r="J1512" t="s">
        <v>4028</v>
      </c>
      <c r="K1512" t="s">
        <v>4048</v>
      </c>
      <c r="L1512">
        <v>-1702.53</v>
      </c>
      <c r="N1512">
        <f t="shared" si="69"/>
        <v>-1702.53</v>
      </c>
      <c r="O1512" t="s">
        <v>4104</v>
      </c>
      <c r="P1512" t="str">
        <f t="shared" si="70"/>
        <v xml:space="preserve"> </v>
      </c>
      <c r="Q1512" t="str">
        <f t="shared" si="71"/>
        <v>Unfavorable</v>
      </c>
    </row>
    <row r="1513" spans="1:17">
      <c r="A1513" t="s">
        <v>1523</v>
      </c>
      <c r="B1513" s="2">
        <v>45210</v>
      </c>
      <c r="C1513">
        <v>4000</v>
      </c>
      <c r="D1513" t="s">
        <v>2012</v>
      </c>
      <c r="E1513">
        <v>0</v>
      </c>
      <c r="F1513">
        <v>829.97</v>
      </c>
      <c r="G1513" t="s">
        <v>2021</v>
      </c>
      <c r="H1513" t="s">
        <v>2024</v>
      </c>
      <c r="I1513" t="s">
        <v>3539</v>
      </c>
      <c r="J1513" t="s">
        <v>4031</v>
      </c>
      <c r="K1513" t="s">
        <v>4060</v>
      </c>
      <c r="L1513">
        <v>829.97</v>
      </c>
      <c r="N1513">
        <f t="shared" si="69"/>
        <v>829.97</v>
      </c>
      <c r="O1513" t="s">
        <v>4104</v>
      </c>
      <c r="P1513" t="str">
        <f t="shared" si="70"/>
        <v xml:space="preserve"> </v>
      </c>
      <c r="Q1513" t="str">
        <f t="shared" si="71"/>
        <v>Favorable</v>
      </c>
    </row>
    <row r="1514" spans="1:17">
      <c r="A1514" t="s">
        <v>1524</v>
      </c>
      <c r="B1514" s="2">
        <v>45715</v>
      </c>
      <c r="C1514">
        <v>4000</v>
      </c>
      <c r="D1514" t="s">
        <v>2012</v>
      </c>
      <c r="E1514">
        <v>0</v>
      </c>
      <c r="F1514">
        <v>4946.1000000000004</v>
      </c>
      <c r="G1514" t="s">
        <v>2018</v>
      </c>
      <c r="H1514" t="s">
        <v>2023</v>
      </c>
      <c r="I1514" t="s">
        <v>3540</v>
      </c>
      <c r="J1514" t="s">
        <v>4030</v>
      </c>
      <c r="K1514" t="s">
        <v>4061</v>
      </c>
      <c r="L1514">
        <v>4946.1000000000004</v>
      </c>
      <c r="N1514">
        <f t="shared" si="69"/>
        <v>4946.1000000000004</v>
      </c>
      <c r="O1514" t="s">
        <v>4104</v>
      </c>
      <c r="P1514" t="str">
        <f t="shared" si="70"/>
        <v xml:space="preserve"> </v>
      </c>
      <c r="Q1514" t="str">
        <f t="shared" si="71"/>
        <v>Favorable</v>
      </c>
    </row>
    <row r="1515" spans="1:17">
      <c r="A1515" t="s">
        <v>1525</v>
      </c>
      <c r="B1515" s="2">
        <v>44981</v>
      </c>
      <c r="C1515">
        <v>4000</v>
      </c>
      <c r="D1515" t="s">
        <v>2012</v>
      </c>
      <c r="E1515">
        <v>0</v>
      </c>
      <c r="F1515">
        <v>2736.74</v>
      </c>
      <c r="G1515" t="s">
        <v>2018</v>
      </c>
      <c r="H1515" t="s">
        <v>2025</v>
      </c>
      <c r="I1515" t="s">
        <v>3541</v>
      </c>
      <c r="J1515" t="s">
        <v>4030</v>
      </c>
      <c r="K1515" t="s">
        <v>4057</v>
      </c>
      <c r="L1515">
        <v>2736.74</v>
      </c>
      <c r="N1515">
        <f t="shared" si="69"/>
        <v>2736.74</v>
      </c>
      <c r="O1515" t="s">
        <v>4104</v>
      </c>
      <c r="P1515" t="str">
        <f t="shared" si="70"/>
        <v xml:space="preserve"> </v>
      </c>
      <c r="Q1515" t="str">
        <f t="shared" si="71"/>
        <v>Favorable</v>
      </c>
    </row>
    <row r="1516" spans="1:17">
      <c r="A1516" t="s">
        <v>1526</v>
      </c>
      <c r="B1516" s="2">
        <v>45513</v>
      </c>
      <c r="C1516">
        <v>6000</v>
      </c>
      <c r="D1516" t="s">
        <v>2014</v>
      </c>
      <c r="E1516">
        <v>1372.85</v>
      </c>
      <c r="F1516">
        <v>0</v>
      </c>
      <c r="G1516" t="s">
        <v>2019</v>
      </c>
      <c r="H1516" t="s">
        <v>2023</v>
      </c>
      <c r="I1516" t="s">
        <v>3542</v>
      </c>
      <c r="J1516" t="s">
        <v>4028</v>
      </c>
      <c r="K1516" t="s">
        <v>4058</v>
      </c>
      <c r="L1516">
        <v>-1372.85</v>
      </c>
      <c r="N1516">
        <f t="shared" si="69"/>
        <v>-1372.85</v>
      </c>
      <c r="O1516" t="s">
        <v>4104</v>
      </c>
      <c r="P1516" t="str">
        <f t="shared" si="70"/>
        <v xml:space="preserve"> </v>
      </c>
      <c r="Q1516" t="str">
        <f t="shared" si="71"/>
        <v>Unfavorable</v>
      </c>
    </row>
    <row r="1517" spans="1:17">
      <c r="A1517" t="s">
        <v>1527</v>
      </c>
      <c r="B1517" s="2">
        <v>45496</v>
      </c>
      <c r="C1517">
        <v>5010</v>
      </c>
      <c r="D1517" t="s">
        <v>2015</v>
      </c>
      <c r="E1517">
        <v>1842.13</v>
      </c>
      <c r="F1517">
        <v>0</v>
      </c>
      <c r="G1517" t="s">
        <v>2019</v>
      </c>
      <c r="H1517" t="s">
        <v>2026</v>
      </c>
      <c r="I1517" t="s">
        <v>3543</v>
      </c>
      <c r="J1517" t="s">
        <v>4030</v>
      </c>
      <c r="K1517" t="s">
        <v>4054</v>
      </c>
      <c r="L1517">
        <v>-1842.13</v>
      </c>
      <c r="N1517">
        <f t="shared" si="69"/>
        <v>-1842.13</v>
      </c>
      <c r="O1517" t="s">
        <v>4104</v>
      </c>
      <c r="P1517" t="str">
        <f t="shared" si="70"/>
        <v xml:space="preserve"> </v>
      </c>
      <c r="Q1517" t="str">
        <f t="shared" si="71"/>
        <v>Unfavorable</v>
      </c>
    </row>
    <row r="1518" spans="1:17">
      <c r="A1518" t="s">
        <v>1528</v>
      </c>
      <c r="B1518" s="2">
        <v>45673</v>
      </c>
      <c r="C1518">
        <v>4000</v>
      </c>
      <c r="D1518" t="s">
        <v>2012</v>
      </c>
      <c r="E1518">
        <v>0</v>
      </c>
      <c r="F1518">
        <v>4447.99</v>
      </c>
      <c r="G1518" t="s">
        <v>2017</v>
      </c>
      <c r="H1518" t="s">
        <v>2024</v>
      </c>
      <c r="I1518" t="s">
        <v>3544</v>
      </c>
      <c r="J1518" t="s">
        <v>4030</v>
      </c>
      <c r="K1518" t="s">
        <v>4035</v>
      </c>
      <c r="L1518">
        <v>4447.99</v>
      </c>
      <c r="N1518">
        <f t="shared" si="69"/>
        <v>4447.99</v>
      </c>
      <c r="O1518" t="s">
        <v>4104</v>
      </c>
      <c r="P1518" t="str">
        <f t="shared" si="70"/>
        <v xml:space="preserve"> </v>
      </c>
      <c r="Q1518" t="str">
        <f t="shared" si="71"/>
        <v>Favorable</v>
      </c>
    </row>
    <row r="1519" spans="1:17">
      <c r="A1519" t="s">
        <v>1529</v>
      </c>
      <c r="B1519" s="2">
        <v>45401</v>
      </c>
      <c r="C1519">
        <v>4010</v>
      </c>
      <c r="D1519" t="s">
        <v>2016</v>
      </c>
      <c r="E1519">
        <v>0</v>
      </c>
      <c r="F1519">
        <v>758.28</v>
      </c>
      <c r="G1519" t="s">
        <v>2022</v>
      </c>
      <c r="H1519" t="s">
        <v>2024</v>
      </c>
      <c r="I1519" t="s">
        <v>3545</v>
      </c>
      <c r="J1519" t="s">
        <v>4028</v>
      </c>
      <c r="K1519" t="s">
        <v>4040</v>
      </c>
      <c r="L1519">
        <v>758.28</v>
      </c>
      <c r="N1519">
        <f t="shared" si="69"/>
        <v>758.28</v>
      </c>
      <c r="O1519" t="s">
        <v>4104</v>
      </c>
      <c r="P1519" t="str">
        <f t="shared" si="70"/>
        <v xml:space="preserve"> </v>
      </c>
      <c r="Q1519" t="str">
        <f t="shared" si="71"/>
        <v>Favorable</v>
      </c>
    </row>
    <row r="1520" spans="1:17">
      <c r="A1520" t="s">
        <v>1530</v>
      </c>
      <c r="B1520" s="2">
        <v>45343</v>
      </c>
      <c r="C1520">
        <v>4000</v>
      </c>
      <c r="D1520" t="s">
        <v>2012</v>
      </c>
      <c r="E1520">
        <v>0</v>
      </c>
      <c r="F1520">
        <v>934.01</v>
      </c>
      <c r="G1520" t="s">
        <v>2018</v>
      </c>
      <c r="H1520" t="s">
        <v>2023</v>
      </c>
      <c r="I1520" t="s">
        <v>3546</v>
      </c>
      <c r="J1520" t="s">
        <v>4029</v>
      </c>
      <c r="K1520" t="s">
        <v>4044</v>
      </c>
      <c r="L1520">
        <v>934.01</v>
      </c>
      <c r="N1520">
        <f t="shared" si="69"/>
        <v>934.01</v>
      </c>
      <c r="O1520" t="s">
        <v>4104</v>
      </c>
      <c r="P1520" t="str">
        <f t="shared" si="70"/>
        <v xml:space="preserve"> </v>
      </c>
      <c r="Q1520" t="str">
        <f t="shared" si="71"/>
        <v>Favorable</v>
      </c>
    </row>
    <row r="1521" spans="1:17">
      <c r="A1521" t="s">
        <v>1531</v>
      </c>
      <c r="B1521" s="2">
        <v>45601</v>
      </c>
      <c r="C1521">
        <v>5010</v>
      </c>
      <c r="D1521" t="s">
        <v>2015</v>
      </c>
      <c r="E1521">
        <v>1161.7</v>
      </c>
      <c r="F1521">
        <v>0</v>
      </c>
      <c r="G1521" t="s">
        <v>2019</v>
      </c>
      <c r="H1521" t="s">
        <v>2027</v>
      </c>
      <c r="I1521" t="s">
        <v>3547</v>
      </c>
      <c r="J1521" t="s">
        <v>4032</v>
      </c>
      <c r="K1521" t="s">
        <v>4043</v>
      </c>
      <c r="L1521">
        <v>-1161.7</v>
      </c>
      <c r="N1521">
        <f t="shared" si="69"/>
        <v>-1161.7</v>
      </c>
      <c r="O1521" t="s">
        <v>4104</v>
      </c>
      <c r="P1521" t="str">
        <f t="shared" si="70"/>
        <v xml:space="preserve"> </v>
      </c>
      <c r="Q1521" t="str">
        <f t="shared" si="71"/>
        <v>Unfavorable</v>
      </c>
    </row>
    <row r="1522" spans="1:17">
      <c r="A1522" t="s">
        <v>1532</v>
      </c>
      <c r="B1522" s="2">
        <v>45047</v>
      </c>
      <c r="C1522">
        <v>5010</v>
      </c>
      <c r="D1522" t="s">
        <v>2015</v>
      </c>
      <c r="E1522">
        <v>1276.22</v>
      </c>
      <c r="F1522">
        <v>0</v>
      </c>
      <c r="G1522" t="s">
        <v>2017</v>
      </c>
      <c r="H1522" t="s">
        <v>2023</v>
      </c>
      <c r="I1522" t="s">
        <v>3548</v>
      </c>
      <c r="J1522" t="s">
        <v>4031</v>
      </c>
      <c r="K1522" t="s">
        <v>4062</v>
      </c>
      <c r="L1522">
        <v>-1276.22</v>
      </c>
      <c r="N1522">
        <f t="shared" si="69"/>
        <v>-1276.22</v>
      </c>
      <c r="O1522" t="s">
        <v>4104</v>
      </c>
      <c r="P1522" t="str">
        <f t="shared" si="70"/>
        <v xml:space="preserve"> </v>
      </c>
      <c r="Q1522" t="str">
        <f t="shared" si="71"/>
        <v>Unfavorable</v>
      </c>
    </row>
    <row r="1523" spans="1:17">
      <c r="A1523" t="s">
        <v>1533</v>
      </c>
      <c r="B1523" s="2">
        <v>45305</v>
      </c>
      <c r="C1523">
        <v>5000</v>
      </c>
      <c r="D1523" t="s">
        <v>2013</v>
      </c>
      <c r="E1523">
        <v>383.71</v>
      </c>
      <c r="F1523">
        <v>0</v>
      </c>
      <c r="G1523" t="s">
        <v>2020</v>
      </c>
      <c r="H1523" t="s">
        <v>2027</v>
      </c>
      <c r="I1523" t="s">
        <v>3549</v>
      </c>
      <c r="J1523" t="s">
        <v>4031</v>
      </c>
      <c r="K1523" t="s">
        <v>4053</v>
      </c>
      <c r="L1523">
        <v>-383.71</v>
      </c>
      <c r="N1523">
        <f t="shared" si="69"/>
        <v>-383.71</v>
      </c>
      <c r="O1523" t="s">
        <v>4104</v>
      </c>
      <c r="P1523" t="str">
        <f t="shared" si="70"/>
        <v xml:space="preserve"> </v>
      </c>
      <c r="Q1523" t="str">
        <f t="shared" si="71"/>
        <v>Unfavorable</v>
      </c>
    </row>
    <row r="1524" spans="1:17">
      <c r="A1524" t="s">
        <v>1534</v>
      </c>
      <c r="B1524" s="2">
        <v>45738</v>
      </c>
      <c r="C1524">
        <v>4000</v>
      </c>
      <c r="D1524" t="s">
        <v>2012</v>
      </c>
      <c r="E1524">
        <v>0</v>
      </c>
      <c r="F1524">
        <v>3468.9</v>
      </c>
      <c r="G1524" t="s">
        <v>2018</v>
      </c>
      <c r="H1524" t="s">
        <v>2023</v>
      </c>
      <c r="I1524" t="s">
        <v>3550</v>
      </c>
      <c r="J1524" t="s">
        <v>4029</v>
      </c>
      <c r="K1524" t="s">
        <v>4046</v>
      </c>
      <c r="L1524">
        <v>3468.9</v>
      </c>
      <c r="N1524">
        <f t="shared" si="69"/>
        <v>3468.9</v>
      </c>
      <c r="O1524" t="s">
        <v>4104</v>
      </c>
      <c r="P1524" t="str">
        <f t="shared" si="70"/>
        <v xml:space="preserve"> </v>
      </c>
      <c r="Q1524" t="str">
        <f t="shared" si="71"/>
        <v>Favorable</v>
      </c>
    </row>
    <row r="1525" spans="1:17">
      <c r="A1525" t="s">
        <v>1535</v>
      </c>
      <c r="B1525" s="2">
        <v>45177</v>
      </c>
      <c r="C1525">
        <v>5000</v>
      </c>
      <c r="D1525" t="s">
        <v>2013</v>
      </c>
      <c r="E1525">
        <v>1158.8</v>
      </c>
      <c r="F1525">
        <v>0</v>
      </c>
      <c r="G1525" t="s">
        <v>2022</v>
      </c>
      <c r="H1525" t="s">
        <v>2024</v>
      </c>
      <c r="I1525" t="s">
        <v>3551</v>
      </c>
      <c r="J1525" t="s">
        <v>4031</v>
      </c>
      <c r="K1525" t="s">
        <v>4036</v>
      </c>
      <c r="L1525">
        <v>-1158.8</v>
      </c>
      <c r="N1525">
        <f t="shared" si="69"/>
        <v>-1158.8</v>
      </c>
      <c r="O1525" t="s">
        <v>4104</v>
      </c>
      <c r="P1525" t="str">
        <f t="shared" si="70"/>
        <v xml:space="preserve"> </v>
      </c>
      <c r="Q1525" t="str">
        <f t="shared" si="71"/>
        <v>Unfavorable</v>
      </c>
    </row>
    <row r="1526" spans="1:17">
      <c r="A1526" t="s">
        <v>1536</v>
      </c>
      <c r="B1526" s="2">
        <v>44935</v>
      </c>
      <c r="C1526">
        <v>4000</v>
      </c>
      <c r="D1526" t="s">
        <v>2012</v>
      </c>
      <c r="E1526">
        <v>0</v>
      </c>
      <c r="F1526">
        <v>2396.8000000000002</v>
      </c>
      <c r="G1526" t="s">
        <v>2019</v>
      </c>
      <c r="H1526" t="s">
        <v>2026</v>
      </c>
      <c r="I1526" t="s">
        <v>3552</v>
      </c>
      <c r="J1526" t="s">
        <v>4032</v>
      </c>
      <c r="K1526" t="s">
        <v>4047</v>
      </c>
      <c r="L1526">
        <v>2396.8000000000002</v>
      </c>
      <c r="N1526">
        <f t="shared" si="69"/>
        <v>2396.8000000000002</v>
      </c>
      <c r="O1526" t="s">
        <v>4104</v>
      </c>
      <c r="P1526" t="str">
        <f t="shared" si="70"/>
        <v xml:space="preserve"> </v>
      </c>
      <c r="Q1526" t="str">
        <f t="shared" si="71"/>
        <v>Favorable</v>
      </c>
    </row>
    <row r="1527" spans="1:17">
      <c r="A1527" t="s">
        <v>1537</v>
      </c>
      <c r="B1527" s="2">
        <v>45538</v>
      </c>
      <c r="C1527">
        <v>4010</v>
      </c>
      <c r="D1527" t="s">
        <v>2016</v>
      </c>
      <c r="E1527">
        <v>0</v>
      </c>
      <c r="F1527">
        <v>2827.95</v>
      </c>
      <c r="G1527" t="s">
        <v>2021</v>
      </c>
      <c r="H1527" t="s">
        <v>2026</v>
      </c>
      <c r="I1527" t="s">
        <v>3553</v>
      </c>
      <c r="J1527" t="s">
        <v>4031</v>
      </c>
      <c r="K1527" t="s">
        <v>4048</v>
      </c>
      <c r="L1527">
        <v>2827.95</v>
      </c>
      <c r="N1527">
        <f t="shared" si="69"/>
        <v>2827.95</v>
      </c>
      <c r="O1527" t="s">
        <v>4104</v>
      </c>
      <c r="P1527" t="str">
        <f t="shared" si="70"/>
        <v xml:space="preserve"> </v>
      </c>
      <c r="Q1527" t="str">
        <f t="shared" si="71"/>
        <v>Favorable</v>
      </c>
    </row>
    <row r="1528" spans="1:17">
      <c r="A1528" t="s">
        <v>1538</v>
      </c>
      <c r="B1528" s="2">
        <v>45418</v>
      </c>
      <c r="C1528">
        <v>6000</v>
      </c>
      <c r="D1528" t="s">
        <v>2014</v>
      </c>
      <c r="E1528">
        <v>1359.89</v>
      </c>
      <c r="F1528">
        <v>0</v>
      </c>
      <c r="G1528" t="s">
        <v>2017</v>
      </c>
      <c r="H1528" t="s">
        <v>2027</v>
      </c>
      <c r="I1528" t="s">
        <v>3554</v>
      </c>
      <c r="J1528" t="s">
        <v>4028</v>
      </c>
      <c r="K1528" t="s">
        <v>4033</v>
      </c>
      <c r="L1528">
        <v>-1359.89</v>
      </c>
      <c r="N1528">
        <f t="shared" si="69"/>
        <v>-1359.89</v>
      </c>
      <c r="O1528" t="s">
        <v>4104</v>
      </c>
      <c r="P1528" t="str">
        <f t="shared" si="70"/>
        <v xml:space="preserve"> </v>
      </c>
      <c r="Q1528" t="str">
        <f t="shared" si="71"/>
        <v>Unfavorable</v>
      </c>
    </row>
    <row r="1529" spans="1:17">
      <c r="A1529" t="s">
        <v>1539</v>
      </c>
      <c r="B1529" s="2">
        <v>45747</v>
      </c>
      <c r="C1529">
        <v>4000</v>
      </c>
      <c r="D1529" t="s">
        <v>2012</v>
      </c>
      <c r="E1529">
        <v>0</v>
      </c>
      <c r="F1529">
        <v>663.19</v>
      </c>
      <c r="G1529" t="s">
        <v>2022</v>
      </c>
      <c r="H1529" t="s">
        <v>2027</v>
      </c>
      <c r="I1529" t="s">
        <v>3555</v>
      </c>
      <c r="J1529" t="s">
        <v>4031</v>
      </c>
      <c r="K1529" t="s">
        <v>4046</v>
      </c>
      <c r="L1529">
        <v>663.19</v>
      </c>
      <c r="N1529">
        <f t="shared" si="69"/>
        <v>663.19</v>
      </c>
      <c r="O1529" t="s">
        <v>4104</v>
      </c>
      <c r="P1529" t="str">
        <f t="shared" si="70"/>
        <v xml:space="preserve"> </v>
      </c>
      <c r="Q1529" t="str">
        <f t="shared" si="71"/>
        <v>Favorable</v>
      </c>
    </row>
    <row r="1530" spans="1:17">
      <c r="A1530" t="s">
        <v>1540</v>
      </c>
      <c r="B1530" s="2">
        <v>45553</v>
      </c>
      <c r="C1530">
        <v>5010</v>
      </c>
      <c r="D1530" t="s">
        <v>2015</v>
      </c>
      <c r="E1530">
        <v>1878.74</v>
      </c>
      <c r="F1530">
        <v>0</v>
      </c>
      <c r="G1530" t="s">
        <v>2018</v>
      </c>
      <c r="H1530" t="s">
        <v>2024</v>
      </c>
      <c r="I1530" t="s">
        <v>3556</v>
      </c>
      <c r="J1530" t="s">
        <v>4028</v>
      </c>
      <c r="K1530" t="s">
        <v>4048</v>
      </c>
      <c r="L1530">
        <v>-1878.74</v>
      </c>
      <c r="N1530">
        <f t="shared" si="69"/>
        <v>-1878.74</v>
      </c>
      <c r="O1530" t="s">
        <v>4104</v>
      </c>
      <c r="P1530" t="str">
        <f t="shared" si="70"/>
        <v xml:space="preserve"> </v>
      </c>
      <c r="Q1530" t="str">
        <f t="shared" si="71"/>
        <v>Unfavorable</v>
      </c>
    </row>
    <row r="1531" spans="1:17">
      <c r="A1531" t="s">
        <v>1541</v>
      </c>
      <c r="B1531" s="2">
        <v>45534</v>
      </c>
      <c r="C1531">
        <v>5000</v>
      </c>
      <c r="D1531" t="s">
        <v>2013</v>
      </c>
      <c r="E1531">
        <v>741.28</v>
      </c>
      <c r="F1531">
        <v>0</v>
      </c>
      <c r="G1531" t="s">
        <v>2018</v>
      </c>
      <c r="H1531" t="s">
        <v>2026</v>
      </c>
      <c r="I1531" t="s">
        <v>3557</v>
      </c>
      <c r="J1531" t="s">
        <v>4028</v>
      </c>
      <c r="K1531" t="s">
        <v>4058</v>
      </c>
      <c r="L1531">
        <v>-741.28</v>
      </c>
      <c r="N1531">
        <f t="shared" si="69"/>
        <v>-741.28</v>
      </c>
      <c r="O1531" t="s">
        <v>4104</v>
      </c>
      <c r="P1531" t="str">
        <f t="shared" si="70"/>
        <v xml:space="preserve"> </v>
      </c>
      <c r="Q1531" t="str">
        <f t="shared" si="71"/>
        <v>Unfavorable</v>
      </c>
    </row>
    <row r="1532" spans="1:17">
      <c r="A1532" t="s">
        <v>1542</v>
      </c>
      <c r="B1532" s="2">
        <v>45798</v>
      </c>
      <c r="C1532">
        <v>4000</v>
      </c>
      <c r="D1532" t="s">
        <v>2012</v>
      </c>
      <c r="E1532">
        <v>0</v>
      </c>
      <c r="F1532">
        <v>1824.31</v>
      </c>
      <c r="G1532" t="s">
        <v>2018</v>
      </c>
      <c r="H1532" t="s">
        <v>2026</v>
      </c>
      <c r="I1532" t="s">
        <v>3558</v>
      </c>
      <c r="J1532" t="s">
        <v>4029</v>
      </c>
      <c r="K1532" t="s">
        <v>4038</v>
      </c>
      <c r="L1532">
        <v>1824.31</v>
      </c>
      <c r="N1532">
        <f t="shared" si="69"/>
        <v>1824.31</v>
      </c>
      <c r="O1532" t="s">
        <v>4104</v>
      </c>
      <c r="P1532" t="str">
        <f t="shared" si="70"/>
        <v xml:space="preserve"> </v>
      </c>
      <c r="Q1532" t="str">
        <f t="shared" si="71"/>
        <v>Favorable</v>
      </c>
    </row>
    <row r="1533" spans="1:17">
      <c r="A1533" t="s">
        <v>1543</v>
      </c>
      <c r="B1533" s="2">
        <v>45257</v>
      </c>
      <c r="C1533">
        <v>4010</v>
      </c>
      <c r="D1533" t="s">
        <v>2016</v>
      </c>
      <c r="E1533">
        <v>0</v>
      </c>
      <c r="F1533">
        <v>4296.04</v>
      </c>
      <c r="G1533" t="s">
        <v>2018</v>
      </c>
      <c r="H1533" t="s">
        <v>2024</v>
      </c>
      <c r="I1533" t="s">
        <v>3559</v>
      </c>
      <c r="J1533" t="s">
        <v>4030</v>
      </c>
      <c r="K1533" t="s">
        <v>4042</v>
      </c>
      <c r="L1533">
        <v>4296.04</v>
      </c>
      <c r="N1533">
        <f t="shared" si="69"/>
        <v>4296.04</v>
      </c>
      <c r="O1533" t="s">
        <v>4104</v>
      </c>
      <c r="P1533" t="str">
        <f t="shared" si="70"/>
        <v xml:space="preserve"> </v>
      </c>
      <c r="Q1533" t="str">
        <f t="shared" si="71"/>
        <v>Favorable</v>
      </c>
    </row>
    <row r="1534" spans="1:17">
      <c r="A1534" t="s">
        <v>1544</v>
      </c>
      <c r="B1534" s="2">
        <v>45388</v>
      </c>
      <c r="C1534">
        <v>5010</v>
      </c>
      <c r="D1534" t="s">
        <v>2015</v>
      </c>
      <c r="E1534">
        <v>1969.36</v>
      </c>
      <c r="F1534">
        <v>0</v>
      </c>
      <c r="G1534" t="s">
        <v>2019</v>
      </c>
      <c r="H1534" t="s">
        <v>2023</v>
      </c>
      <c r="I1534" t="s">
        <v>3560</v>
      </c>
      <c r="J1534" t="s">
        <v>4032</v>
      </c>
      <c r="K1534" t="s">
        <v>4040</v>
      </c>
      <c r="L1534">
        <v>-1969.36</v>
      </c>
      <c r="N1534">
        <f t="shared" si="69"/>
        <v>-1969.36</v>
      </c>
      <c r="O1534" t="s">
        <v>4104</v>
      </c>
      <c r="P1534" t="str">
        <f t="shared" si="70"/>
        <v xml:space="preserve"> </v>
      </c>
      <c r="Q1534" t="str">
        <f t="shared" si="71"/>
        <v>Unfavorable</v>
      </c>
    </row>
    <row r="1535" spans="1:17">
      <c r="A1535" t="s">
        <v>1545</v>
      </c>
      <c r="B1535" s="2">
        <v>45759</v>
      </c>
      <c r="C1535">
        <v>5010</v>
      </c>
      <c r="D1535" t="s">
        <v>2015</v>
      </c>
      <c r="E1535">
        <v>980.89</v>
      </c>
      <c r="F1535">
        <v>0</v>
      </c>
      <c r="G1535" t="s">
        <v>2022</v>
      </c>
      <c r="H1535" t="s">
        <v>2023</v>
      </c>
      <c r="I1535" t="s">
        <v>3561</v>
      </c>
      <c r="J1535" t="s">
        <v>4029</v>
      </c>
      <c r="K1535" t="s">
        <v>4045</v>
      </c>
      <c r="L1535">
        <v>-980.89</v>
      </c>
      <c r="N1535">
        <f t="shared" si="69"/>
        <v>-980.89</v>
      </c>
      <c r="O1535" t="s">
        <v>4104</v>
      </c>
      <c r="P1535" t="str">
        <f t="shared" si="70"/>
        <v xml:space="preserve"> </v>
      </c>
      <c r="Q1535" t="str">
        <f t="shared" si="71"/>
        <v>Unfavorable</v>
      </c>
    </row>
    <row r="1536" spans="1:17">
      <c r="A1536" t="s">
        <v>1546</v>
      </c>
      <c r="B1536" s="2">
        <v>45548</v>
      </c>
      <c r="C1536">
        <v>6000</v>
      </c>
      <c r="D1536" t="s">
        <v>2014</v>
      </c>
      <c r="E1536">
        <v>618.26</v>
      </c>
      <c r="F1536">
        <v>0</v>
      </c>
      <c r="G1536" t="s">
        <v>2019</v>
      </c>
      <c r="H1536" t="s">
        <v>2027</v>
      </c>
      <c r="I1536" t="s">
        <v>3562</v>
      </c>
      <c r="J1536" t="s">
        <v>4031</v>
      </c>
      <c r="K1536" t="s">
        <v>4048</v>
      </c>
      <c r="L1536">
        <v>-618.26</v>
      </c>
      <c r="N1536">
        <f t="shared" si="69"/>
        <v>-618.26</v>
      </c>
      <c r="O1536" t="s">
        <v>4104</v>
      </c>
      <c r="P1536" t="str">
        <f t="shared" si="70"/>
        <v xml:space="preserve"> </v>
      </c>
      <c r="Q1536" t="str">
        <f t="shared" si="71"/>
        <v>Unfavorable</v>
      </c>
    </row>
    <row r="1537" spans="1:17">
      <c r="A1537" t="s">
        <v>1547</v>
      </c>
      <c r="B1537" s="2">
        <v>45459</v>
      </c>
      <c r="C1537">
        <v>5010</v>
      </c>
      <c r="D1537" t="s">
        <v>2015</v>
      </c>
      <c r="E1537">
        <v>665.47</v>
      </c>
      <c r="F1537">
        <v>0</v>
      </c>
      <c r="G1537" t="s">
        <v>2019</v>
      </c>
      <c r="H1537" t="s">
        <v>2023</v>
      </c>
      <c r="I1537" t="s">
        <v>3563</v>
      </c>
      <c r="J1537" t="s">
        <v>4029</v>
      </c>
      <c r="K1537" t="s">
        <v>4034</v>
      </c>
      <c r="L1537">
        <v>-665.47</v>
      </c>
      <c r="N1537">
        <f t="shared" si="69"/>
        <v>-665.47</v>
      </c>
      <c r="O1537" t="s">
        <v>4104</v>
      </c>
      <c r="P1537" t="str">
        <f t="shared" si="70"/>
        <v xml:space="preserve"> </v>
      </c>
      <c r="Q1537" t="str">
        <f t="shared" si="71"/>
        <v>Unfavorable</v>
      </c>
    </row>
    <row r="1538" spans="1:17">
      <c r="A1538" t="s">
        <v>1548</v>
      </c>
      <c r="B1538" s="2">
        <v>45465</v>
      </c>
      <c r="C1538">
        <v>5000</v>
      </c>
      <c r="D1538" t="s">
        <v>2013</v>
      </c>
      <c r="E1538">
        <v>982.03</v>
      </c>
      <c r="F1538">
        <v>0</v>
      </c>
      <c r="G1538" t="s">
        <v>2021</v>
      </c>
      <c r="H1538" t="s">
        <v>2027</v>
      </c>
      <c r="I1538" t="s">
        <v>3564</v>
      </c>
      <c r="J1538" t="s">
        <v>4028</v>
      </c>
      <c r="K1538" t="s">
        <v>4034</v>
      </c>
      <c r="L1538">
        <v>-982.03</v>
      </c>
      <c r="N1538">
        <f t="shared" si="69"/>
        <v>-982.03</v>
      </c>
      <c r="O1538" t="s">
        <v>4104</v>
      </c>
      <c r="P1538" t="str">
        <f t="shared" si="70"/>
        <v xml:space="preserve"> </v>
      </c>
      <c r="Q1538" t="str">
        <f t="shared" si="71"/>
        <v>Unfavorable</v>
      </c>
    </row>
    <row r="1539" spans="1:17">
      <c r="A1539" t="s">
        <v>1549</v>
      </c>
      <c r="B1539" s="2">
        <v>45375</v>
      </c>
      <c r="C1539">
        <v>5000</v>
      </c>
      <c r="D1539" t="s">
        <v>2013</v>
      </c>
      <c r="E1539">
        <v>339.89</v>
      </c>
      <c r="F1539">
        <v>0</v>
      </c>
      <c r="G1539" t="s">
        <v>2021</v>
      </c>
      <c r="H1539" t="s">
        <v>2027</v>
      </c>
      <c r="I1539" t="s">
        <v>3565</v>
      </c>
      <c r="J1539" t="s">
        <v>4030</v>
      </c>
      <c r="K1539" t="s">
        <v>4049</v>
      </c>
      <c r="L1539">
        <v>-339.89</v>
      </c>
      <c r="N1539">
        <f t="shared" ref="N1539:N1602" si="72">L:L-M:M</f>
        <v>-339.89</v>
      </c>
      <c r="O1539" t="s">
        <v>4104</v>
      </c>
      <c r="P1539" t="str">
        <f t="shared" ref="P1539:P1602" si="73">IF(AND(ABS(N:N)&gt;10000,M:M&lt;&gt;0),"Material", " ")</f>
        <v xml:space="preserve"> </v>
      </c>
      <c r="Q1539" t="str">
        <f t="shared" ref="Q1539:Q1602" si="74">IF(N:N&gt;0,"Favorable","Unfavorable")</f>
        <v>Unfavorable</v>
      </c>
    </row>
    <row r="1540" spans="1:17">
      <c r="A1540" t="s">
        <v>1550</v>
      </c>
      <c r="B1540" s="2">
        <v>45537</v>
      </c>
      <c r="C1540">
        <v>5010</v>
      </c>
      <c r="D1540" t="s">
        <v>2015</v>
      </c>
      <c r="E1540">
        <v>535.34</v>
      </c>
      <c r="F1540">
        <v>0</v>
      </c>
      <c r="G1540" t="s">
        <v>2018</v>
      </c>
      <c r="H1540" t="s">
        <v>2026</v>
      </c>
      <c r="I1540" t="s">
        <v>3566</v>
      </c>
      <c r="J1540" t="s">
        <v>4030</v>
      </c>
      <c r="K1540" t="s">
        <v>4048</v>
      </c>
      <c r="L1540">
        <v>-535.34</v>
      </c>
      <c r="N1540">
        <f t="shared" si="72"/>
        <v>-535.34</v>
      </c>
      <c r="O1540" t="s">
        <v>4104</v>
      </c>
      <c r="P1540" t="str">
        <f t="shared" si="73"/>
        <v xml:space="preserve"> </v>
      </c>
      <c r="Q1540" t="str">
        <f t="shared" si="74"/>
        <v>Unfavorable</v>
      </c>
    </row>
    <row r="1541" spans="1:17">
      <c r="A1541" t="s">
        <v>1551</v>
      </c>
      <c r="B1541" s="2">
        <v>45785</v>
      </c>
      <c r="C1541">
        <v>5010</v>
      </c>
      <c r="D1541" t="s">
        <v>2015</v>
      </c>
      <c r="E1541">
        <v>1582.13</v>
      </c>
      <c r="F1541">
        <v>0</v>
      </c>
      <c r="G1541" t="s">
        <v>2019</v>
      </c>
      <c r="H1541" t="s">
        <v>2026</v>
      </c>
      <c r="I1541" t="s">
        <v>3567</v>
      </c>
      <c r="J1541" t="s">
        <v>4032</v>
      </c>
      <c r="K1541" t="s">
        <v>4038</v>
      </c>
      <c r="L1541">
        <v>-1582.13</v>
      </c>
      <c r="N1541">
        <f t="shared" si="72"/>
        <v>-1582.13</v>
      </c>
      <c r="O1541" t="s">
        <v>4104</v>
      </c>
      <c r="P1541" t="str">
        <f t="shared" si="73"/>
        <v xml:space="preserve"> </v>
      </c>
      <c r="Q1541" t="str">
        <f t="shared" si="74"/>
        <v>Unfavorable</v>
      </c>
    </row>
    <row r="1542" spans="1:17">
      <c r="A1542" t="s">
        <v>1552</v>
      </c>
      <c r="B1542" s="2">
        <v>45626</v>
      </c>
      <c r="C1542">
        <v>5000</v>
      </c>
      <c r="D1542" t="s">
        <v>2013</v>
      </c>
      <c r="E1542">
        <v>350.21</v>
      </c>
      <c r="F1542">
        <v>0</v>
      </c>
      <c r="G1542" t="s">
        <v>2021</v>
      </c>
      <c r="H1542" t="s">
        <v>2025</v>
      </c>
      <c r="I1542" t="s">
        <v>3568</v>
      </c>
      <c r="J1542" t="s">
        <v>4028</v>
      </c>
      <c r="K1542" t="s">
        <v>4043</v>
      </c>
      <c r="L1542">
        <v>-350.21</v>
      </c>
      <c r="N1542">
        <f t="shared" si="72"/>
        <v>-350.21</v>
      </c>
      <c r="O1542" t="s">
        <v>4104</v>
      </c>
      <c r="P1542" t="str">
        <f t="shared" si="73"/>
        <v xml:space="preserve"> </v>
      </c>
      <c r="Q1542" t="str">
        <f t="shared" si="74"/>
        <v>Unfavorable</v>
      </c>
    </row>
    <row r="1543" spans="1:17">
      <c r="A1543" t="s">
        <v>1553</v>
      </c>
      <c r="B1543" s="2">
        <v>45429</v>
      </c>
      <c r="C1543">
        <v>5000</v>
      </c>
      <c r="D1543" t="s">
        <v>2013</v>
      </c>
      <c r="E1543">
        <v>889.68</v>
      </c>
      <c r="F1543">
        <v>0</v>
      </c>
      <c r="G1543" t="s">
        <v>2020</v>
      </c>
      <c r="H1543" t="s">
        <v>2024</v>
      </c>
      <c r="I1543" t="s">
        <v>3569</v>
      </c>
      <c r="J1543" t="s">
        <v>4030</v>
      </c>
      <c r="K1543" t="s">
        <v>4033</v>
      </c>
      <c r="L1543">
        <v>-889.68</v>
      </c>
      <c r="N1543">
        <f t="shared" si="72"/>
        <v>-889.68</v>
      </c>
      <c r="O1543" t="s">
        <v>4104</v>
      </c>
      <c r="P1543" t="str">
        <f t="shared" si="73"/>
        <v xml:space="preserve"> </v>
      </c>
      <c r="Q1543" t="str">
        <f t="shared" si="74"/>
        <v>Unfavorable</v>
      </c>
    </row>
    <row r="1544" spans="1:17">
      <c r="A1544" t="s">
        <v>1554</v>
      </c>
      <c r="B1544" s="2">
        <v>45336</v>
      </c>
      <c r="C1544">
        <v>5000</v>
      </c>
      <c r="D1544" t="s">
        <v>2013</v>
      </c>
      <c r="E1544">
        <v>1155.53</v>
      </c>
      <c r="F1544">
        <v>0</v>
      </c>
      <c r="G1544" t="s">
        <v>2018</v>
      </c>
      <c r="H1544" t="s">
        <v>2025</v>
      </c>
      <c r="I1544" t="s">
        <v>3570</v>
      </c>
      <c r="J1544" t="s">
        <v>4030</v>
      </c>
      <c r="K1544" t="s">
        <v>4044</v>
      </c>
      <c r="L1544">
        <v>-1155.53</v>
      </c>
      <c r="N1544">
        <f t="shared" si="72"/>
        <v>-1155.53</v>
      </c>
      <c r="O1544" t="s">
        <v>4104</v>
      </c>
      <c r="P1544" t="str">
        <f t="shared" si="73"/>
        <v xml:space="preserve"> </v>
      </c>
      <c r="Q1544" t="str">
        <f t="shared" si="74"/>
        <v>Unfavorable</v>
      </c>
    </row>
    <row r="1545" spans="1:17">
      <c r="A1545" t="s">
        <v>1555</v>
      </c>
      <c r="B1545" s="2">
        <v>45525</v>
      </c>
      <c r="C1545">
        <v>4010</v>
      </c>
      <c r="D1545" t="s">
        <v>2016</v>
      </c>
      <c r="E1545">
        <v>0</v>
      </c>
      <c r="F1545">
        <v>827.97</v>
      </c>
      <c r="G1545" t="s">
        <v>2017</v>
      </c>
      <c r="H1545" t="s">
        <v>2026</v>
      </c>
      <c r="I1545" t="s">
        <v>3571</v>
      </c>
      <c r="J1545" t="s">
        <v>4031</v>
      </c>
      <c r="K1545" t="s">
        <v>4058</v>
      </c>
      <c r="L1545">
        <v>827.97</v>
      </c>
      <c r="N1545">
        <f t="shared" si="72"/>
        <v>827.97</v>
      </c>
      <c r="O1545" t="s">
        <v>4104</v>
      </c>
      <c r="P1545" t="str">
        <f t="shared" si="73"/>
        <v xml:space="preserve"> </v>
      </c>
      <c r="Q1545" t="str">
        <f t="shared" si="74"/>
        <v>Favorable</v>
      </c>
    </row>
    <row r="1546" spans="1:17">
      <c r="A1546" t="s">
        <v>1556</v>
      </c>
      <c r="B1546" s="2">
        <v>45235</v>
      </c>
      <c r="C1546">
        <v>4010</v>
      </c>
      <c r="D1546" t="s">
        <v>2016</v>
      </c>
      <c r="E1546">
        <v>0</v>
      </c>
      <c r="F1546">
        <v>2525.69</v>
      </c>
      <c r="G1546" t="s">
        <v>2020</v>
      </c>
      <c r="H1546" t="s">
        <v>2027</v>
      </c>
      <c r="I1546" t="s">
        <v>3572</v>
      </c>
      <c r="J1546" t="s">
        <v>4029</v>
      </c>
      <c r="K1546" t="s">
        <v>4042</v>
      </c>
      <c r="L1546">
        <v>2525.69</v>
      </c>
      <c r="N1546">
        <f t="shared" si="72"/>
        <v>2525.69</v>
      </c>
      <c r="O1546" t="s">
        <v>4104</v>
      </c>
      <c r="P1546" t="str">
        <f t="shared" si="73"/>
        <v xml:space="preserve"> </v>
      </c>
      <c r="Q1546" t="str">
        <f t="shared" si="74"/>
        <v>Favorable</v>
      </c>
    </row>
    <row r="1547" spans="1:17">
      <c r="A1547" t="s">
        <v>1557</v>
      </c>
      <c r="B1547" s="2">
        <v>45495</v>
      </c>
      <c r="C1547">
        <v>5000</v>
      </c>
      <c r="D1547" t="s">
        <v>2013</v>
      </c>
      <c r="E1547">
        <v>1395.73</v>
      </c>
      <c r="F1547">
        <v>0</v>
      </c>
      <c r="G1547" t="s">
        <v>2021</v>
      </c>
      <c r="H1547" t="s">
        <v>2023</v>
      </c>
      <c r="I1547" t="s">
        <v>3573</v>
      </c>
      <c r="J1547" t="s">
        <v>4028</v>
      </c>
      <c r="K1547" t="s">
        <v>4054</v>
      </c>
      <c r="L1547">
        <v>-1395.73</v>
      </c>
      <c r="N1547">
        <f t="shared" si="72"/>
        <v>-1395.73</v>
      </c>
      <c r="O1547" t="s">
        <v>4104</v>
      </c>
      <c r="P1547" t="str">
        <f t="shared" si="73"/>
        <v xml:space="preserve"> </v>
      </c>
      <c r="Q1547" t="str">
        <f t="shared" si="74"/>
        <v>Unfavorable</v>
      </c>
    </row>
    <row r="1548" spans="1:17">
      <c r="A1548" t="s">
        <v>1558</v>
      </c>
      <c r="B1548" s="2">
        <v>45776</v>
      </c>
      <c r="C1548">
        <v>4010</v>
      </c>
      <c r="D1548" t="s">
        <v>2016</v>
      </c>
      <c r="E1548">
        <v>0</v>
      </c>
      <c r="F1548">
        <v>1888.44</v>
      </c>
      <c r="G1548" t="s">
        <v>2021</v>
      </c>
      <c r="H1548" t="s">
        <v>2023</v>
      </c>
      <c r="I1548" t="s">
        <v>3574</v>
      </c>
      <c r="J1548" t="s">
        <v>4028</v>
      </c>
      <c r="K1548" t="s">
        <v>4045</v>
      </c>
      <c r="L1548">
        <v>1888.44</v>
      </c>
      <c r="N1548">
        <f t="shared" si="72"/>
        <v>1888.44</v>
      </c>
      <c r="O1548" t="s">
        <v>4104</v>
      </c>
      <c r="P1548" t="str">
        <f t="shared" si="73"/>
        <v xml:space="preserve"> </v>
      </c>
      <c r="Q1548" t="str">
        <f t="shared" si="74"/>
        <v>Favorable</v>
      </c>
    </row>
    <row r="1549" spans="1:17">
      <c r="A1549" t="s">
        <v>1559</v>
      </c>
      <c r="B1549" s="2">
        <v>45609</v>
      </c>
      <c r="C1549">
        <v>4010</v>
      </c>
      <c r="D1549" t="s">
        <v>2016</v>
      </c>
      <c r="E1549">
        <v>0</v>
      </c>
      <c r="F1549">
        <v>718.52</v>
      </c>
      <c r="G1549" t="s">
        <v>2019</v>
      </c>
      <c r="H1549" t="s">
        <v>2025</v>
      </c>
      <c r="I1549" t="s">
        <v>3575</v>
      </c>
      <c r="J1549" t="s">
        <v>4032</v>
      </c>
      <c r="K1549" t="s">
        <v>4043</v>
      </c>
      <c r="L1549">
        <v>718.52</v>
      </c>
      <c r="N1549">
        <f t="shared" si="72"/>
        <v>718.52</v>
      </c>
      <c r="O1549" t="s">
        <v>4104</v>
      </c>
      <c r="P1549" t="str">
        <f t="shared" si="73"/>
        <v xml:space="preserve"> </v>
      </c>
      <c r="Q1549" t="str">
        <f t="shared" si="74"/>
        <v>Favorable</v>
      </c>
    </row>
    <row r="1550" spans="1:17">
      <c r="A1550" t="s">
        <v>1560</v>
      </c>
      <c r="B1550" s="2">
        <v>45566</v>
      </c>
      <c r="C1550">
        <v>6000</v>
      </c>
      <c r="D1550" t="s">
        <v>2014</v>
      </c>
      <c r="E1550">
        <v>378.77</v>
      </c>
      <c r="F1550">
        <v>0</v>
      </c>
      <c r="G1550" t="s">
        <v>2021</v>
      </c>
      <c r="H1550" t="s">
        <v>2023</v>
      </c>
      <c r="I1550" t="s">
        <v>3576</v>
      </c>
      <c r="J1550" t="s">
        <v>4028</v>
      </c>
      <c r="K1550" t="s">
        <v>4059</v>
      </c>
      <c r="L1550">
        <v>-378.77</v>
      </c>
      <c r="N1550">
        <f t="shared" si="72"/>
        <v>-378.77</v>
      </c>
      <c r="O1550" t="s">
        <v>4104</v>
      </c>
      <c r="P1550" t="str">
        <f t="shared" si="73"/>
        <v xml:space="preserve"> </v>
      </c>
      <c r="Q1550" t="str">
        <f t="shared" si="74"/>
        <v>Unfavorable</v>
      </c>
    </row>
    <row r="1551" spans="1:17">
      <c r="A1551" t="s">
        <v>1561</v>
      </c>
      <c r="B1551" s="2">
        <v>45104</v>
      </c>
      <c r="C1551">
        <v>6000</v>
      </c>
      <c r="D1551" t="s">
        <v>2014</v>
      </c>
      <c r="E1551">
        <v>1317.88</v>
      </c>
      <c r="F1551">
        <v>0</v>
      </c>
      <c r="G1551" t="s">
        <v>2022</v>
      </c>
      <c r="H1551" t="s">
        <v>2024</v>
      </c>
      <c r="I1551" t="s">
        <v>3577</v>
      </c>
      <c r="J1551" t="s">
        <v>4032</v>
      </c>
      <c r="K1551" t="s">
        <v>4055</v>
      </c>
      <c r="L1551">
        <v>-1317.88</v>
      </c>
      <c r="N1551">
        <f t="shared" si="72"/>
        <v>-1317.88</v>
      </c>
      <c r="O1551" t="s">
        <v>4104</v>
      </c>
      <c r="P1551" t="str">
        <f t="shared" si="73"/>
        <v xml:space="preserve"> </v>
      </c>
      <c r="Q1551" t="str">
        <f t="shared" si="74"/>
        <v>Unfavorable</v>
      </c>
    </row>
    <row r="1552" spans="1:17">
      <c r="A1552" t="s">
        <v>1562</v>
      </c>
      <c r="B1552" s="2">
        <v>44950</v>
      </c>
      <c r="C1552">
        <v>5000</v>
      </c>
      <c r="D1552" t="s">
        <v>2013</v>
      </c>
      <c r="E1552">
        <v>636.6</v>
      </c>
      <c r="F1552">
        <v>0</v>
      </c>
      <c r="G1552" t="s">
        <v>2021</v>
      </c>
      <c r="H1552" t="s">
        <v>2025</v>
      </c>
      <c r="I1552" t="s">
        <v>3578</v>
      </c>
      <c r="J1552" t="s">
        <v>4029</v>
      </c>
      <c r="K1552" t="s">
        <v>4047</v>
      </c>
      <c r="L1552">
        <v>-636.6</v>
      </c>
      <c r="N1552">
        <f t="shared" si="72"/>
        <v>-636.6</v>
      </c>
      <c r="O1552" t="s">
        <v>4104</v>
      </c>
      <c r="P1552" t="str">
        <f t="shared" si="73"/>
        <v xml:space="preserve"> </v>
      </c>
      <c r="Q1552" t="str">
        <f t="shared" si="74"/>
        <v>Unfavorable</v>
      </c>
    </row>
    <row r="1553" spans="1:17">
      <c r="A1553" t="s">
        <v>1563</v>
      </c>
      <c r="B1553" s="2">
        <v>45453</v>
      </c>
      <c r="C1553">
        <v>4000</v>
      </c>
      <c r="D1553" t="s">
        <v>2012</v>
      </c>
      <c r="E1553">
        <v>0</v>
      </c>
      <c r="F1553">
        <v>4170.5</v>
      </c>
      <c r="G1553" t="s">
        <v>2019</v>
      </c>
      <c r="H1553" t="s">
        <v>2027</v>
      </c>
      <c r="I1553" t="s">
        <v>3579</v>
      </c>
      <c r="J1553" t="s">
        <v>4029</v>
      </c>
      <c r="K1553" t="s">
        <v>4034</v>
      </c>
      <c r="L1553">
        <v>4170.5</v>
      </c>
      <c r="N1553">
        <f t="shared" si="72"/>
        <v>4170.5</v>
      </c>
      <c r="O1553" t="s">
        <v>4104</v>
      </c>
      <c r="P1553" t="str">
        <f t="shared" si="73"/>
        <v xml:space="preserve"> </v>
      </c>
      <c r="Q1553" t="str">
        <f t="shared" si="74"/>
        <v>Favorable</v>
      </c>
    </row>
    <row r="1554" spans="1:17">
      <c r="A1554" t="s">
        <v>1564</v>
      </c>
      <c r="B1554" s="2">
        <v>45251</v>
      </c>
      <c r="C1554">
        <v>4000</v>
      </c>
      <c r="D1554" t="s">
        <v>2012</v>
      </c>
      <c r="E1554">
        <v>0</v>
      </c>
      <c r="F1554">
        <v>1923.84</v>
      </c>
      <c r="G1554" t="s">
        <v>2022</v>
      </c>
      <c r="H1554" t="s">
        <v>2027</v>
      </c>
      <c r="I1554" t="s">
        <v>3580</v>
      </c>
      <c r="J1554" t="s">
        <v>4032</v>
      </c>
      <c r="K1554" t="s">
        <v>4042</v>
      </c>
      <c r="L1554">
        <v>1923.84</v>
      </c>
      <c r="N1554">
        <f t="shared" si="72"/>
        <v>1923.84</v>
      </c>
      <c r="O1554" t="s">
        <v>4104</v>
      </c>
      <c r="P1554" t="str">
        <f t="shared" si="73"/>
        <v xml:space="preserve"> </v>
      </c>
      <c r="Q1554" t="str">
        <f t="shared" si="74"/>
        <v>Favorable</v>
      </c>
    </row>
    <row r="1555" spans="1:17">
      <c r="A1555" t="s">
        <v>1565</v>
      </c>
      <c r="B1555" s="2">
        <v>45526</v>
      </c>
      <c r="C1555">
        <v>6000</v>
      </c>
      <c r="D1555" t="s">
        <v>2014</v>
      </c>
      <c r="E1555">
        <v>736.29</v>
      </c>
      <c r="F1555">
        <v>0</v>
      </c>
      <c r="G1555" t="s">
        <v>2017</v>
      </c>
      <c r="H1555" t="s">
        <v>2025</v>
      </c>
      <c r="I1555" t="s">
        <v>3581</v>
      </c>
      <c r="J1555" t="s">
        <v>4032</v>
      </c>
      <c r="K1555" t="s">
        <v>4058</v>
      </c>
      <c r="L1555">
        <v>-736.29</v>
      </c>
      <c r="N1555">
        <f t="shared" si="72"/>
        <v>-736.29</v>
      </c>
      <c r="O1555" t="s">
        <v>4104</v>
      </c>
      <c r="P1555" t="str">
        <f t="shared" si="73"/>
        <v xml:space="preserve"> </v>
      </c>
      <c r="Q1555" t="str">
        <f t="shared" si="74"/>
        <v>Unfavorable</v>
      </c>
    </row>
    <row r="1556" spans="1:17">
      <c r="A1556" t="s">
        <v>1566</v>
      </c>
      <c r="B1556" s="2">
        <v>45682</v>
      </c>
      <c r="C1556">
        <v>4010</v>
      </c>
      <c r="D1556" t="s">
        <v>2016</v>
      </c>
      <c r="E1556">
        <v>0</v>
      </c>
      <c r="F1556">
        <v>4712.88</v>
      </c>
      <c r="G1556" t="s">
        <v>2022</v>
      </c>
      <c r="H1556" t="s">
        <v>2026</v>
      </c>
      <c r="I1556" t="s">
        <v>3582</v>
      </c>
      <c r="J1556" t="s">
        <v>4030</v>
      </c>
      <c r="K1556" t="s">
        <v>4035</v>
      </c>
      <c r="L1556">
        <v>4712.88</v>
      </c>
      <c r="N1556">
        <f t="shared" si="72"/>
        <v>4712.88</v>
      </c>
      <c r="O1556" t="s">
        <v>4104</v>
      </c>
      <c r="P1556" t="str">
        <f t="shared" si="73"/>
        <v xml:space="preserve"> </v>
      </c>
      <c r="Q1556" t="str">
        <f t="shared" si="74"/>
        <v>Favorable</v>
      </c>
    </row>
    <row r="1557" spans="1:17">
      <c r="A1557" t="s">
        <v>1567</v>
      </c>
      <c r="B1557" s="2">
        <v>45438</v>
      </c>
      <c r="C1557">
        <v>4010</v>
      </c>
      <c r="D1557" t="s">
        <v>2016</v>
      </c>
      <c r="E1557">
        <v>0</v>
      </c>
      <c r="F1557">
        <v>2946.82</v>
      </c>
      <c r="G1557" t="s">
        <v>2021</v>
      </c>
      <c r="H1557" t="s">
        <v>2025</v>
      </c>
      <c r="I1557" t="s">
        <v>3583</v>
      </c>
      <c r="J1557" t="s">
        <v>4030</v>
      </c>
      <c r="K1557" t="s">
        <v>4033</v>
      </c>
      <c r="L1557">
        <v>2946.82</v>
      </c>
      <c r="N1557">
        <f t="shared" si="72"/>
        <v>2946.82</v>
      </c>
      <c r="O1557" t="s">
        <v>4104</v>
      </c>
      <c r="P1557" t="str">
        <f t="shared" si="73"/>
        <v xml:space="preserve"> </v>
      </c>
      <c r="Q1557" t="str">
        <f t="shared" si="74"/>
        <v>Favorable</v>
      </c>
    </row>
    <row r="1558" spans="1:17">
      <c r="A1558" t="s">
        <v>1568</v>
      </c>
      <c r="B1558" s="2">
        <v>45765</v>
      </c>
      <c r="C1558">
        <v>6000</v>
      </c>
      <c r="D1558" t="s">
        <v>2014</v>
      </c>
      <c r="E1558">
        <v>1985.74</v>
      </c>
      <c r="F1558">
        <v>0</v>
      </c>
      <c r="G1558" t="s">
        <v>2017</v>
      </c>
      <c r="H1558" t="s">
        <v>2024</v>
      </c>
      <c r="I1558" t="s">
        <v>3584</v>
      </c>
      <c r="J1558" t="s">
        <v>4030</v>
      </c>
      <c r="K1558" t="s">
        <v>4045</v>
      </c>
      <c r="L1558">
        <v>-1985.74</v>
      </c>
      <c r="N1558">
        <f t="shared" si="72"/>
        <v>-1985.74</v>
      </c>
      <c r="O1558" t="s">
        <v>4104</v>
      </c>
      <c r="P1558" t="str">
        <f t="shared" si="73"/>
        <v xml:space="preserve"> </v>
      </c>
      <c r="Q1558" t="str">
        <f t="shared" si="74"/>
        <v>Unfavorable</v>
      </c>
    </row>
    <row r="1559" spans="1:17">
      <c r="A1559" t="s">
        <v>1569</v>
      </c>
      <c r="B1559" s="2">
        <v>45341</v>
      </c>
      <c r="C1559">
        <v>5000</v>
      </c>
      <c r="D1559" t="s">
        <v>2013</v>
      </c>
      <c r="E1559">
        <v>1835.61</v>
      </c>
      <c r="F1559">
        <v>0</v>
      </c>
      <c r="G1559" t="s">
        <v>2017</v>
      </c>
      <c r="H1559" t="s">
        <v>2026</v>
      </c>
      <c r="I1559" t="s">
        <v>3585</v>
      </c>
      <c r="J1559" t="s">
        <v>4031</v>
      </c>
      <c r="K1559" t="s">
        <v>4044</v>
      </c>
      <c r="L1559">
        <v>-1835.61</v>
      </c>
      <c r="N1559">
        <f t="shared" si="72"/>
        <v>-1835.61</v>
      </c>
      <c r="O1559" t="s">
        <v>4104</v>
      </c>
      <c r="P1559" t="str">
        <f t="shared" si="73"/>
        <v xml:space="preserve"> </v>
      </c>
      <c r="Q1559" t="str">
        <f t="shared" si="74"/>
        <v>Unfavorable</v>
      </c>
    </row>
    <row r="1560" spans="1:17">
      <c r="A1560" t="s">
        <v>1570</v>
      </c>
      <c r="B1560" s="2">
        <v>45100</v>
      </c>
      <c r="C1560">
        <v>5000</v>
      </c>
      <c r="D1560" t="s">
        <v>2013</v>
      </c>
      <c r="E1560">
        <v>509.51</v>
      </c>
      <c r="F1560">
        <v>0</v>
      </c>
      <c r="G1560" t="s">
        <v>2021</v>
      </c>
      <c r="H1560" t="s">
        <v>2027</v>
      </c>
      <c r="I1560" t="s">
        <v>3586</v>
      </c>
      <c r="J1560" t="s">
        <v>4032</v>
      </c>
      <c r="K1560" t="s">
        <v>4055</v>
      </c>
      <c r="L1560">
        <v>-509.51</v>
      </c>
      <c r="N1560">
        <f t="shared" si="72"/>
        <v>-509.51</v>
      </c>
      <c r="O1560" t="s">
        <v>4104</v>
      </c>
      <c r="P1560" t="str">
        <f t="shared" si="73"/>
        <v xml:space="preserve"> </v>
      </c>
      <c r="Q1560" t="str">
        <f t="shared" si="74"/>
        <v>Unfavorable</v>
      </c>
    </row>
    <row r="1561" spans="1:17">
      <c r="A1561" t="s">
        <v>1571</v>
      </c>
      <c r="B1561" s="2">
        <v>45284</v>
      </c>
      <c r="C1561">
        <v>4010</v>
      </c>
      <c r="D1561" t="s">
        <v>2016</v>
      </c>
      <c r="E1561">
        <v>0</v>
      </c>
      <c r="F1561">
        <v>573.51</v>
      </c>
      <c r="G1561" t="s">
        <v>2021</v>
      </c>
      <c r="H1561" t="s">
        <v>2023</v>
      </c>
      <c r="I1561" t="s">
        <v>3587</v>
      </c>
      <c r="J1561" t="s">
        <v>4031</v>
      </c>
      <c r="K1561" t="s">
        <v>4039</v>
      </c>
      <c r="L1561">
        <v>573.51</v>
      </c>
      <c r="N1561">
        <f t="shared" si="72"/>
        <v>573.51</v>
      </c>
      <c r="O1561" t="s">
        <v>4104</v>
      </c>
      <c r="P1561" t="str">
        <f t="shared" si="73"/>
        <v xml:space="preserve"> </v>
      </c>
      <c r="Q1561" t="str">
        <f t="shared" si="74"/>
        <v>Favorable</v>
      </c>
    </row>
    <row r="1562" spans="1:17">
      <c r="A1562" t="s">
        <v>1572</v>
      </c>
      <c r="B1562" s="2">
        <v>45462</v>
      </c>
      <c r="C1562">
        <v>4000</v>
      </c>
      <c r="D1562" t="s">
        <v>2012</v>
      </c>
      <c r="E1562">
        <v>0</v>
      </c>
      <c r="F1562">
        <v>3740.72</v>
      </c>
      <c r="G1562" t="s">
        <v>2020</v>
      </c>
      <c r="H1562" t="s">
        <v>2024</v>
      </c>
      <c r="I1562" t="s">
        <v>3588</v>
      </c>
      <c r="J1562" t="s">
        <v>4031</v>
      </c>
      <c r="K1562" t="s">
        <v>4034</v>
      </c>
      <c r="L1562">
        <v>3740.72</v>
      </c>
      <c r="N1562">
        <f t="shared" si="72"/>
        <v>3740.72</v>
      </c>
      <c r="O1562" t="s">
        <v>4104</v>
      </c>
      <c r="P1562" t="str">
        <f t="shared" si="73"/>
        <v xml:space="preserve"> </v>
      </c>
      <c r="Q1562" t="str">
        <f t="shared" si="74"/>
        <v>Favorable</v>
      </c>
    </row>
    <row r="1563" spans="1:17">
      <c r="A1563" t="s">
        <v>1573</v>
      </c>
      <c r="B1563" s="2">
        <v>45049</v>
      </c>
      <c r="C1563">
        <v>5000</v>
      </c>
      <c r="D1563" t="s">
        <v>2013</v>
      </c>
      <c r="E1563">
        <v>1930.33</v>
      </c>
      <c r="F1563">
        <v>0</v>
      </c>
      <c r="G1563" t="s">
        <v>2019</v>
      </c>
      <c r="H1563" t="s">
        <v>2027</v>
      </c>
      <c r="I1563" t="s">
        <v>3589</v>
      </c>
      <c r="J1563" t="s">
        <v>4032</v>
      </c>
      <c r="K1563" t="s">
        <v>4062</v>
      </c>
      <c r="L1563">
        <v>-1930.33</v>
      </c>
      <c r="N1563">
        <f t="shared" si="72"/>
        <v>-1930.33</v>
      </c>
      <c r="O1563" t="s">
        <v>4104</v>
      </c>
      <c r="P1563" t="str">
        <f t="shared" si="73"/>
        <v xml:space="preserve"> </v>
      </c>
      <c r="Q1563" t="str">
        <f t="shared" si="74"/>
        <v>Unfavorable</v>
      </c>
    </row>
    <row r="1564" spans="1:17">
      <c r="A1564" t="s">
        <v>1574</v>
      </c>
      <c r="B1564" s="2">
        <v>45276</v>
      </c>
      <c r="C1564">
        <v>5010</v>
      </c>
      <c r="D1564" t="s">
        <v>2015</v>
      </c>
      <c r="E1564">
        <v>1936.61</v>
      </c>
      <c r="F1564">
        <v>0</v>
      </c>
      <c r="G1564" t="s">
        <v>2021</v>
      </c>
      <c r="H1564" t="s">
        <v>2024</v>
      </c>
      <c r="I1564" t="s">
        <v>3590</v>
      </c>
      <c r="J1564" t="s">
        <v>4029</v>
      </c>
      <c r="K1564" t="s">
        <v>4039</v>
      </c>
      <c r="L1564">
        <v>-1936.61</v>
      </c>
      <c r="N1564">
        <f t="shared" si="72"/>
        <v>-1936.61</v>
      </c>
      <c r="O1564" t="s">
        <v>4104</v>
      </c>
      <c r="P1564" t="str">
        <f t="shared" si="73"/>
        <v xml:space="preserve"> </v>
      </c>
      <c r="Q1564" t="str">
        <f t="shared" si="74"/>
        <v>Unfavorable</v>
      </c>
    </row>
    <row r="1565" spans="1:17">
      <c r="A1565" t="s">
        <v>1575</v>
      </c>
      <c r="B1565" s="2">
        <v>45592</v>
      </c>
      <c r="C1565">
        <v>4000</v>
      </c>
      <c r="D1565" t="s">
        <v>2012</v>
      </c>
      <c r="E1565">
        <v>0</v>
      </c>
      <c r="F1565">
        <v>3625.02</v>
      </c>
      <c r="G1565" t="s">
        <v>2021</v>
      </c>
      <c r="H1565" t="s">
        <v>2027</v>
      </c>
      <c r="I1565" t="s">
        <v>3591</v>
      </c>
      <c r="J1565" t="s">
        <v>4032</v>
      </c>
      <c r="K1565" t="s">
        <v>4059</v>
      </c>
      <c r="L1565">
        <v>3625.02</v>
      </c>
      <c r="N1565">
        <f t="shared" si="72"/>
        <v>3625.02</v>
      </c>
      <c r="O1565" t="s">
        <v>4104</v>
      </c>
      <c r="P1565" t="str">
        <f t="shared" si="73"/>
        <v xml:space="preserve"> </v>
      </c>
      <c r="Q1565" t="str">
        <f t="shared" si="74"/>
        <v>Favorable</v>
      </c>
    </row>
    <row r="1566" spans="1:17">
      <c r="A1566" t="s">
        <v>1576</v>
      </c>
      <c r="B1566" s="2">
        <v>45332</v>
      </c>
      <c r="C1566">
        <v>4000</v>
      </c>
      <c r="D1566" t="s">
        <v>2012</v>
      </c>
      <c r="E1566">
        <v>0</v>
      </c>
      <c r="F1566">
        <v>3348.1</v>
      </c>
      <c r="G1566" t="s">
        <v>2020</v>
      </c>
      <c r="H1566" t="s">
        <v>2023</v>
      </c>
      <c r="I1566" t="s">
        <v>3592</v>
      </c>
      <c r="J1566" t="s">
        <v>4029</v>
      </c>
      <c r="K1566" t="s">
        <v>4044</v>
      </c>
      <c r="L1566">
        <v>3348.1</v>
      </c>
      <c r="N1566">
        <f t="shared" si="72"/>
        <v>3348.1</v>
      </c>
      <c r="O1566" t="s">
        <v>4104</v>
      </c>
      <c r="P1566" t="str">
        <f t="shared" si="73"/>
        <v xml:space="preserve"> </v>
      </c>
      <c r="Q1566" t="str">
        <f t="shared" si="74"/>
        <v>Favorable</v>
      </c>
    </row>
    <row r="1567" spans="1:17">
      <c r="A1567" t="s">
        <v>1577</v>
      </c>
      <c r="B1567" s="2">
        <v>44939</v>
      </c>
      <c r="C1567">
        <v>5010</v>
      </c>
      <c r="D1567" t="s">
        <v>2015</v>
      </c>
      <c r="E1567">
        <v>760.59</v>
      </c>
      <c r="F1567">
        <v>0</v>
      </c>
      <c r="G1567" t="s">
        <v>2018</v>
      </c>
      <c r="H1567" t="s">
        <v>2025</v>
      </c>
      <c r="I1567" t="s">
        <v>3593</v>
      </c>
      <c r="J1567" t="s">
        <v>4032</v>
      </c>
      <c r="K1567" t="s">
        <v>4047</v>
      </c>
      <c r="L1567">
        <v>-760.59</v>
      </c>
      <c r="N1567">
        <f t="shared" si="72"/>
        <v>-760.59</v>
      </c>
      <c r="O1567" t="s">
        <v>4104</v>
      </c>
      <c r="P1567" t="str">
        <f t="shared" si="73"/>
        <v xml:space="preserve"> </v>
      </c>
      <c r="Q1567" t="str">
        <f t="shared" si="74"/>
        <v>Unfavorable</v>
      </c>
    </row>
    <row r="1568" spans="1:17">
      <c r="A1568" t="s">
        <v>1578</v>
      </c>
      <c r="B1568" s="2">
        <v>45377</v>
      </c>
      <c r="C1568">
        <v>4010</v>
      </c>
      <c r="D1568" t="s">
        <v>2016</v>
      </c>
      <c r="E1568">
        <v>0</v>
      </c>
      <c r="F1568">
        <v>3208.4</v>
      </c>
      <c r="G1568" t="s">
        <v>2020</v>
      </c>
      <c r="H1568" t="s">
        <v>2023</v>
      </c>
      <c r="I1568" t="s">
        <v>3594</v>
      </c>
      <c r="J1568" t="s">
        <v>4029</v>
      </c>
      <c r="K1568" t="s">
        <v>4049</v>
      </c>
      <c r="L1568">
        <v>3208.4</v>
      </c>
      <c r="N1568">
        <f t="shared" si="72"/>
        <v>3208.4</v>
      </c>
      <c r="O1568" t="s">
        <v>4104</v>
      </c>
      <c r="P1568" t="str">
        <f t="shared" si="73"/>
        <v xml:space="preserve"> </v>
      </c>
      <c r="Q1568" t="str">
        <f t="shared" si="74"/>
        <v>Favorable</v>
      </c>
    </row>
    <row r="1569" spans="1:17">
      <c r="A1569" t="s">
        <v>1579</v>
      </c>
      <c r="B1569" s="2">
        <v>45653</v>
      </c>
      <c r="C1569">
        <v>6000</v>
      </c>
      <c r="D1569" t="s">
        <v>2014</v>
      </c>
      <c r="E1569">
        <v>420.76</v>
      </c>
      <c r="F1569">
        <v>0</v>
      </c>
      <c r="G1569" t="s">
        <v>2020</v>
      </c>
      <c r="H1569" t="s">
        <v>2024</v>
      </c>
      <c r="I1569" t="s">
        <v>3595</v>
      </c>
      <c r="J1569" t="s">
        <v>4028</v>
      </c>
      <c r="K1569" t="s">
        <v>4056</v>
      </c>
      <c r="L1569">
        <v>-420.76</v>
      </c>
      <c r="N1569">
        <f t="shared" si="72"/>
        <v>-420.76</v>
      </c>
      <c r="O1569" t="s">
        <v>4104</v>
      </c>
      <c r="P1569" t="str">
        <f t="shared" si="73"/>
        <v xml:space="preserve"> </v>
      </c>
      <c r="Q1569" t="str">
        <f t="shared" si="74"/>
        <v>Unfavorable</v>
      </c>
    </row>
    <row r="1570" spans="1:17">
      <c r="A1570" t="s">
        <v>1580</v>
      </c>
      <c r="B1570" s="2">
        <v>45021</v>
      </c>
      <c r="C1570">
        <v>5010</v>
      </c>
      <c r="D1570" t="s">
        <v>2015</v>
      </c>
      <c r="E1570">
        <v>1497.64</v>
      </c>
      <c r="F1570">
        <v>0</v>
      </c>
      <c r="G1570" t="s">
        <v>2018</v>
      </c>
      <c r="H1570" t="s">
        <v>2025</v>
      </c>
      <c r="I1570" t="s">
        <v>3596</v>
      </c>
      <c r="J1570" t="s">
        <v>4031</v>
      </c>
      <c r="K1570" t="s">
        <v>4041</v>
      </c>
      <c r="L1570">
        <v>-1497.64</v>
      </c>
      <c r="N1570">
        <f t="shared" si="72"/>
        <v>-1497.64</v>
      </c>
      <c r="O1570" t="s">
        <v>4104</v>
      </c>
      <c r="P1570" t="str">
        <f t="shared" si="73"/>
        <v xml:space="preserve"> </v>
      </c>
      <c r="Q1570" t="str">
        <f t="shared" si="74"/>
        <v>Unfavorable</v>
      </c>
    </row>
    <row r="1571" spans="1:17">
      <c r="A1571" t="s">
        <v>1581</v>
      </c>
      <c r="B1571" s="2">
        <v>45623</v>
      </c>
      <c r="C1571">
        <v>4010</v>
      </c>
      <c r="D1571" t="s">
        <v>2016</v>
      </c>
      <c r="E1571">
        <v>0</v>
      </c>
      <c r="F1571">
        <v>3033.61</v>
      </c>
      <c r="G1571" t="s">
        <v>2018</v>
      </c>
      <c r="H1571" t="s">
        <v>2027</v>
      </c>
      <c r="I1571" t="s">
        <v>3597</v>
      </c>
      <c r="J1571" t="s">
        <v>4028</v>
      </c>
      <c r="K1571" t="s">
        <v>4043</v>
      </c>
      <c r="L1571">
        <v>3033.61</v>
      </c>
      <c r="N1571">
        <f t="shared" si="72"/>
        <v>3033.61</v>
      </c>
      <c r="O1571" t="s">
        <v>4104</v>
      </c>
      <c r="P1571" t="str">
        <f t="shared" si="73"/>
        <v xml:space="preserve"> </v>
      </c>
      <c r="Q1571" t="str">
        <f t="shared" si="74"/>
        <v>Favorable</v>
      </c>
    </row>
    <row r="1572" spans="1:17">
      <c r="A1572" t="s">
        <v>1582</v>
      </c>
      <c r="B1572" s="2">
        <v>45057</v>
      </c>
      <c r="C1572">
        <v>4000</v>
      </c>
      <c r="D1572" t="s">
        <v>2012</v>
      </c>
      <c r="E1572">
        <v>0</v>
      </c>
      <c r="F1572">
        <v>1502.06</v>
      </c>
      <c r="G1572" t="s">
        <v>2019</v>
      </c>
      <c r="H1572" t="s">
        <v>2024</v>
      </c>
      <c r="I1572" t="s">
        <v>3598</v>
      </c>
      <c r="J1572" t="s">
        <v>4030</v>
      </c>
      <c r="K1572" t="s">
        <v>4062</v>
      </c>
      <c r="L1572">
        <v>1502.06</v>
      </c>
      <c r="N1572">
        <f t="shared" si="72"/>
        <v>1502.06</v>
      </c>
      <c r="O1572" t="s">
        <v>4104</v>
      </c>
      <c r="P1572" t="str">
        <f t="shared" si="73"/>
        <v xml:space="preserve"> </v>
      </c>
      <c r="Q1572" t="str">
        <f t="shared" si="74"/>
        <v>Favorable</v>
      </c>
    </row>
    <row r="1573" spans="1:17">
      <c r="A1573" t="s">
        <v>1583</v>
      </c>
      <c r="B1573" s="2">
        <v>45486</v>
      </c>
      <c r="C1573">
        <v>5000</v>
      </c>
      <c r="D1573" t="s">
        <v>2013</v>
      </c>
      <c r="E1573">
        <v>532.65</v>
      </c>
      <c r="F1573">
        <v>0</v>
      </c>
      <c r="G1573" t="s">
        <v>2019</v>
      </c>
      <c r="H1573" t="s">
        <v>2025</v>
      </c>
      <c r="I1573" t="s">
        <v>3599</v>
      </c>
      <c r="J1573" t="s">
        <v>4028</v>
      </c>
      <c r="K1573" t="s">
        <v>4054</v>
      </c>
      <c r="L1573">
        <v>-532.65</v>
      </c>
      <c r="N1573">
        <f t="shared" si="72"/>
        <v>-532.65</v>
      </c>
      <c r="O1573" t="s">
        <v>4104</v>
      </c>
      <c r="P1573" t="str">
        <f t="shared" si="73"/>
        <v xml:space="preserve"> </v>
      </c>
      <c r="Q1573" t="str">
        <f t="shared" si="74"/>
        <v>Unfavorable</v>
      </c>
    </row>
    <row r="1574" spans="1:17">
      <c r="A1574" t="s">
        <v>1584</v>
      </c>
      <c r="B1574" s="2">
        <v>45705</v>
      </c>
      <c r="C1574">
        <v>4010</v>
      </c>
      <c r="D1574" t="s">
        <v>2016</v>
      </c>
      <c r="E1574">
        <v>0</v>
      </c>
      <c r="F1574">
        <v>4109.07</v>
      </c>
      <c r="G1574" t="s">
        <v>2017</v>
      </c>
      <c r="H1574" t="s">
        <v>2027</v>
      </c>
      <c r="I1574" t="s">
        <v>3600</v>
      </c>
      <c r="J1574" t="s">
        <v>4030</v>
      </c>
      <c r="K1574" t="s">
        <v>4061</v>
      </c>
      <c r="L1574">
        <v>4109.07</v>
      </c>
      <c r="N1574">
        <f t="shared" si="72"/>
        <v>4109.07</v>
      </c>
      <c r="O1574" t="s">
        <v>4104</v>
      </c>
      <c r="P1574" t="str">
        <f t="shared" si="73"/>
        <v xml:space="preserve"> </v>
      </c>
      <c r="Q1574" t="str">
        <f t="shared" si="74"/>
        <v>Favorable</v>
      </c>
    </row>
    <row r="1575" spans="1:17">
      <c r="A1575" t="s">
        <v>1585</v>
      </c>
      <c r="B1575" s="2">
        <v>45018</v>
      </c>
      <c r="C1575">
        <v>4000</v>
      </c>
      <c r="D1575" t="s">
        <v>2012</v>
      </c>
      <c r="E1575">
        <v>0</v>
      </c>
      <c r="F1575">
        <v>3235.61</v>
      </c>
      <c r="G1575" t="s">
        <v>2019</v>
      </c>
      <c r="H1575" t="s">
        <v>2023</v>
      </c>
      <c r="I1575" t="s">
        <v>3601</v>
      </c>
      <c r="J1575" t="s">
        <v>4030</v>
      </c>
      <c r="K1575" t="s">
        <v>4041</v>
      </c>
      <c r="L1575">
        <v>3235.61</v>
      </c>
      <c r="N1575">
        <f t="shared" si="72"/>
        <v>3235.61</v>
      </c>
      <c r="O1575" t="s">
        <v>4104</v>
      </c>
      <c r="P1575" t="str">
        <f t="shared" si="73"/>
        <v xml:space="preserve"> </v>
      </c>
      <c r="Q1575" t="str">
        <f t="shared" si="74"/>
        <v>Favorable</v>
      </c>
    </row>
    <row r="1576" spans="1:17">
      <c r="A1576" t="s">
        <v>1586</v>
      </c>
      <c r="B1576" s="2">
        <v>45770</v>
      </c>
      <c r="C1576">
        <v>5000</v>
      </c>
      <c r="D1576" t="s">
        <v>2013</v>
      </c>
      <c r="E1576">
        <v>1836.46</v>
      </c>
      <c r="F1576">
        <v>0</v>
      </c>
      <c r="G1576" t="s">
        <v>2020</v>
      </c>
      <c r="H1576" t="s">
        <v>2023</v>
      </c>
      <c r="I1576" t="s">
        <v>3602</v>
      </c>
      <c r="J1576" t="s">
        <v>4031</v>
      </c>
      <c r="K1576" t="s">
        <v>4045</v>
      </c>
      <c r="L1576">
        <v>-1836.46</v>
      </c>
      <c r="N1576">
        <f t="shared" si="72"/>
        <v>-1836.46</v>
      </c>
      <c r="O1576" t="s">
        <v>4104</v>
      </c>
      <c r="P1576" t="str">
        <f t="shared" si="73"/>
        <v xml:space="preserve"> </v>
      </c>
      <c r="Q1576" t="str">
        <f t="shared" si="74"/>
        <v>Unfavorable</v>
      </c>
    </row>
    <row r="1577" spans="1:17">
      <c r="A1577" t="s">
        <v>1587</v>
      </c>
      <c r="B1577" s="2">
        <v>45038</v>
      </c>
      <c r="C1577">
        <v>6000</v>
      </c>
      <c r="D1577" t="s">
        <v>2014</v>
      </c>
      <c r="E1577">
        <v>1120.92</v>
      </c>
      <c r="F1577">
        <v>0</v>
      </c>
      <c r="G1577" t="s">
        <v>2021</v>
      </c>
      <c r="H1577" t="s">
        <v>2024</v>
      </c>
      <c r="I1577" t="s">
        <v>3603</v>
      </c>
      <c r="J1577" t="s">
        <v>4032</v>
      </c>
      <c r="K1577" t="s">
        <v>4041</v>
      </c>
      <c r="L1577">
        <v>-1120.92</v>
      </c>
      <c r="N1577">
        <f t="shared" si="72"/>
        <v>-1120.92</v>
      </c>
      <c r="O1577" t="s">
        <v>4104</v>
      </c>
      <c r="P1577" t="str">
        <f t="shared" si="73"/>
        <v xml:space="preserve"> </v>
      </c>
      <c r="Q1577" t="str">
        <f t="shared" si="74"/>
        <v>Unfavorable</v>
      </c>
    </row>
    <row r="1578" spans="1:17">
      <c r="A1578" t="s">
        <v>1588</v>
      </c>
      <c r="B1578" s="2">
        <v>45738</v>
      </c>
      <c r="C1578">
        <v>4010</v>
      </c>
      <c r="D1578" t="s">
        <v>2016</v>
      </c>
      <c r="E1578">
        <v>0</v>
      </c>
      <c r="F1578">
        <v>4622.21</v>
      </c>
      <c r="G1578" t="s">
        <v>2019</v>
      </c>
      <c r="H1578" t="s">
        <v>2025</v>
      </c>
      <c r="I1578" t="s">
        <v>3604</v>
      </c>
      <c r="J1578" t="s">
        <v>4031</v>
      </c>
      <c r="K1578" t="s">
        <v>4046</v>
      </c>
      <c r="L1578">
        <v>4622.21</v>
      </c>
      <c r="N1578">
        <f t="shared" si="72"/>
        <v>4622.21</v>
      </c>
      <c r="O1578" t="s">
        <v>4104</v>
      </c>
      <c r="P1578" t="str">
        <f t="shared" si="73"/>
        <v xml:space="preserve"> </v>
      </c>
      <c r="Q1578" t="str">
        <f t="shared" si="74"/>
        <v>Favorable</v>
      </c>
    </row>
    <row r="1579" spans="1:17">
      <c r="A1579" t="s">
        <v>1589</v>
      </c>
      <c r="B1579" s="2">
        <v>45267</v>
      </c>
      <c r="C1579">
        <v>5010</v>
      </c>
      <c r="D1579" t="s">
        <v>2015</v>
      </c>
      <c r="E1579">
        <v>1067.19</v>
      </c>
      <c r="F1579">
        <v>0</v>
      </c>
      <c r="G1579" t="s">
        <v>2018</v>
      </c>
      <c r="H1579" t="s">
        <v>2025</v>
      </c>
      <c r="I1579" t="s">
        <v>3605</v>
      </c>
      <c r="J1579" t="s">
        <v>4031</v>
      </c>
      <c r="K1579" t="s">
        <v>4039</v>
      </c>
      <c r="L1579">
        <v>-1067.19</v>
      </c>
      <c r="N1579">
        <f t="shared" si="72"/>
        <v>-1067.19</v>
      </c>
      <c r="O1579" t="s">
        <v>4104</v>
      </c>
      <c r="P1579" t="str">
        <f t="shared" si="73"/>
        <v xml:space="preserve"> </v>
      </c>
      <c r="Q1579" t="str">
        <f t="shared" si="74"/>
        <v>Unfavorable</v>
      </c>
    </row>
    <row r="1580" spans="1:17">
      <c r="A1580" t="s">
        <v>1590</v>
      </c>
      <c r="B1580" s="2">
        <v>45368</v>
      </c>
      <c r="C1580">
        <v>5010</v>
      </c>
      <c r="D1580" t="s">
        <v>2015</v>
      </c>
      <c r="E1580">
        <v>1712.89</v>
      </c>
      <c r="F1580">
        <v>0</v>
      </c>
      <c r="G1580" t="s">
        <v>2022</v>
      </c>
      <c r="H1580" t="s">
        <v>2027</v>
      </c>
      <c r="I1580" t="s">
        <v>3606</v>
      </c>
      <c r="J1580" t="s">
        <v>4032</v>
      </c>
      <c r="K1580" t="s">
        <v>4049</v>
      </c>
      <c r="L1580">
        <v>-1712.89</v>
      </c>
      <c r="N1580">
        <f t="shared" si="72"/>
        <v>-1712.89</v>
      </c>
      <c r="O1580" t="s">
        <v>4104</v>
      </c>
      <c r="P1580" t="str">
        <f t="shared" si="73"/>
        <v xml:space="preserve"> </v>
      </c>
      <c r="Q1580" t="str">
        <f t="shared" si="74"/>
        <v>Unfavorable</v>
      </c>
    </row>
    <row r="1581" spans="1:17">
      <c r="A1581" t="s">
        <v>1591</v>
      </c>
      <c r="B1581" s="2">
        <v>45356</v>
      </c>
      <c r="C1581">
        <v>5010</v>
      </c>
      <c r="D1581" t="s">
        <v>2015</v>
      </c>
      <c r="E1581">
        <v>857.16</v>
      </c>
      <c r="F1581">
        <v>0</v>
      </c>
      <c r="G1581" t="s">
        <v>2018</v>
      </c>
      <c r="H1581" t="s">
        <v>2027</v>
      </c>
      <c r="I1581" t="s">
        <v>3607</v>
      </c>
      <c r="J1581" t="s">
        <v>4030</v>
      </c>
      <c r="K1581" t="s">
        <v>4049</v>
      </c>
      <c r="L1581">
        <v>-857.16</v>
      </c>
      <c r="N1581">
        <f t="shared" si="72"/>
        <v>-857.16</v>
      </c>
      <c r="O1581" t="s">
        <v>4104</v>
      </c>
      <c r="P1581" t="str">
        <f t="shared" si="73"/>
        <v xml:space="preserve"> </v>
      </c>
      <c r="Q1581" t="str">
        <f t="shared" si="74"/>
        <v>Unfavorable</v>
      </c>
    </row>
    <row r="1582" spans="1:17">
      <c r="A1582" t="s">
        <v>1592</v>
      </c>
      <c r="B1582" s="2">
        <v>45817</v>
      </c>
      <c r="C1582">
        <v>4010</v>
      </c>
      <c r="D1582" t="s">
        <v>2016</v>
      </c>
      <c r="E1582">
        <v>0</v>
      </c>
      <c r="F1582">
        <v>1913.45</v>
      </c>
      <c r="G1582" t="s">
        <v>2022</v>
      </c>
      <c r="H1582" t="s">
        <v>2024</v>
      </c>
      <c r="I1582" t="s">
        <v>3608</v>
      </c>
      <c r="J1582" t="s">
        <v>4028</v>
      </c>
      <c r="K1582" t="s">
        <v>4052</v>
      </c>
      <c r="L1582">
        <v>1913.45</v>
      </c>
      <c r="N1582">
        <f t="shared" si="72"/>
        <v>1913.45</v>
      </c>
      <c r="O1582" t="s">
        <v>4104</v>
      </c>
      <c r="P1582" t="str">
        <f t="shared" si="73"/>
        <v xml:space="preserve"> </v>
      </c>
      <c r="Q1582" t="str">
        <f t="shared" si="74"/>
        <v>Favorable</v>
      </c>
    </row>
    <row r="1583" spans="1:17">
      <c r="A1583" t="s">
        <v>1593</v>
      </c>
      <c r="B1583" s="2">
        <v>45156</v>
      </c>
      <c r="C1583">
        <v>5000</v>
      </c>
      <c r="D1583" t="s">
        <v>2013</v>
      </c>
      <c r="E1583">
        <v>1307.6099999999999</v>
      </c>
      <c r="F1583">
        <v>0</v>
      </c>
      <c r="G1583" t="s">
        <v>2018</v>
      </c>
      <c r="H1583" t="s">
        <v>2026</v>
      </c>
      <c r="I1583" t="s">
        <v>3609</v>
      </c>
      <c r="J1583" t="s">
        <v>4028</v>
      </c>
      <c r="K1583" t="s">
        <v>4037</v>
      </c>
      <c r="L1583">
        <v>-1307.6099999999999</v>
      </c>
      <c r="N1583">
        <f t="shared" si="72"/>
        <v>-1307.6099999999999</v>
      </c>
      <c r="O1583" t="s">
        <v>4104</v>
      </c>
      <c r="P1583" t="str">
        <f t="shared" si="73"/>
        <v xml:space="preserve"> </v>
      </c>
      <c r="Q1583" t="str">
        <f t="shared" si="74"/>
        <v>Unfavorable</v>
      </c>
    </row>
    <row r="1584" spans="1:17">
      <c r="A1584" t="s">
        <v>1594</v>
      </c>
      <c r="B1584" s="2">
        <v>45438</v>
      </c>
      <c r="C1584">
        <v>4000</v>
      </c>
      <c r="D1584" t="s">
        <v>2012</v>
      </c>
      <c r="E1584">
        <v>0</v>
      </c>
      <c r="F1584">
        <v>1128.51</v>
      </c>
      <c r="G1584" t="s">
        <v>2022</v>
      </c>
      <c r="H1584" t="s">
        <v>2027</v>
      </c>
      <c r="I1584" t="s">
        <v>3610</v>
      </c>
      <c r="J1584" t="s">
        <v>4030</v>
      </c>
      <c r="K1584" t="s">
        <v>4033</v>
      </c>
      <c r="L1584">
        <v>1128.51</v>
      </c>
      <c r="N1584">
        <f t="shared" si="72"/>
        <v>1128.51</v>
      </c>
      <c r="O1584" t="s">
        <v>4104</v>
      </c>
      <c r="P1584" t="str">
        <f t="shared" si="73"/>
        <v xml:space="preserve"> </v>
      </c>
      <c r="Q1584" t="str">
        <f t="shared" si="74"/>
        <v>Favorable</v>
      </c>
    </row>
    <row r="1585" spans="1:17">
      <c r="A1585" t="s">
        <v>1595</v>
      </c>
      <c r="B1585" s="2">
        <v>45252</v>
      </c>
      <c r="C1585">
        <v>4000</v>
      </c>
      <c r="D1585" t="s">
        <v>2012</v>
      </c>
      <c r="E1585">
        <v>0</v>
      </c>
      <c r="F1585">
        <v>1933.41</v>
      </c>
      <c r="G1585" t="s">
        <v>2022</v>
      </c>
      <c r="H1585" t="s">
        <v>2024</v>
      </c>
      <c r="I1585" t="s">
        <v>3611</v>
      </c>
      <c r="J1585" t="s">
        <v>4032</v>
      </c>
      <c r="K1585" t="s">
        <v>4042</v>
      </c>
      <c r="L1585">
        <v>1933.41</v>
      </c>
      <c r="N1585">
        <f t="shared" si="72"/>
        <v>1933.41</v>
      </c>
      <c r="O1585" t="s">
        <v>4104</v>
      </c>
      <c r="P1585" t="str">
        <f t="shared" si="73"/>
        <v xml:space="preserve"> </v>
      </c>
      <c r="Q1585" t="str">
        <f t="shared" si="74"/>
        <v>Favorable</v>
      </c>
    </row>
    <row r="1586" spans="1:17">
      <c r="A1586" t="s">
        <v>1596</v>
      </c>
      <c r="B1586" s="2">
        <v>45755</v>
      </c>
      <c r="C1586">
        <v>5010</v>
      </c>
      <c r="D1586" t="s">
        <v>2015</v>
      </c>
      <c r="E1586">
        <v>203.77</v>
      </c>
      <c r="F1586">
        <v>0</v>
      </c>
      <c r="G1586" t="s">
        <v>2022</v>
      </c>
      <c r="H1586" t="s">
        <v>2025</v>
      </c>
      <c r="I1586" t="s">
        <v>3612</v>
      </c>
      <c r="J1586" t="s">
        <v>4032</v>
      </c>
      <c r="K1586" t="s">
        <v>4045</v>
      </c>
      <c r="L1586">
        <v>-203.77</v>
      </c>
      <c r="N1586">
        <f t="shared" si="72"/>
        <v>-203.77</v>
      </c>
      <c r="O1586" t="s">
        <v>4104</v>
      </c>
      <c r="P1586" t="str">
        <f t="shared" si="73"/>
        <v xml:space="preserve"> </v>
      </c>
      <c r="Q1586" t="str">
        <f t="shared" si="74"/>
        <v>Unfavorable</v>
      </c>
    </row>
    <row r="1587" spans="1:17">
      <c r="A1587" t="s">
        <v>1597</v>
      </c>
      <c r="B1587" s="2">
        <v>45465</v>
      </c>
      <c r="C1587">
        <v>4010</v>
      </c>
      <c r="D1587" t="s">
        <v>2016</v>
      </c>
      <c r="E1587">
        <v>0</v>
      </c>
      <c r="F1587">
        <v>3874.96</v>
      </c>
      <c r="G1587" t="s">
        <v>2021</v>
      </c>
      <c r="H1587" t="s">
        <v>2024</v>
      </c>
      <c r="I1587" t="s">
        <v>3613</v>
      </c>
      <c r="J1587" t="s">
        <v>4031</v>
      </c>
      <c r="K1587" t="s">
        <v>4034</v>
      </c>
      <c r="L1587">
        <v>3874.96</v>
      </c>
      <c r="N1587">
        <f t="shared" si="72"/>
        <v>3874.96</v>
      </c>
      <c r="O1587" t="s">
        <v>4104</v>
      </c>
      <c r="P1587" t="str">
        <f t="shared" si="73"/>
        <v xml:space="preserve"> </v>
      </c>
      <c r="Q1587" t="str">
        <f t="shared" si="74"/>
        <v>Favorable</v>
      </c>
    </row>
    <row r="1588" spans="1:17">
      <c r="A1588" t="s">
        <v>1598</v>
      </c>
      <c r="B1588" s="2">
        <v>45071</v>
      </c>
      <c r="C1588">
        <v>5010</v>
      </c>
      <c r="D1588" t="s">
        <v>2015</v>
      </c>
      <c r="E1588">
        <v>369.39</v>
      </c>
      <c r="F1588">
        <v>0</v>
      </c>
      <c r="G1588" t="s">
        <v>2019</v>
      </c>
      <c r="H1588" t="s">
        <v>2027</v>
      </c>
      <c r="I1588" t="s">
        <v>3614</v>
      </c>
      <c r="J1588" t="s">
        <v>4031</v>
      </c>
      <c r="K1588" t="s">
        <v>4062</v>
      </c>
      <c r="L1588">
        <v>-369.39</v>
      </c>
      <c r="N1588">
        <f t="shared" si="72"/>
        <v>-369.39</v>
      </c>
      <c r="O1588" t="s">
        <v>4104</v>
      </c>
      <c r="P1588" t="str">
        <f t="shared" si="73"/>
        <v xml:space="preserve"> </v>
      </c>
      <c r="Q1588" t="str">
        <f t="shared" si="74"/>
        <v>Unfavorable</v>
      </c>
    </row>
    <row r="1589" spans="1:17">
      <c r="A1589" t="s">
        <v>1599</v>
      </c>
      <c r="B1589" s="2">
        <v>45602</v>
      </c>
      <c r="C1589">
        <v>4000</v>
      </c>
      <c r="D1589" t="s">
        <v>2012</v>
      </c>
      <c r="E1589">
        <v>0</v>
      </c>
      <c r="F1589">
        <v>4685.3599999999997</v>
      </c>
      <c r="G1589" t="s">
        <v>2022</v>
      </c>
      <c r="H1589" t="s">
        <v>2026</v>
      </c>
      <c r="I1589" t="s">
        <v>3615</v>
      </c>
      <c r="J1589" t="s">
        <v>4032</v>
      </c>
      <c r="K1589" t="s">
        <v>4043</v>
      </c>
      <c r="L1589">
        <v>4685.3599999999997</v>
      </c>
      <c r="N1589">
        <f t="shared" si="72"/>
        <v>4685.3599999999997</v>
      </c>
      <c r="O1589" t="s">
        <v>4104</v>
      </c>
      <c r="P1589" t="str">
        <f t="shared" si="73"/>
        <v xml:space="preserve"> </v>
      </c>
      <c r="Q1589" t="str">
        <f t="shared" si="74"/>
        <v>Favorable</v>
      </c>
    </row>
    <row r="1590" spans="1:17">
      <c r="A1590" t="s">
        <v>1600</v>
      </c>
      <c r="B1590" s="2">
        <v>45360</v>
      </c>
      <c r="C1590">
        <v>6000</v>
      </c>
      <c r="D1590" t="s">
        <v>2014</v>
      </c>
      <c r="E1590">
        <v>1614.34</v>
      </c>
      <c r="F1590">
        <v>0</v>
      </c>
      <c r="G1590" t="s">
        <v>2017</v>
      </c>
      <c r="H1590" t="s">
        <v>2025</v>
      </c>
      <c r="I1590" t="s">
        <v>3616</v>
      </c>
      <c r="J1590" t="s">
        <v>4031</v>
      </c>
      <c r="K1590" t="s">
        <v>4049</v>
      </c>
      <c r="L1590">
        <v>-1614.34</v>
      </c>
      <c r="N1590">
        <f t="shared" si="72"/>
        <v>-1614.34</v>
      </c>
      <c r="O1590" t="s">
        <v>4104</v>
      </c>
      <c r="P1590" t="str">
        <f t="shared" si="73"/>
        <v xml:space="preserve"> </v>
      </c>
      <c r="Q1590" t="str">
        <f t="shared" si="74"/>
        <v>Unfavorable</v>
      </c>
    </row>
    <row r="1591" spans="1:17">
      <c r="A1591" t="s">
        <v>1601</v>
      </c>
      <c r="B1591" s="2">
        <v>45743</v>
      </c>
      <c r="C1591">
        <v>6000</v>
      </c>
      <c r="D1591" t="s">
        <v>2014</v>
      </c>
      <c r="E1591">
        <v>1072.1199999999999</v>
      </c>
      <c r="F1591">
        <v>0</v>
      </c>
      <c r="G1591" t="s">
        <v>2020</v>
      </c>
      <c r="H1591" t="s">
        <v>2027</v>
      </c>
      <c r="I1591" t="s">
        <v>3617</v>
      </c>
      <c r="J1591" t="s">
        <v>4031</v>
      </c>
      <c r="K1591" t="s">
        <v>4046</v>
      </c>
      <c r="L1591">
        <v>-1072.1199999999999</v>
      </c>
      <c r="N1591">
        <f t="shared" si="72"/>
        <v>-1072.1199999999999</v>
      </c>
      <c r="O1591" t="s">
        <v>4104</v>
      </c>
      <c r="P1591" t="str">
        <f t="shared" si="73"/>
        <v xml:space="preserve"> </v>
      </c>
      <c r="Q1591" t="str">
        <f t="shared" si="74"/>
        <v>Unfavorable</v>
      </c>
    </row>
    <row r="1592" spans="1:17">
      <c r="A1592" t="s">
        <v>1602</v>
      </c>
      <c r="B1592" s="2">
        <v>45049</v>
      </c>
      <c r="C1592">
        <v>5000</v>
      </c>
      <c r="D1592" t="s">
        <v>2013</v>
      </c>
      <c r="E1592">
        <v>889.83</v>
      </c>
      <c r="F1592">
        <v>0</v>
      </c>
      <c r="G1592" t="s">
        <v>2018</v>
      </c>
      <c r="H1592" t="s">
        <v>2024</v>
      </c>
      <c r="I1592" t="s">
        <v>3618</v>
      </c>
      <c r="J1592" t="s">
        <v>4029</v>
      </c>
      <c r="K1592" t="s">
        <v>4062</v>
      </c>
      <c r="L1592">
        <v>-889.83</v>
      </c>
      <c r="N1592">
        <f t="shared" si="72"/>
        <v>-889.83</v>
      </c>
      <c r="O1592" t="s">
        <v>4104</v>
      </c>
      <c r="P1592" t="str">
        <f t="shared" si="73"/>
        <v xml:space="preserve"> </v>
      </c>
      <c r="Q1592" t="str">
        <f t="shared" si="74"/>
        <v>Unfavorable</v>
      </c>
    </row>
    <row r="1593" spans="1:17">
      <c r="A1593" t="s">
        <v>1603</v>
      </c>
      <c r="B1593" s="2">
        <v>45073</v>
      </c>
      <c r="C1593">
        <v>4000</v>
      </c>
      <c r="D1593" t="s">
        <v>2012</v>
      </c>
      <c r="E1593">
        <v>0</v>
      </c>
      <c r="F1593">
        <v>174.81</v>
      </c>
      <c r="G1593" t="s">
        <v>2017</v>
      </c>
      <c r="H1593" t="s">
        <v>2027</v>
      </c>
      <c r="I1593" t="s">
        <v>3619</v>
      </c>
      <c r="J1593" t="s">
        <v>4032</v>
      </c>
      <c r="K1593" t="s">
        <v>4062</v>
      </c>
      <c r="L1593">
        <v>174.81</v>
      </c>
      <c r="N1593">
        <f t="shared" si="72"/>
        <v>174.81</v>
      </c>
      <c r="O1593" t="s">
        <v>4104</v>
      </c>
      <c r="P1593" t="str">
        <f t="shared" si="73"/>
        <v xml:space="preserve"> </v>
      </c>
      <c r="Q1593" t="str">
        <f t="shared" si="74"/>
        <v>Favorable</v>
      </c>
    </row>
    <row r="1594" spans="1:17">
      <c r="A1594" t="s">
        <v>1604</v>
      </c>
      <c r="B1594" s="2">
        <v>45257</v>
      </c>
      <c r="C1594">
        <v>4010</v>
      </c>
      <c r="D1594" t="s">
        <v>2016</v>
      </c>
      <c r="E1594">
        <v>0</v>
      </c>
      <c r="F1594">
        <v>3155.54</v>
      </c>
      <c r="G1594" t="s">
        <v>2021</v>
      </c>
      <c r="H1594" t="s">
        <v>2024</v>
      </c>
      <c r="I1594" t="s">
        <v>3620</v>
      </c>
      <c r="J1594" t="s">
        <v>4030</v>
      </c>
      <c r="K1594" t="s">
        <v>4042</v>
      </c>
      <c r="L1594">
        <v>3155.54</v>
      </c>
      <c r="N1594">
        <f t="shared" si="72"/>
        <v>3155.54</v>
      </c>
      <c r="O1594" t="s">
        <v>4104</v>
      </c>
      <c r="P1594" t="str">
        <f t="shared" si="73"/>
        <v xml:space="preserve"> </v>
      </c>
      <c r="Q1594" t="str">
        <f t="shared" si="74"/>
        <v>Favorable</v>
      </c>
    </row>
    <row r="1595" spans="1:17">
      <c r="A1595" t="s">
        <v>1605</v>
      </c>
      <c r="B1595" s="2">
        <v>45172</v>
      </c>
      <c r="C1595">
        <v>4010</v>
      </c>
      <c r="D1595" t="s">
        <v>2016</v>
      </c>
      <c r="E1595">
        <v>0</v>
      </c>
      <c r="F1595">
        <v>1925.54</v>
      </c>
      <c r="G1595" t="s">
        <v>2018</v>
      </c>
      <c r="H1595" t="s">
        <v>2024</v>
      </c>
      <c r="I1595" t="s">
        <v>3621</v>
      </c>
      <c r="J1595" t="s">
        <v>4030</v>
      </c>
      <c r="K1595" t="s">
        <v>4036</v>
      </c>
      <c r="L1595">
        <v>1925.54</v>
      </c>
      <c r="N1595">
        <f t="shared" si="72"/>
        <v>1925.54</v>
      </c>
      <c r="O1595" t="s">
        <v>4104</v>
      </c>
      <c r="P1595" t="str">
        <f t="shared" si="73"/>
        <v xml:space="preserve"> </v>
      </c>
      <c r="Q1595" t="str">
        <f t="shared" si="74"/>
        <v>Favorable</v>
      </c>
    </row>
    <row r="1596" spans="1:17">
      <c r="A1596" t="s">
        <v>1606</v>
      </c>
      <c r="B1596" s="2">
        <v>45595</v>
      </c>
      <c r="C1596">
        <v>6000</v>
      </c>
      <c r="D1596" t="s">
        <v>2014</v>
      </c>
      <c r="E1596">
        <v>1203.3399999999999</v>
      </c>
      <c r="F1596">
        <v>0</v>
      </c>
      <c r="G1596" t="s">
        <v>2020</v>
      </c>
      <c r="H1596" t="s">
        <v>2025</v>
      </c>
      <c r="I1596" t="s">
        <v>3622</v>
      </c>
      <c r="J1596" t="s">
        <v>4031</v>
      </c>
      <c r="K1596" t="s">
        <v>4059</v>
      </c>
      <c r="L1596">
        <v>-1203.3399999999999</v>
      </c>
      <c r="N1596">
        <f t="shared" si="72"/>
        <v>-1203.3399999999999</v>
      </c>
      <c r="O1596" t="s">
        <v>4104</v>
      </c>
      <c r="P1596" t="str">
        <f t="shared" si="73"/>
        <v xml:space="preserve"> </v>
      </c>
      <c r="Q1596" t="str">
        <f t="shared" si="74"/>
        <v>Unfavorable</v>
      </c>
    </row>
    <row r="1597" spans="1:17">
      <c r="A1597" t="s">
        <v>1607</v>
      </c>
      <c r="B1597" s="2">
        <v>45614</v>
      </c>
      <c r="C1597">
        <v>6000</v>
      </c>
      <c r="D1597" t="s">
        <v>2014</v>
      </c>
      <c r="E1597">
        <v>1776.59</v>
      </c>
      <c r="F1597">
        <v>0</v>
      </c>
      <c r="G1597" t="s">
        <v>2020</v>
      </c>
      <c r="H1597" t="s">
        <v>2025</v>
      </c>
      <c r="I1597" t="s">
        <v>3623</v>
      </c>
      <c r="J1597" t="s">
        <v>4029</v>
      </c>
      <c r="K1597" t="s">
        <v>4043</v>
      </c>
      <c r="L1597">
        <v>-1776.59</v>
      </c>
      <c r="N1597">
        <f t="shared" si="72"/>
        <v>-1776.59</v>
      </c>
      <c r="O1597" t="s">
        <v>4104</v>
      </c>
      <c r="P1597" t="str">
        <f t="shared" si="73"/>
        <v xml:space="preserve"> </v>
      </c>
      <c r="Q1597" t="str">
        <f t="shared" si="74"/>
        <v>Unfavorable</v>
      </c>
    </row>
    <row r="1598" spans="1:17">
      <c r="A1598" t="s">
        <v>1608</v>
      </c>
      <c r="B1598" s="2">
        <v>45009</v>
      </c>
      <c r="C1598">
        <v>5000</v>
      </c>
      <c r="D1598" t="s">
        <v>2013</v>
      </c>
      <c r="E1598">
        <v>1588.81</v>
      </c>
      <c r="F1598">
        <v>0</v>
      </c>
      <c r="G1598" t="s">
        <v>2019</v>
      </c>
      <c r="H1598" t="s">
        <v>2023</v>
      </c>
      <c r="I1598" t="s">
        <v>3624</v>
      </c>
      <c r="J1598" t="s">
        <v>4031</v>
      </c>
      <c r="K1598" t="s">
        <v>4051</v>
      </c>
      <c r="L1598">
        <v>-1588.81</v>
      </c>
      <c r="N1598">
        <f t="shared" si="72"/>
        <v>-1588.81</v>
      </c>
      <c r="O1598" t="s">
        <v>4104</v>
      </c>
      <c r="P1598" t="str">
        <f t="shared" si="73"/>
        <v xml:space="preserve"> </v>
      </c>
      <c r="Q1598" t="str">
        <f t="shared" si="74"/>
        <v>Unfavorable</v>
      </c>
    </row>
    <row r="1599" spans="1:17">
      <c r="A1599" t="s">
        <v>1609</v>
      </c>
      <c r="B1599" s="2">
        <v>45781</v>
      </c>
      <c r="C1599">
        <v>5000</v>
      </c>
      <c r="D1599" t="s">
        <v>2013</v>
      </c>
      <c r="E1599">
        <v>1229.26</v>
      </c>
      <c r="F1599">
        <v>0</v>
      </c>
      <c r="G1599" t="s">
        <v>2020</v>
      </c>
      <c r="H1599" t="s">
        <v>2024</v>
      </c>
      <c r="I1599" t="s">
        <v>3625</v>
      </c>
      <c r="J1599" t="s">
        <v>4029</v>
      </c>
      <c r="K1599" t="s">
        <v>4038</v>
      </c>
      <c r="L1599">
        <v>-1229.26</v>
      </c>
      <c r="N1599">
        <f t="shared" si="72"/>
        <v>-1229.26</v>
      </c>
      <c r="O1599" t="s">
        <v>4104</v>
      </c>
      <c r="P1599" t="str">
        <f t="shared" si="73"/>
        <v xml:space="preserve"> </v>
      </c>
      <c r="Q1599" t="str">
        <f t="shared" si="74"/>
        <v>Unfavorable</v>
      </c>
    </row>
    <row r="1600" spans="1:17">
      <c r="A1600" t="s">
        <v>1610</v>
      </c>
      <c r="B1600" s="2">
        <v>45832</v>
      </c>
      <c r="C1600">
        <v>4000</v>
      </c>
      <c r="D1600" t="s">
        <v>2012</v>
      </c>
      <c r="E1600">
        <v>0</v>
      </c>
      <c r="F1600">
        <v>3867.59</v>
      </c>
      <c r="G1600" t="s">
        <v>2019</v>
      </c>
      <c r="H1600" t="s">
        <v>2026</v>
      </c>
      <c r="I1600" t="s">
        <v>3626</v>
      </c>
      <c r="J1600" t="s">
        <v>4029</v>
      </c>
      <c r="K1600" t="s">
        <v>4052</v>
      </c>
      <c r="L1600">
        <v>3867.59</v>
      </c>
      <c r="N1600">
        <f t="shared" si="72"/>
        <v>3867.59</v>
      </c>
      <c r="O1600" t="s">
        <v>4104</v>
      </c>
      <c r="P1600" t="str">
        <f t="shared" si="73"/>
        <v xml:space="preserve"> </v>
      </c>
      <c r="Q1600" t="str">
        <f t="shared" si="74"/>
        <v>Favorable</v>
      </c>
    </row>
    <row r="1601" spans="1:17">
      <c r="A1601" t="s">
        <v>1611</v>
      </c>
      <c r="B1601" s="2">
        <v>45408</v>
      </c>
      <c r="C1601">
        <v>6000</v>
      </c>
      <c r="D1601" t="s">
        <v>2014</v>
      </c>
      <c r="E1601">
        <v>615.80999999999995</v>
      </c>
      <c r="F1601">
        <v>0</v>
      </c>
      <c r="G1601" t="s">
        <v>2018</v>
      </c>
      <c r="H1601" t="s">
        <v>2027</v>
      </c>
      <c r="I1601" t="s">
        <v>3627</v>
      </c>
      <c r="J1601" t="s">
        <v>4029</v>
      </c>
      <c r="K1601" t="s">
        <v>4040</v>
      </c>
      <c r="L1601">
        <v>-615.80999999999995</v>
      </c>
      <c r="N1601">
        <f t="shared" si="72"/>
        <v>-615.80999999999995</v>
      </c>
      <c r="O1601" t="s">
        <v>4104</v>
      </c>
      <c r="P1601" t="str">
        <f t="shared" si="73"/>
        <v xml:space="preserve"> </v>
      </c>
      <c r="Q1601" t="str">
        <f t="shared" si="74"/>
        <v>Unfavorable</v>
      </c>
    </row>
    <row r="1602" spans="1:17">
      <c r="A1602" t="s">
        <v>1612</v>
      </c>
      <c r="B1602" s="2">
        <v>45224</v>
      </c>
      <c r="C1602">
        <v>5010</v>
      </c>
      <c r="D1602" t="s">
        <v>2015</v>
      </c>
      <c r="E1602">
        <v>1182.17</v>
      </c>
      <c r="F1602">
        <v>0</v>
      </c>
      <c r="G1602" t="s">
        <v>2021</v>
      </c>
      <c r="H1602" t="s">
        <v>2025</v>
      </c>
      <c r="I1602" t="s">
        <v>3628</v>
      </c>
      <c r="J1602" t="s">
        <v>4031</v>
      </c>
      <c r="K1602" t="s">
        <v>4060</v>
      </c>
      <c r="L1602">
        <v>-1182.17</v>
      </c>
      <c r="N1602">
        <f t="shared" si="72"/>
        <v>-1182.17</v>
      </c>
      <c r="O1602" t="s">
        <v>4104</v>
      </c>
      <c r="P1602" t="str">
        <f t="shared" si="73"/>
        <v xml:space="preserve"> </v>
      </c>
      <c r="Q1602" t="str">
        <f t="shared" si="74"/>
        <v>Unfavorable</v>
      </c>
    </row>
    <row r="1603" spans="1:17">
      <c r="A1603" t="s">
        <v>1613</v>
      </c>
      <c r="B1603" s="2">
        <v>45081</v>
      </c>
      <c r="C1603">
        <v>4000</v>
      </c>
      <c r="D1603" t="s">
        <v>2012</v>
      </c>
      <c r="E1603">
        <v>0</v>
      </c>
      <c r="F1603">
        <v>4084.9</v>
      </c>
      <c r="G1603" t="s">
        <v>2021</v>
      </c>
      <c r="H1603" t="s">
        <v>2025</v>
      </c>
      <c r="I1603" t="s">
        <v>3629</v>
      </c>
      <c r="J1603" t="s">
        <v>4030</v>
      </c>
      <c r="K1603" t="s">
        <v>4055</v>
      </c>
      <c r="L1603">
        <v>4084.9</v>
      </c>
      <c r="N1603">
        <f t="shared" ref="N1603:N1666" si="75">L:L-M:M</f>
        <v>4084.9</v>
      </c>
      <c r="O1603" t="s">
        <v>4104</v>
      </c>
      <c r="P1603" t="str">
        <f t="shared" ref="P1603:P1666" si="76">IF(AND(ABS(N:N)&gt;10000,M:M&lt;&gt;0),"Material", " ")</f>
        <v xml:space="preserve"> </v>
      </c>
      <c r="Q1603" t="str">
        <f t="shared" ref="Q1603:Q1666" si="77">IF(N:N&gt;0,"Favorable","Unfavorable")</f>
        <v>Favorable</v>
      </c>
    </row>
    <row r="1604" spans="1:17">
      <c r="A1604" t="s">
        <v>1614</v>
      </c>
      <c r="B1604" s="2">
        <v>45276</v>
      </c>
      <c r="C1604">
        <v>4000</v>
      </c>
      <c r="D1604" t="s">
        <v>2012</v>
      </c>
      <c r="E1604">
        <v>0</v>
      </c>
      <c r="F1604">
        <v>2694.28</v>
      </c>
      <c r="G1604" t="s">
        <v>2019</v>
      </c>
      <c r="H1604" t="s">
        <v>2024</v>
      </c>
      <c r="I1604" t="s">
        <v>3630</v>
      </c>
      <c r="J1604" t="s">
        <v>4032</v>
      </c>
      <c r="K1604" t="s">
        <v>4039</v>
      </c>
      <c r="L1604">
        <v>2694.28</v>
      </c>
      <c r="N1604">
        <f t="shared" si="75"/>
        <v>2694.28</v>
      </c>
      <c r="O1604" t="s">
        <v>4104</v>
      </c>
      <c r="P1604" t="str">
        <f t="shared" si="76"/>
        <v xml:space="preserve"> </v>
      </c>
      <c r="Q1604" t="str">
        <f t="shared" si="77"/>
        <v>Favorable</v>
      </c>
    </row>
    <row r="1605" spans="1:17">
      <c r="A1605" t="s">
        <v>1615</v>
      </c>
      <c r="B1605" s="2">
        <v>45782</v>
      </c>
      <c r="C1605">
        <v>4000</v>
      </c>
      <c r="D1605" t="s">
        <v>2012</v>
      </c>
      <c r="E1605">
        <v>0</v>
      </c>
      <c r="F1605">
        <v>3550.01</v>
      </c>
      <c r="G1605" t="s">
        <v>2021</v>
      </c>
      <c r="H1605" t="s">
        <v>2026</v>
      </c>
      <c r="I1605" t="s">
        <v>3631</v>
      </c>
      <c r="J1605" t="s">
        <v>4028</v>
      </c>
      <c r="K1605" t="s">
        <v>4038</v>
      </c>
      <c r="L1605">
        <v>3550.01</v>
      </c>
      <c r="N1605">
        <f t="shared" si="75"/>
        <v>3550.01</v>
      </c>
      <c r="O1605" t="s">
        <v>4104</v>
      </c>
      <c r="P1605" t="str">
        <f t="shared" si="76"/>
        <v xml:space="preserve"> </v>
      </c>
      <c r="Q1605" t="str">
        <f t="shared" si="77"/>
        <v>Favorable</v>
      </c>
    </row>
    <row r="1606" spans="1:17">
      <c r="A1606" t="s">
        <v>1616</v>
      </c>
      <c r="B1606" s="2">
        <v>45495</v>
      </c>
      <c r="C1606">
        <v>4000</v>
      </c>
      <c r="D1606" t="s">
        <v>2012</v>
      </c>
      <c r="E1606">
        <v>0</v>
      </c>
      <c r="F1606">
        <v>2395.19</v>
      </c>
      <c r="G1606" t="s">
        <v>2022</v>
      </c>
      <c r="H1606" t="s">
        <v>2027</v>
      </c>
      <c r="I1606" t="s">
        <v>3632</v>
      </c>
      <c r="J1606" t="s">
        <v>4032</v>
      </c>
      <c r="K1606" t="s">
        <v>4054</v>
      </c>
      <c r="L1606">
        <v>2395.19</v>
      </c>
      <c r="N1606">
        <f t="shared" si="75"/>
        <v>2395.19</v>
      </c>
      <c r="O1606" t="s">
        <v>4104</v>
      </c>
      <c r="P1606" t="str">
        <f t="shared" si="76"/>
        <v xml:space="preserve"> </v>
      </c>
      <c r="Q1606" t="str">
        <f t="shared" si="77"/>
        <v>Favorable</v>
      </c>
    </row>
    <row r="1607" spans="1:17">
      <c r="A1607" t="s">
        <v>1617</v>
      </c>
      <c r="B1607" s="2">
        <v>45438</v>
      </c>
      <c r="C1607">
        <v>5000</v>
      </c>
      <c r="D1607" t="s">
        <v>2013</v>
      </c>
      <c r="E1607">
        <v>1009.87</v>
      </c>
      <c r="F1607">
        <v>0</v>
      </c>
      <c r="G1607" t="s">
        <v>2021</v>
      </c>
      <c r="H1607" t="s">
        <v>2024</v>
      </c>
      <c r="I1607" t="s">
        <v>3633</v>
      </c>
      <c r="J1607" t="s">
        <v>4031</v>
      </c>
      <c r="K1607" t="s">
        <v>4033</v>
      </c>
      <c r="L1607">
        <v>-1009.87</v>
      </c>
      <c r="N1607">
        <f t="shared" si="75"/>
        <v>-1009.87</v>
      </c>
      <c r="O1607" t="s">
        <v>4104</v>
      </c>
      <c r="P1607" t="str">
        <f t="shared" si="76"/>
        <v xml:space="preserve"> </v>
      </c>
      <c r="Q1607" t="str">
        <f t="shared" si="77"/>
        <v>Unfavorable</v>
      </c>
    </row>
    <row r="1608" spans="1:17">
      <c r="A1608" t="s">
        <v>1618</v>
      </c>
      <c r="B1608" s="2">
        <v>45464</v>
      </c>
      <c r="C1608">
        <v>5010</v>
      </c>
      <c r="D1608" t="s">
        <v>2015</v>
      </c>
      <c r="E1608">
        <v>1792.26</v>
      </c>
      <c r="F1608">
        <v>0</v>
      </c>
      <c r="G1608" t="s">
        <v>2017</v>
      </c>
      <c r="H1608" t="s">
        <v>2023</v>
      </c>
      <c r="I1608" t="s">
        <v>3634</v>
      </c>
      <c r="J1608" t="s">
        <v>4028</v>
      </c>
      <c r="K1608" t="s">
        <v>4034</v>
      </c>
      <c r="L1608">
        <v>-1792.26</v>
      </c>
      <c r="N1608">
        <f t="shared" si="75"/>
        <v>-1792.26</v>
      </c>
      <c r="O1608" t="s">
        <v>4104</v>
      </c>
      <c r="P1608" t="str">
        <f t="shared" si="76"/>
        <v xml:space="preserve"> </v>
      </c>
      <c r="Q1608" t="str">
        <f t="shared" si="77"/>
        <v>Unfavorable</v>
      </c>
    </row>
    <row r="1609" spans="1:17">
      <c r="A1609" t="s">
        <v>1619</v>
      </c>
      <c r="B1609" s="2">
        <v>45306</v>
      </c>
      <c r="C1609">
        <v>5000</v>
      </c>
      <c r="D1609" t="s">
        <v>2013</v>
      </c>
      <c r="E1609">
        <v>1834.84</v>
      </c>
      <c r="F1609">
        <v>0</v>
      </c>
      <c r="G1609" t="s">
        <v>2019</v>
      </c>
      <c r="H1609" t="s">
        <v>2023</v>
      </c>
      <c r="I1609" t="s">
        <v>3635</v>
      </c>
      <c r="J1609" t="s">
        <v>4030</v>
      </c>
      <c r="K1609" t="s">
        <v>4053</v>
      </c>
      <c r="L1609">
        <v>-1834.84</v>
      </c>
      <c r="N1609">
        <f t="shared" si="75"/>
        <v>-1834.84</v>
      </c>
      <c r="O1609" t="s">
        <v>4104</v>
      </c>
      <c r="P1609" t="str">
        <f t="shared" si="76"/>
        <v xml:space="preserve"> </v>
      </c>
      <c r="Q1609" t="str">
        <f t="shared" si="77"/>
        <v>Unfavorable</v>
      </c>
    </row>
    <row r="1610" spans="1:17">
      <c r="A1610" t="s">
        <v>1620</v>
      </c>
      <c r="B1610" s="2">
        <v>45808</v>
      </c>
      <c r="C1610">
        <v>4010</v>
      </c>
      <c r="D1610" t="s">
        <v>2016</v>
      </c>
      <c r="E1610">
        <v>0</v>
      </c>
      <c r="F1610">
        <v>4316.42</v>
      </c>
      <c r="G1610" t="s">
        <v>2018</v>
      </c>
      <c r="H1610" t="s">
        <v>2027</v>
      </c>
      <c r="I1610" t="s">
        <v>3636</v>
      </c>
      <c r="J1610" t="s">
        <v>4030</v>
      </c>
      <c r="K1610" t="s">
        <v>4038</v>
      </c>
      <c r="L1610">
        <v>4316.42</v>
      </c>
      <c r="N1610">
        <f t="shared" si="75"/>
        <v>4316.42</v>
      </c>
      <c r="O1610" t="s">
        <v>4104</v>
      </c>
      <c r="P1610" t="str">
        <f t="shared" si="76"/>
        <v xml:space="preserve"> </v>
      </c>
      <c r="Q1610" t="str">
        <f t="shared" si="77"/>
        <v>Favorable</v>
      </c>
    </row>
    <row r="1611" spans="1:17">
      <c r="A1611" t="s">
        <v>1621</v>
      </c>
      <c r="B1611" s="2">
        <v>45701</v>
      </c>
      <c r="C1611">
        <v>5010</v>
      </c>
      <c r="D1611" t="s">
        <v>2015</v>
      </c>
      <c r="E1611">
        <v>427.92</v>
      </c>
      <c r="F1611">
        <v>0</v>
      </c>
      <c r="G1611" t="s">
        <v>2021</v>
      </c>
      <c r="H1611" t="s">
        <v>2025</v>
      </c>
      <c r="I1611" t="s">
        <v>3637</v>
      </c>
      <c r="J1611" t="s">
        <v>4031</v>
      </c>
      <c r="K1611" t="s">
        <v>4061</v>
      </c>
      <c r="L1611">
        <v>-427.92</v>
      </c>
      <c r="N1611">
        <f t="shared" si="75"/>
        <v>-427.92</v>
      </c>
      <c r="O1611" t="s">
        <v>4104</v>
      </c>
      <c r="P1611" t="str">
        <f t="shared" si="76"/>
        <v xml:space="preserve"> </v>
      </c>
      <c r="Q1611" t="str">
        <f t="shared" si="77"/>
        <v>Unfavorable</v>
      </c>
    </row>
    <row r="1612" spans="1:17">
      <c r="A1612" t="s">
        <v>1622</v>
      </c>
      <c r="B1612" s="2">
        <v>45555</v>
      </c>
      <c r="C1612">
        <v>4010</v>
      </c>
      <c r="D1612" t="s">
        <v>2016</v>
      </c>
      <c r="E1612">
        <v>0</v>
      </c>
      <c r="F1612">
        <v>881.32</v>
      </c>
      <c r="G1612" t="s">
        <v>2022</v>
      </c>
      <c r="H1612" t="s">
        <v>2027</v>
      </c>
      <c r="I1612" t="s">
        <v>3638</v>
      </c>
      <c r="J1612" t="s">
        <v>4030</v>
      </c>
      <c r="K1612" t="s">
        <v>4048</v>
      </c>
      <c r="L1612">
        <v>881.32</v>
      </c>
      <c r="N1612">
        <f t="shared" si="75"/>
        <v>881.32</v>
      </c>
      <c r="O1612" t="s">
        <v>4104</v>
      </c>
      <c r="P1612" t="str">
        <f t="shared" si="76"/>
        <v xml:space="preserve"> </v>
      </c>
      <c r="Q1612" t="str">
        <f t="shared" si="77"/>
        <v>Favorable</v>
      </c>
    </row>
    <row r="1613" spans="1:17">
      <c r="A1613" t="s">
        <v>1623</v>
      </c>
      <c r="B1613" s="2">
        <v>45028</v>
      </c>
      <c r="C1613">
        <v>6000</v>
      </c>
      <c r="D1613" t="s">
        <v>2014</v>
      </c>
      <c r="E1613">
        <v>896.81</v>
      </c>
      <c r="F1613">
        <v>0</v>
      </c>
      <c r="G1613" t="s">
        <v>2022</v>
      </c>
      <c r="H1613" t="s">
        <v>2025</v>
      </c>
      <c r="I1613" t="s">
        <v>3639</v>
      </c>
      <c r="J1613" t="s">
        <v>4030</v>
      </c>
      <c r="K1613" t="s">
        <v>4041</v>
      </c>
      <c r="L1613">
        <v>-896.81</v>
      </c>
      <c r="N1613">
        <f t="shared" si="75"/>
        <v>-896.81</v>
      </c>
      <c r="O1613" t="s">
        <v>4104</v>
      </c>
      <c r="P1613" t="str">
        <f t="shared" si="76"/>
        <v xml:space="preserve"> </v>
      </c>
      <c r="Q1613" t="str">
        <f t="shared" si="77"/>
        <v>Unfavorable</v>
      </c>
    </row>
    <row r="1614" spans="1:17">
      <c r="A1614" t="s">
        <v>1624</v>
      </c>
      <c r="B1614" s="2">
        <v>45612</v>
      </c>
      <c r="C1614">
        <v>6000</v>
      </c>
      <c r="D1614" t="s">
        <v>2014</v>
      </c>
      <c r="E1614">
        <v>1292.1400000000001</v>
      </c>
      <c r="F1614">
        <v>0</v>
      </c>
      <c r="G1614" t="s">
        <v>2018</v>
      </c>
      <c r="H1614" t="s">
        <v>2023</v>
      </c>
      <c r="I1614" t="s">
        <v>3640</v>
      </c>
      <c r="J1614" t="s">
        <v>4031</v>
      </c>
      <c r="K1614" t="s">
        <v>4043</v>
      </c>
      <c r="L1614">
        <v>-1292.1400000000001</v>
      </c>
      <c r="N1614">
        <f t="shared" si="75"/>
        <v>-1292.1400000000001</v>
      </c>
      <c r="O1614" t="s">
        <v>4104</v>
      </c>
      <c r="P1614" t="str">
        <f t="shared" si="76"/>
        <v xml:space="preserve"> </v>
      </c>
      <c r="Q1614" t="str">
        <f t="shared" si="77"/>
        <v>Unfavorable</v>
      </c>
    </row>
    <row r="1615" spans="1:17">
      <c r="A1615" t="s">
        <v>1625</v>
      </c>
      <c r="B1615" s="2">
        <v>45410</v>
      </c>
      <c r="C1615">
        <v>5000</v>
      </c>
      <c r="D1615" t="s">
        <v>2013</v>
      </c>
      <c r="E1615">
        <v>1720</v>
      </c>
      <c r="F1615">
        <v>0</v>
      </c>
      <c r="G1615" t="s">
        <v>2019</v>
      </c>
      <c r="H1615" t="s">
        <v>2027</v>
      </c>
      <c r="I1615" t="s">
        <v>3641</v>
      </c>
      <c r="J1615" t="s">
        <v>4032</v>
      </c>
      <c r="K1615" t="s">
        <v>4040</v>
      </c>
      <c r="L1615">
        <v>-1720</v>
      </c>
      <c r="N1615">
        <f t="shared" si="75"/>
        <v>-1720</v>
      </c>
      <c r="O1615" t="s">
        <v>4104</v>
      </c>
      <c r="P1615" t="str">
        <f t="shared" si="76"/>
        <v xml:space="preserve"> </v>
      </c>
      <c r="Q1615" t="str">
        <f t="shared" si="77"/>
        <v>Unfavorable</v>
      </c>
    </row>
    <row r="1616" spans="1:17">
      <c r="A1616" t="s">
        <v>1626</v>
      </c>
      <c r="B1616" s="2">
        <v>45312</v>
      </c>
      <c r="C1616">
        <v>6000</v>
      </c>
      <c r="D1616" t="s">
        <v>2014</v>
      </c>
      <c r="E1616">
        <v>210.81</v>
      </c>
      <c r="F1616">
        <v>0</v>
      </c>
      <c r="G1616" t="s">
        <v>2021</v>
      </c>
      <c r="H1616" t="s">
        <v>2026</v>
      </c>
      <c r="I1616" t="s">
        <v>3642</v>
      </c>
      <c r="J1616" t="s">
        <v>4029</v>
      </c>
      <c r="K1616" t="s">
        <v>4053</v>
      </c>
      <c r="L1616">
        <v>-210.81</v>
      </c>
      <c r="N1616">
        <f t="shared" si="75"/>
        <v>-210.81</v>
      </c>
      <c r="O1616" t="s">
        <v>4104</v>
      </c>
      <c r="P1616" t="str">
        <f t="shared" si="76"/>
        <v xml:space="preserve"> </v>
      </c>
      <c r="Q1616" t="str">
        <f t="shared" si="77"/>
        <v>Unfavorable</v>
      </c>
    </row>
    <row r="1617" spans="1:17">
      <c r="A1617" t="s">
        <v>1627</v>
      </c>
      <c r="B1617" s="2">
        <v>45077</v>
      </c>
      <c r="C1617">
        <v>4000</v>
      </c>
      <c r="D1617" t="s">
        <v>2012</v>
      </c>
      <c r="E1617">
        <v>0</v>
      </c>
      <c r="F1617">
        <v>3145.99</v>
      </c>
      <c r="G1617" t="s">
        <v>2019</v>
      </c>
      <c r="H1617" t="s">
        <v>2025</v>
      </c>
      <c r="I1617" t="s">
        <v>3643</v>
      </c>
      <c r="J1617" t="s">
        <v>4028</v>
      </c>
      <c r="K1617" t="s">
        <v>4062</v>
      </c>
      <c r="L1617">
        <v>3145.99</v>
      </c>
      <c r="N1617">
        <f t="shared" si="75"/>
        <v>3145.99</v>
      </c>
      <c r="O1617" t="s">
        <v>4104</v>
      </c>
      <c r="P1617" t="str">
        <f t="shared" si="76"/>
        <v xml:space="preserve"> </v>
      </c>
      <c r="Q1617" t="str">
        <f t="shared" si="77"/>
        <v>Favorable</v>
      </c>
    </row>
    <row r="1618" spans="1:17">
      <c r="A1618" t="s">
        <v>1628</v>
      </c>
      <c r="B1618" s="2">
        <v>45601</v>
      </c>
      <c r="C1618">
        <v>4000</v>
      </c>
      <c r="D1618" t="s">
        <v>2012</v>
      </c>
      <c r="E1618">
        <v>0</v>
      </c>
      <c r="F1618">
        <v>4897.22</v>
      </c>
      <c r="G1618" t="s">
        <v>2020</v>
      </c>
      <c r="H1618" t="s">
        <v>2027</v>
      </c>
      <c r="I1618" t="s">
        <v>3644</v>
      </c>
      <c r="J1618" t="s">
        <v>4029</v>
      </c>
      <c r="K1618" t="s">
        <v>4043</v>
      </c>
      <c r="L1618">
        <v>4897.22</v>
      </c>
      <c r="N1618">
        <f t="shared" si="75"/>
        <v>4897.22</v>
      </c>
      <c r="O1618" t="s">
        <v>4104</v>
      </c>
      <c r="P1618" t="str">
        <f t="shared" si="76"/>
        <v xml:space="preserve"> </v>
      </c>
      <c r="Q1618" t="str">
        <f t="shared" si="77"/>
        <v>Favorable</v>
      </c>
    </row>
    <row r="1619" spans="1:17">
      <c r="A1619" t="s">
        <v>1629</v>
      </c>
      <c r="B1619" s="2">
        <v>45011</v>
      </c>
      <c r="C1619">
        <v>5010</v>
      </c>
      <c r="D1619" t="s">
        <v>2015</v>
      </c>
      <c r="E1619">
        <v>1035.58</v>
      </c>
      <c r="F1619">
        <v>0</v>
      </c>
      <c r="G1619" t="s">
        <v>2022</v>
      </c>
      <c r="H1619" t="s">
        <v>2025</v>
      </c>
      <c r="I1619" t="s">
        <v>3645</v>
      </c>
      <c r="J1619" t="s">
        <v>4030</v>
      </c>
      <c r="K1619" t="s">
        <v>4051</v>
      </c>
      <c r="L1619">
        <v>-1035.58</v>
      </c>
      <c r="N1619">
        <f t="shared" si="75"/>
        <v>-1035.58</v>
      </c>
      <c r="O1619" t="s">
        <v>4104</v>
      </c>
      <c r="P1619" t="str">
        <f t="shared" si="76"/>
        <v xml:space="preserve"> </v>
      </c>
      <c r="Q1619" t="str">
        <f t="shared" si="77"/>
        <v>Unfavorable</v>
      </c>
    </row>
    <row r="1620" spans="1:17">
      <c r="A1620" t="s">
        <v>1630</v>
      </c>
      <c r="B1620" s="2">
        <v>45614</v>
      </c>
      <c r="C1620">
        <v>5010</v>
      </c>
      <c r="D1620" t="s">
        <v>2015</v>
      </c>
      <c r="E1620">
        <v>883.62</v>
      </c>
      <c r="F1620">
        <v>0</v>
      </c>
      <c r="G1620" t="s">
        <v>2019</v>
      </c>
      <c r="H1620" t="s">
        <v>2026</v>
      </c>
      <c r="I1620" t="s">
        <v>3646</v>
      </c>
      <c r="J1620" t="s">
        <v>4030</v>
      </c>
      <c r="K1620" t="s">
        <v>4043</v>
      </c>
      <c r="L1620">
        <v>-883.62</v>
      </c>
      <c r="N1620">
        <f t="shared" si="75"/>
        <v>-883.62</v>
      </c>
      <c r="O1620" t="s">
        <v>4104</v>
      </c>
      <c r="P1620" t="str">
        <f t="shared" si="76"/>
        <v xml:space="preserve"> </v>
      </c>
      <c r="Q1620" t="str">
        <f t="shared" si="77"/>
        <v>Unfavorable</v>
      </c>
    </row>
    <row r="1621" spans="1:17">
      <c r="A1621" t="s">
        <v>1631</v>
      </c>
      <c r="B1621" s="2">
        <v>45566</v>
      </c>
      <c r="C1621">
        <v>4010</v>
      </c>
      <c r="D1621" t="s">
        <v>2016</v>
      </c>
      <c r="E1621">
        <v>0</v>
      </c>
      <c r="F1621">
        <v>1908.36</v>
      </c>
      <c r="G1621" t="s">
        <v>2022</v>
      </c>
      <c r="H1621" t="s">
        <v>2023</v>
      </c>
      <c r="I1621" t="s">
        <v>3647</v>
      </c>
      <c r="J1621" t="s">
        <v>4028</v>
      </c>
      <c r="K1621" t="s">
        <v>4059</v>
      </c>
      <c r="L1621">
        <v>1908.36</v>
      </c>
      <c r="N1621">
        <f t="shared" si="75"/>
        <v>1908.36</v>
      </c>
      <c r="O1621" t="s">
        <v>4104</v>
      </c>
      <c r="P1621" t="str">
        <f t="shared" si="76"/>
        <v xml:space="preserve"> </v>
      </c>
      <c r="Q1621" t="str">
        <f t="shared" si="77"/>
        <v>Favorable</v>
      </c>
    </row>
    <row r="1622" spans="1:17">
      <c r="A1622" t="s">
        <v>1632</v>
      </c>
      <c r="B1622" s="2">
        <v>45068</v>
      </c>
      <c r="C1622">
        <v>4010</v>
      </c>
      <c r="D1622" t="s">
        <v>2016</v>
      </c>
      <c r="E1622">
        <v>0</v>
      </c>
      <c r="F1622">
        <v>145.24</v>
      </c>
      <c r="G1622" t="s">
        <v>2022</v>
      </c>
      <c r="H1622" t="s">
        <v>2025</v>
      </c>
      <c r="I1622" t="s">
        <v>3648</v>
      </c>
      <c r="J1622" t="s">
        <v>4028</v>
      </c>
      <c r="K1622" t="s">
        <v>4062</v>
      </c>
      <c r="L1622">
        <v>145.24</v>
      </c>
      <c r="N1622">
        <f t="shared" si="75"/>
        <v>145.24</v>
      </c>
      <c r="O1622" t="s">
        <v>4104</v>
      </c>
      <c r="P1622" t="str">
        <f t="shared" si="76"/>
        <v xml:space="preserve"> </v>
      </c>
      <c r="Q1622" t="str">
        <f t="shared" si="77"/>
        <v>Favorable</v>
      </c>
    </row>
    <row r="1623" spans="1:17">
      <c r="A1623" t="s">
        <v>1633</v>
      </c>
      <c r="B1623" s="2">
        <v>45550</v>
      </c>
      <c r="C1623">
        <v>4010</v>
      </c>
      <c r="D1623" t="s">
        <v>2016</v>
      </c>
      <c r="E1623">
        <v>0</v>
      </c>
      <c r="F1623">
        <v>527.38</v>
      </c>
      <c r="G1623" t="s">
        <v>2017</v>
      </c>
      <c r="H1623" t="s">
        <v>2025</v>
      </c>
      <c r="I1623" t="s">
        <v>3649</v>
      </c>
      <c r="J1623" t="s">
        <v>4032</v>
      </c>
      <c r="K1623" t="s">
        <v>4048</v>
      </c>
      <c r="L1623">
        <v>527.38</v>
      </c>
      <c r="N1623">
        <f t="shared" si="75"/>
        <v>527.38</v>
      </c>
      <c r="O1623" t="s">
        <v>4104</v>
      </c>
      <c r="P1623" t="str">
        <f t="shared" si="76"/>
        <v xml:space="preserve"> </v>
      </c>
      <c r="Q1623" t="str">
        <f t="shared" si="77"/>
        <v>Favorable</v>
      </c>
    </row>
    <row r="1624" spans="1:17">
      <c r="A1624" t="s">
        <v>1634</v>
      </c>
      <c r="B1624" s="2">
        <v>45151</v>
      </c>
      <c r="C1624">
        <v>4000</v>
      </c>
      <c r="D1624" t="s">
        <v>2012</v>
      </c>
      <c r="E1624">
        <v>0</v>
      </c>
      <c r="F1624">
        <v>3715.39</v>
      </c>
      <c r="G1624" t="s">
        <v>2021</v>
      </c>
      <c r="H1624" t="s">
        <v>2023</v>
      </c>
      <c r="I1624" t="s">
        <v>3650</v>
      </c>
      <c r="J1624" t="s">
        <v>4029</v>
      </c>
      <c r="K1624" t="s">
        <v>4037</v>
      </c>
      <c r="L1624">
        <v>3715.39</v>
      </c>
      <c r="N1624">
        <f t="shared" si="75"/>
        <v>3715.39</v>
      </c>
      <c r="O1624" t="s">
        <v>4104</v>
      </c>
      <c r="P1624" t="str">
        <f t="shared" si="76"/>
        <v xml:space="preserve"> </v>
      </c>
      <c r="Q1624" t="str">
        <f t="shared" si="77"/>
        <v>Favorable</v>
      </c>
    </row>
    <row r="1625" spans="1:17">
      <c r="A1625" t="s">
        <v>1635</v>
      </c>
      <c r="B1625" s="2">
        <v>44959</v>
      </c>
      <c r="C1625">
        <v>5000</v>
      </c>
      <c r="D1625" t="s">
        <v>2013</v>
      </c>
      <c r="E1625">
        <v>870.5</v>
      </c>
      <c r="F1625">
        <v>0</v>
      </c>
      <c r="G1625" t="s">
        <v>2021</v>
      </c>
      <c r="H1625" t="s">
        <v>2026</v>
      </c>
      <c r="I1625" t="s">
        <v>3651</v>
      </c>
      <c r="J1625" t="s">
        <v>4030</v>
      </c>
      <c r="K1625" t="s">
        <v>4057</v>
      </c>
      <c r="L1625">
        <v>-870.5</v>
      </c>
      <c r="N1625">
        <f t="shared" si="75"/>
        <v>-870.5</v>
      </c>
      <c r="O1625" t="s">
        <v>4104</v>
      </c>
      <c r="P1625" t="str">
        <f t="shared" si="76"/>
        <v xml:space="preserve"> </v>
      </c>
      <c r="Q1625" t="str">
        <f t="shared" si="77"/>
        <v>Unfavorable</v>
      </c>
    </row>
    <row r="1626" spans="1:17">
      <c r="A1626" t="s">
        <v>1636</v>
      </c>
      <c r="B1626" s="2">
        <v>45386</v>
      </c>
      <c r="C1626">
        <v>5010</v>
      </c>
      <c r="D1626" t="s">
        <v>2015</v>
      </c>
      <c r="E1626">
        <v>1992.58</v>
      </c>
      <c r="F1626">
        <v>0</v>
      </c>
      <c r="G1626" t="s">
        <v>2019</v>
      </c>
      <c r="H1626" t="s">
        <v>2023</v>
      </c>
      <c r="I1626" t="s">
        <v>3652</v>
      </c>
      <c r="J1626" t="s">
        <v>4028</v>
      </c>
      <c r="K1626" t="s">
        <v>4040</v>
      </c>
      <c r="L1626">
        <v>-1992.58</v>
      </c>
      <c r="N1626">
        <f t="shared" si="75"/>
        <v>-1992.58</v>
      </c>
      <c r="O1626" t="s">
        <v>4104</v>
      </c>
      <c r="P1626" t="str">
        <f t="shared" si="76"/>
        <v xml:space="preserve"> </v>
      </c>
      <c r="Q1626" t="str">
        <f t="shared" si="77"/>
        <v>Unfavorable</v>
      </c>
    </row>
    <row r="1627" spans="1:17">
      <c r="A1627" t="s">
        <v>1637</v>
      </c>
      <c r="B1627" s="2">
        <v>45001</v>
      </c>
      <c r="C1627">
        <v>5010</v>
      </c>
      <c r="D1627" t="s">
        <v>2015</v>
      </c>
      <c r="E1627">
        <v>1466.95</v>
      </c>
      <c r="F1627">
        <v>0</v>
      </c>
      <c r="G1627" t="s">
        <v>2022</v>
      </c>
      <c r="H1627" t="s">
        <v>2024</v>
      </c>
      <c r="I1627" t="s">
        <v>3653</v>
      </c>
      <c r="J1627" t="s">
        <v>4031</v>
      </c>
      <c r="K1627" t="s">
        <v>4051</v>
      </c>
      <c r="L1627">
        <v>-1466.95</v>
      </c>
      <c r="N1627">
        <f t="shared" si="75"/>
        <v>-1466.95</v>
      </c>
      <c r="O1627" t="s">
        <v>4104</v>
      </c>
      <c r="P1627" t="str">
        <f t="shared" si="76"/>
        <v xml:space="preserve"> </v>
      </c>
      <c r="Q1627" t="str">
        <f t="shared" si="77"/>
        <v>Unfavorable</v>
      </c>
    </row>
    <row r="1628" spans="1:17">
      <c r="A1628" t="s">
        <v>1638</v>
      </c>
      <c r="B1628" s="2">
        <v>45013</v>
      </c>
      <c r="C1628">
        <v>5000</v>
      </c>
      <c r="D1628" t="s">
        <v>2013</v>
      </c>
      <c r="E1628">
        <v>480.18</v>
      </c>
      <c r="F1628">
        <v>0</v>
      </c>
      <c r="G1628" t="s">
        <v>2018</v>
      </c>
      <c r="H1628" t="s">
        <v>2025</v>
      </c>
      <c r="I1628" t="s">
        <v>3654</v>
      </c>
      <c r="J1628" t="s">
        <v>4029</v>
      </c>
      <c r="K1628" t="s">
        <v>4051</v>
      </c>
      <c r="L1628">
        <v>-480.18</v>
      </c>
      <c r="N1628">
        <f t="shared" si="75"/>
        <v>-480.18</v>
      </c>
      <c r="O1628" t="s">
        <v>4104</v>
      </c>
      <c r="P1628" t="str">
        <f t="shared" si="76"/>
        <v xml:space="preserve"> </v>
      </c>
      <c r="Q1628" t="str">
        <f t="shared" si="77"/>
        <v>Unfavorable</v>
      </c>
    </row>
    <row r="1629" spans="1:17">
      <c r="A1629" t="s">
        <v>1639</v>
      </c>
      <c r="B1629" s="2">
        <v>45010</v>
      </c>
      <c r="C1629">
        <v>4010</v>
      </c>
      <c r="D1629" t="s">
        <v>2016</v>
      </c>
      <c r="E1629">
        <v>0</v>
      </c>
      <c r="F1629">
        <v>4296.88</v>
      </c>
      <c r="G1629" t="s">
        <v>2021</v>
      </c>
      <c r="H1629" t="s">
        <v>2023</v>
      </c>
      <c r="I1629" t="s">
        <v>3655</v>
      </c>
      <c r="J1629" t="s">
        <v>4030</v>
      </c>
      <c r="K1629" t="s">
        <v>4051</v>
      </c>
      <c r="L1629">
        <v>4296.88</v>
      </c>
      <c r="N1629">
        <f t="shared" si="75"/>
        <v>4296.88</v>
      </c>
      <c r="O1629" t="s">
        <v>4104</v>
      </c>
      <c r="P1629" t="str">
        <f t="shared" si="76"/>
        <v xml:space="preserve"> </v>
      </c>
      <c r="Q1629" t="str">
        <f t="shared" si="77"/>
        <v>Favorable</v>
      </c>
    </row>
    <row r="1630" spans="1:17">
      <c r="A1630" t="s">
        <v>1640</v>
      </c>
      <c r="B1630" s="2">
        <v>45588</v>
      </c>
      <c r="C1630">
        <v>5000</v>
      </c>
      <c r="D1630" t="s">
        <v>2013</v>
      </c>
      <c r="E1630">
        <v>123.85</v>
      </c>
      <c r="F1630">
        <v>0</v>
      </c>
      <c r="G1630" t="s">
        <v>2020</v>
      </c>
      <c r="H1630" t="s">
        <v>2023</v>
      </c>
      <c r="I1630" t="s">
        <v>3656</v>
      </c>
      <c r="J1630" t="s">
        <v>4030</v>
      </c>
      <c r="K1630" t="s">
        <v>4059</v>
      </c>
      <c r="L1630">
        <v>-123.85</v>
      </c>
      <c r="N1630">
        <f t="shared" si="75"/>
        <v>-123.85</v>
      </c>
      <c r="O1630" t="s">
        <v>4104</v>
      </c>
      <c r="P1630" t="str">
        <f t="shared" si="76"/>
        <v xml:space="preserve"> </v>
      </c>
      <c r="Q1630" t="str">
        <f t="shared" si="77"/>
        <v>Unfavorable</v>
      </c>
    </row>
    <row r="1631" spans="1:17">
      <c r="A1631" t="s">
        <v>1641</v>
      </c>
      <c r="B1631" s="2">
        <v>45048</v>
      </c>
      <c r="C1631">
        <v>6000</v>
      </c>
      <c r="D1631" t="s">
        <v>2014</v>
      </c>
      <c r="E1631">
        <v>1528.6</v>
      </c>
      <c r="F1631">
        <v>0</v>
      </c>
      <c r="G1631" t="s">
        <v>2017</v>
      </c>
      <c r="H1631" t="s">
        <v>2027</v>
      </c>
      <c r="I1631" t="s">
        <v>3657</v>
      </c>
      <c r="J1631" t="s">
        <v>4031</v>
      </c>
      <c r="K1631" t="s">
        <v>4062</v>
      </c>
      <c r="L1631">
        <v>-1528.6</v>
      </c>
      <c r="N1631">
        <f t="shared" si="75"/>
        <v>-1528.6</v>
      </c>
      <c r="O1631" t="s">
        <v>4104</v>
      </c>
      <c r="P1631" t="str">
        <f t="shared" si="76"/>
        <v xml:space="preserve"> </v>
      </c>
      <c r="Q1631" t="str">
        <f t="shared" si="77"/>
        <v>Unfavorable</v>
      </c>
    </row>
    <row r="1632" spans="1:17">
      <c r="A1632" t="s">
        <v>1642</v>
      </c>
      <c r="B1632" s="2">
        <v>45364</v>
      </c>
      <c r="C1632">
        <v>5010</v>
      </c>
      <c r="D1632" t="s">
        <v>2015</v>
      </c>
      <c r="E1632">
        <v>1408.83</v>
      </c>
      <c r="F1632">
        <v>0</v>
      </c>
      <c r="G1632" t="s">
        <v>2017</v>
      </c>
      <c r="H1632" t="s">
        <v>2027</v>
      </c>
      <c r="I1632" t="s">
        <v>3658</v>
      </c>
      <c r="J1632" t="s">
        <v>4031</v>
      </c>
      <c r="K1632" t="s">
        <v>4049</v>
      </c>
      <c r="L1632">
        <v>-1408.83</v>
      </c>
      <c r="N1632">
        <f t="shared" si="75"/>
        <v>-1408.83</v>
      </c>
      <c r="O1632" t="s">
        <v>4104</v>
      </c>
      <c r="P1632" t="str">
        <f t="shared" si="76"/>
        <v xml:space="preserve"> </v>
      </c>
      <c r="Q1632" t="str">
        <f t="shared" si="77"/>
        <v>Unfavorable</v>
      </c>
    </row>
    <row r="1633" spans="1:17">
      <c r="A1633" t="s">
        <v>1643</v>
      </c>
      <c r="B1633" s="2">
        <v>45308</v>
      </c>
      <c r="C1633">
        <v>6000</v>
      </c>
      <c r="D1633" t="s">
        <v>2014</v>
      </c>
      <c r="E1633">
        <v>472.82</v>
      </c>
      <c r="F1633">
        <v>0</v>
      </c>
      <c r="G1633" t="s">
        <v>2019</v>
      </c>
      <c r="H1633" t="s">
        <v>2025</v>
      </c>
      <c r="I1633" t="s">
        <v>3659</v>
      </c>
      <c r="J1633" t="s">
        <v>4028</v>
      </c>
      <c r="K1633" t="s">
        <v>4053</v>
      </c>
      <c r="L1633">
        <v>-472.82</v>
      </c>
      <c r="N1633">
        <f t="shared" si="75"/>
        <v>-472.82</v>
      </c>
      <c r="O1633" t="s">
        <v>4104</v>
      </c>
      <c r="P1633" t="str">
        <f t="shared" si="76"/>
        <v xml:space="preserve"> </v>
      </c>
      <c r="Q1633" t="str">
        <f t="shared" si="77"/>
        <v>Unfavorable</v>
      </c>
    </row>
    <row r="1634" spans="1:17">
      <c r="A1634" t="s">
        <v>1644</v>
      </c>
      <c r="B1634" s="2">
        <v>45284</v>
      </c>
      <c r="C1634">
        <v>6000</v>
      </c>
      <c r="D1634" t="s">
        <v>2014</v>
      </c>
      <c r="E1634">
        <v>826.92</v>
      </c>
      <c r="F1634">
        <v>0</v>
      </c>
      <c r="G1634" t="s">
        <v>2017</v>
      </c>
      <c r="H1634" t="s">
        <v>2025</v>
      </c>
      <c r="I1634" t="s">
        <v>3660</v>
      </c>
      <c r="J1634" t="s">
        <v>4028</v>
      </c>
      <c r="K1634" t="s">
        <v>4039</v>
      </c>
      <c r="L1634">
        <v>-826.92</v>
      </c>
      <c r="N1634">
        <f t="shared" si="75"/>
        <v>-826.92</v>
      </c>
      <c r="O1634" t="s">
        <v>4104</v>
      </c>
      <c r="P1634" t="str">
        <f t="shared" si="76"/>
        <v xml:space="preserve"> </v>
      </c>
      <c r="Q1634" t="str">
        <f t="shared" si="77"/>
        <v>Unfavorable</v>
      </c>
    </row>
    <row r="1635" spans="1:17">
      <c r="A1635" t="s">
        <v>1645</v>
      </c>
      <c r="B1635" s="2">
        <v>44952</v>
      </c>
      <c r="C1635">
        <v>6000</v>
      </c>
      <c r="D1635" t="s">
        <v>2014</v>
      </c>
      <c r="E1635">
        <v>882.2</v>
      </c>
      <c r="F1635">
        <v>0</v>
      </c>
      <c r="G1635" t="s">
        <v>2020</v>
      </c>
      <c r="H1635" t="s">
        <v>2027</v>
      </c>
      <c r="I1635" t="s">
        <v>3661</v>
      </c>
      <c r="J1635" t="s">
        <v>4030</v>
      </c>
      <c r="K1635" t="s">
        <v>4047</v>
      </c>
      <c r="L1635">
        <v>-882.2</v>
      </c>
      <c r="N1635">
        <f t="shared" si="75"/>
        <v>-882.2</v>
      </c>
      <c r="O1635" t="s">
        <v>4104</v>
      </c>
      <c r="P1635" t="str">
        <f t="shared" si="76"/>
        <v xml:space="preserve"> </v>
      </c>
      <c r="Q1635" t="str">
        <f t="shared" si="77"/>
        <v>Unfavorable</v>
      </c>
    </row>
    <row r="1636" spans="1:17">
      <c r="A1636" t="s">
        <v>1646</v>
      </c>
      <c r="B1636" s="2">
        <v>45582</v>
      </c>
      <c r="C1636">
        <v>6000</v>
      </c>
      <c r="D1636" t="s">
        <v>2014</v>
      </c>
      <c r="E1636">
        <v>1244.05</v>
      </c>
      <c r="F1636">
        <v>0</v>
      </c>
      <c r="G1636" t="s">
        <v>2021</v>
      </c>
      <c r="H1636" t="s">
        <v>2023</v>
      </c>
      <c r="I1636" t="s">
        <v>3662</v>
      </c>
      <c r="J1636" t="s">
        <v>4028</v>
      </c>
      <c r="K1636" t="s">
        <v>4059</v>
      </c>
      <c r="L1636">
        <v>-1244.05</v>
      </c>
      <c r="N1636">
        <f t="shared" si="75"/>
        <v>-1244.05</v>
      </c>
      <c r="O1636" t="s">
        <v>4104</v>
      </c>
      <c r="P1636" t="str">
        <f t="shared" si="76"/>
        <v xml:space="preserve"> </v>
      </c>
      <c r="Q1636" t="str">
        <f t="shared" si="77"/>
        <v>Unfavorable</v>
      </c>
    </row>
    <row r="1637" spans="1:17">
      <c r="A1637" t="s">
        <v>1647</v>
      </c>
      <c r="B1637" s="2">
        <v>45068</v>
      </c>
      <c r="C1637">
        <v>4000</v>
      </c>
      <c r="D1637" t="s">
        <v>2012</v>
      </c>
      <c r="E1637">
        <v>0</v>
      </c>
      <c r="F1637">
        <v>2017.86</v>
      </c>
      <c r="G1637" t="s">
        <v>2018</v>
      </c>
      <c r="H1637" t="s">
        <v>2023</v>
      </c>
      <c r="I1637" t="s">
        <v>3663</v>
      </c>
      <c r="J1637" t="s">
        <v>4032</v>
      </c>
      <c r="K1637" t="s">
        <v>4062</v>
      </c>
      <c r="L1637">
        <v>2017.86</v>
      </c>
      <c r="N1637">
        <f t="shared" si="75"/>
        <v>2017.86</v>
      </c>
      <c r="O1637" t="s">
        <v>4104</v>
      </c>
      <c r="P1637" t="str">
        <f t="shared" si="76"/>
        <v xml:space="preserve"> </v>
      </c>
      <c r="Q1637" t="str">
        <f t="shared" si="77"/>
        <v>Favorable</v>
      </c>
    </row>
    <row r="1638" spans="1:17">
      <c r="A1638" t="s">
        <v>1648</v>
      </c>
      <c r="B1638" s="2">
        <v>45269</v>
      </c>
      <c r="C1638">
        <v>5010</v>
      </c>
      <c r="D1638" t="s">
        <v>2015</v>
      </c>
      <c r="E1638">
        <v>1845.02</v>
      </c>
      <c r="F1638">
        <v>0</v>
      </c>
      <c r="G1638" t="s">
        <v>2021</v>
      </c>
      <c r="H1638" t="s">
        <v>2026</v>
      </c>
      <c r="I1638" t="s">
        <v>3664</v>
      </c>
      <c r="J1638" t="s">
        <v>4032</v>
      </c>
      <c r="K1638" t="s">
        <v>4039</v>
      </c>
      <c r="L1638">
        <v>-1845.02</v>
      </c>
      <c r="N1638">
        <f t="shared" si="75"/>
        <v>-1845.02</v>
      </c>
      <c r="O1638" t="s">
        <v>4104</v>
      </c>
      <c r="P1638" t="str">
        <f t="shared" si="76"/>
        <v xml:space="preserve"> </v>
      </c>
      <c r="Q1638" t="str">
        <f t="shared" si="77"/>
        <v>Unfavorable</v>
      </c>
    </row>
    <row r="1639" spans="1:17">
      <c r="A1639" t="s">
        <v>1649</v>
      </c>
      <c r="B1639" s="2">
        <v>45377</v>
      </c>
      <c r="C1639">
        <v>4000</v>
      </c>
      <c r="D1639" t="s">
        <v>2012</v>
      </c>
      <c r="E1639">
        <v>0</v>
      </c>
      <c r="F1639">
        <v>1184.05</v>
      </c>
      <c r="G1639" t="s">
        <v>2022</v>
      </c>
      <c r="H1639" t="s">
        <v>2025</v>
      </c>
      <c r="I1639" t="s">
        <v>3665</v>
      </c>
      <c r="J1639" t="s">
        <v>4030</v>
      </c>
      <c r="K1639" t="s">
        <v>4049</v>
      </c>
      <c r="L1639">
        <v>1184.05</v>
      </c>
      <c r="N1639">
        <f t="shared" si="75"/>
        <v>1184.05</v>
      </c>
      <c r="O1639" t="s">
        <v>4104</v>
      </c>
      <c r="P1639" t="str">
        <f t="shared" si="76"/>
        <v xml:space="preserve"> </v>
      </c>
      <c r="Q1639" t="str">
        <f t="shared" si="77"/>
        <v>Favorable</v>
      </c>
    </row>
    <row r="1640" spans="1:17">
      <c r="A1640" t="s">
        <v>1650</v>
      </c>
      <c r="B1640" s="2">
        <v>45282</v>
      </c>
      <c r="C1640">
        <v>5000</v>
      </c>
      <c r="D1640" t="s">
        <v>2013</v>
      </c>
      <c r="E1640">
        <v>1165.1400000000001</v>
      </c>
      <c r="F1640">
        <v>0</v>
      </c>
      <c r="G1640" t="s">
        <v>2018</v>
      </c>
      <c r="H1640" t="s">
        <v>2027</v>
      </c>
      <c r="I1640" t="s">
        <v>3666</v>
      </c>
      <c r="J1640" t="s">
        <v>4030</v>
      </c>
      <c r="K1640" t="s">
        <v>4039</v>
      </c>
      <c r="L1640">
        <v>-1165.1400000000001</v>
      </c>
      <c r="N1640">
        <f t="shared" si="75"/>
        <v>-1165.1400000000001</v>
      </c>
      <c r="O1640" t="s">
        <v>4104</v>
      </c>
      <c r="P1640" t="str">
        <f t="shared" si="76"/>
        <v xml:space="preserve"> </v>
      </c>
      <c r="Q1640" t="str">
        <f t="shared" si="77"/>
        <v>Unfavorable</v>
      </c>
    </row>
    <row r="1641" spans="1:17">
      <c r="A1641" t="s">
        <v>1651</v>
      </c>
      <c r="B1641" s="2">
        <v>45654</v>
      </c>
      <c r="C1641">
        <v>5000</v>
      </c>
      <c r="D1641" t="s">
        <v>2013</v>
      </c>
      <c r="E1641">
        <v>641.08000000000004</v>
      </c>
      <c r="F1641">
        <v>0</v>
      </c>
      <c r="G1641" t="s">
        <v>2017</v>
      </c>
      <c r="H1641" t="s">
        <v>2026</v>
      </c>
      <c r="I1641" t="s">
        <v>3667</v>
      </c>
      <c r="J1641" t="s">
        <v>4029</v>
      </c>
      <c r="K1641" t="s">
        <v>4056</v>
      </c>
      <c r="L1641">
        <v>-641.08000000000004</v>
      </c>
      <c r="N1641">
        <f t="shared" si="75"/>
        <v>-641.08000000000004</v>
      </c>
      <c r="O1641" t="s">
        <v>4104</v>
      </c>
      <c r="P1641" t="str">
        <f t="shared" si="76"/>
        <v xml:space="preserve"> </v>
      </c>
      <c r="Q1641" t="str">
        <f t="shared" si="77"/>
        <v>Unfavorable</v>
      </c>
    </row>
    <row r="1642" spans="1:17">
      <c r="A1642" t="s">
        <v>1652</v>
      </c>
      <c r="B1642" s="2">
        <v>45116</v>
      </c>
      <c r="C1642">
        <v>5010</v>
      </c>
      <c r="D1642" t="s">
        <v>2015</v>
      </c>
      <c r="E1642">
        <v>194.16</v>
      </c>
      <c r="F1642">
        <v>0</v>
      </c>
      <c r="G1642" t="s">
        <v>2022</v>
      </c>
      <c r="H1642" t="s">
        <v>2025</v>
      </c>
      <c r="I1642" t="s">
        <v>3668</v>
      </c>
      <c r="J1642" t="s">
        <v>4032</v>
      </c>
      <c r="K1642" t="s">
        <v>4050</v>
      </c>
      <c r="L1642">
        <v>-194.16</v>
      </c>
      <c r="N1642">
        <f t="shared" si="75"/>
        <v>-194.16</v>
      </c>
      <c r="O1642" t="s">
        <v>4104</v>
      </c>
      <c r="P1642" t="str">
        <f t="shared" si="76"/>
        <v xml:space="preserve"> </v>
      </c>
      <c r="Q1642" t="str">
        <f t="shared" si="77"/>
        <v>Unfavorable</v>
      </c>
    </row>
    <row r="1643" spans="1:17">
      <c r="A1643" t="s">
        <v>1653</v>
      </c>
      <c r="B1643" s="2">
        <v>45034</v>
      </c>
      <c r="C1643">
        <v>6000</v>
      </c>
      <c r="D1643" t="s">
        <v>2014</v>
      </c>
      <c r="E1643">
        <v>262.33999999999997</v>
      </c>
      <c r="F1643">
        <v>0</v>
      </c>
      <c r="G1643" t="s">
        <v>2021</v>
      </c>
      <c r="H1643" t="s">
        <v>2025</v>
      </c>
      <c r="I1643" t="s">
        <v>3669</v>
      </c>
      <c r="J1643" t="s">
        <v>4029</v>
      </c>
      <c r="K1643" t="s">
        <v>4041</v>
      </c>
      <c r="L1643">
        <v>-262.33999999999997</v>
      </c>
      <c r="N1643">
        <f t="shared" si="75"/>
        <v>-262.33999999999997</v>
      </c>
      <c r="O1643" t="s">
        <v>4104</v>
      </c>
      <c r="P1643" t="str">
        <f t="shared" si="76"/>
        <v xml:space="preserve"> </v>
      </c>
      <c r="Q1643" t="str">
        <f t="shared" si="77"/>
        <v>Unfavorable</v>
      </c>
    </row>
    <row r="1644" spans="1:17">
      <c r="A1644" t="s">
        <v>1654</v>
      </c>
      <c r="B1644" s="2">
        <v>45464</v>
      </c>
      <c r="C1644">
        <v>5010</v>
      </c>
      <c r="D1644" t="s">
        <v>2015</v>
      </c>
      <c r="E1644">
        <v>1269.67</v>
      </c>
      <c r="F1644">
        <v>0</v>
      </c>
      <c r="G1644" t="s">
        <v>2019</v>
      </c>
      <c r="H1644" t="s">
        <v>2026</v>
      </c>
      <c r="I1644" t="s">
        <v>3670</v>
      </c>
      <c r="J1644" t="s">
        <v>4032</v>
      </c>
      <c r="K1644" t="s">
        <v>4034</v>
      </c>
      <c r="L1644">
        <v>-1269.67</v>
      </c>
      <c r="N1644">
        <f t="shared" si="75"/>
        <v>-1269.67</v>
      </c>
      <c r="O1644" t="s">
        <v>4104</v>
      </c>
      <c r="P1644" t="str">
        <f t="shared" si="76"/>
        <v xml:space="preserve"> </v>
      </c>
      <c r="Q1644" t="str">
        <f t="shared" si="77"/>
        <v>Unfavorable</v>
      </c>
    </row>
    <row r="1645" spans="1:17">
      <c r="A1645" t="s">
        <v>1655</v>
      </c>
      <c r="B1645" s="2">
        <v>45302</v>
      </c>
      <c r="C1645">
        <v>4000</v>
      </c>
      <c r="D1645" t="s">
        <v>2012</v>
      </c>
      <c r="E1645">
        <v>0</v>
      </c>
      <c r="F1645">
        <v>1736.08</v>
      </c>
      <c r="G1645" t="s">
        <v>2018</v>
      </c>
      <c r="H1645" t="s">
        <v>2026</v>
      </c>
      <c r="I1645" t="s">
        <v>3671</v>
      </c>
      <c r="J1645" t="s">
        <v>4028</v>
      </c>
      <c r="K1645" t="s">
        <v>4053</v>
      </c>
      <c r="L1645">
        <v>1736.08</v>
      </c>
      <c r="N1645">
        <f t="shared" si="75"/>
        <v>1736.08</v>
      </c>
      <c r="O1645" t="s">
        <v>4104</v>
      </c>
      <c r="P1645" t="str">
        <f t="shared" si="76"/>
        <v xml:space="preserve"> </v>
      </c>
      <c r="Q1645" t="str">
        <f t="shared" si="77"/>
        <v>Favorable</v>
      </c>
    </row>
    <row r="1646" spans="1:17">
      <c r="A1646" t="s">
        <v>1656</v>
      </c>
      <c r="B1646" s="2">
        <v>45453</v>
      </c>
      <c r="C1646">
        <v>5010</v>
      </c>
      <c r="D1646" t="s">
        <v>2015</v>
      </c>
      <c r="E1646">
        <v>418.98</v>
      </c>
      <c r="F1646">
        <v>0</v>
      </c>
      <c r="G1646" t="s">
        <v>2020</v>
      </c>
      <c r="H1646" t="s">
        <v>2025</v>
      </c>
      <c r="I1646" t="s">
        <v>3672</v>
      </c>
      <c r="J1646" t="s">
        <v>4032</v>
      </c>
      <c r="K1646" t="s">
        <v>4034</v>
      </c>
      <c r="L1646">
        <v>-418.98</v>
      </c>
      <c r="N1646">
        <f t="shared" si="75"/>
        <v>-418.98</v>
      </c>
      <c r="O1646" t="s">
        <v>4104</v>
      </c>
      <c r="P1646" t="str">
        <f t="shared" si="76"/>
        <v xml:space="preserve"> </v>
      </c>
      <c r="Q1646" t="str">
        <f t="shared" si="77"/>
        <v>Unfavorable</v>
      </c>
    </row>
    <row r="1647" spans="1:17">
      <c r="A1647" t="s">
        <v>1657</v>
      </c>
      <c r="B1647" s="2">
        <v>45069</v>
      </c>
      <c r="C1647">
        <v>5010</v>
      </c>
      <c r="D1647" t="s">
        <v>2015</v>
      </c>
      <c r="E1647">
        <v>1106.24</v>
      </c>
      <c r="F1647">
        <v>0</v>
      </c>
      <c r="G1647" t="s">
        <v>2021</v>
      </c>
      <c r="H1647" t="s">
        <v>2027</v>
      </c>
      <c r="I1647" t="s">
        <v>3673</v>
      </c>
      <c r="J1647" t="s">
        <v>4031</v>
      </c>
      <c r="K1647" t="s">
        <v>4062</v>
      </c>
      <c r="L1647">
        <v>-1106.24</v>
      </c>
      <c r="N1647">
        <f t="shared" si="75"/>
        <v>-1106.24</v>
      </c>
      <c r="O1647" t="s">
        <v>4104</v>
      </c>
      <c r="P1647" t="str">
        <f t="shared" si="76"/>
        <v xml:space="preserve"> </v>
      </c>
      <c r="Q1647" t="str">
        <f t="shared" si="77"/>
        <v>Unfavorable</v>
      </c>
    </row>
    <row r="1648" spans="1:17">
      <c r="A1648" t="s">
        <v>1658</v>
      </c>
      <c r="B1648" s="2">
        <v>45075</v>
      </c>
      <c r="C1648">
        <v>4010</v>
      </c>
      <c r="D1648" t="s">
        <v>2016</v>
      </c>
      <c r="E1648">
        <v>0</v>
      </c>
      <c r="F1648">
        <v>3037.2</v>
      </c>
      <c r="G1648" t="s">
        <v>2021</v>
      </c>
      <c r="H1648" t="s">
        <v>2026</v>
      </c>
      <c r="I1648" t="s">
        <v>3674</v>
      </c>
      <c r="J1648" t="s">
        <v>4028</v>
      </c>
      <c r="K1648" t="s">
        <v>4062</v>
      </c>
      <c r="L1648">
        <v>3037.2</v>
      </c>
      <c r="N1648">
        <f t="shared" si="75"/>
        <v>3037.2</v>
      </c>
      <c r="O1648" t="s">
        <v>4104</v>
      </c>
      <c r="P1648" t="str">
        <f t="shared" si="76"/>
        <v xml:space="preserve"> </v>
      </c>
      <c r="Q1648" t="str">
        <f t="shared" si="77"/>
        <v>Favorable</v>
      </c>
    </row>
    <row r="1649" spans="1:17">
      <c r="A1649" t="s">
        <v>1659</v>
      </c>
      <c r="B1649" s="2">
        <v>44968</v>
      </c>
      <c r="C1649">
        <v>4000</v>
      </c>
      <c r="D1649" t="s">
        <v>2012</v>
      </c>
      <c r="E1649">
        <v>0</v>
      </c>
      <c r="F1649">
        <v>4063.27</v>
      </c>
      <c r="G1649" t="s">
        <v>2022</v>
      </c>
      <c r="H1649" t="s">
        <v>2023</v>
      </c>
      <c r="I1649" t="s">
        <v>3675</v>
      </c>
      <c r="J1649" t="s">
        <v>4028</v>
      </c>
      <c r="K1649" t="s">
        <v>4057</v>
      </c>
      <c r="L1649">
        <v>4063.27</v>
      </c>
      <c r="N1649">
        <f t="shared" si="75"/>
        <v>4063.27</v>
      </c>
      <c r="O1649" t="s">
        <v>4104</v>
      </c>
      <c r="P1649" t="str">
        <f t="shared" si="76"/>
        <v xml:space="preserve"> </v>
      </c>
      <c r="Q1649" t="str">
        <f t="shared" si="77"/>
        <v>Favorable</v>
      </c>
    </row>
    <row r="1650" spans="1:17">
      <c r="A1650" t="s">
        <v>1660</v>
      </c>
      <c r="B1650" s="2">
        <v>45169</v>
      </c>
      <c r="C1650">
        <v>6000</v>
      </c>
      <c r="D1650" t="s">
        <v>2014</v>
      </c>
      <c r="E1650">
        <v>1920.87</v>
      </c>
      <c r="F1650">
        <v>0</v>
      </c>
      <c r="G1650" t="s">
        <v>2021</v>
      </c>
      <c r="H1650" t="s">
        <v>2024</v>
      </c>
      <c r="I1650" t="s">
        <v>3676</v>
      </c>
      <c r="J1650" t="s">
        <v>4030</v>
      </c>
      <c r="K1650" t="s">
        <v>4037</v>
      </c>
      <c r="L1650">
        <v>-1920.87</v>
      </c>
      <c r="N1650">
        <f t="shared" si="75"/>
        <v>-1920.87</v>
      </c>
      <c r="O1650" t="s">
        <v>4104</v>
      </c>
      <c r="P1650" t="str">
        <f t="shared" si="76"/>
        <v xml:space="preserve"> </v>
      </c>
      <c r="Q1650" t="str">
        <f t="shared" si="77"/>
        <v>Unfavorable</v>
      </c>
    </row>
    <row r="1651" spans="1:17">
      <c r="A1651" t="s">
        <v>1661</v>
      </c>
      <c r="B1651" s="2">
        <v>45502</v>
      </c>
      <c r="C1651">
        <v>6000</v>
      </c>
      <c r="D1651" t="s">
        <v>2014</v>
      </c>
      <c r="E1651">
        <v>1167.74</v>
      </c>
      <c r="F1651">
        <v>0</v>
      </c>
      <c r="G1651" t="s">
        <v>2021</v>
      </c>
      <c r="H1651" t="s">
        <v>2025</v>
      </c>
      <c r="I1651" t="s">
        <v>3677</v>
      </c>
      <c r="J1651" t="s">
        <v>4028</v>
      </c>
      <c r="K1651" t="s">
        <v>4054</v>
      </c>
      <c r="L1651">
        <v>-1167.74</v>
      </c>
      <c r="N1651">
        <f t="shared" si="75"/>
        <v>-1167.74</v>
      </c>
      <c r="O1651" t="s">
        <v>4104</v>
      </c>
      <c r="P1651" t="str">
        <f t="shared" si="76"/>
        <v xml:space="preserve"> </v>
      </c>
      <c r="Q1651" t="str">
        <f t="shared" si="77"/>
        <v>Unfavorable</v>
      </c>
    </row>
    <row r="1652" spans="1:17">
      <c r="A1652" t="s">
        <v>1662</v>
      </c>
      <c r="B1652" s="2">
        <v>45784</v>
      </c>
      <c r="C1652">
        <v>5000</v>
      </c>
      <c r="D1652" t="s">
        <v>2013</v>
      </c>
      <c r="E1652">
        <v>686.31</v>
      </c>
      <c r="F1652">
        <v>0</v>
      </c>
      <c r="G1652" t="s">
        <v>2021</v>
      </c>
      <c r="H1652" t="s">
        <v>2025</v>
      </c>
      <c r="I1652" t="s">
        <v>3678</v>
      </c>
      <c r="J1652" t="s">
        <v>4031</v>
      </c>
      <c r="K1652" t="s">
        <v>4038</v>
      </c>
      <c r="L1652">
        <v>-686.31</v>
      </c>
      <c r="N1652">
        <f t="shared" si="75"/>
        <v>-686.31</v>
      </c>
      <c r="O1652" t="s">
        <v>4104</v>
      </c>
      <c r="P1652" t="str">
        <f t="shared" si="76"/>
        <v xml:space="preserve"> </v>
      </c>
      <c r="Q1652" t="str">
        <f t="shared" si="77"/>
        <v>Unfavorable</v>
      </c>
    </row>
    <row r="1653" spans="1:17">
      <c r="A1653" t="s">
        <v>1663</v>
      </c>
      <c r="B1653" s="2">
        <v>45682</v>
      </c>
      <c r="C1653">
        <v>4000</v>
      </c>
      <c r="D1653" t="s">
        <v>2012</v>
      </c>
      <c r="E1653">
        <v>0</v>
      </c>
      <c r="F1653">
        <v>1294.23</v>
      </c>
      <c r="G1653" t="s">
        <v>2022</v>
      </c>
      <c r="H1653" t="s">
        <v>2024</v>
      </c>
      <c r="I1653" t="s">
        <v>3679</v>
      </c>
      <c r="J1653" t="s">
        <v>4031</v>
      </c>
      <c r="K1653" t="s">
        <v>4035</v>
      </c>
      <c r="L1653">
        <v>1294.23</v>
      </c>
      <c r="N1653">
        <f t="shared" si="75"/>
        <v>1294.23</v>
      </c>
      <c r="O1653" t="s">
        <v>4104</v>
      </c>
      <c r="P1653" t="str">
        <f t="shared" si="76"/>
        <v xml:space="preserve"> </v>
      </c>
      <c r="Q1653" t="str">
        <f t="shared" si="77"/>
        <v>Favorable</v>
      </c>
    </row>
    <row r="1654" spans="1:17">
      <c r="A1654" t="s">
        <v>1664</v>
      </c>
      <c r="B1654" s="2">
        <v>45493</v>
      </c>
      <c r="C1654">
        <v>5010</v>
      </c>
      <c r="D1654" t="s">
        <v>2015</v>
      </c>
      <c r="E1654">
        <v>1657.22</v>
      </c>
      <c r="F1654">
        <v>0</v>
      </c>
      <c r="G1654" t="s">
        <v>2019</v>
      </c>
      <c r="H1654" t="s">
        <v>2023</v>
      </c>
      <c r="I1654" t="s">
        <v>3680</v>
      </c>
      <c r="J1654" t="s">
        <v>4029</v>
      </c>
      <c r="K1654" t="s">
        <v>4054</v>
      </c>
      <c r="L1654">
        <v>-1657.22</v>
      </c>
      <c r="N1654">
        <f t="shared" si="75"/>
        <v>-1657.22</v>
      </c>
      <c r="O1654" t="s">
        <v>4104</v>
      </c>
      <c r="P1654" t="str">
        <f t="shared" si="76"/>
        <v xml:space="preserve"> </v>
      </c>
      <c r="Q1654" t="str">
        <f t="shared" si="77"/>
        <v>Unfavorable</v>
      </c>
    </row>
    <row r="1655" spans="1:17">
      <c r="A1655" t="s">
        <v>1665</v>
      </c>
      <c r="B1655" s="2">
        <v>45455</v>
      </c>
      <c r="C1655">
        <v>4010</v>
      </c>
      <c r="D1655" t="s">
        <v>2016</v>
      </c>
      <c r="E1655">
        <v>0</v>
      </c>
      <c r="F1655">
        <v>677.29</v>
      </c>
      <c r="G1655" t="s">
        <v>2021</v>
      </c>
      <c r="H1655" t="s">
        <v>2025</v>
      </c>
      <c r="I1655" t="s">
        <v>3681</v>
      </c>
      <c r="J1655" t="s">
        <v>4031</v>
      </c>
      <c r="K1655" t="s">
        <v>4034</v>
      </c>
      <c r="L1655">
        <v>677.29</v>
      </c>
      <c r="N1655">
        <f t="shared" si="75"/>
        <v>677.29</v>
      </c>
      <c r="O1655" t="s">
        <v>4104</v>
      </c>
      <c r="P1655" t="str">
        <f t="shared" si="76"/>
        <v xml:space="preserve"> </v>
      </c>
      <c r="Q1655" t="str">
        <f t="shared" si="77"/>
        <v>Favorable</v>
      </c>
    </row>
    <row r="1656" spans="1:17">
      <c r="A1656" t="s">
        <v>1666</v>
      </c>
      <c r="B1656" s="2">
        <v>45604</v>
      </c>
      <c r="C1656">
        <v>6000</v>
      </c>
      <c r="D1656" t="s">
        <v>2014</v>
      </c>
      <c r="E1656">
        <v>1765.08</v>
      </c>
      <c r="F1656">
        <v>0</v>
      </c>
      <c r="G1656" t="s">
        <v>2019</v>
      </c>
      <c r="H1656" t="s">
        <v>2025</v>
      </c>
      <c r="I1656" t="s">
        <v>3682</v>
      </c>
      <c r="J1656" t="s">
        <v>4031</v>
      </c>
      <c r="K1656" t="s">
        <v>4043</v>
      </c>
      <c r="L1656">
        <v>-1765.08</v>
      </c>
      <c r="N1656">
        <f t="shared" si="75"/>
        <v>-1765.08</v>
      </c>
      <c r="O1656" t="s">
        <v>4104</v>
      </c>
      <c r="P1656" t="str">
        <f t="shared" si="76"/>
        <v xml:space="preserve"> </v>
      </c>
      <c r="Q1656" t="str">
        <f t="shared" si="77"/>
        <v>Unfavorable</v>
      </c>
    </row>
    <row r="1657" spans="1:17">
      <c r="A1657" t="s">
        <v>1667</v>
      </c>
      <c r="B1657" s="2">
        <v>45218</v>
      </c>
      <c r="C1657">
        <v>4000</v>
      </c>
      <c r="D1657" t="s">
        <v>2012</v>
      </c>
      <c r="E1657">
        <v>0</v>
      </c>
      <c r="F1657">
        <v>3407.83</v>
      </c>
      <c r="G1657" t="s">
        <v>2017</v>
      </c>
      <c r="H1657" t="s">
        <v>2026</v>
      </c>
      <c r="I1657" t="s">
        <v>3683</v>
      </c>
      <c r="J1657" t="s">
        <v>4032</v>
      </c>
      <c r="K1657" t="s">
        <v>4060</v>
      </c>
      <c r="L1657">
        <v>3407.83</v>
      </c>
      <c r="N1657">
        <f t="shared" si="75"/>
        <v>3407.83</v>
      </c>
      <c r="O1657" t="s">
        <v>4104</v>
      </c>
      <c r="P1657" t="str">
        <f t="shared" si="76"/>
        <v xml:space="preserve"> </v>
      </c>
      <c r="Q1657" t="str">
        <f t="shared" si="77"/>
        <v>Favorable</v>
      </c>
    </row>
    <row r="1658" spans="1:17">
      <c r="A1658" t="s">
        <v>1668</v>
      </c>
      <c r="B1658" s="2">
        <v>45246</v>
      </c>
      <c r="C1658">
        <v>5010</v>
      </c>
      <c r="D1658" t="s">
        <v>2015</v>
      </c>
      <c r="E1658">
        <v>543.41</v>
      </c>
      <c r="F1658">
        <v>0</v>
      </c>
      <c r="G1658" t="s">
        <v>2018</v>
      </c>
      <c r="H1658" t="s">
        <v>2025</v>
      </c>
      <c r="I1658" t="s">
        <v>3684</v>
      </c>
      <c r="J1658" t="s">
        <v>4031</v>
      </c>
      <c r="K1658" t="s">
        <v>4042</v>
      </c>
      <c r="L1658">
        <v>-543.41</v>
      </c>
      <c r="N1658">
        <f t="shared" si="75"/>
        <v>-543.41</v>
      </c>
      <c r="O1658" t="s">
        <v>4104</v>
      </c>
      <c r="P1658" t="str">
        <f t="shared" si="76"/>
        <v xml:space="preserve"> </v>
      </c>
      <c r="Q1658" t="str">
        <f t="shared" si="77"/>
        <v>Unfavorable</v>
      </c>
    </row>
    <row r="1659" spans="1:17">
      <c r="A1659" t="s">
        <v>1669</v>
      </c>
      <c r="B1659" s="2">
        <v>45116</v>
      </c>
      <c r="C1659">
        <v>5000</v>
      </c>
      <c r="D1659" t="s">
        <v>2013</v>
      </c>
      <c r="E1659">
        <v>408.27</v>
      </c>
      <c r="F1659">
        <v>0</v>
      </c>
      <c r="G1659" t="s">
        <v>2019</v>
      </c>
      <c r="H1659" t="s">
        <v>2023</v>
      </c>
      <c r="I1659" t="s">
        <v>3685</v>
      </c>
      <c r="J1659" t="s">
        <v>4029</v>
      </c>
      <c r="K1659" t="s">
        <v>4050</v>
      </c>
      <c r="L1659">
        <v>-408.27</v>
      </c>
      <c r="N1659">
        <f t="shared" si="75"/>
        <v>-408.27</v>
      </c>
      <c r="O1659" t="s">
        <v>4104</v>
      </c>
      <c r="P1659" t="str">
        <f t="shared" si="76"/>
        <v xml:space="preserve"> </v>
      </c>
      <c r="Q1659" t="str">
        <f t="shared" si="77"/>
        <v>Unfavorable</v>
      </c>
    </row>
    <row r="1660" spans="1:17">
      <c r="A1660" t="s">
        <v>1670</v>
      </c>
      <c r="B1660" s="2">
        <v>45699</v>
      </c>
      <c r="C1660">
        <v>4000</v>
      </c>
      <c r="D1660" t="s">
        <v>2012</v>
      </c>
      <c r="E1660">
        <v>0</v>
      </c>
      <c r="F1660">
        <v>1300.21</v>
      </c>
      <c r="G1660" t="s">
        <v>2022</v>
      </c>
      <c r="H1660" t="s">
        <v>2025</v>
      </c>
      <c r="I1660" t="s">
        <v>3686</v>
      </c>
      <c r="J1660" t="s">
        <v>4030</v>
      </c>
      <c r="K1660" t="s">
        <v>4061</v>
      </c>
      <c r="L1660">
        <v>1300.21</v>
      </c>
      <c r="N1660">
        <f t="shared" si="75"/>
        <v>1300.21</v>
      </c>
      <c r="O1660" t="s">
        <v>4104</v>
      </c>
      <c r="P1660" t="str">
        <f t="shared" si="76"/>
        <v xml:space="preserve"> </v>
      </c>
      <c r="Q1660" t="str">
        <f t="shared" si="77"/>
        <v>Favorable</v>
      </c>
    </row>
    <row r="1661" spans="1:17">
      <c r="A1661" t="s">
        <v>1671</v>
      </c>
      <c r="B1661" s="2">
        <v>45093</v>
      </c>
      <c r="C1661">
        <v>5000</v>
      </c>
      <c r="D1661" t="s">
        <v>2013</v>
      </c>
      <c r="E1661">
        <v>1326.8</v>
      </c>
      <c r="F1661">
        <v>0</v>
      </c>
      <c r="G1661" t="s">
        <v>2022</v>
      </c>
      <c r="H1661" t="s">
        <v>2023</v>
      </c>
      <c r="I1661" t="s">
        <v>3687</v>
      </c>
      <c r="J1661" t="s">
        <v>4031</v>
      </c>
      <c r="K1661" t="s">
        <v>4055</v>
      </c>
      <c r="L1661">
        <v>-1326.8</v>
      </c>
      <c r="N1661">
        <f t="shared" si="75"/>
        <v>-1326.8</v>
      </c>
      <c r="O1661" t="s">
        <v>4104</v>
      </c>
      <c r="P1661" t="str">
        <f t="shared" si="76"/>
        <v xml:space="preserve"> </v>
      </c>
      <c r="Q1661" t="str">
        <f t="shared" si="77"/>
        <v>Unfavorable</v>
      </c>
    </row>
    <row r="1662" spans="1:17">
      <c r="A1662" t="s">
        <v>1672</v>
      </c>
      <c r="B1662" s="2">
        <v>45745</v>
      </c>
      <c r="C1662">
        <v>4000</v>
      </c>
      <c r="D1662" t="s">
        <v>2012</v>
      </c>
      <c r="E1662">
        <v>0</v>
      </c>
      <c r="F1662">
        <v>2057.71</v>
      </c>
      <c r="G1662" t="s">
        <v>2020</v>
      </c>
      <c r="H1662" t="s">
        <v>2025</v>
      </c>
      <c r="I1662" t="s">
        <v>3688</v>
      </c>
      <c r="J1662" t="s">
        <v>4032</v>
      </c>
      <c r="K1662" t="s">
        <v>4046</v>
      </c>
      <c r="L1662">
        <v>2057.71</v>
      </c>
      <c r="N1662">
        <f t="shared" si="75"/>
        <v>2057.71</v>
      </c>
      <c r="O1662" t="s">
        <v>4104</v>
      </c>
      <c r="P1662" t="str">
        <f t="shared" si="76"/>
        <v xml:space="preserve"> </v>
      </c>
      <c r="Q1662" t="str">
        <f t="shared" si="77"/>
        <v>Favorable</v>
      </c>
    </row>
    <row r="1663" spans="1:17">
      <c r="A1663" t="s">
        <v>1673</v>
      </c>
      <c r="B1663" s="2">
        <v>45320</v>
      </c>
      <c r="C1663">
        <v>5000</v>
      </c>
      <c r="D1663" t="s">
        <v>2013</v>
      </c>
      <c r="E1663">
        <v>1959.6</v>
      </c>
      <c r="F1663">
        <v>0</v>
      </c>
      <c r="G1663" t="s">
        <v>2020</v>
      </c>
      <c r="H1663" t="s">
        <v>2023</v>
      </c>
      <c r="I1663" t="s">
        <v>3689</v>
      </c>
      <c r="J1663" t="s">
        <v>4030</v>
      </c>
      <c r="K1663" t="s">
        <v>4053</v>
      </c>
      <c r="L1663">
        <v>-1959.6</v>
      </c>
      <c r="N1663">
        <f t="shared" si="75"/>
        <v>-1959.6</v>
      </c>
      <c r="O1663" t="s">
        <v>4104</v>
      </c>
      <c r="P1663" t="str">
        <f t="shared" si="76"/>
        <v xml:space="preserve"> </v>
      </c>
      <c r="Q1663" t="str">
        <f t="shared" si="77"/>
        <v>Unfavorable</v>
      </c>
    </row>
    <row r="1664" spans="1:17">
      <c r="A1664" t="s">
        <v>1674</v>
      </c>
      <c r="B1664" s="2">
        <v>45740</v>
      </c>
      <c r="C1664">
        <v>5000</v>
      </c>
      <c r="D1664" t="s">
        <v>2013</v>
      </c>
      <c r="E1664">
        <v>1047.3399999999999</v>
      </c>
      <c r="F1664">
        <v>0</v>
      </c>
      <c r="G1664" t="s">
        <v>2018</v>
      </c>
      <c r="H1664" t="s">
        <v>2027</v>
      </c>
      <c r="I1664" t="s">
        <v>3690</v>
      </c>
      <c r="J1664" t="s">
        <v>4030</v>
      </c>
      <c r="K1664" t="s">
        <v>4046</v>
      </c>
      <c r="L1664">
        <v>-1047.3399999999999</v>
      </c>
      <c r="N1664">
        <f t="shared" si="75"/>
        <v>-1047.3399999999999</v>
      </c>
      <c r="O1664" t="s">
        <v>4104</v>
      </c>
      <c r="P1664" t="str">
        <f t="shared" si="76"/>
        <v xml:space="preserve"> </v>
      </c>
      <c r="Q1664" t="str">
        <f t="shared" si="77"/>
        <v>Unfavorable</v>
      </c>
    </row>
    <row r="1665" spans="1:17">
      <c r="A1665" t="s">
        <v>1675</v>
      </c>
      <c r="B1665" s="2">
        <v>45578</v>
      </c>
      <c r="C1665">
        <v>4010</v>
      </c>
      <c r="D1665" t="s">
        <v>2016</v>
      </c>
      <c r="E1665">
        <v>0</v>
      </c>
      <c r="F1665">
        <v>3260.6</v>
      </c>
      <c r="G1665" t="s">
        <v>2019</v>
      </c>
      <c r="H1665" t="s">
        <v>2025</v>
      </c>
      <c r="I1665" t="s">
        <v>3691</v>
      </c>
      <c r="J1665" t="s">
        <v>4030</v>
      </c>
      <c r="K1665" t="s">
        <v>4059</v>
      </c>
      <c r="L1665">
        <v>3260.6</v>
      </c>
      <c r="N1665">
        <f t="shared" si="75"/>
        <v>3260.6</v>
      </c>
      <c r="O1665" t="s">
        <v>4104</v>
      </c>
      <c r="P1665" t="str">
        <f t="shared" si="76"/>
        <v xml:space="preserve"> </v>
      </c>
      <c r="Q1665" t="str">
        <f t="shared" si="77"/>
        <v>Favorable</v>
      </c>
    </row>
    <row r="1666" spans="1:17">
      <c r="A1666" t="s">
        <v>1676</v>
      </c>
      <c r="B1666" s="2">
        <v>45062</v>
      </c>
      <c r="C1666">
        <v>6000</v>
      </c>
      <c r="D1666" t="s">
        <v>2014</v>
      </c>
      <c r="E1666">
        <v>1149.3599999999999</v>
      </c>
      <c r="F1666">
        <v>0</v>
      </c>
      <c r="G1666" t="s">
        <v>2020</v>
      </c>
      <c r="H1666" t="s">
        <v>2025</v>
      </c>
      <c r="I1666" t="s">
        <v>3692</v>
      </c>
      <c r="J1666" t="s">
        <v>4030</v>
      </c>
      <c r="K1666" t="s">
        <v>4062</v>
      </c>
      <c r="L1666">
        <v>-1149.3599999999999</v>
      </c>
      <c r="N1666">
        <f t="shared" si="75"/>
        <v>-1149.3599999999999</v>
      </c>
      <c r="O1666" t="s">
        <v>4104</v>
      </c>
      <c r="P1666" t="str">
        <f t="shared" si="76"/>
        <v xml:space="preserve"> </v>
      </c>
      <c r="Q1666" t="str">
        <f t="shared" si="77"/>
        <v>Unfavorable</v>
      </c>
    </row>
    <row r="1667" spans="1:17">
      <c r="A1667" t="s">
        <v>1677</v>
      </c>
      <c r="B1667" s="2">
        <v>44982</v>
      </c>
      <c r="C1667">
        <v>4010</v>
      </c>
      <c r="D1667" t="s">
        <v>2016</v>
      </c>
      <c r="E1667">
        <v>0</v>
      </c>
      <c r="F1667">
        <v>1766.14</v>
      </c>
      <c r="G1667" t="s">
        <v>2021</v>
      </c>
      <c r="H1667" t="s">
        <v>2024</v>
      </c>
      <c r="I1667" t="s">
        <v>3693</v>
      </c>
      <c r="J1667" t="s">
        <v>4032</v>
      </c>
      <c r="K1667" t="s">
        <v>4057</v>
      </c>
      <c r="L1667">
        <v>1766.14</v>
      </c>
      <c r="N1667">
        <f t="shared" ref="N1667:N1730" si="78">L:L-M:M</f>
        <v>1766.14</v>
      </c>
      <c r="O1667" t="s">
        <v>4104</v>
      </c>
      <c r="P1667" t="str">
        <f t="shared" ref="P1667:P1730" si="79">IF(AND(ABS(N:N)&gt;10000,M:M&lt;&gt;0),"Material", " ")</f>
        <v xml:space="preserve"> </v>
      </c>
      <c r="Q1667" t="str">
        <f t="shared" ref="Q1667:Q1730" si="80">IF(N:N&gt;0,"Favorable","Unfavorable")</f>
        <v>Favorable</v>
      </c>
    </row>
    <row r="1668" spans="1:17">
      <c r="A1668" t="s">
        <v>1678</v>
      </c>
      <c r="B1668" s="2">
        <v>45151</v>
      </c>
      <c r="C1668">
        <v>6000</v>
      </c>
      <c r="D1668" t="s">
        <v>2014</v>
      </c>
      <c r="E1668">
        <v>1403.79</v>
      </c>
      <c r="F1668">
        <v>0</v>
      </c>
      <c r="G1668" t="s">
        <v>2021</v>
      </c>
      <c r="H1668" t="s">
        <v>2025</v>
      </c>
      <c r="I1668" t="s">
        <v>3694</v>
      </c>
      <c r="J1668" t="s">
        <v>4029</v>
      </c>
      <c r="K1668" t="s">
        <v>4037</v>
      </c>
      <c r="L1668">
        <v>-1403.79</v>
      </c>
      <c r="N1668">
        <f t="shared" si="78"/>
        <v>-1403.79</v>
      </c>
      <c r="O1668" t="s">
        <v>4104</v>
      </c>
      <c r="P1668" t="str">
        <f t="shared" si="79"/>
        <v xml:space="preserve"> </v>
      </c>
      <c r="Q1668" t="str">
        <f t="shared" si="80"/>
        <v>Unfavorable</v>
      </c>
    </row>
    <row r="1669" spans="1:17">
      <c r="A1669" t="s">
        <v>1679</v>
      </c>
      <c r="B1669" s="2">
        <v>45354</v>
      </c>
      <c r="C1669">
        <v>4000</v>
      </c>
      <c r="D1669" t="s">
        <v>2012</v>
      </c>
      <c r="E1669">
        <v>0</v>
      </c>
      <c r="F1669">
        <v>4061.44</v>
      </c>
      <c r="G1669" t="s">
        <v>2019</v>
      </c>
      <c r="H1669" t="s">
        <v>2027</v>
      </c>
      <c r="I1669" t="s">
        <v>3695</v>
      </c>
      <c r="J1669" t="s">
        <v>4031</v>
      </c>
      <c r="K1669" t="s">
        <v>4049</v>
      </c>
      <c r="L1669">
        <v>4061.44</v>
      </c>
      <c r="N1669">
        <f t="shared" si="78"/>
        <v>4061.44</v>
      </c>
      <c r="O1669" t="s">
        <v>4104</v>
      </c>
      <c r="P1669" t="str">
        <f t="shared" si="79"/>
        <v xml:space="preserve"> </v>
      </c>
      <c r="Q1669" t="str">
        <f t="shared" si="80"/>
        <v>Favorable</v>
      </c>
    </row>
    <row r="1670" spans="1:17">
      <c r="A1670" t="s">
        <v>1680</v>
      </c>
      <c r="B1670" s="2">
        <v>45026</v>
      </c>
      <c r="C1670">
        <v>5010</v>
      </c>
      <c r="D1670" t="s">
        <v>2015</v>
      </c>
      <c r="E1670">
        <v>1472.53</v>
      </c>
      <c r="F1670">
        <v>0</v>
      </c>
      <c r="G1670" t="s">
        <v>2018</v>
      </c>
      <c r="H1670" t="s">
        <v>2026</v>
      </c>
      <c r="I1670" t="s">
        <v>3696</v>
      </c>
      <c r="J1670" t="s">
        <v>4032</v>
      </c>
      <c r="K1670" t="s">
        <v>4041</v>
      </c>
      <c r="L1670">
        <v>-1472.53</v>
      </c>
      <c r="N1670">
        <f t="shared" si="78"/>
        <v>-1472.53</v>
      </c>
      <c r="O1670" t="s">
        <v>4104</v>
      </c>
      <c r="P1670" t="str">
        <f t="shared" si="79"/>
        <v xml:space="preserve"> </v>
      </c>
      <c r="Q1670" t="str">
        <f t="shared" si="80"/>
        <v>Unfavorable</v>
      </c>
    </row>
    <row r="1671" spans="1:17">
      <c r="A1671" t="s">
        <v>1681</v>
      </c>
      <c r="B1671" s="2">
        <v>45269</v>
      </c>
      <c r="C1671">
        <v>4010</v>
      </c>
      <c r="D1671" t="s">
        <v>2016</v>
      </c>
      <c r="E1671">
        <v>0</v>
      </c>
      <c r="F1671">
        <v>4153.5600000000004</v>
      </c>
      <c r="G1671" t="s">
        <v>2020</v>
      </c>
      <c r="H1671" t="s">
        <v>2024</v>
      </c>
      <c r="I1671" t="s">
        <v>3697</v>
      </c>
      <c r="J1671" t="s">
        <v>4030</v>
      </c>
      <c r="K1671" t="s">
        <v>4039</v>
      </c>
      <c r="L1671">
        <v>4153.5600000000004</v>
      </c>
      <c r="N1671">
        <f t="shared" si="78"/>
        <v>4153.5600000000004</v>
      </c>
      <c r="O1671" t="s">
        <v>4104</v>
      </c>
      <c r="P1671" t="str">
        <f t="shared" si="79"/>
        <v xml:space="preserve"> </v>
      </c>
      <c r="Q1671" t="str">
        <f t="shared" si="80"/>
        <v>Favorable</v>
      </c>
    </row>
    <row r="1672" spans="1:17">
      <c r="A1672" t="s">
        <v>1682</v>
      </c>
      <c r="B1672" s="2">
        <v>44994</v>
      </c>
      <c r="C1672">
        <v>4000</v>
      </c>
      <c r="D1672" t="s">
        <v>2012</v>
      </c>
      <c r="E1672">
        <v>0</v>
      </c>
      <c r="F1672">
        <v>1559.52</v>
      </c>
      <c r="G1672" t="s">
        <v>2019</v>
      </c>
      <c r="H1672" t="s">
        <v>2024</v>
      </c>
      <c r="I1672" t="s">
        <v>3698</v>
      </c>
      <c r="J1672" t="s">
        <v>4030</v>
      </c>
      <c r="K1672" t="s">
        <v>4051</v>
      </c>
      <c r="L1672">
        <v>1559.52</v>
      </c>
      <c r="N1672">
        <f t="shared" si="78"/>
        <v>1559.52</v>
      </c>
      <c r="O1672" t="s">
        <v>4104</v>
      </c>
      <c r="P1672" t="str">
        <f t="shared" si="79"/>
        <v xml:space="preserve"> </v>
      </c>
      <c r="Q1672" t="str">
        <f t="shared" si="80"/>
        <v>Favorable</v>
      </c>
    </row>
    <row r="1673" spans="1:17">
      <c r="A1673" t="s">
        <v>1683</v>
      </c>
      <c r="B1673" s="2">
        <v>44999</v>
      </c>
      <c r="C1673">
        <v>5000</v>
      </c>
      <c r="D1673" t="s">
        <v>2013</v>
      </c>
      <c r="E1673">
        <v>1478.02</v>
      </c>
      <c r="F1673">
        <v>0</v>
      </c>
      <c r="G1673" t="s">
        <v>2021</v>
      </c>
      <c r="H1673" t="s">
        <v>2025</v>
      </c>
      <c r="I1673" t="s">
        <v>3699</v>
      </c>
      <c r="J1673" t="s">
        <v>4031</v>
      </c>
      <c r="K1673" t="s">
        <v>4051</v>
      </c>
      <c r="L1673">
        <v>-1478.02</v>
      </c>
      <c r="N1673">
        <f t="shared" si="78"/>
        <v>-1478.02</v>
      </c>
      <c r="O1673" t="s">
        <v>4104</v>
      </c>
      <c r="P1673" t="str">
        <f t="shared" si="79"/>
        <v xml:space="preserve"> </v>
      </c>
      <c r="Q1673" t="str">
        <f t="shared" si="80"/>
        <v>Unfavorable</v>
      </c>
    </row>
    <row r="1674" spans="1:17">
      <c r="A1674" t="s">
        <v>1684</v>
      </c>
      <c r="B1674" s="2">
        <v>45169</v>
      </c>
      <c r="C1674">
        <v>6000</v>
      </c>
      <c r="D1674" t="s">
        <v>2014</v>
      </c>
      <c r="E1674">
        <v>423.96</v>
      </c>
      <c r="F1674">
        <v>0</v>
      </c>
      <c r="G1674" t="s">
        <v>2018</v>
      </c>
      <c r="H1674" t="s">
        <v>2026</v>
      </c>
      <c r="I1674" t="s">
        <v>3700</v>
      </c>
      <c r="J1674" t="s">
        <v>4032</v>
      </c>
      <c r="K1674" t="s">
        <v>4037</v>
      </c>
      <c r="L1674">
        <v>-423.96</v>
      </c>
      <c r="N1674">
        <f t="shared" si="78"/>
        <v>-423.96</v>
      </c>
      <c r="O1674" t="s">
        <v>4104</v>
      </c>
      <c r="P1674" t="str">
        <f t="shared" si="79"/>
        <v xml:space="preserve"> </v>
      </c>
      <c r="Q1674" t="str">
        <f t="shared" si="80"/>
        <v>Unfavorable</v>
      </c>
    </row>
    <row r="1675" spans="1:17">
      <c r="A1675" t="s">
        <v>1685</v>
      </c>
      <c r="B1675" s="2">
        <v>44984</v>
      </c>
      <c r="C1675">
        <v>4010</v>
      </c>
      <c r="D1675" t="s">
        <v>2016</v>
      </c>
      <c r="E1675">
        <v>0</v>
      </c>
      <c r="F1675">
        <v>1027.73</v>
      </c>
      <c r="G1675" t="s">
        <v>2019</v>
      </c>
      <c r="H1675" t="s">
        <v>2026</v>
      </c>
      <c r="I1675" t="s">
        <v>3701</v>
      </c>
      <c r="J1675" t="s">
        <v>4032</v>
      </c>
      <c r="K1675" t="s">
        <v>4057</v>
      </c>
      <c r="L1675">
        <v>1027.73</v>
      </c>
      <c r="N1675">
        <f t="shared" si="78"/>
        <v>1027.73</v>
      </c>
      <c r="O1675" t="s">
        <v>4104</v>
      </c>
      <c r="P1675" t="str">
        <f t="shared" si="79"/>
        <v xml:space="preserve"> </v>
      </c>
      <c r="Q1675" t="str">
        <f t="shared" si="80"/>
        <v>Favorable</v>
      </c>
    </row>
    <row r="1676" spans="1:17">
      <c r="A1676" t="s">
        <v>1686</v>
      </c>
      <c r="B1676" s="2">
        <v>45570</v>
      </c>
      <c r="C1676">
        <v>4000</v>
      </c>
      <c r="D1676" t="s">
        <v>2012</v>
      </c>
      <c r="E1676">
        <v>0</v>
      </c>
      <c r="F1676">
        <v>1661.02</v>
      </c>
      <c r="G1676" t="s">
        <v>2021</v>
      </c>
      <c r="H1676" t="s">
        <v>2025</v>
      </c>
      <c r="I1676" t="s">
        <v>3702</v>
      </c>
      <c r="J1676" t="s">
        <v>4029</v>
      </c>
      <c r="K1676" t="s">
        <v>4059</v>
      </c>
      <c r="L1676">
        <v>1661.02</v>
      </c>
      <c r="N1676">
        <f t="shared" si="78"/>
        <v>1661.02</v>
      </c>
      <c r="O1676" t="s">
        <v>4104</v>
      </c>
      <c r="P1676" t="str">
        <f t="shared" si="79"/>
        <v xml:space="preserve"> </v>
      </c>
      <c r="Q1676" t="str">
        <f t="shared" si="80"/>
        <v>Favorable</v>
      </c>
    </row>
    <row r="1677" spans="1:17">
      <c r="A1677" t="s">
        <v>1687</v>
      </c>
      <c r="B1677" s="2">
        <v>45147</v>
      </c>
      <c r="C1677">
        <v>4010</v>
      </c>
      <c r="D1677" t="s">
        <v>2016</v>
      </c>
      <c r="E1677">
        <v>0</v>
      </c>
      <c r="F1677">
        <v>1263.17</v>
      </c>
      <c r="G1677" t="s">
        <v>2018</v>
      </c>
      <c r="H1677" t="s">
        <v>2027</v>
      </c>
      <c r="I1677" t="s">
        <v>3703</v>
      </c>
      <c r="J1677" t="s">
        <v>4029</v>
      </c>
      <c r="K1677" t="s">
        <v>4037</v>
      </c>
      <c r="L1677">
        <v>1263.17</v>
      </c>
      <c r="N1677">
        <f t="shared" si="78"/>
        <v>1263.17</v>
      </c>
      <c r="O1677" t="s">
        <v>4104</v>
      </c>
      <c r="P1677" t="str">
        <f t="shared" si="79"/>
        <v xml:space="preserve"> </v>
      </c>
      <c r="Q1677" t="str">
        <f t="shared" si="80"/>
        <v>Favorable</v>
      </c>
    </row>
    <row r="1678" spans="1:17">
      <c r="A1678" t="s">
        <v>1688</v>
      </c>
      <c r="B1678" s="2">
        <v>45363</v>
      </c>
      <c r="C1678">
        <v>4010</v>
      </c>
      <c r="D1678" t="s">
        <v>2016</v>
      </c>
      <c r="E1678">
        <v>0</v>
      </c>
      <c r="F1678">
        <v>2207.1799999999998</v>
      </c>
      <c r="G1678" t="s">
        <v>2021</v>
      </c>
      <c r="H1678" t="s">
        <v>2026</v>
      </c>
      <c r="I1678" t="s">
        <v>3704</v>
      </c>
      <c r="J1678" t="s">
        <v>4028</v>
      </c>
      <c r="K1678" t="s">
        <v>4049</v>
      </c>
      <c r="L1678">
        <v>2207.1799999999998</v>
      </c>
      <c r="N1678">
        <f t="shared" si="78"/>
        <v>2207.1799999999998</v>
      </c>
      <c r="O1678" t="s">
        <v>4104</v>
      </c>
      <c r="P1678" t="str">
        <f t="shared" si="79"/>
        <v xml:space="preserve"> </v>
      </c>
      <c r="Q1678" t="str">
        <f t="shared" si="80"/>
        <v>Favorable</v>
      </c>
    </row>
    <row r="1679" spans="1:17">
      <c r="A1679" t="s">
        <v>1689</v>
      </c>
      <c r="B1679" s="2">
        <v>45803</v>
      </c>
      <c r="C1679">
        <v>4010</v>
      </c>
      <c r="D1679" t="s">
        <v>2016</v>
      </c>
      <c r="E1679">
        <v>0</v>
      </c>
      <c r="F1679">
        <v>3799.96</v>
      </c>
      <c r="G1679" t="s">
        <v>2021</v>
      </c>
      <c r="H1679" t="s">
        <v>2024</v>
      </c>
      <c r="I1679" t="s">
        <v>3705</v>
      </c>
      <c r="J1679" t="s">
        <v>4031</v>
      </c>
      <c r="K1679" t="s">
        <v>4038</v>
      </c>
      <c r="L1679">
        <v>3799.96</v>
      </c>
      <c r="N1679">
        <f t="shared" si="78"/>
        <v>3799.96</v>
      </c>
      <c r="O1679" t="s">
        <v>4104</v>
      </c>
      <c r="P1679" t="str">
        <f t="shared" si="79"/>
        <v xml:space="preserve"> </v>
      </c>
      <c r="Q1679" t="str">
        <f t="shared" si="80"/>
        <v>Favorable</v>
      </c>
    </row>
    <row r="1680" spans="1:17">
      <c r="A1680" t="s">
        <v>1690</v>
      </c>
      <c r="B1680" s="2">
        <v>45023</v>
      </c>
      <c r="C1680">
        <v>5010</v>
      </c>
      <c r="D1680" t="s">
        <v>2015</v>
      </c>
      <c r="E1680">
        <v>1292.8800000000001</v>
      </c>
      <c r="F1680">
        <v>0</v>
      </c>
      <c r="G1680" t="s">
        <v>2022</v>
      </c>
      <c r="H1680" t="s">
        <v>2026</v>
      </c>
      <c r="I1680" t="s">
        <v>3706</v>
      </c>
      <c r="J1680" t="s">
        <v>4029</v>
      </c>
      <c r="K1680" t="s">
        <v>4041</v>
      </c>
      <c r="L1680">
        <v>-1292.8800000000001</v>
      </c>
      <c r="N1680">
        <f t="shared" si="78"/>
        <v>-1292.8800000000001</v>
      </c>
      <c r="O1680" t="s">
        <v>4104</v>
      </c>
      <c r="P1680" t="str">
        <f t="shared" si="79"/>
        <v xml:space="preserve"> </v>
      </c>
      <c r="Q1680" t="str">
        <f t="shared" si="80"/>
        <v>Unfavorable</v>
      </c>
    </row>
    <row r="1681" spans="1:17">
      <c r="A1681" t="s">
        <v>1691</v>
      </c>
      <c r="B1681" s="2">
        <v>45613</v>
      </c>
      <c r="C1681">
        <v>5000</v>
      </c>
      <c r="D1681" t="s">
        <v>2013</v>
      </c>
      <c r="E1681">
        <v>154.07</v>
      </c>
      <c r="F1681">
        <v>0</v>
      </c>
      <c r="G1681" t="s">
        <v>2020</v>
      </c>
      <c r="H1681" t="s">
        <v>2025</v>
      </c>
      <c r="I1681" t="s">
        <v>3707</v>
      </c>
      <c r="J1681" t="s">
        <v>4029</v>
      </c>
      <c r="K1681" t="s">
        <v>4043</v>
      </c>
      <c r="L1681">
        <v>-154.07</v>
      </c>
      <c r="N1681">
        <f t="shared" si="78"/>
        <v>-154.07</v>
      </c>
      <c r="O1681" t="s">
        <v>4104</v>
      </c>
      <c r="P1681" t="str">
        <f t="shared" si="79"/>
        <v xml:space="preserve"> </v>
      </c>
      <c r="Q1681" t="str">
        <f t="shared" si="80"/>
        <v>Unfavorable</v>
      </c>
    </row>
    <row r="1682" spans="1:17">
      <c r="A1682" t="s">
        <v>1692</v>
      </c>
      <c r="B1682" s="2">
        <v>45672</v>
      </c>
      <c r="C1682">
        <v>6000</v>
      </c>
      <c r="D1682" t="s">
        <v>2014</v>
      </c>
      <c r="E1682">
        <v>1751.78</v>
      </c>
      <c r="F1682">
        <v>0</v>
      </c>
      <c r="G1682" t="s">
        <v>2022</v>
      </c>
      <c r="H1682" t="s">
        <v>2024</v>
      </c>
      <c r="I1682" t="s">
        <v>3708</v>
      </c>
      <c r="J1682" t="s">
        <v>4031</v>
      </c>
      <c r="K1682" t="s">
        <v>4035</v>
      </c>
      <c r="L1682">
        <v>-1751.78</v>
      </c>
      <c r="N1682">
        <f t="shared" si="78"/>
        <v>-1751.78</v>
      </c>
      <c r="O1682" t="s">
        <v>4104</v>
      </c>
      <c r="P1682" t="str">
        <f t="shared" si="79"/>
        <v xml:space="preserve"> </v>
      </c>
      <c r="Q1682" t="str">
        <f t="shared" si="80"/>
        <v>Unfavorable</v>
      </c>
    </row>
    <row r="1683" spans="1:17">
      <c r="A1683" t="s">
        <v>1693</v>
      </c>
      <c r="B1683" s="2">
        <v>45636</v>
      </c>
      <c r="C1683">
        <v>4010</v>
      </c>
      <c r="D1683" t="s">
        <v>2016</v>
      </c>
      <c r="E1683">
        <v>0</v>
      </c>
      <c r="F1683">
        <v>635.34</v>
      </c>
      <c r="G1683" t="s">
        <v>2018</v>
      </c>
      <c r="H1683" t="s">
        <v>2025</v>
      </c>
      <c r="I1683" t="s">
        <v>3709</v>
      </c>
      <c r="J1683" t="s">
        <v>4030</v>
      </c>
      <c r="K1683" t="s">
        <v>4056</v>
      </c>
      <c r="L1683">
        <v>635.34</v>
      </c>
      <c r="N1683">
        <f t="shared" si="78"/>
        <v>635.34</v>
      </c>
      <c r="O1683" t="s">
        <v>4104</v>
      </c>
      <c r="P1683" t="str">
        <f t="shared" si="79"/>
        <v xml:space="preserve"> </v>
      </c>
      <c r="Q1683" t="str">
        <f t="shared" si="80"/>
        <v>Favorable</v>
      </c>
    </row>
    <row r="1684" spans="1:17">
      <c r="A1684" t="s">
        <v>1694</v>
      </c>
      <c r="B1684" s="2">
        <v>45517</v>
      </c>
      <c r="C1684">
        <v>5000</v>
      </c>
      <c r="D1684" t="s">
        <v>2013</v>
      </c>
      <c r="E1684">
        <v>534.29</v>
      </c>
      <c r="F1684">
        <v>0</v>
      </c>
      <c r="G1684" t="s">
        <v>2019</v>
      </c>
      <c r="H1684" t="s">
        <v>2027</v>
      </c>
      <c r="I1684" t="s">
        <v>3710</v>
      </c>
      <c r="J1684" t="s">
        <v>4029</v>
      </c>
      <c r="K1684" t="s">
        <v>4058</v>
      </c>
      <c r="L1684">
        <v>-534.29</v>
      </c>
      <c r="N1684">
        <f t="shared" si="78"/>
        <v>-534.29</v>
      </c>
      <c r="O1684" t="s">
        <v>4104</v>
      </c>
      <c r="P1684" t="str">
        <f t="shared" si="79"/>
        <v xml:space="preserve"> </v>
      </c>
      <c r="Q1684" t="str">
        <f t="shared" si="80"/>
        <v>Unfavorable</v>
      </c>
    </row>
    <row r="1685" spans="1:17">
      <c r="A1685" t="s">
        <v>1695</v>
      </c>
      <c r="B1685" s="2">
        <v>45503</v>
      </c>
      <c r="C1685">
        <v>5010</v>
      </c>
      <c r="D1685" t="s">
        <v>2015</v>
      </c>
      <c r="E1685">
        <v>1212.18</v>
      </c>
      <c r="F1685">
        <v>0</v>
      </c>
      <c r="G1685" t="s">
        <v>2017</v>
      </c>
      <c r="H1685" t="s">
        <v>2024</v>
      </c>
      <c r="I1685" t="s">
        <v>3711</v>
      </c>
      <c r="J1685" t="s">
        <v>4029</v>
      </c>
      <c r="K1685" t="s">
        <v>4054</v>
      </c>
      <c r="L1685">
        <v>-1212.18</v>
      </c>
      <c r="N1685">
        <f t="shared" si="78"/>
        <v>-1212.18</v>
      </c>
      <c r="O1685" t="s">
        <v>4104</v>
      </c>
      <c r="P1685" t="str">
        <f t="shared" si="79"/>
        <v xml:space="preserve"> </v>
      </c>
      <c r="Q1685" t="str">
        <f t="shared" si="80"/>
        <v>Unfavorable</v>
      </c>
    </row>
    <row r="1686" spans="1:17">
      <c r="A1686" t="s">
        <v>1696</v>
      </c>
      <c r="B1686" s="2">
        <v>45552</v>
      </c>
      <c r="C1686">
        <v>5000</v>
      </c>
      <c r="D1686" t="s">
        <v>2013</v>
      </c>
      <c r="E1686">
        <v>1830.4</v>
      </c>
      <c r="F1686">
        <v>0</v>
      </c>
      <c r="G1686" t="s">
        <v>2018</v>
      </c>
      <c r="H1686" t="s">
        <v>2025</v>
      </c>
      <c r="I1686" t="s">
        <v>3712</v>
      </c>
      <c r="J1686" t="s">
        <v>4032</v>
      </c>
      <c r="K1686" t="s">
        <v>4048</v>
      </c>
      <c r="L1686">
        <v>-1830.4</v>
      </c>
      <c r="N1686">
        <f t="shared" si="78"/>
        <v>-1830.4</v>
      </c>
      <c r="O1686" t="s">
        <v>4104</v>
      </c>
      <c r="P1686" t="str">
        <f t="shared" si="79"/>
        <v xml:space="preserve"> </v>
      </c>
      <c r="Q1686" t="str">
        <f t="shared" si="80"/>
        <v>Unfavorable</v>
      </c>
    </row>
    <row r="1687" spans="1:17">
      <c r="A1687" t="s">
        <v>1697</v>
      </c>
      <c r="B1687" s="2">
        <v>45016</v>
      </c>
      <c r="C1687">
        <v>4010</v>
      </c>
      <c r="D1687" t="s">
        <v>2016</v>
      </c>
      <c r="E1687">
        <v>0</v>
      </c>
      <c r="F1687">
        <v>1032.3800000000001</v>
      </c>
      <c r="G1687" t="s">
        <v>2022</v>
      </c>
      <c r="H1687" t="s">
        <v>2025</v>
      </c>
      <c r="I1687" t="s">
        <v>3713</v>
      </c>
      <c r="J1687" t="s">
        <v>4030</v>
      </c>
      <c r="K1687" t="s">
        <v>4051</v>
      </c>
      <c r="L1687">
        <v>1032.3800000000001</v>
      </c>
      <c r="N1687">
        <f t="shared" si="78"/>
        <v>1032.3800000000001</v>
      </c>
      <c r="O1687" t="s">
        <v>4104</v>
      </c>
      <c r="P1687" t="str">
        <f t="shared" si="79"/>
        <v xml:space="preserve"> </v>
      </c>
      <c r="Q1687" t="str">
        <f t="shared" si="80"/>
        <v>Favorable</v>
      </c>
    </row>
    <row r="1688" spans="1:17">
      <c r="A1688" t="s">
        <v>1698</v>
      </c>
      <c r="B1688" s="2">
        <v>44967</v>
      </c>
      <c r="C1688">
        <v>4000</v>
      </c>
      <c r="D1688" t="s">
        <v>2012</v>
      </c>
      <c r="E1688">
        <v>0</v>
      </c>
      <c r="F1688">
        <v>2620.3200000000002</v>
      </c>
      <c r="G1688" t="s">
        <v>2021</v>
      </c>
      <c r="H1688" t="s">
        <v>2023</v>
      </c>
      <c r="I1688" t="s">
        <v>3714</v>
      </c>
      <c r="J1688" t="s">
        <v>4032</v>
      </c>
      <c r="K1688" t="s">
        <v>4057</v>
      </c>
      <c r="L1688">
        <v>2620.3200000000002</v>
      </c>
      <c r="N1688">
        <f t="shared" si="78"/>
        <v>2620.3200000000002</v>
      </c>
      <c r="O1688" t="s">
        <v>4104</v>
      </c>
      <c r="P1688" t="str">
        <f t="shared" si="79"/>
        <v xml:space="preserve"> </v>
      </c>
      <c r="Q1688" t="str">
        <f t="shared" si="80"/>
        <v>Favorable</v>
      </c>
    </row>
    <row r="1689" spans="1:17">
      <c r="A1689" t="s">
        <v>1699</v>
      </c>
      <c r="B1689" s="2">
        <v>45527</v>
      </c>
      <c r="C1689">
        <v>4010</v>
      </c>
      <c r="D1689" t="s">
        <v>2016</v>
      </c>
      <c r="E1689">
        <v>0</v>
      </c>
      <c r="F1689">
        <v>4016.77</v>
      </c>
      <c r="G1689" t="s">
        <v>2021</v>
      </c>
      <c r="H1689" t="s">
        <v>2024</v>
      </c>
      <c r="I1689" t="s">
        <v>3715</v>
      </c>
      <c r="J1689" t="s">
        <v>4032</v>
      </c>
      <c r="K1689" t="s">
        <v>4058</v>
      </c>
      <c r="L1689">
        <v>4016.77</v>
      </c>
      <c r="N1689">
        <f t="shared" si="78"/>
        <v>4016.77</v>
      </c>
      <c r="O1689" t="s">
        <v>4104</v>
      </c>
      <c r="P1689" t="str">
        <f t="shared" si="79"/>
        <v xml:space="preserve"> </v>
      </c>
      <c r="Q1689" t="str">
        <f t="shared" si="80"/>
        <v>Favorable</v>
      </c>
    </row>
    <row r="1690" spans="1:17">
      <c r="A1690" t="s">
        <v>1700</v>
      </c>
      <c r="B1690" s="2">
        <v>45409</v>
      </c>
      <c r="C1690">
        <v>5000</v>
      </c>
      <c r="D1690" t="s">
        <v>2013</v>
      </c>
      <c r="E1690">
        <v>575</v>
      </c>
      <c r="F1690">
        <v>0</v>
      </c>
      <c r="G1690" t="s">
        <v>2021</v>
      </c>
      <c r="H1690" t="s">
        <v>2023</v>
      </c>
      <c r="I1690" t="s">
        <v>3716</v>
      </c>
      <c r="J1690" t="s">
        <v>4029</v>
      </c>
      <c r="K1690" t="s">
        <v>4040</v>
      </c>
      <c r="L1690">
        <v>-575</v>
      </c>
      <c r="N1690">
        <f t="shared" si="78"/>
        <v>-575</v>
      </c>
      <c r="O1690" t="s">
        <v>4104</v>
      </c>
      <c r="P1690" t="str">
        <f t="shared" si="79"/>
        <v xml:space="preserve"> </v>
      </c>
      <c r="Q1690" t="str">
        <f t="shared" si="80"/>
        <v>Unfavorable</v>
      </c>
    </row>
    <row r="1691" spans="1:17">
      <c r="A1691" t="s">
        <v>1701</v>
      </c>
      <c r="B1691" s="2">
        <v>45725</v>
      </c>
      <c r="C1691">
        <v>5010</v>
      </c>
      <c r="D1691" t="s">
        <v>2015</v>
      </c>
      <c r="E1691">
        <v>692.19</v>
      </c>
      <c r="F1691">
        <v>0</v>
      </c>
      <c r="G1691" t="s">
        <v>2022</v>
      </c>
      <c r="H1691" t="s">
        <v>2024</v>
      </c>
      <c r="I1691" t="s">
        <v>3717</v>
      </c>
      <c r="J1691" t="s">
        <v>4029</v>
      </c>
      <c r="K1691" t="s">
        <v>4046</v>
      </c>
      <c r="L1691">
        <v>-692.19</v>
      </c>
      <c r="N1691">
        <f t="shared" si="78"/>
        <v>-692.19</v>
      </c>
      <c r="O1691" t="s">
        <v>4104</v>
      </c>
      <c r="P1691" t="str">
        <f t="shared" si="79"/>
        <v xml:space="preserve"> </v>
      </c>
      <c r="Q1691" t="str">
        <f t="shared" si="80"/>
        <v>Unfavorable</v>
      </c>
    </row>
    <row r="1692" spans="1:17">
      <c r="A1692" t="s">
        <v>1702</v>
      </c>
      <c r="B1692" s="2">
        <v>45831</v>
      </c>
      <c r="C1692">
        <v>4000</v>
      </c>
      <c r="D1692" t="s">
        <v>2012</v>
      </c>
      <c r="E1692">
        <v>0</v>
      </c>
      <c r="F1692">
        <v>129.38999999999999</v>
      </c>
      <c r="G1692" t="s">
        <v>2021</v>
      </c>
      <c r="H1692" t="s">
        <v>2025</v>
      </c>
      <c r="I1692" t="s">
        <v>3718</v>
      </c>
      <c r="J1692" t="s">
        <v>4032</v>
      </c>
      <c r="K1692" t="s">
        <v>4052</v>
      </c>
      <c r="L1692">
        <v>129.38999999999999</v>
      </c>
      <c r="N1692">
        <f t="shared" si="78"/>
        <v>129.38999999999999</v>
      </c>
      <c r="O1692" t="s">
        <v>4104</v>
      </c>
      <c r="P1692" t="str">
        <f t="shared" si="79"/>
        <v xml:space="preserve"> </v>
      </c>
      <c r="Q1692" t="str">
        <f t="shared" si="80"/>
        <v>Favorable</v>
      </c>
    </row>
    <row r="1693" spans="1:17">
      <c r="A1693" t="s">
        <v>1703</v>
      </c>
      <c r="B1693" s="2">
        <v>45435</v>
      </c>
      <c r="C1693">
        <v>6000</v>
      </c>
      <c r="D1693" t="s">
        <v>2014</v>
      </c>
      <c r="E1693">
        <v>739.61</v>
      </c>
      <c r="F1693">
        <v>0</v>
      </c>
      <c r="G1693" t="s">
        <v>2020</v>
      </c>
      <c r="H1693" t="s">
        <v>2023</v>
      </c>
      <c r="I1693" t="s">
        <v>3719</v>
      </c>
      <c r="J1693" t="s">
        <v>4029</v>
      </c>
      <c r="K1693" t="s">
        <v>4033</v>
      </c>
      <c r="L1693">
        <v>-739.61</v>
      </c>
      <c r="N1693">
        <f t="shared" si="78"/>
        <v>-739.61</v>
      </c>
      <c r="O1693" t="s">
        <v>4104</v>
      </c>
      <c r="P1693" t="str">
        <f t="shared" si="79"/>
        <v xml:space="preserve"> </v>
      </c>
      <c r="Q1693" t="str">
        <f t="shared" si="80"/>
        <v>Unfavorable</v>
      </c>
    </row>
    <row r="1694" spans="1:17">
      <c r="A1694" t="s">
        <v>1704</v>
      </c>
      <c r="B1694" s="2">
        <v>45083</v>
      </c>
      <c r="C1694">
        <v>4000</v>
      </c>
      <c r="D1694" t="s">
        <v>2012</v>
      </c>
      <c r="E1694">
        <v>0</v>
      </c>
      <c r="F1694">
        <v>1931.62</v>
      </c>
      <c r="G1694" t="s">
        <v>2021</v>
      </c>
      <c r="H1694" t="s">
        <v>2025</v>
      </c>
      <c r="I1694" t="s">
        <v>3720</v>
      </c>
      <c r="J1694" t="s">
        <v>4032</v>
      </c>
      <c r="K1694" t="s">
        <v>4055</v>
      </c>
      <c r="L1694">
        <v>1931.62</v>
      </c>
      <c r="N1694">
        <f t="shared" si="78"/>
        <v>1931.62</v>
      </c>
      <c r="O1694" t="s">
        <v>4104</v>
      </c>
      <c r="P1694" t="str">
        <f t="shared" si="79"/>
        <v xml:space="preserve"> </v>
      </c>
      <c r="Q1694" t="str">
        <f t="shared" si="80"/>
        <v>Favorable</v>
      </c>
    </row>
    <row r="1695" spans="1:17">
      <c r="A1695" t="s">
        <v>1705</v>
      </c>
      <c r="B1695" s="2">
        <v>45709</v>
      </c>
      <c r="C1695">
        <v>5010</v>
      </c>
      <c r="D1695" t="s">
        <v>2015</v>
      </c>
      <c r="E1695">
        <v>624.64</v>
      </c>
      <c r="F1695">
        <v>0</v>
      </c>
      <c r="G1695" t="s">
        <v>2019</v>
      </c>
      <c r="H1695" t="s">
        <v>2027</v>
      </c>
      <c r="I1695" t="s">
        <v>3721</v>
      </c>
      <c r="J1695" t="s">
        <v>4029</v>
      </c>
      <c r="K1695" t="s">
        <v>4061</v>
      </c>
      <c r="L1695">
        <v>-624.64</v>
      </c>
      <c r="N1695">
        <f t="shared" si="78"/>
        <v>-624.64</v>
      </c>
      <c r="O1695" t="s">
        <v>4104</v>
      </c>
      <c r="P1695" t="str">
        <f t="shared" si="79"/>
        <v xml:space="preserve"> </v>
      </c>
      <c r="Q1695" t="str">
        <f t="shared" si="80"/>
        <v>Unfavorable</v>
      </c>
    </row>
    <row r="1696" spans="1:17">
      <c r="A1696" t="s">
        <v>1706</v>
      </c>
      <c r="B1696" s="2">
        <v>45435</v>
      </c>
      <c r="C1696">
        <v>4010</v>
      </c>
      <c r="D1696" t="s">
        <v>2016</v>
      </c>
      <c r="E1696">
        <v>0</v>
      </c>
      <c r="F1696">
        <v>724.9</v>
      </c>
      <c r="G1696" t="s">
        <v>2022</v>
      </c>
      <c r="H1696" t="s">
        <v>2027</v>
      </c>
      <c r="I1696" t="s">
        <v>3722</v>
      </c>
      <c r="J1696" t="s">
        <v>4029</v>
      </c>
      <c r="K1696" t="s">
        <v>4033</v>
      </c>
      <c r="L1696">
        <v>724.9</v>
      </c>
      <c r="N1696">
        <f t="shared" si="78"/>
        <v>724.9</v>
      </c>
      <c r="O1696" t="s">
        <v>4104</v>
      </c>
      <c r="P1696" t="str">
        <f t="shared" si="79"/>
        <v xml:space="preserve"> </v>
      </c>
      <c r="Q1696" t="str">
        <f t="shared" si="80"/>
        <v>Favorable</v>
      </c>
    </row>
    <row r="1697" spans="1:17">
      <c r="A1697" t="s">
        <v>1707</v>
      </c>
      <c r="B1697" s="2">
        <v>45373</v>
      </c>
      <c r="C1697">
        <v>6000</v>
      </c>
      <c r="D1697" t="s">
        <v>2014</v>
      </c>
      <c r="E1697">
        <v>630.79</v>
      </c>
      <c r="F1697">
        <v>0</v>
      </c>
      <c r="G1697" t="s">
        <v>2022</v>
      </c>
      <c r="H1697" t="s">
        <v>2023</v>
      </c>
      <c r="I1697" t="s">
        <v>3723</v>
      </c>
      <c r="J1697" t="s">
        <v>4030</v>
      </c>
      <c r="K1697" t="s">
        <v>4049</v>
      </c>
      <c r="L1697">
        <v>-630.79</v>
      </c>
      <c r="N1697">
        <f t="shared" si="78"/>
        <v>-630.79</v>
      </c>
      <c r="O1697" t="s">
        <v>4104</v>
      </c>
      <c r="P1697" t="str">
        <f t="shared" si="79"/>
        <v xml:space="preserve"> </v>
      </c>
      <c r="Q1697" t="str">
        <f t="shared" si="80"/>
        <v>Unfavorable</v>
      </c>
    </row>
    <row r="1698" spans="1:17">
      <c r="A1698" t="s">
        <v>1708</v>
      </c>
      <c r="B1698" s="2">
        <v>45775</v>
      </c>
      <c r="C1698">
        <v>5010</v>
      </c>
      <c r="D1698" t="s">
        <v>2015</v>
      </c>
      <c r="E1698">
        <v>808.72</v>
      </c>
      <c r="F1698">
        <v>0</v>
      </c>
      <c r="G1698" t="s">
        <v>2019</v>
      </c>
      <c r="H1698" t="s">
        <v>2027</v>
      </c>
      <c r="I1698" t="s">
        <v>3724</v>
      </c>
      <c r="J1698" t="s">
        <v>4028</v>
      </c>
      <c r="K1698" t="s">
        <v>4045</v>
      </c>
      <c r="L1698">
        <v>-808.72</v>
      </c>
      <c r="N1698">
        <f t="shared" si="78"/>
        <v>-808.72</v>
      </c>
      <c r="O1698" t="s">
        <v>4104</v>
      </c>
      <c r="P1698" t="str">
        <f t="shared" si="79"/>
        <v xml:space="preserve"> </v>
      </c>
      <c r="Q1698" t="str">
        <f t="shared" si="80"/>
        <v>Unfavorable</v>
      </c>
    </row>
    <row r="1699" spans="1:17">
      <c r="A1699" t="s">
        <v>1709</v>
      </c>
      <c r="B1699" s="2">
        <v>45160</v>
      </c>
      <c r="C1699">
        <v>4000</v>
      </c>
      <c r="D1699" t="s">
        <v>2012</v>
      </c>
      <c r="E1699">
        <v>0</v>
      </c>
      <c r="F1699">
        <v>1092.32</v>
      </c>
      <c r="G1699" t="s">
        <v>2017</v>
      </c>
      <c r="H1699" t="s">
        <v>2025</v>
      </c>
      <c r="I1699" t="s">
        <v>3725</v>
      </c>
      <c r="J1699" t="s">
        <v>4032</v>
      </c>
      <c r="K1699" t="s">
        <v>4037</v>
      </c>
      <c r="L1699">
        <v>1092.32</v>
      </c>
      <c r="N1699">
        <f t="shared" si="78"/>
        <v>1092.32</v>
      </c>
      <c r="O1699" t="s">
        <v>4104</v>
      </c>
      <c r="P1699" t="str">
        <f t="shared" si="79"/>
        <v xml:space="preserve"> </v>
      </c>
      <c r="Q1699" t="str">
        <f t="shared" si="80"/>
        <v>Favorable</v>
      </c>
    </row>
    <row r="1700" spans="1:17">
      <c r="A1700" t="s">
        <v>1710</v>
      </c>
      <c r="B1700" s="2">
        <v>45389</v>
      </c>
      <c r="C1700">
        <v>5010</v>
      </c>
      <c r="D1700" t="s">
        <v>2015</v>
      </c>
      <c r="E1700">
        <v>1433.85</v>
      </c>
      <c r="F1700">
        <v>0</v>
      </c>
      <c r="G1700" t="s">
        <v>2022</v>
      </c>
      <c r="H1700" t="s">
        <v>2027</v>
      </c>
      <c r="I1700" t="s">
        <v>3726</v>
      </c>
      <c r="J1700" t="s">
        <v>4032</v>
      </c>
      <c r="K1700" t="s">
        <v>4040</v>
      </c>
      <c r="L1700">
        <v>-1433.85</v>
      </c>
      <c r="N1700">
        <f t="shared" si="78"/>
        <v>-1433.85</v>
      </c>
      <c r="O1700" t="s">
        <v>4104</v>
      </c>
      <c r="P1700" t="str">
        <f t="shared" si="79"/>
        <v xml:space="preserve"> </v>
      </c>
      <c r="Q1700" t="str">
        <f t="shared" si="80"/>
        <v>Unfavorable</v>
      </c>
    </row>
    <row r="1701" spans="1:17">
      <c r="A1701" t="s">
        <v>1711</v>
      </c>
      <c r="B1701" s="2">
        <v>45331</v>
      </c>
      <c r="C1701">
        <v>4010</v>
      </c>
      <c r="D1701" t="s">
        <v>2016</v>
      </c>
      <c r="E1701">
        <v>0</v>
      </c>
      <c r="F1701">
        <v>902.75</v>
      </c>
      <c r="G1701" t="s">
        <v>2021</v>
      </c>
      <c r="H1701" t="s">
        <v>2024</v>
      </c>
      <c r="I1701" t="s">
        <v>3727</v>
      </c>
      <c r="J1701" t="s">
        <v>4028</v>
      </c>
      <c r="K1701" t="s">
        <v>4044</v>
      </c>
      <c r="L1701">
        <v>902.75</v>
      </c>
      <c r="N1701">
        <f t="shared" si="78"/>
        <v>902.75</v>
      </c>
      <c r="O1701" t="s">
        <v>4104</v>
      </c>
      <c r="P1701" t="str">
        <f t="shared" si="79"/>
        <v xml:space="preserve"> </v>
      </c>
      <c r="Q1701" t="str">
        <f t="shared" si="80"/>
        <v>Favorable</v>
      </c>
    </row>
    <row r="1702" spans="1:17">
      <c r="A1702" t="s">
        <v>1712</v>
      </c>
      <c r="B1702" s="2">
        <v>45274</v>
      </c>
      <c r="C1702">
        <v>5010</v>
      </c>
      <c r="D1702" t="s">
        <v>2015</v>
      </c>
      <c r="E1702">
        <v>1012.66</v>
      </c>
      <c r="F1702">
        <v>0</v>
      </c>
      <c r="G1702" t="s">
        <v>2021</v>
      </c>
      <c r="H1702" t="s">
        <v>2024</v>
      </c>
      <c r="I1702" t="s">
        <v>3728</v>
      </c>
      <c r="J1702" t="s">
        <v>4030</v>
      </c>
      <c r="K1702" t="s">
        <v>4039</v>
      </c>
      <c r="L1702">
        <v>-1012.66</v>
      </c>
      <c r="N1702">
        <f t="shared" si="78"/>
        <v>-1012.66</v>
      </c>
      <c r="O1702" t="s">
        <v>4104</v>
      </c>
      <c r="P1702" t="str">
        <f t="shared" si="79"/>
        <v xml:space="preserve"> </v>
      </c>
      <c r="Q1702" t="str">
        <f t="shared" si="80"/>
        <v>Unfavorable</v>
      </c>
    </row>
    <row r="1703" spans="1:17">
      <c r="A1703" t="s">
        <v>1713</v>
      </c>
      <c r="B1703" s="2">
        <v>45657</v>
      </c>
      <c r="C1703">
        <v>5000</v>
      </c>
      <c r="D1703" t="s">
        <v>2013</v>
      </c>
      <c r="E1703">
        <v>1143.22</v>
      </c>
      <c r="F1703">
        <v>0</v>
      </c>
      <c r="G1703" t="s">
        <v>2019</v>
      </c>
      <c r="H1703" t="s">
        <v>2026</v>
      </c>
      <c r="I1703" t="s">
        <v>3729</v>
      </c>
      <c r="J1703" t="s">
        <v>4031</v>
      </c>
      <c r="K1703" t="s">
        <v>4056</v>
      </c>
      <c r="L1703">
        <v>-1143.22</v>
      </c>
      <c r="N1703">
        <f t="shared" si="78"/>
        <v>-1143.22</v>
      </c>
      <c r="O1703" t="s">
        <v>4104</v>
      </c>
      <c r="P1703" t="str">
        <f t="shared" si="79"/>
        <v xml:space="preserve"> </v>
      </c>
      <c r="Q1703" t="str">
        <f t="shared" si="80"/>
        <v>Unfavorable</v>
      </c>
    </row>
    <row r="1704" spans="1:17">
      <c r="A1704" t="s">
        <v>1714</v>
      </c>
      <c r="B1704" s="2">
        <v>44939</v>
      </c>
      <c r="C1704">
        <v>4000</v>
      </c>
      <c r="D1704" t="s">
        <v>2012</v>
      </c>
      <c r="E1704">
        <v>0</v>
      </c>
      <c r="F1704">
        <v>3892.69</v>
      </c>
      <c r="G1704" t="s">
        <v>2017</v>
      </c>
      <c r="H1704" t="s">
        <v>2027</v>
      </c>
      <c r="I1704" t="s">
        <v>3730</v>
      </c>
      <c r="J1704" t="s">
        <v>4030</v>
      </c>
      <c r="K1704" t="s">
        <v>4047</v>
      </c>
      <c r="L1704">
        <v>3892.69</v>
      </c>
      <c r="N1704">
        <f t="shared" si="78"/>
        <v>3892.69</v>
      </c>
      <c r="O1704" t="s">
        <v>4104</v>
      </c>
      <c r="P1704" t="str">
        <f t="shared" si="79"/>
        <v xml:space="preserve"> </v>
      </c>
      <c r="Q1704" t="str">
        <f t="shared" si="80"/>
        <v>Favorable</v>
      </c>
    </row>
    <row r="1705" spans="1:17">
      <c r="A1705" t="s">
        <v>1715</v>
      </c>
      <c r="B1705" s="2">
        <v>45678</v>
      </c>
      <c r="C1705">
        <v>6000</v>
      </c>
      <c r="D1705" t="s">
        <v>2014</v>
      </c>
      <c r="E1705">
        <v>649.45000000000005</v>
      </c>
      <c r="F1705">
        <v>0</v>
      </c>
      <c r="G1705" t="s">
        <v>2022</v>
      </c>
      <c r="H1705" t="s">
        <v>2023</v>
      </c>
      <c r="I1705" t="s">
        <v>3731</v>
      </c>
      <c r="J1705" t="s">
        <v>4032</v>
      </c>
      <c r="K1705" t="s">
        <v>4035</v>
      </c>
      <c r="L1705">
        <v>-649.45000000000005</v>
      </c>
      <c r="N1705">
        <f t="shared" si="78"/>
        <v>-649.45000000000005</v>
      </c>
      <c r="O1705" t="s">
        <v>4104</v>
      </c>
      <c r="P1705" t="str">
        <f t="shared" si="79"/>
        <v xml:space="preserve"> </v>
      </c>
      <c r="Q1705" t="str">
        <f t="shared" si="80"/>
        <v>Unfavorable</v>
      </c>
    </row>
    <row r="1706" spans="1:17">
      <c r="A1706" t="s">
        <v>1716</v>
      </c>
      <c r="B1706" s="2">
        <v>45670</v>
      </c>
      <c r="C1706">
        <v>4010</v>
      </c>
      <c r="D1706" t="s">
        <v>2016</v>
      </c>
      <c r="E1706">
        <v>0</v>
      </c>
      <c r="F1706">
        <v>1422.91</v>
      </c>
      <c r="G1706" t="s">
        <v>2018</v>
      </c>
      <c r="H1706" t="s">
        <v>2025</v>
      </c>
      <c r="I1706" t="s">
        <v>3732</v>
      </c>
      <c r="J1706" t="s">
        <v>4030</v>
      </c>
      <c r="K1706" t="s">
        <v>4035</v>
      </c>
      <c r="L1706">
        <v>1422.91</v>
      </c>
      <c r="N1706">
        <f t="shared" si="78"/>
        <v>1422.91</v>
      </c>
      <c r="O1706" t="s">
        <v>4104</v>
      </c>
      <c r="P1706" t="str">
        <f t="shared" si="79"/>
        <v xml:space="preserve"> </v>
      </c>
      <c r="Q1706" t="str">
        <f t="shared" si="80"/>
        <v>Favorable</v>
      </c>
    </row>
    <row r="1707" spans="1:17">
      <c r="A1707" t="s">
        <v>1717</v>
      </c>
      <c r="B1707" s="2">
        <v>45365</v>
      </c>
      <c r="C1707">
        <v>4000</v>
      </c>
      <c r="D1707" t="s">
        <v>2012</v>
      </c>
      <c r="E1707">
        <v>0</v>
      </c>
      <c r="F1707">
        <v>1269.95</v>
      </c>
      <c r="G1707" t="s">
        <v>2018</v>
      </c>
      <c r="H1707" t="s">
        <v>2026</v>
      </c>
      <c r="I1707" t="s">
        <v>3733</v>
      </c>
      <c r="J1707" t="s">
        <v>4028</v>
      </c>
      <c r="K1707" t="s">
        <v>4049</v>
      </c>
      <c r="L1707">
        <v>1269.95</v>
      </c>
      <c r="N1707">
        <f t="shared" si="78"/>
        <v>1269.95</v>
      </c>
      <c r="O1707" t="s">
        <v>4104</v>
      </c>
      <c r="P1707" t="str">
        <f t="shared" si="79"/>
        <v xml:space="preserve"> </v>
      </c>
      <c r="Q1707" t="str">
        <f t="shared" si="80"/>
        <v>Favorable</v>
      </c>
    </row>
    <row r="1708" spans="1:17">
      <c r="A1708" t="s">
        <v>1718</v>
      </c>
      <c r="B1708" s="2">
        <v>45561</v>
      </c>
      <c r="C1708">
        <v>4010</v>
      </c>
      <c r="D1708" t="s">
        <v>2016</v>
      </c>
      <c r="E1708">
        <v>0</v>
      </c>
      <c r="F1708">
        <v>4047.23</v>
      </c>
      <c r="G1708" t="s">
        <v>2019</v>
      </c>
      <c r="H1708" t="s">
        <v>2027</v>
      </c>
      <c r="I1708" t="s">
        <v>3734</v>
      </c>
      <c r="J1708" t="s">
        <v>4028</v>
      </c>
      <c r="K1708" t="s">
        <v>4048</v>
      </c>
      <c r="L1708">
        <v>4047.23</v>
      </c>
      <c r="N1708">
        <f t="shared" si="78"/>
        <v>4047.23</v>
      </c>
      <c r="O1708" t="s">
        <v>4104</v>
      </c>
      <c r="P1708" t="str">
        <f t="shared" si="79"/>
        <v xml:space="preserve"> </v>
      </c>
      <c r="Q1708" t="str">
        <f t="shared" si="80"/>
        <v>Favorable</v>
      </c>
    </row>
    <row r="1709" spans="1:17">
      <c r="A1709" t="s">
        <v>1719</v>
      </c>
      <c r="B1709" s="2">
        <v>45619</v>
      </c>
      <c r="C1709">
        <v>5000</v>
      </c>
      <c r="D1709" t="s">
        <v>2013</v>
      </c>
      <c r="E1709">
        <v>546.9</v>
      </c>
      <c r="F1709">
        <v>0</v>
      </c>
      <c r="G1709" t="s">
        <v>2022</v>
      </c>
      <c r="H1709" t="s">
        <v>2027</v>
      </c>
      <c r="I1709" t="s">
        <v>3735</v>
      </c>
      <c r="J1709" t="s">
        <v>4030</v>
      </c>
      <c r="K1709" t="s">
        <v>4043</v>
      </c>
      <c r="L1709">
        <v>-546.9</v>
      </c>
      <c r="N1709">
        <f t="shared" si="78"/>
        <v>-546.9</v>
      </c>
      <c r="O1709" t="s">
        <v>4104</v>
      </c>
      <c r="P1709" t="str">
        <f t="shared" si="79"/>
        <v xml:space="preserve"> </v>
      </c>
      <c r="Q1709" t="str">
        <f t="shared" si="80"/>
        <v>Unfavorable</v>
      </c>
    </row>
    <row r="1710" spans="1:17">
      <c r="A1710" t="s">
        <v>1720</v>
      </c>
      <c r="B1710" s="2">
        <v>44956</v>
      </c>
      <c r="C1710">
        <v>4000</v>
      </c>
      <c r="D1710" t="s">
        <v>2012</v>
      </c>
      <c r="E1710">
        <v>0</v>
      </c>
      <c r="F1710">
        <v>652.36</v>
      </c>
      <c r="G1710" t="s">
        <v>2022</v>
      </c>
      <c r="H1710" t="s">
        <v>2024</v>
      </c>
      <c r="I1710" t="s">
        <v>3736</v>
      </c>
      <c r="J1710" t="s">
        <v>4029</v>
      </c>
      <c r="K1710" t="s">
        <v>4047</v>
      </c>
      <c r="L1710">
        <v>652.36</v>
      </c>
      <c r="N1710">
        <f t="shared" si="78"/>
        <v>652.36</v>
      </c>
      <c r="O1710" t="s">
        <v>4104</v>
      </c>
      <c r="P1710" t="str">
        <f t="shared" si="79"/>
        <v xml:space="preserve"> </v>
      </c>
      <c r="Q1710" t="str">
        <f t="shared" si="80"/>
        <v>Favorable</v>
      </c>
    </row>
    <row r="1711" spans="1:17">
      <c r="A1711" t="s">
        <v>1721</v>
      </c>
      <c r="B1711" s="2">
        <v>44946</v>
      </c>
      <c r="C1711">
        <v>4010</v>
      </c>
      <c r="D1711" t="s">
        <v>2016</v>
      </c>
      <c r="E1711">
        <v>0</v>
      </c>
      <c r="F1711">
        <v>1963.74</v>
      </c>
      <c r="G1711" t="s">
        <v>2019</v>
      </c>
      <c r="H1711" t="s">
        <v>2024</v>
      </c>
      <c r="I1711" t="s">
        <v>3737</v>
      </c>
      <c r="J1711" t="s">
        <v>4031</v>
      </c>
      <c r="K1711" t="s">
        <v>4047</v>
      </c>
      <c r="L1711">
        <v>1963.74</v>
      </c>
      <c r="N1711">
        <f t="shared" si="78"/>
        <v>1963.74</v>
      </c>
      <c r="O1711" t="s">
        <v>4104</v>
      </c>
      <c r="P1711" t="str">
        <f t="shared" si="79"/>
        <v xml:space="preserve"> </v>
      </c>
      <c r="Q1711" t="str">
        <f t="shared" si="80"/>
        <v>Favorable</v>
      </c>
    </row>
    <row r="1712" spans="1:17">
      <c r="A1712" t="s">
        <v>1722</v>
      </c>
      <c r="B1712" s="2">
        <v>45688</v>
      </c>
      <c r="C1712">
        <v>4010</v>
      </c>
      <c r="D1712" t="s">
        <v>2016</v>
      </c>
      <c r="E1712">
        <v>0</v>
      </c>
      <c r="F1712">
        <v>1521.92</v>
      </c>
      <c r="G1712" t="s">
        <v>2022</v>
      </c>
      <c r="H1712" t="s">
        <v>2027</v>
      </c>
      <c r="I1712" t="s">
        <v>3738</v>
      </c>
      <c r="J1712" t="s">
        <v>4029</v>
      </c>
      <c r="K1712" t="s">
        <v>4035</v>
      </c>
      <c r="L1712">
        <v>1521.92</v>
      </c>
      <c r="N1712">
        <f t="shared" si="78"/>
        <v>1521.92</v>
      </c>
      <c r="O1712" t="s">
        <v>4104</v>
      </c>
      <c r="P1712" t="str">
        <f t="shared" si="79"/>
        <v xml:space="preserve"> </v>
      </c>
      <c r="Q1712" t="str">
        <f t="shared" si="80"/>
        <v>Favorable</v>
      </c>
    </row>
    <row r="1713" spans="1:17">
      <c r="A1713" t="s">
        <v>1723</v>
      </c>
      <c r="B1713" s="2">
        <v>45297</v>
      </c>
      <c r="C1713">
        <v>4010</v>
      </c>
      <c r="D1713" t="s">
        <v>2016</v>
      </c>
      <c r="E1713">
        <v>0</v>
      </c>
      <c r="F1713">
        <v>3858.51</v>
      </c>
      <c r="G1713" t="s">
        <v>2019</v>
      </c>
      <c r="H1713" t="s">
        <v>2025</v>
      </c>
      <c r="I1713" t="s">
        <v>3739</v>
      </c>
      <c r="J1713" t="s">
        <v>4028</v>
      </c>
      <c r="K1713" t="s">
        <v>4053</v>
      </c>
      <c r="L1713">
        <v>3858.51</v>
      </c>
      <c r="N1713">
        <f t="shared" si="78"/>
        <v>3858.51</v>
      </c>
      <c r="O1713" t="s">
        <v>4104</v>
      </c>
      <c r="P1713" t="str">
        <f t="shared" si="79"/>
        <v xml:space="preserve"> </v>
      </c>
      <c r="Q1713" t="str">
        <f t="shared" si="80"/>
        <v>Favorable</v>
      </c>
    </row>
    <row r="1714" spans="1:17">
      <c r="A1714" t="s">
        <v>1724</v>
      </c>
      <c r="B1714" s="2">
        <v>45392</v>
      </c>
      <c r="C1714">
        <v>4010</v>
      </c>
      <c r="D1714" t="s">
        <v>2016</v>
      </c>
      <c r="E1714">
        <v>0</v>
      </c>
      <c r="F1714">
        <v>4500.74</v>
      </c>
      <c r="G1714" t="s">
        <v>2019</v>
      </c>
      <c r="H1714" t="s">
        <v>2027</v>
      </c>
      <c r="I1714" t="s">
        <v>3740</v>
      </c>
      <c r="J1714" t="s">
        <v>4030</v>
      </c>
      <c r="K1714" t="s">
        <v>4040</v>
      </c>
      <c r="L1714">
        <v>4500.74</v>
      </c>
      <c r="N1714">
        <f t="shared" si="78"/>
        <v>4500.74</v>
      </c>
      <c r="O1714" t="s">
        <v>4104</v>
      </c>
      <c r="P1714" t="str">
        <f t="shared" si="79"/>
        <v xml:space="preserve"> </v>
      </c>
      <c r="Q1714" t="str">
        <f t="shared" si="80"/>
        <v>Favorable</v>
      </c>
    </row>
    <row r="1715" spans="1:17">
      <c r="A1715" t="s">
        <v>1725</v>
      </c>
      <c r="B1715" s="2">
        <v>45546</v>
      </c>
      <c r="C1715">
        <v>6000</v>
      </c>
      <c r="D1715" t="s">
        <v>2014</v>
      </c>
      <c r="E1715">
        <v>678.18</v>
      </c>
      <c r="F1715">
        <v>0</v>
      </c>
      <c r="G1715" t="s">
        <v>2020</v>
      </c>
      <c r="H1715" t="s">
        <v>2023</v>
      </c>
      <c r="I1715" t="s">
        <v>3741</v>
      </c>
      <c r="J1715" t="s">
        <v>4030</v>
      </c>
      <c r="K1715" t="s">
        <v>4048</v>
      </c>
      <c r="L1715">
        <v>-678.18</v>
      </c>
      <c r="N1715">
        <f t="shared" si="78"/>
        <v>-678.18</v>
      </c>
      <c r="O1715" t="s">
        <v>4104</v>
      </c>
      <c r="P1715" t="str">
        <f t="shared" si="79"/>
        <v xml:space="preserve"> </v>
      </c>
      <c r="Q1715" t="str">
        <f t="shared" si="80"/>
        <v>Unfavorable</v>
      </c>
    </row>
    <row r="1716" spans="1:17">
      <c r="A1716" t="s">
        <v>1726</v>
      </c>
      <c r="B1716" s="2">
        <v>45630</v>
      </c>
      <c r="C1716">
        <v>6000</v>
      </c>
      <c r="D1716" t="s">
        <v>2014</v>
      </c>
      <c r="E1716">
        <v>1306.92</v>
      </c>
      <c r="F1716">
        <v>0</v>
      </c>
      <c r="G1716" t="s">
        <v>2022</v>
      </c>
      <c r="H1716" t="s">
        <v>2024</v>
      </c>
      <c r="I1716" t="s">
        <v>3742</v>
      </c>
      <c r="J1716" t="s">
        <v>4032</v>
      </c>
      <c r="K1716" t="s">
        <v>4056</v>
      </c>
      <c r="L1716">
        <v>-1306.92</v>
      </c>
      <c r="N1716">
        <f t="shared" si="78"/>
        <v>-1306.92</v>
      </c>
      <c r="O1716" t="s">
        <v>4104</v>
      </c>
      <c r="P1716" t="str">
        <f t="shared" si="79"/>
        <v xml:space="preserve"> </v>
      </c>
      <c r="Q1716" t="str">
        <f t="shared" si="80"/>
        <v>Unfavorable</v>
      </c>
    </row>
    <row r="1717" spans="1:17">
      <c r="A1717" t="s">
        <v>1727</v>
      </c>
      <c r="B1717" s="2">
        <v>44947</v>
      </c>
      <c r="C1717">
        <v>4010</v>
      </c>
      <c r="D1717" t="s">
        <v>2016</v>
      </c>
      <c r="E1717">
        <v>0</v>
      </c>
      <c r="F1717">
        <v>1899.18</v>
      </c>
      <c r="G1717" t="s">
        <v>2017</v>
      </c>
      <c r="H1717" t="s">
        <v>2023</v>
      </c>
      <c r="I1717" t="s">
        <v>3743</v>
      </c>
      <c r="J1717" t="s">
        <v>4028</v>
      </c>
      <c r="K1717" t="s">
        <v>4047</v>
      </c>
      <c r="L1717">
        <v>1899.18</v>
      </c>
      <c r="N1717">
        <f t="shared" si="78"/>
        <v>1899.18</v>
      </c>
      <c r="O1717" t="s">
        <v>4104</v>
      </c>
      <c r="P1717" t="str">
        <f t="shared" si="79"/>
        <v xml:space="preserve"> </v>
      </c>
      <c r="Q1717" t="str">
        <f t="shared" si="80"/>
        <v>Favorable</v>
      </c>
    </row>
    <row r="1718" spans="1:17">
      <c r="A1718" t="s">
        <v>1728</v>
      </c>
      <c r="B1718" s="2">
        <v>45592</v>
      </c>
      <c r="C1718">
        <v>4010</v>
      </c>
      <c r="D1718" t="s">
        <v>2016</v>
      </c>
      <c r="E1718">
        <v>0</v>
      </c>
      <c r="F1718">
        <v>4785.2299999999996</v>
      </c>
      <c r="G1718" t="s">
        <v>2019</v>
      </c>
      <c r="H1718" t="s">
        <v>2026</v>
      </c>
      <c r="I1718" t="s">
        <v>3744</v>
      </c>
      <c r="J1718" t="s">
        <v>4028</v>
      </c>
      <c r="K1718" t="s">
        <v>4059</v>
      </c>
      <c r="L1718">
        <v>4785.2299999999996</v>
      </c>
      <c r="N1718">
        <f t="shared" si="78"/>
        <v>4785.2299999999996</v>
      </c>
      <c r="O1718" t="s">
        <v>4104</v>
      </c>
      <c r="P1718" t="str">
        <f t="shared" si="79"/>
        <v xml:space="preserve"> </v>
      </c>
      <c r="Q1718" t="str">
        <f t="shared" si="80"/>
        <v>Favorable</v>
      </c>
    </row>
    <row r="1719" spans="1:17">
      <c r="A1719" t="s">
        <v>1729</v>
      </c>
      <c r="B1719" s="2">
        <v>45192</v>
      </c>
      <c r="C1719">
        <v>4010</v>
      </c>
      <c r="D1719" t="s">
        <v>2016</v>
      </c>
      <c r="E1719">
        <v>0</v>
      </c>
      <c r="F1719">
        <v>2005.29</v>
      </c>
      <c r="G1719" t="s">
        <v>2021</v>
      </c>
      <c r="H1719" t="s">
        <v>2024</v>
      </c>
      <c r="I1719" t="s">
        <v>3745</v>
      </c>
      <c r="J1719" t="s">
        <v>4031</v>
      </c>
      <c r="K1719" t="s">
        <v>4036</v>
      </c>
      <c r="L1719">
        <v>2005.29</v>
      </c>
      <c r="N1719">
        <f t="shared" si="78"/>
        <v>2005.29</v>
      </c>
      <c r="O1719" t="s">
        <v>4104</v>
      </c>
      <c r="P1719" t="str">
        <f t="shared" si="79"/>
        <v xml:space="preserve"> </v>
      </c>
      <c r="Q1719" t="str">
        <f t="shared" si="80"/>
        <v>Favorable</v>
      </c>
    </row>
    <row r="1720" spans="1:17">
      <c r="A1720" t="s">
        <v>1730</v>
      </c>
      <c r="B1720" s="2">
        <v>45148</v>
      </c>
      <c r="C1720">
        <v>6000</v>
      </c>
      <c r="D1720" t="s">
        <v>2014</v>
      </c>
      <c r="E1720">
        <v>1255.1099999999999</v>
      </c>
      <c r="F1720">
        <v>0</v>
      </c>
      <c r="G1720" t="s">
        <v>2022</v>
      </c>
      <c r="H1720" t="s">
        <v>2024</v>
      </c>
      <c r="I1720" t="s">
        <v>3746</v>
      </c>
      <c r="J1720" t="s">
        <v>4029</v>
      </c>
      <c r="K1720" t="s">
        <v>4037</v>
      </c>
      <c r="L1720">
        <v>-1255.1099999999999</v>
      </c>
      <c r="N1720">
        <f t="shared" si="78"/>
        <v>-1255.1099999999999</v>
      </c>
      <c r="O1720" t="s">
        <v>4104</v>
      </c>
      <c r="P1720" t="str">
        <f t="shared" si="79"/>
        <v xml:space="preserve"> </v>
      </c>
      <c r="Q1720" t="str">
        <f t="shared" si="80"/>
        <v>Unfavorable</v>
      </c>
    </row>
    <row r="1721" spans="1:17">
      <c r="A1721" t="s">
        <v>1731</v>
      </c>
      <c r="B1721" s="2">
        <v>45311</v>
      </c>
      <c r="C1721">
        <v>5000</v>
      </c>
      <c r="D1721" t="s">
        <v>2013</v>
      </c>
      <c r="E1721">
        <v>816.6</v>
      </c>
      <c r="F1721">
        <v>0</v>
      </c>
      <c r="G1721" t="s">
        <v>2022</v>
      </c>
      <c r="H1721" t="s">
        <v>2027</v>
      </c>
      <c r="I1721" t="s">
        <v>3747</v>
      </c>
      <c r="J1721" t="s">
        <v>4029</v>
      </c>
      <c r="K1721" t="s">
        <v>4053</v>
      </c>
      <c r="L1721">
        <v>-816.6</v>
      </c>
      <c r="N1721">
        <f t="shared" si="78"/>
        <v>-816.6</v>
      </c>
      <c r="O1721" t="s">
        <v>4104</v>
      </c>
      <c r="P1721" t="str">
        <f t="shared" si="79"/>
        <v xml:space="preserve"> </v>
      </c>
      <c r="Q1721" t="str">
        <f t="shared" si="80"/>
        <v>Unfavorable</v>
      </c>
    </row>
    <row r="1722" spans="1:17">
      <c r="A1722" t="s">
        <v>1732</v>
      </c>
      <c r="B1722" s="2">
        <v>45015</v>
      </c>
      <c r="C1722">
        <v>4010</v>
      </c>
      <c r="D1722" t="s">
        <v>2016</v>
      </c>
      <c r="E1722">
        <v>0</v>
      </c>
      <c r="F1722">
        <v>1623.32</v>
      </c>
      <c r="G1722" t="s">
        <v>2022</v>
      </c>
      <c r="H1722" t="s">
        <v>2023</v>
      </c>
      <c r="I1722" t="s">
        <v>3748</v>
      </c>
      <c r="J1722" t="s">
        <v>4030</v>
      </c>
      <c r="K1722" t="s">
        <v>4051</v>
      </c>
      <c r="L1722">
        <v>1623.32</v>
      </c>
      <c r="N1722">
        <f t="shared" si="78"/>
        <v>1623.32</v>
      </c>
      <c r="O1722" t="s">
        <v>4104</v>
      </c>
      <c r="P1722" t="str">
        <f t="shared" si="79"/>
        <v xml:space="preserve"> </v>
      </c>
      <c r="Q1722" t="str">
        <f t="shared" si="80"/>
        <v>Favorable</v>
      </c>
    </row>
    <row r="1723" spans="1:17">
      <c r="A1723" t="s">
        <v>1733</v>
      </c>
      <c r="B1723" s="2">
        <v>45133</v>
      </c>
      <c r="C1723">
        <v>6000</v>
      </c>
      <c r="D1723" t="s">
        <v>2014</v>
      </c>
      <c r="E1723">
        <v>770.91</v>
      </c>
      <c r="F1723">
        <v>0</v>
      </c>
      <c r="G1723" t="s">
        <v>2022</v>
      </c>
      <c r="H1723" t="s">
        <v>2027</v>
      </c>
      <c r="I1723" t="s">
        <v>3749</v>
      </c>
      <c r="J1723" t="s">
        <v>4030</v>
      </c>
      <c r="K1723" t="s">
        <v>4050</v>
      </c>
      <c r="L1723">
        <v>-770.91</v>
      </c>
      <c r="N1723">
        <f t="shared" si="78"/>
        <v>-770.91</v>
      </c>
      <c r="O1723" t="s">
        <v>4104</v>
      </c>
      <c r="P1723" t="str">
        <f t="shared" si="79"/>
        <v xml:space="preserve"> </v>
      </c>
      <c r="Q1723" t="str">
        <f t="shared" si="80"/>
        <v>Unfavorable</v>
      </c>
    </row>
    <row r="1724" spans="1:17">
      <c r="A1724" t="s">
        <v>1734</v>
      </c>
      <c r="B1724" s="2">
        <v>45379</v>
      </c>
      <c r="C1724">
        <v>4010</v>
      </c>
      <c r="D1724" t="s">
        <v>2016</v>
      </c>
      <c r="E1724">
        <v>0</v>
      </c>
      <c r="F1724">
        <v>3597.73</v>
      </c>
      <c r="G1724" t="s">
        <v>2017</v>
      </c>
      <c r="H1724" t="s">
        <v>2024</v>
      </c>
      <c r="I1724" t="s">
        <v>3750</v>
      </c>
      <c r="J1724" t="s">
        <v>4032</v>
      </c>
      <c r="K1724" t="s">
        <v>4049</v>
      </c>
      <c r="L1724">
        <v>3597.73</v>
      </c>
      <c r="N1724">
        <f t="shared" si="78"/>
        <v>3597.73</v>
      </c>
      <c r="O1724" t="s">
        <v>4104</v>
      </c>
      <c r="P1724" t="str">
        <f t="shared" si="79"/>
        <v xml:space="preserve"> </v>
      </c>
      <c r="Q1724" t="str">
        <f t="shared" si="80"/>
        <v>Favorable</v>
      </c>
    </row>
    <row r="1725" spans="1:17">
      <c r="A1725" t="s">
        <v>1735</v>
      </c>
      <c r="B1725" s="2">
        <v>45730</v>
      </c>
      <c r="C1725">
        <v>5000</v>
      </c>
      <c r="D1725" t="s">
        <v>2013</v>
      </c>
      <c r="E1725">
        <v>468</v>
      </c>
      <c r="F1725">
        <v>0</v>
      </c>
      <c r="G1725" t="s">
        <v>2021</v>
      </c>
      <c r="H1725" t="s">
        <v>2027</v>
      </c>
      <c r="I1725" t="s">
        <v>3751</v>
      </c>
      <c r="J1725" t="s">
        <v>4031</v>
      </c>
      <c r="K1725" t="s">
        <v>4046</v>
      </c>
      <c r="L1725">
        <v>-468</v>
      </c>
      <c r="N1725">
        <f t="shared" si="78"/>
        <v>-468</v>
      </c>
      <c r="O1725" t="s">
        <v>4104</v>
      </c>
      <c r="P1725" t="str">
        <f t="shared" si="79"/>
        <v xml:space="preserve"> </v>
      </c>
      <c r="Q1725" t="str">
        <f t="shared" si="80"/>
        <v>Unfavorable</v>
      </c>
    </row>
    <row r="1726" spans="1:17">
      <c r="A1726" t="s">
        <v>1736</v>
      </c>
      <c r="B1726" s="2">
        <v>45439</v>
      </c>
      <c r="C1726">
        <v>6000</v>
      </c>
      <c r="D1726" t="s">
        <v>2014</v>
      </c>
      <c r="E1726">
        <v>1093.3800000000001</v>
      </c>
      <c r="F1726">
        <v>0</v>
      </c>
      <c r="G1726" t="s">
        <v>2019</v>
      </c>
      <c r="H1726" t="s">
        <v>2024</v>
      </c>
      <c r="I1726" t="s">
        <v>3752</v>
      </c>
      <c r="J1726" t="s">
        <v>4030</v>
      </c>
      <c r="K1726" t="s">
        <v>4033</v>
      </c>
      <c r="L1726">
        <v>-1093.3800000000001</v>
      </c>
      <c r="N1726">
        <f t="shared" si="78"/>
        <v>-1093.3800000000001</v>
      </c>
      <c r="O1726" t="s">
        <v>4104</v>
      </c>
      <c r="P1726" t="str">
        <f t="shared" si="79"/>
        <v xml:space="preserve"> </v>
      </c>
      <c r="Q1726" t="str">
        <f t="shared" si="80"/>
        <v>Unfavorable</v>
      </c>
    </row>
    <row r="1727" spans="1:17">
      <c r="A1727" t="s">
        <v>1737</v>
      </c>
      <c r="B1727" s="2">
        <v>45429</v>
      </c>
      <c r="C1727">
        <v>4010</v>
      </c>
      <c r="D1727" t="s">
        <v>2016</v>
      </c>
      <c r="E1727">
        <v>0</v>
      </c>
      <c r="F1727">
        <v>1791.26</v>
      </c>
      <c r="G1727" t="s">
        <v>2019</v>
      </c>
      <c r="H1727" t="s">
        <v>2026</v>
      </c>
      <c r="I1727" t="s">
        <v>3753</v>
      </c>
      <c r="J1727" t="s">
        <v>4031</v>
      </c>
      <c r="K1727" t="s">
        <v>4033</v>
      </c>
      <c r="L1727">
        <v>1791.26</v>
      </c>
      <c r="N1727">
        <f t="shared" si="78"/>
        <v>1791.26</v>
      </c>
      <c r="O1727" t="s">
        <v>4104</v>
      </c>
      <c r="P1727" t="str">
        <f t="shared" si="79"/>
        <v xml:space="preserve"> </v>
      </c>
      <c r="Q1727" t="str">
        <f t="shared" si="80"/>
        <v>Favorable</v>
      </c>
    </row>
    <row r="1728" spans="1:17">
      <c r="A1728" t="s">
        <v>1738</v>
      </c>
      <c r="B1728" s="2">
        <v>45760</v>
      </c>
      <c r="C1728">
        <v>4010</v>
      </c>
      <c r="D1728" t="s">
        <v>2016</v>
      </c>
      <c r="E1728">
        <v>0</v>
      </c>
      <c r="F1728">
        <v>2175.02</v>
      </c>
      <c r="G1728" t="s">
        <v>2018</v>
      </c>
      <c r="H1728" t="s">
        <v>2025</v>
      </c>
      <c r="I1728" t="s">
        <v>3754</v>
      </c>
      <c r="J1728" t="s">
        <v>4028</v>
      </c>
      <c r="K1728" t="s">
        <v>4045</v>
      </c>
      <c r="L1728">
        <v>2175.02</v>
      </c>
      <c r="N1728">
        <f t="shared" si="78"/>
        <v>2175.02</v>
      </c>
      <c r="O1728" t="s">
        <v>4104</v>
      </c>
      <c r="P1728" t="str">
        <f t="shared" si="79"/>
        <v xml:space="preserve"> </v>
      </c>
      <c r="Q1728" t="str">
        <f t="shared" si="80"/>
        <v>Favorable</v>
      </c>
    </row>
    <row r="1729" spans="1:17">
      <c r="A1729" t="s">
        <v>1739</v>
      </c>
      <c r="B1729" s="2">
        <v>45677</v>
      </c>
      <c r="C1729">
        <v>6000</v>
      </c>
      <c r="D1729" t="s">
        <v>2014</v>
      </c>
      <c r="E1729">
        <v>1574.77</v>
      </c>
      <c r="F1729">
        <v>0</v>
      </c>
      <c r="G1729" t="s">
        <v>2017</v>
      </c>
      <c r="H1729" t="s">
        <v>2023</v>
      </c>
      <c r="I1729" t="s">
        <v>3755</v>
      </c>
      <c r="J1729" t="s">
        <v>4032</v>
      </c>
      <c r="K1729" t="s">
        <v>4035</v>
      </c>
      <c r="L1729">
        <v>-1574.77</v>
      </c>
      <c r="N1729">
        <f t="shared" si="78"/>
        <v>-1574.77</v>
      </c>
      <c r="O1729" t="s">
        <v>4104</v>
      </c>
      <c r="P1729" t="str">
        <f t="shared" si="79"/>
        <v xml:space="preserve"> </v>
      </c>
      <c r="Q1729" t="str">
        <f t="shared" si="80"/>
        <v>Unfavorable</v>
      </c>
    </row>
    <row r="1730" spans="1:17">
      <c r="A1730" t="s">
        <v>1740</v>
      </c>
      <c r="B1730" s="2">
        <v>45674</v>
      </c>
      <c r="C1730">
        <v>5000</v>
      </c>
      <c r="D1730" t="s">
        <v>2013</v>
      </c>
      <c r="E1730">
        <v>1527.19</v>
      </c>
      <c r="F1730">
        <v>0</v>
      </c>
      <c r="G1730" t="s">
        <v>2022</v>
      </c>
      <c r="H1730" t="s">
        <v>2027</v>
      </c>
      <c r="I1730" t="s">
        <v>3756</v>
      </c>
      <c r="J1730" t="s">
        <v>4028</v>
      </c>
      <c r="K1730" t="s">
        <v>4035</v>
      </c>
      <c r="L1730">
        <v>-1527.19</v>
      </c>
      <c r="N1730">
        <f t="shared" si="78"/>
        <v>-1527.19</v>
      </c>
      <c r="O1730" t="s">
        <v>4104</v>
      </c>
      <c r="P1730" t="str">
        <f t="shared" si="79"/>
        <v xml:space="preserve"> </v>
      </c>
      <c r="Q1730" t="str">
        <f t="shared" si="80"/>
        <v>Unfavorable</v>
      </c>
    </row>
    <row r="1731" spans="1:17">
      <c r="A1731" t="s">
        <v>1741</v>
      </c>
      <c r="B1731" s="2">
        <v>45277</v>
      </c>
      <c r="C1731">
        <v>5010</v>
      </c>
      <c r="D1731" t="s">
        <v>2015</v>
      </c>
      <c r="E1731">
        <v>235.69</v>
      </c>
      <c r="F1731">
        <v>0</v>
      </c>
      <c r="G1731" t="s">
        <v>2022</v>
      </c>
      <c r="H1731" t="s">
        <v>2024</v>
      </c>
      <c r="I1731" t="s">
        <v>3757</v>
      </c>
      <c r="J1731" t="s">
        <v>4030</v>
      </c>
      <c r="K1731" t="s">
        <v>4039</v>
      </c>
      <c r="L1731">
        <v>-235.69</v>
      </c>
      <c r="N1731">
        <f t="shared" ref="N1731:N1794" si="81">L:L-M:M</f>
        <v>-235.69</v>
      </c>
      <c r="O1731" t="s">
        <v>4104</v>
      </c>
      <c r="P1731" t="str">
        <f t="shared" ref="P1731:P1794" si="82">IF(AND(ABS(N:N)&gt;10000,M:M&lt;&gt;0),"Material", " ")</f>
        <v xml:space="preserve"> </v>
      </c>
      <c r="Q1731" t="str">
        <f t="shared" ref="Q1731:Q1794" si="83">IF(N:N&gt;0,"Favorable","Unfavorable")</f>
        <v>Unfavorable</v>
      </c>
    </row>
    <row r="1732" spans="1:17">
      <c r="A1732" t="s">
        <v>1742</v>
      </c>
      <c r="B1732" s="2">
        <v>44999</v>
      </c>
      <c r="C1732">
        <v>4010</v>
      </c>
      <c r="D1732" t="s">
        <v>2016</v>
      </c>
      <c r="E1732">
        <v>0</v>
      </c>
      <c r="F1732">
        <v>1732.54</v>
      </c>
      <c r="G1732" t="s">
        <v>2018</v>
      </c>
      <c r="H1732" t="s">
        <v>2026</v>
      </c>
      <c r="I1732" t="s">
        <v>3758</v>
      </c>
      <c r="J1732" t="s">
        <v>4031</v>
      </c>
      <c r="K1732" t="s">
        <v>4051</v>
      </c>
      <c r="L1732">
        <v>1732.54</v>
      </c>
      <c r="N1732">
        <f t="shared" si="81"/>
        <v>1732.54</v>
      </c>
      <c r="O1732" t="s">
        <v>4104</v>
      </c>
      <c r="P1732" t="str">
        <f t="shared" si="82"/>
        <v xml:space="preserve"> </v>
      </c>
      <c r="Q1732" t="str">
        <f t="shared" si="83"/>
        <v>Favorable</v>
      </c>
    </row>
    <row r="1733" spans="1:17">
      <c r="A1733" t="s">
        <v>1743</v>
      </c>
      <c r="B1733" s="2">
        <v>45714</v>
      </c>
      <c r="C1733">
        <v>4010</v>
      </c>
      <c r="D1733" t="s">
        <v>2016</v>
      </c>
      <c r="E1733">
        <v>0</v>
      </c>
      <c r="F1733">
        <v>2626.2</v>
      </c>
      <c r="G1733" t="s">
        <v>2017</v>
      </c>
      <c r="H1733" t="s">
        <v>2025</v>
      </c>
      <c r="I1733" t="s">
        <v>3759</v>
      </c>
      <c r="J1733" t="s">
        <v>4032</v>
      </c>
      <c r="K1733" t="s">
        <v>4061</v>
      </c>
      <c r="L1733">
        <v>2626.2</v>
      </c>
      <c r="N1733">
        <f t="shared" si="81"/>
        <v>2626.2</v>
      </c>
      <c r="O1733" t="s">
        <v>4104</v>
      </c>
      <c r="P1733" t="str">
        <f t="shared" si="82"/>
        <v xml:space="preserve"> </v>
      </c>
      <c r="Q1733" t="str">
        <f t="shared" si="83"/>
        <v>Favorable</v>
      </c>
    </row>
    <row r="1734" spans="1:17">
      <c r="A1734" t="s">
        <v>1744</v>
      </c>
      <c r="B1734" s="2">
        <v>45008</v>
      </c>
      <c r="C1734">
        <v>5010</v>
      </c>
      <c r="D1734" t="s">
        <v>2015</v>
      </c>
      <c r="E1734">
        <v>1253</v>
      </c>
      <c r="F1734">
        <v>0</v>
      </c>
      <c r="G1734" t="s">
        <v>2017</v>
      </c>
      <c r="H1734" t="s">
        <v>2023</v>
      </c>
      <c r="I1734" t="s">
        <v>3760</v>
      </c>
      <c r="J1734" t="s">
        <v>4029</v>
      </c>
      <c r="K1734" t="s">
        <v>4051</v>
      </c>
      <c r="L1734">
        <v>-1253</v>
      </c>
      <c r="N1734">
        <f t="shared" si="81"/>
        <v>-1253</v>
      </c>
      <c r="O1734" t="s">
        <v>4104</v>
      </c>
      <c r="P1734" t="str">
        <f t="shared" si="82"/>
        <v xml:space="preserve"> </v>
      </c>
      <c r="Q1734" t="str">
        <f t="shared" si="83"/>
        <v>Unfavorable</v>
      </c>
    </row>
    <row r="1735" spans="1:17">
      <c r="A1735" t="s">
        <v>1745</v>
      </c>
      <c r="B1735" s="2">
        <v>45667</v>
      </c>
      <c r="C1735">
        <v>5000</v>
      </c>
      <c r="D1735" t="s">
        <v>2013</v>
      </c>
      <c r="E1735">
        <v>698.8</v>
      </c>
      <c r="F1735">
        <v>0</v>
      </c>
      <c r="G1735" t="s">
        <v>2019</v>
      </c>
      <c r="H1735" t="s">
        <v>2027</v>
      </c>
      <c r="I1735" t="s">
        <v>3761</v>
      </c>
      <c r="J1735" t="s">
        <v>4032</v>
      </c>
      <c r="K1735" t="s">
        <v>4035</v>
      </c>
      <c r="L1735">
        <v>-698.8</v>
      </c>
      <c r="N1735">
        <f t="shared" si="81"/>
        <v>-698.8</v>
      </c>
      <c r="O1735" t="s">
        <v>4104</v>
      </c>
      <c r="P1735" t="str">
        <f t="shared" si="82"/>
        <v xml:space="preserve"> </v>
      </c>
      <c r="Q1735" t="str">
        <f t="shared" si="83"/>
        <v>Unfavorable</v>
      </c>
    </row>
    <row r="1736" spans="1:17">
      <c r="A1736" t="s">
        <v>1746</v>
      </c>
      <c r="B1736" s="2">
        <v>45375</v>
      </c>
      <c r="C1736">
        <v>4000</v>
      </c>
      <c r="D1736" t="s">
        <v>2012</v>
      </c>
      <c r="E1736">
        <v>0</v>
      </c>
      <c r="F1736">
        <v>1651.12</v>
      </c>
      <c r="G1736" t="s">
        <v>2020</v>
      </c>
      <c r="H1736" t="s">
        <v>2023</v>
      </c>
      <c r="I1736" t="s">
        <v>3762</v>
      </c>
      <c r="J1736" t="s">
        <v>4030</v>
      </c>
      <c r="K1736" t="s">
        <v>4049</v>
      </c>
      <c r="L1736">
        <v>1651.12</v>
      </c>
      <c r="N1736">
        <f t="shared" si="81"/>
        <v>1651.12</v>
      </c>
      <c r="O1736" t="s">
        <v>4104</v>
      </c>
      <c r="P1736" t="str">
        <f t="shared" si="82"/>
        <v xml:space="preserve"> </v>
      </c>
      <c r="Q1736" t="str">
        <f t="shared" si="83"/>
        <v>Favorable</v>
      </c>
    </row>
    <row r="1737" spans="1:17">
      <c r="A1737" t="s">
        <v>1747</v>
      </c>
      <c r="B1737" s="2">
        <v>45414</v>
      </c>
      <c r="C1737">
        <v>4010</v>
      </c>
      <c r="D1737" t="s">
        <v>2016</v>
      </c>
      <c r="E1737">
        <v>0</v>
      </c>
      <c r="F1737">
        <v>4999.53</v>
      </c>
      <c r="G1737" t="s">
        <v>2021</v>
      </c>
      <c r="H1737" t="s">
        <v>2023</v>
      </c>
      <c r="I1737" t="s">
        <v>3763</v>
      </c>
      <c r="J1737" t="s">
        <v>4032</v>
      </c>
      <c r="K1737" t="s">
        <v>4033</v>
      </c>
      <c r="L1737">
        <v>4999.53</v>
      </c>
      <c r="N1737">
        <f t="shared" si="81"/>
        <v>4999.53</v>
      </c>
      <c r="O1737" t="s">
        <v>4104</v>
      </c>
      <c r="P1737" t="str">
        <f t="shared" si="82"/>
        <v xml:space="preserve"> </v>
      </c>
      <c r="Q1737" t="str">
        <f t="shared" si="83"/>
        <v>Favorable</v>
      </c>
    </row>
    <row r="1738" spans="1:17">
      <c r="A1738" t="s">
        <v>1748</v>
      </c>
      <c r="B1738" s="2">
        <v>45792</v>
      </c>
      <c r="C1738">
        <v>5000</v>
      </c>
      <c r="D1738" t="s">
        <v>2013</v>
      </c>
      <c r="E1738">
        <v>600.07000000000005</v>
      </c>
      <c r="F1738">
        <v>0</v>
      </c>
      <c r="G1738" t="s">
        <v>2018</v>
      </c>
      <c r="H1738" t="s">
        <v>2024</v>
      </c>
      <c r="I1738" t="s">
        <v>3764</v>
      </c>
      <c r="J1738" t="s">
        <v>4029</v>
      </c>
      <c r="K1738" t="s">
        <v>4038</v>
      </c>
      <c r="L1738">
        <v>-600.07000000000005</v>
      </c>
      <c r="N1738">
        <f t="shared" si="81"/>
        <v>-600.07000000000005</v>
      </c>
      <c r="O1738" t="s">
        <v>4104</v>
      </c>
      <c r="P1738" t="str">
        <f t="shared" si="82"/>
        <v xml:space="preserve"> </v>
      </c>
      <c r="Q1738" t="str">
        <f t="shared" si="83"/>
        <v>Unfavorable</v>
      </c>
    </row>
    <row r="1739" spans="1:17">
      <c r="A1739" t="s">
        <v>1749</v>
      </c>
      <c r="B1739" s="2">
        <v>45055</v>
      </c>
      <c r="C1739">
        <v>6000</v>
      </c>
      <c r="D1739" t="s">
        <v>2014</v>
      </c>
      <c r="E1739">
        <v>1136.96</v>
      </c>
      <c r="F1739">
        <v>0</v>
      </c>
      <c r="G1739" t="s">
        <v>2022</v>
      </c>
      <c r="H1739" t="s">
        <v>2026</v>
      </c>
      <c r="I1739" t="s">
        <v>3765</v>
      </c>
      <c r="J1739" t="s">
        <v>4031</v>
      </c>
      <c r="K1739" t="s">
        <v>4062</v>
      </c>
      <c r="L1739">
        <v>-1136.96</v>
      </c>
      <c r="N1739">
        <f t="shared" si="81"/>
        <v>-1136.96</v>
      </c>
      <c r="O1739" t="s">
        <v>4104</v>
      </c>
      <c r="P1739" t="str">
        <f t="shared" si="82"/>
        <v xml:space="preserve"> </v>
      </c>
      <c r="Q1739" t="str">
        <f t="shared" si="83"/>
        <v>Unfavorable</v>
      </c>
    </row>
    <row r="1740" spans="1:17">
      <c r="A1740" t="s">
        <v>1750</v>
      </c>
      <c r="B1740" s="2">
        <v>45354</v>
      </c>
      <c r="C1740">
        <v>4010</v>
      </c>
      <c r="D1740" t="s">
        <v>2016</v>
      </c>
      <c r="E1740">
        <v>0</v>
      </c>
      <c r="F1740">
        <v>3007.82</v>
      </c>
      <c r="G1740" t="s">
        <v>2022</v>
      </c>
      <c r="H1740" t="s">
        <v>2027</v>
      </c>
      <c r="I1740" t="s">
        <v>3766</v>
      </c>
      <c r="J1740" t="s">
        <v>4031</v>
      </c>
      <c r="K1740" t="s">
        <v>4049</v>
      </c>
      <c r="L1740">
        <v>3007.82</v>
      </c>
      <c r="N1740">
        <f t="shared" si="81"/>
        <v>3007.82</v>
      </c>
      <c r="O1740" t="s">
        <v>4104</v>
      </c>
      <c r="P1740" t="str">
        <f t="shared" si="82"/>
        <v xml:space="preserve"> </v>
      </c>
      <c r="Q1740" t="str">
        <f t="shared" si="83"/>
        <v>Favorable</v>
      </c>
    </row>
    <row r="1741" spans="1:17">
      <c r="A1741" t="s">
        <v>1751</v>
      </c>
      <c r="B1741" s="2">
        <v>45487</v>
      </c>
      <c r="C1741">
        <v>4010</v>
      </c>
      <c r="D1741" t="s">
        <v>2016</v>
      </c>
      <c r="E1741">
        <v>0</v>
      </c>
      <c r="F1741">
        <v>2023.01</v>
      </c>
      <c r="G1741" t="s">
        <v>2020</v>
      </c>
      <c r="H1741" t="s">
        <v>2027</v>
      </c>
      <c r="I1741" t="s">
        <v>3767</v>
      </c>
      <c r="J1741" t="s">
        <v>4028</v>
      </c>
      <c r="K1741" t="s">
        <v>4054</v>
      </c>
      <c r="L1741">
        <v>2023.01</v>
      </c>
      <c r="N1741">
        <f t="shared" si="81"/>
        <v>2023.01</v>
      </c>
      <c r="O1741" t="s">
        <v>4104</v>
      </c>
      <c r="P1741" t="str">
        <f t="shared" si="82"/>
        <v xml:space="preserve"> </v>
      </c>
      <c r="Q1741" t="str">
        <f t="shared" si="83"/>
        <v>Favorable</v>
      </c>
    </row>
    <row r="1742" spans="1:17">
      <c r="A1742" t="s">
        <v>1752</v>
      </c>
      <c r="B1742" s="2">
        <v>45397</v>
      </c>
      <c r="C1742">
        <v>4000</v>
      </c>
      <c r="D1742" t="s">
        <v>2012</v>
      </c>
      <c r="E1742">
        <v>0</v>
      </c>
      <c r="F1742">
        <v>3884.34</v>
      </c>
      <c r="G1742" t="s">
        <v>2019</v>
      </c>
      <c r="H1742" t="s">
        <v>2023</v>
      </c>
      <c r="I1742" t="s">
        <v>3768</v>
      </c>
      <c r="J1742" t="s">
        <v>4028</v>
      </c>
      <c r="K1742" t="s">
        <v>4040</v>
      </c>
      <c r="L1742">
        <v>3884.34</v>
      </c>
      <c r="N1742">
        <f t="shared" si="81"/>
        <v>3884.34</v>
      </c>
      <c r="O1742" t="s">
        <v>4104</v>
      </c>
      <c r="P1742" t="str">
        <f t="shared" si="82"/>
        <v xml:space="preserve"> </v>
      </c>
      <c r="Q1742" t="str">
        <f t="shared" si="83"/>
        <v>Favorable</v>
      </c>
    </row>
    <row r="1743" spans="1:17">
      <c r="A1743" t="s">
        <v>1753</v>
      </c>
      <c r="B1743" s="2">
        <v>45327</v>
      </c>
      <c r="C1743">
        <v>4000</v>
      </c>
      <c r="D1743" t="s">
        <v>2012</v>
      </c>
      <c r="E1743">
        <v>0</v>
      </c>
      <c r="F1743">
        <v>225.78</v>
      </c>
      <c r="G1743" t="s">
        <v>2020</v>
      </c>
      <c r="H1743" t="s">
        <v>2025</v>
      </c>
      <c r="I1743" t="s">
        <v>3769</v>
      </c>
      <c r="J1743" t="s">
        <v>4029</v>
      </c>
      <c r="K1743" t="s">
        <v>4044</v>
      </c>
      <c r="L1743">
        <v>225.78</v>
      </c>
      <c r="N1743">
        <f t="shared" si="81"/>
        <v>225.78</v>
      </c>
      <c r="O1743" t="s">
        <v>4104</v>
      </c>
      <c r="P1743" t="str">
        <f t="shared" si="82"/>
        <v xml:space="preserve"> </v>
      </c>
      <c r="Q1743" t="str">
        <f t="shared" si="83"/>
        <v>Favorable</v>
      </c>
    </row>
    <row r="1744" spans="1:17">
      <c r="A1744" t="s">
        <v>1754</v>
      </c>
      <c r="B1744" s="2">
        <v>45622</v>
      </c>
      <c r="C1744">
        <v>4000</v>
      </c>
      <c r="D1744" t="s">
        <v>2012</v>
      </c>
      <c r="E1744">
        <v>0</v>
      </c>
      <c r="F1744">
        <v>2518.37</v>
      </c>
      <c r="G1744" t="s">
        <v>2019</v>
      </c>
      <c r="H1744" t="s">
        <v>2026</v>
      </c>
      <c r="I1744" t="s">
        <v>3770</v>
      </c>
      <c r="J1744" t="s">
        <v>4030</v>
      </c>
      <c r="K1744" t="s">
        <v>4043</v>
      </c>
      <c r="L1744">
        <v>2518.37</v>
      </c>
      <c r="N1744">
        <f t="shared" si="81"/>
        <v>2518.37</v>
      </c>
      <c r="O1744" t="s">
        <v>4104</v>
      </c>
      <c r="P1744" t="str">
        <f t="shared" si="82"/>
        <v xml:space="preserve"> </v>
      </c>
      <c r="Q1744" t="str">
        <f t="shared" si="83"/>
        <v>Favorable</v>
      </c>
    </row>
    <row r="1745" spans="1:17">
      <c r="A1745" t="s">
        <v>1755</v>
      </c>
      <c r="B1745" s="2">
        <v>45590</v>
      </c>
      <c r="C1745">
        <v>5000</v>
      </c>
      <c r="D1745" t="s">
        <v>2013</v>
      </c>
      <c r="E1745">
        <v>847.09</v>
      </c>
      <c r="F1745">
        <v>0</v>
      </c>
      <c r="G1745" t="s">
        <v>2021</v>
      </c>
      <c r="H1745" t="s">
        <v>2026</v>
      </c>
      <c r="I1745" t="s">
        <v>3771</v>
      </c>
      <c r="J1745" t="s">
        <v>4028</v>
      </c>
      <c r="K1745" t="s">
        <v>4059</v>
      </c>
      <c r="L1745">
        <v>-847.09</v>
      </c>
      <c r="N1745">
        <f t="shared" si="81"/>
        <v>-847.09</v>
      </c>
      <c r="O1745" t="s">
        <v>4104</v>
      </c>
      <c r="P1745" t="str">
        <f t="shared" si="82"/>
        <v xml:space="preserve"> </v>
      </c>
      <c r="Q1745" t="str">
        <f t="shared" si="83"/>
        <v>Unfavorable</v>
      </c>
    </row>
    <row r="1746" spans="1:17">
      <c r="A1746" t="s">
        <v>1756</v>
      </c>
      <c r="B1746" s="2">
        <v>45331</v>
      </c>
      <c r="C1746">
        <v>6000</v>
      </c>
      <c r="D1746" t="s">
        <v>2014</v>
      </c>
      <c r="E1746">
        <v>121.29</v>
      </c>
      <c r="F1746">
        <v>0</v>
      </c>
      <c r="G1746" t="s">
        <v>2022</v>
      </c>
      <c r="H1746" t="s">
        <v>2025</v>
      </c>
      <c r="I1746" t="s">
        <v>3772</v>
      </c>
      <c r="J1746" t="s">
        <v>4029</v>
      </c>
      <c r="K1746" t="s">
        <v>4044</v>
      </c>
      <c r="L1746">
        <v>-121.29</v>
      </c>
      <c r="N1746">
        <f t="shared" si="81"/>
        <v>-121.29</v>
      </c>
      <c r="O1746" t="s">
        <v>4104</v>
      </c>
      <c r="P1746" t="str">
        <f t="shared" si="82"/>
        <v xml:space="preserve"> </v>
      </c>
      <c r="Q1746" t="str">
        <f t="shared" si="83"/>
        <v>Unfavorable</v>
      </c>
    </row>
    <row r="1747" spans="1:17">
      <c r="A1747" t="s">
        <v>1757</v>
      </c>
      <c r="B1747" s="2">
        <v>45385</v>
      </c>
      <c r="C1747">
        <v>6000</v>
      </c>
      <c r="D1747" t="s">
        <v>2014</v>
      </c>
      <c r="E1747">
        <v>1357.35</v>
      </c>
      <c r="F1747">
        <v>0</v>
      </c>
      <c r="G1747" t="s">
        <v>2020</v>
      </c>
      <c r="H1747" t="s">
        <v>2024</v>
      </c>
      <c r="I1747" t="s">
        <v>3773</v>
      </c>
      <c r="J1747" t="s">
        <v>4031</v>
      </c>
      <c r="K1747" t="s">
        <v>4040</v>
      </c>
      <c r="L1747">
        <v>-1357.35</v>
      </c>
      <c r="N1747">
        <f t="shared" si="81"/>
        <v>-1357.35</v>
      </c>
      <c r="O1747" t="s">
        <v>4104</v>
      </c>
      <c r="P1747" t="str">
        <f t="shared" si="82"/>
        <v xml:space="preserve"> </v>
      </c>
      <c r="Q1747" t="str">
        <f t="shared" si="83"/>
        <v>Unfavorable</v>
      </c>
    </row>
    <row r="1748" spans="1:17">
      <c r="A1748" t="s">
        <v>1758</v>
      </c>
      <c r="B1748" s="2">
        <v>45066</v>
      </c>
      <c r="C1748">
        <v>4010</v>
      </c>
      <c r="D1748" t="s">
        <v>2016</v>
      </c>
      <c r="E1748">
        <v>0</v>
      </c>
      <c r="F1748">
        <v>1658.15</v>
      </c>
      <c r="G1748" t="s">
        <v>2022</v>
      </c>
      <c r="H1748" t="s">
        <v>2025</v>
      </c>
      <c r="I1748" t="s">
        <v>3774</v>
      </c>
      <c r="J1748" t="s">
        <v>4032</v>
      </c>
      <c r="K1748" t="s">
        <v>4062</v>
      </c>
      <c r="L1748">
        <v>1658.15</v>
      </c>
      <c r="N1748">
        <f t="shared" si="81"/>
        <v>1658.15</v>
      </c>
      <c r="O1748" t="s">
        <v>4104</v>
      </c>
      <c r="P1748" t="str">
        <f t="shared" si="82"/>
        <v xml:space="preserve"> </v>
      </c>
      <c r="Q1748" t="str">
        <f t="shared" si="83"/>
        <v>Favorable</v>
      </c>
    </row>
    <row r="1749" spans="1:17">
      <c r="A1749" t="s">
        <v>1759</v>
      </c>
      <c r="B1749" s="2">
        <v>45664</v>
      </c>
      <c r="C1749">
        <v>5010</v>
      </c>
      <c r="D1749" t="s">
        <v>2015</v>
      </c>
      <c r="E1749">
        <v>759.41</v>
      </c>
      <c r="F1749">
        <v>0</v>
      </c>
      <c r="G1749" t="s">
        <v>2021</v>
      </c>
      <c r="H1749" t="s">
        <v>2023</v>
      </c>
      <c r="I1749" t="s">
        <v>3775</v>
      </c>
      <c r="J1749" t="s">
        <v>4030</v>
      </c>
      <c r="K1749" t="s">
        <v>4035</v>
      </c>
      <c r="L1749">
        <v>-759.41</v>
      </c>
      <c r="N1749">
        <f t="shared" si="81"/>
        <v>-759.41</v>
      </c>
      <c r="O1749" t="s">
        <v>4104</v>
      </c>
      <c r="P1749" t="str">
        <f t="shared" si="82"/>
        <v xml:space="preserve"> </v>
      </c>
      <c r="Q1749" t="str">
        <f t="shared" si="83"/>
        <v>Unfavorable</v>
      </c>
    </row>
    <row r="1750" spans="1:17">
      <c r="A1750" t="s">
        <v>1760</v>
      </c>
      <c r="B1750" s="2">
        <v>45238</v>
      </c>
      <c r="C1750">
        <v>4000</v>
      </c>
      <c r="D1750" t="s">
        <v>2012</v>
      </c>
      <c r="E1750">
        <v>0</v>
      </c>
      <c r="F1750">
        <v>4703.2</v>
      </c>
      <c r="G1750" t="s">
        <v>2022</v>
      </c>
      <c r="H1750" t="s">
        <v>2025</v>
      </c>
      <c r="I1750" t="s">
        <v>3776</v>
      </c>
      <c r="J1750" t="s">
        <v>4029</v>
      </c>
      <c r="K1750" t="s">
        <v>4042</v>
      </c>
      <c r="L1750">
        <v>4703.2</v>
      </c>
      <c r="N1750">
        <f t="shared" si="81"/>
        <v>4703.2</v>
      </c>
      <c r="O1750" t="s">
        <v>4104</v>
      </c>
      <c r="P1750" t="str">
        <f t="shared" si="82"/>
        <v xml:space="preserve"> </v>
      </c>
      <c r="Q1750" t="str">
        <f t="shared" si="83"/>
        <v>Favorable</v>
      </c>
    </row>
    <row r="1751" spans="1:17">
      <c r="A1751" t="s">
        <v>1761</v>
      </c>
      <c r="B1751" s="2">
        <v>45156</v>
      </c>
      <c r="C1751">
        <v>4010</v>
      </c>
      <c r="D1751" t="s">
        <v>2016</v>
      </c>
      <c r="E1751">
        <v>0</v>
      </c>
      <c r="F1751">
        <v>528.16999999999996</v>
      </c>
      <c r="G1751" t="s">
        <v>2020</v>
      </c>
      <c r="H1751" t="s">
        <v>2026</v>
      </c>
      <c r="I1751" t="s">
        <v>3777</v>
      </c>
      <c r="J1751" t="s">
        <v>4029</v>
      </c>
      <c r="K1751" t="s">
        <v>4037</v>
      </c>
      <c r="L1751">
        <v>528.16999999999996</v>
      </c>
      <c r="N1751">
        <f t="shared" si="81"/>
        <v>528.16999999999996</v>
      </c>
      <c r="O1751" t="s">
        <v>4104</v>
      </c>
      <c r="P1751" t="str">
        <f t="shared" si="82"/>
        <v xml:space="preserve"> </v>
      </c>
      <c r="Q1751" t="str">
        <f t="shared" si="83"/>
        <v>Favorable</v>
      </c>
    </row>
    <row r="1752" spans="1:17">
      <c r="A1752" t="s">
        <v>1762</v>
      </c>
      <c r="B1752" s="2">
        <v>45142</v>
      </c>
      <c r="C1752">
        <v>4000</v>
      </c>
      <c r="D1752" t="s">
        <v>2012</v>
      </c>
      <c r="E1752">
        <v>0</v>
      </c>
      <c r="F1752">
        <v>4978.6499999999996</v>
      </c>
      <c r="G1752" t="s">
        <v>2019</v>
      </c>
      <c r="H1752" t="s">
        <v>2023</v>
      </c>
      <c r="I1752" t="s">
        <v>3778</v>
      </c>
      <c r="J1752" t="s">
        <v>4031</v>
      </c>
      <c r="K1752" t="s">
        <v>4037</v>
      </c>
      <c r="L1752">
        <v>4978.6499999999996</v>
      </c>
      <c r="N1752">
        <f t="shared" si="81"/>
        <v>4978.6499999999996</v>
      </c>
      <c r="O1752" t="s">
        <v>4104</v>
      </c>
      <c r="P1752" t="str">
        <f t="shared" si="82"/>
        <v xml:space="preserve"> </v>
      </c>
      <c r="Q1752" t="str">
        <f t="shared" si="83"/>
        <v>Favorable</v>
      </c>
    </row>
    <row r="1753" spans="1:17">
      <c r="A1753" t="s">
        <v>1763</v>
      </c>
      <c r="B1753" s="2">
        <v>45838</v>
      </c>
      <c r="C1753">
        <v>6000</v>
      </c>
      <c r="D1753" t="s">
        <v>2014</v>
      </c>
      <c r="E1753">
        <v>912.48</v>
      </c>
      <c r="F1753">
        <v>0</v>
      </c>
      <c r="G1753" t="s">
        <v>2021</v>
      </c>
      <c r="H1753" t="s">
        <v>2023</v>
      </c>
      <c r="I1753" t="s">
        <v>3779</v>
      </c>
      <c r="J1753" t="s">
        <v>4029</v>
      </c>
      <c r="K1753" t="s">
        <v>4052</v>
      </c>
      <c r="L1753">
        <v>-912.48</v>
      </c>
      <c r="N1753">
        <f t="shared" si="81"/>
        <v>-912.48</v>
      </c>
      <c r="O1753" t="s">
        <v>4104</v>
      </c>
      <c r="P1753" t="str">
        <f t="shared" si="82"/>
        <v xml:space="preserve"> </v>
      </c>
      <c r="Q1753" t="str">
        <f t="shared" si="83"/>
        <v>Unfavorable</v>
      </c>
    </row>
    <row r="1754" spans="1:17">
      <c r="A1754" t="s">
        <v>1764</v>
      </c>
      <c r="B1754" s="2">
        <v>45721</v>
      </c>
      <c r="C1754">
        <v>4000</v>
      </c>
      <c r="D1754" t="s">
        <v>2012</v>
      </c>
      <c r="E1754">
        <v>0</v>
      </c>
      <c r="F1754">
        <v>3719.23</v>
      </c>
      <c r="G1754" t="s">
        <v>2019</v>
      </c>
      <c r="H1754" t="s">
        <v>2027</v>
      </c>
      <c r="I1754" t="s">
        <v>3780</v>
      </c>
      <c r="J1754" t="s">
        <v>4028</v>
      </c>
      <c r="K1754" t="s">
        <v>4046</v>
      </c>
      <c r="L1754">
        <v>3719.23</v>
      </c>
      <c r="N1754">
        <f t="shared" si="81"/>
        <v>3719.23</v>
      </c>
      <c r="O1754" t="s">
        <v>4104</v>
      </c>
      <c r="P1754" t="str">
        <f t="shared" si="82"/>
        <v xml:space="preserve"> </v>
      </c>
      <c r="Q1754" t="str">
        <f t="shared" si="83"/>
        <v>Favorable</v>
      </c>
    </row>
    <row r="1755" spans="1:17">
      <c r="A1755" t="s">
        <v>1765</v>
      </c>
      <c r="B1755" s="2">
        <v>45664</v>
      </c>
      <c r="C1755">
        <v>5000</v>
      </c>
      <c r="D1755" t="s">
        <v>2013</v>
      </c>
      <c r="E1755">
        <v>136.12</v>
      </c>
      <c r="F1755">
        <v>0</v>
      </c>
      <c r="G1755" t="s">
        <v>2019</v>
      </c>
      <c r="H1755" t="s">
        <v>2027</v>
      </c>
      <c r="I1755" t="s">
        <v>3781</v>
      </c>
      <c r="J1755" t="s">
        <v>4028</v>
      </c>
      <c r="K1755" t="s">
        <v>4035</v>
      </c>
      <c r="L1755">
        <v>-136.12</v>
      </c>
      <c r="N1755">
        <f t="shared" si="81"/>
        <v>-136.12</v>
      </c>
      <c r="O1755" t="s">
        <v>4104</v>
      </c>
      <c r="P1755" t="str">
        <f t="shared" si="82"/>
        <v xml:space="preserve"> </v>
      </c>
      <c r="Q1755" t="str">
        <f t="shared" si="83"/>
        <v>Unfavorable</v>
      </c>
    </row>
    <row r="1756" spans="1:17">
      <c r="A1756" t="s">
        <v>1766</v>
      </c>
      <c r="B1756" s="2">
        <v>45557</v>
      </c>
      <c r="C1756">
        <v>5000</v>
      </c>
      <c r="D1756" t="s">
        <v>2013</v>
      </c>
      <c r="E1756">
        <v>501.66</v>
      </c>
      <c r="F1756">
        <v>0</v>
      </c>
      <c r="G1756" t="s">
        <v>2022</v>
      </c>
      <c r="H1756" t="s">
        <v>2025</v>
      </c>
      <c r="I1756" t="s">
        <v>3782</v>
      </c>
      <c r="J1756" t="s">
        <v>4030</v>
      </c>
      <c r="K1756" t="s">
        <v>4048</v>
      </c>
      <c r="L1756">
        <v>-501.66</v>
      </c>
      <c r="N1756">
        <f t="shared" si="81"/>
        <v>-501.66</v>
      </c>
      <c r="O1756" t="s">
        <v>4104</v>
      </c>
      <c r="P1756" t="str">
        <f t="shared" si="82"/>
        <v xml:space="preserve"> </v>
      </c>
      <c r="Q1756" t="str">
        <f t="shared" si="83"/>
        <v>Unfavorable</v>
      </c>
    </row>
    <row r="1757" spans="1:17">
      <c r="A1757" t="s">
        <v>1767</v>
      </c>
      <c r="B1757" s="2">
        <v>45788</v>
      </c>
      <c r="C1757">
        <v>4010</v>
      </c>
      <c r="D1757" t="s">
        <v>2016</v>
      </c>
      <c r="E1757">
        <v>0</v>
      </c>
      <c r="F1757">
        <v>4477.99</v>
      </c>
      <c r="G1757" t="s">
        <v>2022</v>
      </c>
      <c r="H1757" t="s">
        <v>2024</v>
      </c>
      <c r="I1757" t="s">
        <v>3783</v>
      </c>
      <c r="J1757" t="s">
        <v>4028</v>
      </c>
      <c r="K1757" t="s">
        <v>4038</v>
      </c>
      <c r="L1757">
        <v>4477.99</v>
      </c>
      <c r="N1757">
        <f t="shared" si="81"/>
        <v>4477.99</v>
      </c>
      <c r="O1757" t="s">
        <v>4104</v>
      </c>
      <c r="P1757" t="str">
        <f t="shared" si="82"/>
        <v xml:space="preserve"> </v>
      </c>
      <c r="Q1757" t="str">
        <f t="shared" si="83"/>
        <v>Favorable</v>
      </c>
    </row>
    <row r="1758" spans="1:17">
      <c r="A1758" t="s">
        <v>1768</v>
      </c>
      <c r="B1758" s="2">
        <v>45735</v>
      </c>
      <c r="C1758">
        <v>5000</v>
      </c>
      <c r="D1758" t="s">
        <v>2013</v>
      </c>
      <c r="E1758">
        <v>310.49</v>
      </c>
      <c r="F1758">
        <v>0</v>
      </c>
      <c r="G1758" t="s">
        <v>2018</v>
      </c>
      <c r="H1758" t="s">
        <v>2026</v>
      </c>
      <c r="I1758" t="s">
        <v>3784</v>
      </c>
      <c r="J1758" t="s">
        <v>4031</v>
      </c>
      <c r="K1758" t="s">
        <v>4046</v>
      </c>
      <c r="L1758">
        <v>-310.49</v>
      </c>
      <c r="N1758">
        <f t="shared" si="81"/>
        <v>-310.49</v>
      </c>
      <c r="O1758" t="s">
        <v>4104</v>
      </c>
      <c r="P1758" t="str">
        <f t="shared" si="82"/>
        <v xml:space="preserve"> </v>
      </c>
      <c r="Q1758" t="str">
        <f t="shared" si="83"/>
        <v>Unfavorable</v>
      </c>
    </row>
    <row r="1759" spans="1:17">
      <c r="A1759" t="s">
        <v>1769</v>
      </c>
      <c r="B1759" s="2">
        <v>45429</v>
      </c>
      <c r="C1759">
        <v>5010</v>
      </c>
      <c r="D1759" t="s">
        <v>2015</v>
      </c>
      <c r="E1759">
        <v>1687.77</v>
      </c>
      <c r="F1759">
        <v>0</v>
      </c>
      <c r="G1759" t="s">
        <v>2020</v>
      </c>
      <c r="H1759" t="s">
        <v>2026</v>
      </c>
      <c r="I1759" t="s">
        <v>3785</v>
      </c>
      <c r="J1759" t="s">
        <v>4032</v>
      </c>
      <c r="K1759" t="s">
        <v>4033</v>
      </c>
      <c r="L1759">
        <v>-1687.77</v>
      </c>
      <c r="N1759">
        <f t="shared" si="81"/>
        <v>-1687.77</v>
      </c>
      <c r="O1759" t="s">
        <v>4104</v>
      </c>
      <c r="P1759" t="str">
        <f t="shared" si="82"/>
        <v xml:space="preserve"> </v>
      </c>
      <c r="Q1759" t="str">
        <f t="shared" si="83"/>
        <v>Unfavorable</v>
      </c>
    </row>
    <row r="1760" spans="1:17">
      <c r="A1760" t="s">
        <v>1770</v>
      </c>
      <c r="B1760" s="2">
        <v>45376</v>
      </c>
      <c r="C1760">
        <v>4010</v>
      </c>
      <c r="D1760" t="s">
        <v>2016</v>
      </c>
      <c r="E1760">
        <v>0</v>
      </c>
      <c r="F1760">
        <v>3606.68</v>
      </c>
      <c r="G1760" t="s">
        <v>2017</v>
      </c>
      <c r="H1760" t="s">
        <v>2023</v>
      </c>
      <c r="I1760" t="s">
        <v>3786</v>
      </c>
      <c r="J1760" t="s">
        <v>4032</v>
      </c>
      <c r="K1760" t="s">
        <v>4049</v>
      </c>
      <c r="L1760">
        <v>3606.68</v>
      </c>
      <c r="N1760">
        <f t="shared" si="81"/>
        <v>3606.68</v>
      </c>
      <c r="O1760" t="s">
        <v>4104</v>
      </c>
      <c r="P1760" t="str">
        <f t="shared" si="82"/>
        <v xml:space="preserve"> </v>
      </c>
      <c r="Q1760" t="str">
        <f t="shared" si="83"/>
        <v>Favorable</v>
      </c>
    </row>
    <row r="1761" spans="1:17">
      <c r="A1761" t="s">
        <v>1771</v>
      </c>
      <c r="B1761" s="2">
        <v>45022</v>
      </c>
      <c r="C1761">
        <v>5010</v>
      </c>
      <c r="D1761" t="s">
        <v>2015</v>
      </c>
      <c r="E1761">
        <v>1726.93</v>
      </c>
      <c r="F1761">
        <v>0</v>
      </c>
      <c r="G1761" t="s">
        <v>2021</v>
      </c>
      <c r="H1761" t="s">
        <v>2025</v>
      </c>
      <c r="I1761" t="s">
        <v>3787</v>
      </c>
      <c r="J1761" t="s">
        <v>4030</v>
      </c>
      <c r="K1761" t="s">
        <v>4041</v>
      </c>
      <c r="L1761">
        <v>-1726.93</v>
      </c>
      <c r="N1761">
        <f t="shared" si="81"/>
        <v>-1726.93</v>
      </c>
      <c r="O1761" t="s">
        <v>4104</v>
      </c>
      <c r="P1761" t="str">
        <f t="shared" si="82"/>
        <v xml:space="preserve"> </v>
      </c>
      <c r="Q1761" t="str">
        <f t="shared" si="83"/>
        <v>Unfavorable</v>
      </c>
    </row>
    <row r="1762" spans="1:17">
      <c r="A1762" t="s">
        <v>1772</v>
      </c>
      <c r="B1762" s="2">
        <v>44998</v>
      </c>
      <c r="C1762">
        <v>4010</v>
      </c>
      <c r="D1762" t="s">
        <v>2016</v>
      </c>
      <c r="E1762">
        <v>0</v>
      </c>
      <c r="F1762">
        <v>4091.1</v>
      </c>
      <c r="G1762" t="s">
        <v>2022</v>
      </c>
      <c r="H1762" t="s">
        <v>2023</v>
      </c>
      <c r="I1762" t="s">
        <v>3788</v>
      </c>
      <c r="J1762" t="s">
        <v>4030</v>
      </c>
      <c r="K1762" t="s">
        <v>4051</v>
      </c>
      <c r="L1762">
        <v>4091.1</v>
      </c>
      <c r="N1762">
        <f t="shared" si="81"/>
        <v>4091.1</v>
      </c>
      <c r="O1762" t="s">
        <v>4104</v>
      </c>
      <c r="P1762" t="str">
        <f t="shared" si="82"/>
        <v xml:space="preserve"> </v>
      </c>
      <c r="Q1762" t="str">
        <f t="shared" si="83"/>
        <v>Favorable</v>
      </c>
    </row>
    <row r="1763" spans="1:17">
      <c r="A1763" t="s">
        <v>1773</v>
      </c>
      <c r="B1763" s="2">
        <v>45115</v>
      </c>
      <c r="C1763">
        <v>5000</v>
      </c>
      <c r="D1763" t="s">
        <v>2013</v>
      </c>
      <c r="E1763">
        <v>1712.78</v>
      </c>
      <c r="F1763">
        <v>0</v>
      </c>
      <c r="G1763" t="s">
        <v>2019</v>
      </c>
      <c r="H1763" t="s">
        <v>2027</v>
      </c>
      <c r="I1763" t="s">
        <v>3789</v>
      </c>
      <c r="J1763" t="s">
        <v>4030</v>
      </c>
      <c r="K1763" t="s">
        <v>4050</v>
      </c>
      <c r="L1763">
        <v>-1712.78</v>
      </c>
      <c r="N1763">
        <f t="shared" si="81"/>
        <v>-1712.78</v>
      </c>
      <c r="O1763" t="s">
        <v>4104</v>
      </c>
      <c r="P1763" t="str">
        <f t="shared" si="82"/>
        <v xml:space="preserve"> </v>
      </c>
      <c r="Q1763" t="str">
        <f t="shared" si="83"/>
        <v>Unfavorable</v>
      </c>
    </row>
    <row r="1764" spans="1:17">
      <c r="A1764" t="s">
        <v>1774</v>
      </c>
      <c r="B1764" s="2">
        <v>45051</v>
      </c>
      <c r="C1764">
        <v>4010</v>
      </c>
      <c r="D1764" t="s">
        <v>2016</v>
      </c>
      <c r="E1764">
        <v>0</v>
      </c>
      <c r="F1764">
        <v>4088.16</v>
      </c>
      <c r="G1764" t="s">
        <v>2018</v>
      </c>
      <c r="H1764" t="s">
        <v>2026</v>
      </c>
      <c r="I1764" t="s">
        <v>3790</v>
      </c>
      <c r="J1764" t="s">
        <v>4029</v>
      </c>
      <c r="K1764" t="s">
        <v>4062</v>
      </c>
      <c r="L1764">
        <v>4088.16</v>
      </c>
      <c r="N1764">
        <f t="shared" si="81"/>
        <v>4088.16</v>
      </c>
      <c r="O1764" t="s">
        <v>4104</v>
      </c>
      <c r="P1764" t="str">
        <f t="shared" si="82"/>
        <v xml:space="preserve"> </v>
      </c>
      <c r="Q1764" t="str">
        <f t="shared" si="83"/>
        <v>Favorable</v>
      </c>
    </row>
    <row r="1765" spans="1:17">
      <c r="A1765" t="s">
        <v>1775</v>
      </c>
      <c r="B1765" s="2">
        <v>45093</v>
      </c>
      <c r="C1765">
        <v>5000</v>
      </c>
      <c r="D1765" t="s">
        <v>2013</v>
      </c>
      <c r="E1765">
        <v>1941.5</v>
      </c>
      <c r="F1765">
        <v>0</v>
      </c>
      <c r="G1765" t="s">
        <v>2019</v>
      </c>
      <c r="H1765" t="s">
        <v>2023</v>
      </c>
      <c r="I1765" t="s">
        <v>3791</v>
      </c>
      <c r="J1765" t="s">
        <v>4028</v>
      </c>
      <c r="K1765" t="s">
        <v>4055</v>
      </c>
      <c r="L1765">
        <v>-1941.5</v>
      </c>
      <c r="N1765">
        <f t="shared" si="81"/>
        <v>-1941.5</v>
      </c>
      <c r="O1765" t="s">
        <v>4104</v>
      </c>
      <c r="P1765" t="str">
        <f t="shared" si="82"/>
        <v xml:space="preserve"> </v>
      </c>
      <c r="Q1765" t="str">
        <f t="shared" si="83"/>
        <v>Unfavorable</v>
      </c>
    </row>
    <row r="1766" spans="1:17">
      <c r="A1766" t="s">
        <v>1776</v>
      </c>
      <c r="B1766" s="2">
        <v>45293</v>
      </c>
      <c r="C1766">
        <v>5010</v>
      </c>
      <c r="D1766" t="s">
        <v>2015</v>
      </c>
      <c r="E1766">
        <v>1945.41</v>
      </c>
      <c r="F1766">
        <v>0</v>
      </c>
      <c r="G1766" t="s">
        <v>2020</v>
      </c>
      <c r="H1766" t="s">
        <v>2023</v>
      </c>
      <c r="I1766" t="s">
        <v>3792</v>
      </c>
      <c r="J1766" t="s">
        <v>4028</v>
      </c>
      <c r="K1766" t="s">
        <v>4053</v>
      </c>
      <c r="L1766">
        <v>-1945.41</v>
      </c>
      <c r="N1766">
        <f t="shared" si="81"/>
        <v>-1945.41</v>
      </c>
      <c r="O1766" t="s">
        <v>4104</v>
      </c>
      <c r="P1766" t="str">
        <f t="shared" si="82"/>
        <v xml:space="preserve"> </v>
      </c>
      <c r="Q1766" t="str">
        <f t="shared" si="83"/>
        <v>Unfavorable</v>
      </c>
    </row>
    <row r="1767" spans="1:17">
      <c r="A1767" t="s">
        <v>1777</v>
      </c>
      <c r="B1767" s="2">
        <v>45337</v>
      </c>
      <c r="C1767">
        <v>5000</v>
      </c>
      <c r="D1767" t="s">
        <v>2013</v>
      </c>
      <c r="E1767">
        <v>1421.11</v>
      </c>
      <c r="F1767">
        <v>0</v>
      </c>
      <c r="G1767" t="s">
        <v>2019</v>
      </c>
      <c r="H1767" t="s">
        <v>2026</v>
      </c>
      <c r="I1767" t="s">
        <v>3793</v>
      </c>
      <c r="J1767" t="s">
        <v>4032</v>
      </c>
      <c r="K1767" t="s">
        <v>4044</v>
      </c>
      <c r="L1767">
        <v>-1421.11</v>
      </c>
      <c r="N1767">
        <f t="shared" si="81"/>
        <v>-1421.11</v>
      </c>
      <c r="O1767" t="s">
        <v>4104</v>
      </c>
      <c r="P1767" t="str">
        <f t="shared" si="82"/>
        <v xml:space="preserve"> </v>
      </c>
      <c r="Q1767" t="str">
        <f t="shared" si="83"/>
        <v>Unfavorable</v>
      </c>
    </row>
    <row r="1768" spans="1:17">
      <c r="A1768" t="s">
        <v>1778</v>
      </c>
      <c r="B1768" s="2">
        <v>44980</v>
      </c>
      <c r="C1768">
        <v>5010</v>
      </c>
      <c r="D1768" t="s">
        <v>2015</v>
      </c>
      <c r="E1768">
        <v>289.94</v>
      </c>
      <c r="F1768">
        <v>0</v>
      </c>
      <c r="G1768" t="s">
        <v>2022</v>
      </c>
      <c r="H1768" t="s">
        <v>2026</v>
      </c>
      <c r="I1768" t="s">
        <v>3794</v>
      </c>
      <c r="J1768" t="s">
        <v>4031</v>
      </c>
      <c r="K1768" t="s">
        <v>4057</v>
      </c>
      <c r="L1768">
        <v>-289.94</v>
      </c>
      <c r="N1768">
        <f t="shared" si="81"/>
        <v>-289.94</v>
      </c>
      <c r="O1768" t="s">
        <v>4104</v>
      </c>
      <c r="P1768" t="str">
        <f t="shared" si="82"/>
        <v xml:space="preserve"> </v>
      </c>
      <c r="Q1768" t="str">
        <f t="shared" si="83"/>
        <v>Unfavorable</v>
      </c>
    </row>
    <row r="1769" spans="1:17">
      <c r="A1769" t="s">
        <v>1779</v>
      </c>
      <c r="B1769" s="2">
        <v>45156</v>
      </c>
      <c r="C1769">
        <v>5010</v>
      </c>
      <c r="D1769" t="s">
        <v>2015</v>
      </c>
      <c r="E1769">
        <v>1061.21</v>
      </c>
      <c r="F1769">
        <v>0</v>
      </c>
      <c r="G1769" t="s">
        <v>2021</v>
      </c>
      <c r="H1769" t="s">
        <v>2025</v>
      </c>
      <c r="I1769" t="s">
        <v>3795</v>
      </c>
      <c r="J1769" t="s">
        <v>4031</v>
      </c>
      <c r="K1769" t="s">
        <v>4037</v>
      </c>
      <c r="L1769">
        <v>-1061.21</v>
      </c>
      <c r="N1769">
        <f t="shared" si="81"/>
        <v>-1061.21</v>
      </c>
      <c r="O1769" t="s">
        <v>4104</v>
      </c>
      <c r="P1769" t="str">
        <f t="shared" si="82"/>
        <v xml:space="preserve"> </v>
      </c>
      <c r="Q1769" t="str">
        <f t="shared" si="83"/>
        <v>Unfavorable</v>
      </c>
    </row>
    <row r="1770" spans="1:17">
      <c r="A1770" t="s">
        <v>1780</v>
      </c>
      <c r="B1770" s="2">
        <v>44983</v>
      </c>
      <c r="C1770">
        <v>4000</v>
      </c>
      <c r="D1770" t="s">
        <v>2012</v>
      </c>
      <c r="E1770">
        <v>0</v>
      </c>
      <c r="F1770">
        <v>2682.77</v>
      </c>
      <c r="G1770" t="s">
        <v>2018</v>
      </c>
      <c r="H1770" t="s">
        <v>2026</v>
      </c>
      <c r="I1770" t="s">
        <v>3796</v>
      </c>
      <c r="J1770" t="s">
        <v>4028</v>
      </c>
      <c r="K1770" t="s">
        <v>4057</v>
      </c>
      <c r="L1770">
        <v>2682.77</v>
      </c>
      <c r="N1770">
        <f t="shared" si="81"/>
        <v>2682.77</v>
      </c>
      <c r="O1770" t="s">
        <v>4104</v>
      </c>
      <c r="P1770" t="str">
        <f t="shared" si="82"/>
        <v xml:space="preserve"> </v>
      </c>
      <c r="Q1770" t="str">
        <f t="shared" si="83"/>
        <v>Favorable</v>
      </c>
    </row>
    <row r="1771" spans="1:17">
      <c r="A1771" t="s">
        <v>1781</v>
      </c>
      <c r="B1771" s="2">
        <v>45808</v>
      </c>
      <c r="C1771">
        <v>4010</v>
      </c>
      <c r="D1771" t="s">
        <v>2016</v>
      </c>
      <c r="E1771">
        <v>0</v>
      </c>
      <c r="F1771">
        <v>250.7</v>
      </c>
      <c r="G1771" t="s">
        <v>2021</v>
      </c>
      <c r="H1771" t="s">
        <v>2026</v>
      </c>
      <c r="I1771" t="s">
        <v>3797</v>
      </c>
      <c r="J1771" t="s">
        <v>4032</v>
      </c>
      <c r="K1771" t="s">
        <v>4038</v>
      </c>
      <c r="L1771">
        <v>250.7</v>
      </c>
      <c r="N1771">
        <f t="shared" si="81"/>
        <v>250.7</v>
      </c>
      <c r="O1771" t="s">
        <v>4104</v>
      </c>
      <c r="P1771" t="str">
        <f t="shared" si="82"/>
        <v xml:space="preserve"> </v>
      </c>
      <c r="Q1771" t="str">
        <f t="shared" si="83"/>
        <v>Favorable</v>
      </c>
    </row>
    <row r="1772" spans="1:17">
      <c r="A1772" t="s">
        <v>1782</v>
      </c>
      <c r="B1772" s="2">
        <v>45699</v>
      </c>
      <c r="C1772">
        <v>5000</v>
      </c>
      <c r="D1772" t="s">
        <v>2013</v>
      </c>
      <c r="E1772">
        <v>1995.64</v>
      </c>
      <c r="F1772">
        <v>0</v>
      </c>
      <c r="G1772" t="s">
        <v>2020</v>
      </c>
      <c r="H1772" t="s">
        <v>2023</v>
      </c>
      <c r="I1772" t="s">
        <v>3798</v>
      </c>
      <c r="J1772" t="s">
        <v>4031</v>
      </c>
      <c r="K1772" t="s">
        <v>4061</v>
      </c>
      <c r="L1772">
        <v>-1995.64</v>
      </c>
      <c r="N1772">
        <f t="shared" si="81"/>
        <v>-1995.64</v>
      </c>
      <c r="O1772" t="s">
        <v>4104</v>
      </c>
      <c r="P1772" t="str">
        <f t="shared" si="82"/>
        <v xml:space="preserve"> </v>
      </c>
      <c r="Q1772" t="str">
        <f t="shared" si="83"/>
        <v>Unfavorable</v>
      </c>
    </row>
    <row r="1773" spans="1:17">
      <c r="A1773" t="s">
        <v>1783</v>
      </c>
      <c r="B1773" s="2">
        <v>45098</v>
      </c>
      <c r="C1773">
        <v>5010</v>
      </c>
      <c r="D1773" t="s">
        <v>2015</v>
      </c>
      <c r="E1773">
        <v>1268.68</v>
      </c>
      <c r="F1773">
        <v>0</v>
      </c>
      <c r="G1773" t="s">
        <v>2018</v>
      </c>
      <c r="H1773" t="s">
        <v>2023</v>
      </c>
      <c r="I1773" t="s">
        <v>3799</v>
      </c>
      <c r="J1773" t="s">
        <v>4029</v>
      </c>
      <c r="K1773" t="s">
        <v>4055</v>
      </c>
      <c r="L1773">
        <v>-1268.68</v>
      </c>
      <c r="N1773">
        <f t="shared" si="81"/>
        <v>-1268.68</v>
      </c>
      <c r="O1773" t="s">
        <v>4104</v>
      </c>
      <c r="P1773" t="str">
        <f t="shared" si="82"/>
        <v xml:space="preserve"> </v>
      </c>
      <c r="Q1773" t="str">
        <f t="shared" si="83"/>
        <v>Unfavorable</v>
      </c>
    </row>
    <row r="1774" spans="1:17">
      <c r="A1774" t="s">
        <v>1784</v>
      </c>
      <c r="B1774" s="2">
        <v>45069</v>
      </c>
      <c r="C1774">
        <v>5000</v>
      </c>
      <c r="D1774" t="s">
        <v>2013</v>
      </c>
      <c r="E1774">
        <v>1700.66</v>
      </c>
      <c r="F1774">
        <v>0</v>
      </c>
      <c r="G1774" t="s">
        <v>2017</v>
      </c>
      <c r="H1774" t="s">
        <v>2023</v>
      </c>
      <c r="I1774" t="s">
        <v>3800</v>
      </c>
      <c r="J1774" t="s">
        <v>4032</v>
      </c>
      <c r="K1774" t="s">
        <v>4062</v>
      </c>
      <c r="L1774">
        <v>-1700.66</v>
      </c>
      <c r="N1774">
        <f t="shared" si="81"/>
        <v>-1700.66</v>
      </c>
      <c r="O1774" t="s">
        <v>4104</v>
      </c>
      <c r="P1774" t="str">
        <f t="shared" si="82"/>
        <v xml:space="preserve"> </v>
      </c>
      <c r="Q1774" t="str">
        <f t="shared" si="83"/>
        <v>Unfavorable</v>
      </c>
    </row>
    <row r="1775" spans="1:17">
      <c r="A1775" t="s">
        <v>1785</v>
      </c>
      <c r="B1775" s="2">
        <v>45826</v>
      </c>
      <c r="C1775">
        <v>6000</v>
      </c>
      <c r="D1775" t="s">
        <v>2014</v>
      </c>
      <c r="E1775">
        <v>335.24</v>
      </c>
      <c r="F1775">
        <v>0</v>
      </c>
      <c r="G1775" t="s">
        <v>2021</v>
      </c>
      <c r="H1775" t="s">
        <v>2024</v>
      </c>
      <c r="I1775" t="s">
        <v>3801</v>
      </c>
      <c r="J1775" t="s">
        <v>4028</v>
      </c>
      <c r="K1775" t="s">
        <v>4052</v>
      </c>
      <c r="L1775">
        <v>-335.24</v>
      </c>
      <c r="N1775">
        <f t="shared" si="81"/>
        <v>-335.24</v>
      </c>
      <c r="O1775" t="s">
        <v>4104</v>
      </c>
      <c r="P1775" t="str">
        <f t="shared" si="82"/>
        <v xml:space="preserve"> </v>
      </c>
      <c r="Q1775" t="str">
        <f t="shared" si="83"/>
        <v>Unfavorable</v>
      </c>
    </row>
    <row r="1776" spans="1:17">
      <c r="A1776" t="s">
        <v>1786</v>
      </c>
      <c r="B1776" s="2">
        <v>45454</v>
      </c>
      <c r="C1776">
        <v>6000</v>
      </c>
      <c r="D1776" t="s">
        <v>2014</v>
      </c>
      <c r="E1776">
        <v>705.25</v>
      </c>
      <c r="F1776">
        <v>0</v>
      </c>
      <c r="G1776" t="s">
        <v>2018</v>
      </c>
      <c r="H1776" t="s">
        <v>2025</v>
      </c>
      <c r="I1776" t="s">
        <v>3802</v>
      </c>
      <c r="J1776" t="s">
        <v>4030</v>
      </c>
      <c r="K1776" t="s">
        <v>4034</v>
      </c>
      <c r="L1776">
        <v>-705.25</v>
      </c>
      <c r="N1776">
        <f t="shared" si="81"/>
        <v>-705.25</v>
      </c>
      <c r="O1776" t="s">
        <v>4104</v>
      </c>
      <c r="P1776" t="str">
        <f t="shared" si="82"/>
        <v xml:space="preserve"> </v>
      </c>
      <c r="Q1776" t="str">
        <f t="shared" si="83"/>
        <v>Unfavorable</v>
      </c>
    </row>
    <row r="1777" spans="1:17">
      <c r="A1777" t="s">
        <v>1787</v>
      </c>
      <c r="B1777" s="2">
        <v>45141</v>
      </c>
      <c r="C1777">
        <v>5000</v>
      </c>
      <c r="D1777" t="s">
        <v>2013</v>
      </c>
      <c r="E1777">
        <v>1859.77</v>
      </c>
      <c r="F1777">
        <v>0</v>
      </c>
      <c r="G1777" t="s">
        <v>2022</v>
      </c>
      <c r="H1777" t="s">
        <v>2027</v>
      </c>
      <c r="I1777" t="s">
        <v>3803</v>
      </c>
      <c r="J1777" t="s">
        <v>4030</v>
      </c>
      <c r="K1777" t="s">
        <v>4037</v>
      </c>
      <c r="L1777">
        <v>-1859.77</v>
      </c>
      <c r="N1777">
        <f t="shared" si="81"/>
        <v>-1859.77</v>
      </c>
      <c r="O1777" t="s">
        <v>4104</v>
      </c>
      <c r="P1777" t="str">
        <f t="shared" si="82"/>
        <v xml:space="preserve"> </v>
      </c>
      <c r="Q1777" t="str">
        <f t="shared" si="83"/>
        <v>Unfavorable</v>
      </c>
    </row>
    <row r="1778" spans="1:17">
      <c r="A1778" t="s">
        <v>1788</v>
      </c>
      <c r="B1778" s="2">
        <v>45270</v>
      </c>
      <c r="C1778">
        <v>6000</v>
      </c>
      <c r="D1778" t="s">
        <v>2014</v>
      </c>
      <c r="E1778">
        <v>1672.52</v>
      </c>
      <c r="F1778">
        <v>0</v>
      </c>
      <c r="G1778" t="s">
        <v>2017</v>
      </c>
      <c r="H1778" t="s">
        <v>2024</v>
      </c>
      <c r="I1778" t="s">
        <v>3804</v>
      </c>
      <c r="J1778" t="s">
        <v>4029</v>
      </c>
      <c r="K1778" t="s">
        <v>4039</v>
      </c>
      <c r="L1778">
        <v>-1672.52</v>
      </c>
      <c r="N1778">
        <f t="shared" si="81"/>
        <v>-1672.52</v>
      </c>
      <c r="O1778" t="s">
        <v>4104</v>
      </c>
      <c r="P1778" t="str">
        <f t="shared" si="82"/>
        <v xml:space="preserve"> </v>
      </c>
      <c r="Q1778" t="str">
        <f t="shared" si="83"/>
        <v>Unfavorable</v>
      </c>
    </row>
    <row r="1779" spans="1:17">
      <c r="A1779" t="s">
        <v>1789</v>
      </c>
      <c r="B1779" s="2">
        <v>45442</v>
      </c>
      <c r="C1779">
        <v>6000</v>
      </c>
      <c r="D1779" t="s">
        <v>2014</v>
      </c>
      <c r="E1779">
        <v>692.89</v>
      </c>
      <c r="F1779">
        <v>0</v>
      </c>
      <c r="G1779" t="s">
        <v>2018</v>
      </c>
      <c r="H1779" t="s">
        <v>2025</v>
      </c>
      <c r="I1779" t="s">
        <v>3805</v>
      </c>
      <c r="J1779" t="s">
        <v>4028</v>
      </c>
      <c r="K1779" t="s">
        <v>4033</v>
      </c>
      <c r="L1779">
        <v>-692.89</v>
      </c>
      <c r="N1779">
        <f t="shared" si="81"/>
        <v>-692.89</v>
      </c>
      <c r="O1779" t="s">
        <v>4104</v>
      </c>
      <c r="P1779" t="str">
        <f t="shared" si="82"/>
        <v xml:space="preserve"> </v>
      </c>
      <c r="Q1779" t="str">
        <f t="shared" si="83"/>
        <v>Unfavorable</v>
      </c>
    </row>
    <row r="1780" spans="1:17">
      <c r="A1780" t="s">
        <v>1790</v>
      </c>
      <c r="B1780" s="2">
        <v>44997</v>
      </c>
      <c r="C1780">
        <v>5010</v>
      </c>
      <c r="D1780" t="s">
        <v>2015</v>
      </c>
      <c r="E1780">
        <v>324.08</v>
      </c>
      <c r="F1780">
        <v>0</v>
      </c>
      <c r="G1780" t="s">
        <v>2017</v>
      </c>
      <c r="H1780" t="s">
        <v>2026</v>
      </c>
      <c r="I1780" t="s">
        <v>3806</v>
      </c>
      <c r="J1780" t="s">
        <v>4032</v>
      </c>
      <c r="K1780" t="s">
        <v>4051</v>
      </c>
      <c r="L1780">
        <v>-324.08</v>
      </c>
      <c r="N1780">
        <f t="shared" si="81"/>
        <v>-324.08</v>
      </c>
      <c r="O1780" t="s">
        <v>4104</v>
      </c>
      <c r="P1780" t="str">
        <f t="shared" si="82"/>
        <v xml:space="preserve"> </v>
      </c>
      <c r="Q1780" t="str">
        <f t="shared" si="83"/>
        <v>Unfavorable</v>
      </c>
    </row>
    <row r="1781" spans="1:17">
      <c r="A1781" t="s">
        <v>1791</v>
      </c>
      <c r="B1781" s="2">
        <v>45542</v>
      </c>
      <c r="C1781">
        <v>6000</v>
      </c>
      <c r="D1781" t="s">
        <v>2014</v>
      </c>
      <c r="E1781">
        <v>1164.05</v>
      </c>
      <c r="F1781">
        <v>0</v>
      </c>
      <c r="G1781" t="s">
        <v>2022</v>
      </c>
      <c r="H1781" t="s">
        <v>2023</v>
      </c>
      <c r="I1781" t="s">
        <v>3807</v>
      </c>
      <c r="J1781" t="s">
        <v>4031</v>
      </c>
      <c r="K1781" t="s">
        <v>4048</v>
      </c>
      <c r="L1781">
        <v>-1164.05</v>
      </c>
      <c r="N1781">
        <f t="shared" si="81"/>
        <v>-1164.05</v>
      </c>
      <c r="O1781" t="s">
        <v>4104</v>
      </c>
      <c r="P1781" t="str">
        <f t="shared" si="82"/>
        <v xml:space="preserve"> </v>
      </c>
      <c r="Q1781" t="str">
        <f t="shared" si="83"/>
        <v>Unfavorable</v>
      </c>
    </row>
    <row r="1782" spans="1:17">
      <c r="A1782" t="s">
        <v>1792</v>
      </c>
      <c r="B1782" s="2">
        <v>45413</v>
      </c>
      <c r="C1782">
        <v>4000</v>
      </c>
      <c r="D1782" t="s">
        <v>2012</v>
      </c>
      <c r="E1782">
        <v>0</v>
      </c>
      <c r="F1782">
        <v>778.57</v>
      </c>
      <c r="G1782" t="s">
        <v>2020</v>
      </c>
      <c r="H1782" t="s">
        <v>2027</v>
      </c>
      <c r="I1782" t="s">
        <v>3808</v>
      </c>
      <c r="J1782" t="s">
        <v>4030</v>
      </c>
      <c r="K1782" t="s">
        <v>4033</v>
      </c>
      <c r="L1782">
        <v>778.57</v>
      </c>
      <c r="N1782">
        <f t="shared" si="81"/>
        <v>778.57</v>
      </c>
      <c r="O1782" t="s">
        <v>4104</v>
      </c>
      <c r="P1782" t="str">
        <f t="shared" si="82"/>
        <v xml:space="preserve"> </v>
      </c>
      <c r="Q1782" t="str">
        <f t="shared" si="83"/>
        <v>Favorable</v>
      </c>
    </row>
    <row r="1783" spans="1:17">
      <c r="A1783" t="s">
        <v>1793</v>
      </c>
      <c r="B1783" s="2">
        <v>45161</v>
      </c>
      <c r="C1783">
        <v>6000</v>
      </c>
      <c r="D1783" t="s">
        <v>2014</v>
      </c>
      <c r="E1783">
        <v>670.62</v>
      </c>
      <c r="F1783">
        <v>0</v>
      </c>
      <c r="G1783" t="s">
        <v>2018</v>
      </c>
      <c r="H1783" t="s">
        <v>2025</v>
      </c>
      <c r="I1783" t="s">
        <v>3809</v>
      </c>
      <c r="J1783" t="s">
        <v>4028</v>
      </c>
      <c r="K1783" t="s">
        <v>4037</v>
      </c>
      <c r="L1783">
        <v>-670.62</v>
      </c>
      <c r="N1783">
        <f t="shared" si="81"/>
        <v>-670.62</v>
      </c>
      <c r="O1783" t="s">
        <v>4104</v>
      </c>
      <c r="P1783" t="str">
        <f t="shared" si="82"/>
        <v xml:space="preserve"> </v>
      </c>
      <c r="Q1783" t="str">
        <f t="shared" si="83"/>
        <v>Unfavorable</v>
      </c>
    </row>
    <row r="1784" spans="1:17">
      <c r="A1784" t="s">
        <v>1794</v>
      </c>
      <c r="B1784" s="2">
        <v>45545</v>
      </c>
      <c r="C1784">
        <v>6000</v>
      </c>
      <c r="D1784" t="s">
        <v>2014</v>
      </c>
      <c r="E1784">
        <v>887.17</v>
      </c>
      <c r="F1784">
        <v>0</v>
      </c>
      <c r="G1784" t="s">
        <v>2019</v>
      </c>
      <c r="H1784" t="s">
        <v>2023</v>
      </c>
      <c r="I1784" t="s">
        <v>3810</v>
      </c>
      <c r="J1784" t="s">
        <v>4029</v>
      </c>
      <c r="K1784" t="s">
        <v>4048</v>
      </c>
      <c r="L1784">
        <v>-887.17</v>
      </c>
      <c r="N1784">
        <f t="shared" si="81"/>
        <v>-887.17</v>
      </c>
      <c r="O1784" t="s">
        <v>4104</v>
      </c>
      <c r="P1784" t="str">
        <f t="shared" si="82"/>
        <v xml:space="preserve"> </v>
      </c>
      <c r="Q1784" t="str">
        <f t="shared" si="83"/>
        <v>Unfavorable</v>
      </c>
    </row>
    <row r="1785" spans="1:17">
      <c r="A1785" t="s">
        <v>1795</v>
      </c>
      <c r="B1785" s="2">
        <v>45365</v>
      </c>
      <c r="C1785">
        <v>5010</v>
      </c>
      <c r="D1785" t="s">
        <v>2015</v>
      </c>
      <c r="E1785">
        <v>680.13</v>
      </c>
      <c r="F1785">
        <v>0</v>
      </c>
      <c r="G1785" t="s">
        <v>2019</v>
      </c>
      <c r="H1785" t="s">
        <v>2026</v>
      </c>
      <c r="I1785" t="s">
        <v>3811</v>
      </c>
      <c r="J1785" t="s">
        <v>4030</v>
      </c>
      <c r="K1785" t="s">
        <v>4049</v>
      </c>
      <c r="L1785">
        <v>-680.13</v>
      </c>
      <c r="N1785">
        <f t="shared" si="81"/>
        <v>-680.13</v>
      </c>
      <c r="O1785" t="s">
        <v>4104</v>
      </c>
      <c r="P1785" t="str">
        <f t="shared" si="82"/>
        <v xml:space="preserve"> </v>
      </c>
      <c r="Q1785" t="str">
        <f t="shared" si="83"/>
        <v>Unfavorable</v>
      </c>
    </row>
    <row r="1786" spans="1:17">
      <c r="A1786" t="s">
        <v>1796</v>
      </c>
      <c r="B1786" s="2">
        <v>45415</v>
      </c>
      <c r="C1786">
        <v>4010</v>
      </c>
      <c r="D1786" t="s">
        <v>2016</v>
      </c>
      <c r="E1786">
        <v>0</v>
      </c>
      <c r="F1786">
        <v>841.83</v>
      </c>
      <c r="G1786" t="s">
        <v>2017</v>
      </c>
      <c r="H1786" t="s">
        <v>2023</v>
      </c>
      <c r="I1786" t="s">
        <v>3812</v>
      </c>
      <c r="J1786" t="s">
        <v>4030</v>
      </c>
      <c r="K1786" t="s">
        <v>4033</v>
      </c>
      <c r="L1786">
        <v>841.83</v>
      </c>
      <c r="N1786">
        <f t="shared" si="81"/>
        <v>841.83</v>
      </c>
      <c r="O1786" t="s">
        <v>4104</v>
      </c>
      <c r="P1786" t="str">
        <f t="shared" si="82"/>
        <v xml:space="preserve"> </v>
      </c>
      <c r="Q1786" t="str">
        <f t="shared" si="83"/>
        <v>Favorable</v>
      </c>
    </row>
    <row r="1787" spans="1:17">
      <c r="A1787" t="s">
        <v>1797</v>
      </c>
      <c r="B1787" s="2">
        <v>45818</v>
      </c>
      <c r="C1787">
        <v>4010</v>
      </c>
      <c r="D1787" t="s">
        <v>2016</v>
      </c>
      <c r="E1787">
        <v>0</v>
      </c>
      <c r="F1787">
        <v>302.97000000000003</v>
      </c>
      <c r="G1787" t="s">
        <v>2019</v>
      </c>
      <c r="H1787" t="s">
        <v>2024</v>
      </c>
      <c r="I1787" t="s">
        <v>3813</v>
      </c>
      <c r="J1787" t="s">
        <v>4031</v>
      </c>
      <c r="K1787" t="s">
        <v>4052</v>
      </c>
      <c r="L1787">
        <v>302.97000000000003</v>
      </c>
      <c r="N1787">
        <f t="shared" si="81"/>
        <v>302.97000000000003</v>
      </c>
      <c r="O1787" t="s">
        <v>4104</v>
      </c>
      <c r="P1787" t="str">
        <f t="shared" si="82"/>
        <v xml:space="preserve"> </v>
      </c>
      <c r="Q1787" t="str">
        <f t="shared" si="83"/>
        <v>Favorable</v>
      </c>
    </row>
    <row r="1788" spans="1:17">
      <c r="A1788" t="s">
        <v>1798</v>
      </c>
      <c r="B1788" s="2">
        <v>45648</v>
      </c>
      <c r="C1788">
        <v>5000</v>
      </c>
      <c r="D1788" t="s">
        <v>2013</v>
      </c>
      <c r="E1788">
        <v>80.23</v>
      </c>
      <c r="F1788">
        <v>0</v>
      </c>
      <c r="G1788" t="s">
        <v>2018</v>
      </c>
      <c r="H1788" t="s">
        <v>2026</v>
      </c>
      <c r="I1788" t="s">
        <v>3814</v>
      </c>
      <c r="J1788" t="s">
        <v>4032</v>
      </c>
      <c r="K1788" t="s">
        <v>4056</v>
      </c>
      <c r="L1788">
        <v>-80.23</v>
      </c>
      <c r="N1788">
        <f t="shared" si="81"/>
        <v>-80.23</v>
      </c>
      <c r="O1788" t="s">
        <v>4104</v>
      </c>
      <c r="P1788" t="str">
        <f t="shared" si="82"/>
        <v xml:space="preserve"> </v>
      </c>
      <c r="Q1788" t="str">
        <f t="shared" si="83"/>
        <v>Unfavorable</v>
      </c>
    </row>
    <row r="1789" spans="1:17">
      <c r="A1789" t="s">
        <v>1799</v>
      </c>
      <c r="B1789" s="2">
        <v>45385</v>
      </c>
      <c r="C1789">
        <v>5000</v>
      </c>
      <c r="D1789" t="s">
        <v>2013</v>
      </c>
      <c r="E1789">
        <v>338.61</v>
      </c>
      <c r="F1789">
        <v>0</v>
      </c>
      <c r="G1789" t="s">
        <v>2021</v>
      </c>
      <c r="H1789" t="s">
        <v>2025</v>
      </c>
      <c r="I1789" t="s">
        <v>3815</v>
      </c>
      <c r="J1789" t="s">
        <v>4031</v>
      </c>
      <c r="K1789" t="s">
        <v>4040</v>
      </c>
      <c r="L1789">
        <v>-338.61</v>
      </c>
      <c r="N1789">
        <f t="shared" si="81"/>
        <v>-338.61</v>
      </c>
      <c r="O1789" t="s">
        <v>4104</v>
      </c>
      <c r="P1789" t="str">
        <f t="shared" si="82"/>
        <v xml:space="preserve"> </v>
      </c>
      <c r="Q1789" t="str">
        <f t="shared" si="83"/>
        <v>Unfavorable</v>
      </c>
    </row>
    <row r="1790" spans="1:17">
      <c r="A1790" t="s">
        <v>1800</v>
      </c>
      <c r="B1790" s="2">
        <v>45014</v>
      </c>
      <c r="C1790">
        <v>5000</v>
      </c>
      <c r="D1790" t="s">
        <v>2013</v>
      </c>
      <c r="E1790">
        <v>1098.3699999999999</v>
      </c>
      <c r="F1790">
        <v>0</v>
      </c>
      <c r="G1790" t="s">
        <v>2021</v>
      </c>
      <c r="H1790" t="s">
        <v>2027</v>
      </c>
      <c r="I1790" t="s">
        <v>3816</v>
      </c>
      <c r="J1790" t="s">
        <v>4031</v>
      </c>
      <c r="K1790" t="s">
        <v>4051</v>
      </c>
      <c r="L1790">
        <v>-1098.3699999999999</v>
      </c>
      <c r="N1790">
        <f t="shared" si="81"/>
        <v>-1098.3699999999999</v>
      </c>
      <c r="O1790" t="s">
        <v>4104</v>
      </c>
      <c r="P1790" t="str">
        <f t="shared" si="82"/>
        <v xml:space="preserve"> </v>
      </c>
      <c r="Q1790" t="str">
        <f t="shared" si="83"/>
        <v>Unfavorable</v>
      </c>
    </row>
    <row r="1791" spans="1:17">
      <c r="A1791" t="s">
        <v>1801</v>
      </c>
      <c r="B1791" s="2">
        <v>45818</v>
      </c>
      <c r="C1791">
        <v>4000</v>
      </c>
      <c r="D1791" t="s">
        <v>2012</v>
      </c>
      <c r="E1791">
        <v>0</v>
      </c>
      <c r="F1791">
        <v>2290.62</v>
      </c>
      <c r="G1791" t="s">
        <v>2017</v>
      </c>
      <c r="H1791" t="s">
        <v>2026</v>
      </c>
      <c r="I1791" t="s">
        <v>3817</v>
      </c>
      <c r="J1791" t="s">
        <v>4032</v>
      </c>
      <c r="K1791" t="s">
        <v>4052</v>
      </c>
      <c r="L1791">
        <v>2290.62</v>
      </c>
      <c r="N1791">
        <f t="shared" si="81"/>
        <v>2290.62</v>
      </c>
      <c r="O1791" t="s">
        <v>4104</v>
      </c>
      <c r="P1791" t="str">
        <f t="shared" si="82"/>
        <v xml:space="preserve"> </v>
      </c>
      <c r="Q1791" t="str">
        <f t="shared" si="83"/>
        <v>Favorable</v>
      </c>
    </row>
    <row r="1792" spans="1:17">
      <c r="A1792" t="s">
        <v>1802</v>
      </c>
      <c r="B1792" s="2">
        <v>45150</v>
      </c>
      <c r="C1792">
        <v>5010</v>
      </c>
      <c r="D1792" t="s">
        <v>2015</v>
      </c>
      <c r="E1792">
        <v>1294.49</v>
      </c>
      <c r="F1792">
        <v>0</v>
      </c>
      <c r="G1792" t="s">
        <v>2018</v>
      </c>
      <c r="H1792" t="s">
        <v>2027</v>
      </c>
      <c r="I1792" t="s">
        <v>3818</v>
      </c>
      <c r="J1792" t="s">
        <v>4032</v>
      </c>
      <c r="K1792" t="s">
        <v>4037</v>
      </c>
      <c r="L1792">
        <v>-1294.49</v>
      </c>
      <c r="N1792">
        <f t="shared" si="81"/>
        <v>-1294.49</v>
      </c>
      <c r="O1792" t="s">
        <v>4104</v>
      </c>
      <c r="P1792" t="str">
        <f t="shared" si="82"/>
        <v xml:space="preserve"> </v>
      </c>
      <c r="Q1792" t="str">
        <f t="shared" si="83"/>
        <v>Unfavorable</v>
      </c>
    </row>
    <row r="1793" spans="1:17">
      <c r="A1793" t="s">
        <v>1803</v>
      </c>
      <c r="B1793" s="2">
        <v>45729</v>
      </c>
      <c r="C1793">
        <v>5010</v>
      </c>
      <c r="D1793" t="s">
        <v>2015</v>
      </c>
      <c r="E1793">
        <v>877.51</v>
      </c>
      <c r="F1793">
        <v>0</v>
      </c>
      <c r="G1793" t="s">
        <v>2021</v>
      </c>
      <c r="H1793" t="s">
        <v>2027</v>
      </c>
      <c r="I1793" t="s">
        <v>3819</v>
      </c>
      <c r="J1793" t="s">
        <v>4032</v>
      </c>
      <c r="K1793" t="s">
        <v>4046</v>
      </c>
      <c r="L1793">
        <v>-877.51</v>
      </c>
      <c r="N1793">
        <f t="shared" si="81"/>
        <v>-877.51</v>
      </c>
      <c r="O1793" t="s">
        <v>4104</v>
      </c>
      <c r="P1793" t="str">
        <f t="shared" si="82"/>
        <v xml:space="preserve"> </v>
      </c>
      <c r="Q1793" t="str">
        <f t="shared" si="83"/>
        <v>Unfavorable</v>
      </c>
    </row>
    <row r="1794" spans="1:17">
      <c r="A1794" t="s">
        <v>1804</v>
      </c>
      <c r="B1794" s="2">
        <v>45624</v>
      </c>
      <c r="C1794">
        <v>4000</v>
      </c>
      <c r="D1794" t="s">
        <v>2012</v>
      </c>
      <c r="E1794">
        <v>0</v>
      </c>
      <c r="F1794">
        <v>2987.63</v>
      </c>
      <c r="G1794" t="s">
        <v>2018</v>
      </c>
      <c r="H1794" t="s">
        <v>2025</v>
      </c>
      <c r="I1794" t="s">
        <v>3820</v>
      </c>
      <c r="J1794" t="s">
        <v>4029</v>
      </c>
      <c r="K1794" t="s">
        <v>4043</v>
      </c>
      <c r="L1794">
        <v>2987.63</v>
      </c>
      <c r="N1794">
        <f t="shared" si="81"/>
        <v>2987.63</v>
      </c>
      <c r="O1794" t="s">
        <v>4104</v>
      </c>
      <c r="P1794" t="str">
        <f t="shared" si="82"/>
        <v xml:space="preserve"> </v>
      </c>
      <c r="Q1794" t="str">
        <f t="shared" si="83"/>
        <v>Favorable</v>
      </c>
    </row>
    <row r="1795" spans="1:17">
      <c r="A1795" t="s">
        <v>1805</v>
      </c>
      <c r="B1795" s="2">
        <v>45322</v>
      </c>
      <c r="C1795">
        <v>5000</v>
      </c>
      <c r="D1795" t="s">
        <v>2013</v>
      </c>
      <c r="E1795">
        <v>1925.26</v>
      </c>
      <c r="F1795">
        <v>0</v>
      </c>
      <c r="G1795" t="s">
        <v>2021</v>
      </c>
      <c r="H1795" t="s">
        <v>2024</v>
      </c>
      <c r="I1795" t="s">
        <v>3821</v>
      </c>
      <c r="J1795" t="s">
        <v>4028</v>
      </c>
      <c r="K1795" t="s">
        <v>4053</v>
      </c>
      <c r="L1795">
        <v>-1925.26</v>
      </c>
      <c r="N1795">
        <f t="shared" ref="N1795:N1858" si="84">L:L-M:M</f>
        <v>-1925.26</v>
      </c>
      <c r="O1795" t="s">
        <v>4104</v>
      </c>
      <c r="P1795" t="str">
        <f t="shared" ref="P1795:P1858" si="85">IF(AND(ABS(N:N)&gt;10000,M:M&lt;&gt;0),"Material", " ")</f>
        <v xml:space="preserve"> </v>
      </c>
      <c r="Q1795" t="str">
        <f t="shared" ref="Q1795:Q1858" si="86">IF(N:N&gt;0,"Favorable","Unfavorable")</f>
        <v>Unfavorable</v>
      </c>
    </row>
    <row r="1796" spans="1:17">
      <c r="A1796" t="s">
        <v>1806</v>
      </c>
      <c r="B1796" s="2">
        <v>45358</v>
      </c>
      <c r="C1796">
        <v>4000</v>
      </c>
      <c r="D1796" t="s">
        <v>2012</v>
      </c>
      <c r="E1796">
        <v>0</v>
      </c>
      <c r="F1796">
        <v>1216.3499999999999</v>
      </c>
      <c r="G1796" t="s">
        <v>2021</v>
      </c>
      <c r="H1796" t="s">
        <v>2026</v>
      </c>
      <c r="I1796" t="s">
        <v>3822</v>
      </c>
      <c r="J1796" t="s">
        <v>4032</v>
      </c>
      <c r="K1796" t="s">
        <v>4049</v>
      </c>
      <c r="L1796">
        <v>1216.3499999999999</v>
      </c>
      <c r="N1796">
        <f t="shared" si="84"/>
        <v>1216.3499999999999</v>
      </c>
      <c r="O1796" t="s">
        <v>4104</v>
      </c>
      <c r="P1796" t="str">
        <f t="shared" si="85"/>
        <v xml:space="preserve"> </v>
      </c>
      <c r="Q1796" t="str">
        <f t="shared" si="86"/>
        <v>Favorable</v>
      </c>
    </row>
    <row r="1797" spans="1:17">
      <c r="A1797" t="s">
        <v>1807</v>
      </c>
      <c r="B1797" s="2">
        <v>45756</v>
      </c>
      <c r="C1797">
        <v>5010</v>
      </c>
      <c r="D1797" t="s">
        <v>2015</v>
      </c>
      <c r="E1797">
        <v>1553.28</v>
      </c>
      <c r="F1797">
        <v>0</v>
      </c>
      <c r="G1797" t="s">
        <v>2020</v>
      </c>
      <c r="H1797" t="s">
        <v>2024</v>
      </c>
      <c r="I1797" t="s">
        <v>3823</v>
      </c>
      <c r="J1797" t="s">
        <v>4031</v>
      </c>
      <c r="K1797" t="s">
        <v>4045</v>
      </c>
      <c r="L1797">
        <v>-1553.28</v>
      </c>
      <c r="N1797">
        <f t="shared" si="84"/>
        <v>-1553.28</v>
      </c>
      <c r="O1797" t="s">
        <v>4104</v>
      </c>
      <c r="P1797" t="str">
        <f t="shared" si="85"/>
        <v xml:space="preserve"> </v>
      </c>
      <c r="Q1797" t="str">
        <f t="shared" si="86"/>
        <v>Unfavorable</v>
      </c>
    </row>
    <row r="1798" spans="1:17">
      <c r="A1798" t="s">
        <v>1808</v>
      </c>
      <c r="B1798" s="2">
        <v>45494</v>
      </c>
      <c r="C1798">
        <v>4000</v>
      </c>
      <c r="D1798" t="s">
        <v>2012</v>
      </c>
      <c r="E1798">
        <v>0</v>
      </c>
      <c r="F1798">
        <v>1122.51</v>
      </c>
      <c r="G1798" t="s">
        <v>2020</v>
      </c>
      <c r="H1798" t="s">
        <v>2027</v>
      </c>
      <c r="I1798" t="s">
        <v>3824</v>
      </c>
      <c r="J1798" t="s">
        <v>4031</v>
      </c>
      <c r="K1798" t="s">
        <v>4054</v>
      </c>
      <c r="L1798">
        <v>1122.51</v>
      </c>
      <c r="N1798">
        <f t="shared" si="84"/>
        <v>1122.51</v>
      </c>
      <c r="O1798" t="s">
        <v>4104</v>
      </c>
      <c r="P1798" t="str">
        <f t="shared" si="85"/>
        <v xml:space="preserve"> </v>
      </c>
      <c r="Q1798" t="str">
        <f t="shared" si="86"/>
        <v>Favorable</v>
      </c>
    </row>
    <row r="1799" spans="1:17">
      <c r="A1799" t="s">
        <v>1809</v>
      </c>
      <c r="B1799" s="2">
        <v>44969</v>
      </c>
      <c r="C1799">
        <v>6000</v>
      </c>
      <c r="D1799" t="s">
        <v>2014</v>
      </c>
      <c r="E1799">
        <v>1893.28</v>
      </c>
      <c r="F1799">
        <v>0</v>
      </c>
      <c r="G1799" t="s">
        <v>2020</v>
      </c>
      <c r="H1799" t="s">
        <v>2025</v>
      </c>
      <c r="I1799" t="s">
        <v>3825</v>
      </c>
      <c r="J1799" t="s">
        <v>4030</v>
      </c>
      <c r="K1799" t="s">
        <v>4057</v>
      </c>
      <c r="L1799">
        <v>-1893.28</v>
      </c>
      <c r="N1799">
        <f t="shared" si="84"/>
        <v>-1893.28</v>
      </c>
      <c r="O1799" t="s">
        <v>4104</v>
      </c>
      <c r="P1799" t="str">
        <f t="shared" si="85"/>
        <v xml:space="preserve"> </v>
      </c>
      <c r="Q1799" t="str">
        <f t="shared" si="86"/>
        <v>Unfavorable</v>
      </c>
    </row>
    <row r="1800" spans="1:17">
      <c r="A1800" t="s">
        <v>1810</v>
      </c>
      <c r="B1800" s="2">
        <v>45551</v>
      </c>
      <c r="C1800">
        <v>5000</v>
      </c>
      <c r="D1800" t="s">
        <v>2013</v>
      </c>
      <c r="E1800">
        <v>1667.55</v>
      </c>
      <c r="F1800">
        <v>0</v>
      </c>
      <c r="G1800" t="s">
        <v>2018</v>
      </c>
      <c r="H1800" t="s">
        <v>2023</v>
      </c>
      <c r="I1800" t="s">
        <v>3826</v>
      </c>
      <c r="J1800" t="s">
        <v>4029</v>
      </c>
      <c r="K1800" t="s">
        <v>4048</v>
      </c>
      <c r="L1800">
        <v>-1667.55</v>
      </c>
      <c r="N1800">
        <f t="shared" si="84"/>
        <v>-1667.55</v>
      </c>
      <c r="O1800" t="s">
        <v>4104</v>
      </c>
      <c r="P1800" t="str">
        <f t="shared" si="85"/>
        <v xml:space="preserve"> </v>
      </c>
      <c r="Q1800" t="str">
        <f t="shared" si="86"/>
        <v>Unfavorable</v>
      </c>
    </row>
    <row r="1801" spans="1:17">
      <c r="A1801" t="s">
        <v>1811</v>
      </c>
      <c r="B1801" s="2">
        <v>45280</v>
      </c>
      <c r="C1801">
        <v>5000</v>
      </c>
      <c r="D1801" t="s">
        <v>2013</v>
      </c>
      <c r="E1801">
        <v>1448.96</v>
      </c>
      <c r="F1801">
        <v>0</v>
      </c>
      <c r="G1801" t="s">
        <v>2017</v>
      </c>
      <c r="H1801" t="s">
        <v>2027</v>
      </c>
      <c r="I1801" t="s">
        <v>3827</v>
      </c>
      <c r="J1801" t="s">
        <v>4031</v>
      </c>
      <c r="K1801" t="s">
        <v>4039</v>
      </c>
      <c r="L1801">
        <v>-1448.96</v>
      </c>
      <c r="N1801">
        <f t="shared" si="84"/>
        <v>-1448.96</v>
      </c>
      <c r="O1801" t="s">
        <v>4104</v>
      </c>
      <c r="P1801" t="str">
        <f t="shared" si="85"/>
        <v xml:space="preserve"> </v>
      </c>
      <c r="Q1801" t="str">
        <f t="shared" si="86"/>
        <v>Unfavorable</v>
      </c>
    </row>
    <row r="1802" spans="1:17">
      <c r="A1802" t="s">
        <v>1812</v>
      </c>
      <c r="B1802" s="2">
        <v>45318</v>
      </c>
      <c r="C1802">
        <v>5010</v>
      </c>
      <c r="D1802" t="s">
        <v>2015</v>
      </c>
      <c r="E1802">
        <v>292.83999999999997</v>
      </c>
      <c r="F1802">
        <v>0</v>
      </c>
      <c r="G1802" t="s">
        <v>2020</v>
      </c>
      <c r="H1802" t="s">
        <v>2026</v>
      </c>
      <c r="I1802" t="s">
        <v>3828</v>
      </c>
      <c r="J1802" t="s">
        <v>4031</v>
      </c>
      <c r="K1802" t="s">
        <v>4053</v>
      </c>
      <c r="L1802">
        <v>-292.83999999999997</v>
      </c>
      <c r="N1802">
        <f t="shared" si="84"/>
        <v>-292.83999999999997</v>
      </c>
      <c r="O1802" t="s">
        <v>4104</v>
      </c>
      <c r="P1802" t="str">
        <f t="shared" si="85"/>
        <v xml:space="preserve"> </v>
      </c>
      <c r="Q1802" t="str">
        <f t="shared" si="86"/>
        <v>Unfavorable</v>
      </c>
    </row>
    <row r="1803" spans="1:17">
      <c r="A1803" t="s">
        <v>1813</v>
      </c>
      <c r="B1803" s="2">
        <v>45245</v>
      </c>
      <c r="C1803">
        <v>5000</v>
      </c>
      <c r="D1803" t="s">
        <v>2013</v>
      </c>
      <c r="E1803">
        <v>1746.92</v>
      </c>
      <c r="F1803">
        <v>0</v>
      </c>
      <c r="G1803" t="s">
        <v>2019</v>
      </c>
      <c r="H1803" t="s">
        <v>2024</v>
      </c>
      <c r="I1803" t="s">
        <v>3829</v>
      </c>
      <c r="J1803" t="s">
        <v>4031</v>
      </c>
      <c r="K1803" t="s">
        <v>4042</v>
      </c>
      <c r="L1803">
        <v>-1746.92</v>
      </c>
      <c r="N1803">
        <f t="shared" si="84"/>
        <v>-1746.92</v>
      </c>
      <c r="O1803" t="s">
        <v>4104</v>
      </c>
      <c r="P1803" t="str">
        <f t="shared" si="85"/>
        <v xml:space="preserve"> </v>
      </c>
      <c r="Q1803" t="str">
        <f t="shared" si="86"/>
        <v>Unfavorable</v>
      </c>
    </row>
    <row r="1804" spans="1:17">
      <c r="A1804" t="s">
        <v>1814</v>
      </c>
      <c r="B1804" s="2">
        <v>45172</v>
      </c>
      <c r="C1804">
        <v>6000</v>
      </c>
      <c r="D1804" t="s">
        <v>2014</v>
      </c>
      <c r="E1804">
        <v>870.1</v>
      </c>
      <c r="F1804">
        <v>0</v>
      </c>
      <c r="G1804" t="s">
        <v>2021</v>
      </c>
      <c r="H1804" t="s">
        <v>2025</v>
      </c>
      <c r="I1804" t="s">
        <v>3830</v>
      </c>
      <c r="J1804" t="s">
        <v>4032</v>
      </c>
      <c r="K1804" t="s">
        <v>4036</v>
      </c>
      <c r="L1804">
        <v>-870.1</v>
      </c>
      <c r="N1804">
        <f t="shared" si="84"/>
        <v>-870.1</v>
      </c>
      <c r="O1804" t="s">
        <v>4104</v>
      </c>
      <c r="P1804" t="str">
        <f t="shared" si="85"/>
        <v xml:space="preserve"> </v>
      </c>
      <c r="Q1804" t="str">
        <f t="shared" si="86"/>
        <v>Unfavorable</v>
      </c>
    </row>
    <row r="1805" spans="1:17">
      <c r="A1805" t="s">
        <v>1815</v>
      </c>
      <c r="B1805" s="2">
        <v>44986</v>
      </c>
      <c r="C1805">
        <v>5000</v>
      </c>
      <c r="D1805" t="s">
        <v>2013</v>
      </c>
      <c r="E1805">
        <v>1451.54</v>
      </c>
      <c r="F1805">
        <v>0</v>
      </c>
      <c r="G1805" t="s">
        <v>2019</v>
      </c>
      <c r="H1805" t="s">
        <v>2026</v>
      </c>
      <c r="I1805" t="s">
        <v>3831</v>
      </c>
      <c r="J1805" t="s">
        <v>4031</v>
      </c>
      <c r="K1805" t="s">
        <v>4051</v>
      </c>
      <c r="L1805">
        <v>-1451.54</v>
      </c>
      <c r="N1805">
        <f t="shared" si="84"/>
        <v>-1451.54</v>
      </c>
      <c r="O1805" t="s">
        <v>4104</v>
      </c>
      <c r="P1805" t="str">
        <f t="shared" si="85"/>
        <v xml:space="preserve"> </v>
      </c>
      <c r="Q1805" t="str">
        <f t="shared" si="86"/>
        <v>Unfavorable</v>
      </c>
    </row>
    <row r="1806" spans="1:17">
      <c r="A1806" t="s">
        <v>1816</v>
      </c>
      <c r="B1806" s="2">
        <v>45060</v>
      </c>
      <c r="C1806">
        <v>4010</v>
      </c>
      <c r="D1806" t="s">
        <v>2016</v>
      </c>
      <c r="E1806">
        <v>0</v>
      </c>
      <c r="F1806">
        <v>905.45</v>
      </c>
      <c r="G1806" t="s">
        <v>2017</v>
      </c>
      <c r="H1806" t="s">
        <v>2023</v>
      </c>
      <c r="I1806" t="s">
        <v>3832</v>
      </c>
      <c r="J1806" t="s">
        <v>4030</v>
      </c>
      <c r="K1806" t="s">
        <v>4062</v>
      </c>
      <c r="L1806">
        <v>905.45</v>
      </c>
      <c r="N1806">
        <f t="shared" si="84"/>
        <v>905.45</v>
      </c>
      <c r="O1806" t="s">
        <v>4104</v>
      </c>
      <c r="P1806" t="str">
        <f t="shared" si="85"/>
        <v xml:space="preserve"> </v>
      </c>
      <c r="Q1806" t="str">
        <f t="shared" si="86"/>
        <v>Favorable</v>
      </c>
    </row>
    <row r="1807" spans="1:17">
      <c r="A1807" t="s">
        <v>1817</v>
      </c>
      <c r="B1807" s="2">
        <v>45288</v>
      </c>
      <c r="C1807">
        <v>5000</v>
      </c>
      <c r="D1807" t="s">
        <v>2013</v>
      </c>
      <c r="E1807">
        <v>435.57</v>
      </c>
      <c r="F1807">
        <v>0</v>
      </c>
      <c r="G1807" t="s">
        <v>2019</v>
      </c>
      <c r="H1807" t="s">
        <v>2026</v>
      </c>
      <c r="I1807" t="s">
        <v>3833</v>
      </c>
      <c r="J1807" t="s">
        <v>4031</v>
      </c>
      <c r="K1807" t="s">
        <v>4039</v>
      </c>
      <c r="L1807">
        <v>-435.57</v>
      </c>
      <c r="N1807">
        <f t="shared" si="84"/>
        <v>-435.57</v>
      </c>
      <c r="O1807" t="s">
        <v>4104</v>
      </c>
      <c r="P1807" t="str">
        <f t="shared" si="85"/>
        <v xml:space="preserve"> </v>
      </c>
      <c r="Q1807" t="str">
        <f t="shared" si="86"/>
        <v>Unfavorable</v>
      </c>
    </row>
    <row r="1808" spans="1:17">
      <c r="A1808" t="s">
        <v>1818</v>
      </c>
      <c r="B1808" s="2">
        <v>45728</v>
      </c>
      <c r="C1808">
        <v>4010</v>
      </c>
      <c r="D1808" t="s">
        <v>2016</v>
      </c>
      <c r="E1808">
        <v>0</v>
      </c>
      <c r="F1808">
        <v>1129.92</v>
      </c>
      <c r="G1808" t="s">
        <v>2022</v>
      </c>
      <c r="H1808" t="s">
        <v>2027</v>
      </c>
      <c r="I1808" t="s">
        <v>3834</v>
      </c>
      <c r="J1808" t="s">
        <v>4029</v>
      </c>
      <c r="K1808" t="s">
        <v>4046</v>
      </c>
      <c r="L1808">
        <v>1129.92</v>
      </c>
      <c r="N1808">
        <f t="shared" si="84"/>
        <v>1129.92</v>
      </c>
      <c r="O1808" t="s">
        <v>4104</v>
      </c>
      <c r="P1808" t="str">
        <f t="shared" si="85"/>
        <v xml:space="preserve"> </v>
      </c>
      <c r="Q1808" t="str">
        <f t="shared" si="86"/>
        <v>Favorable</v>
      </c>
    </row>
    <row r="1809" spans="1:17">
      <c r="A1809" t="s">
        <v>1819</v>
      </c>
      <c r="B1809" s="2">
        <v>45008</v>
      </c>
      <c r="C1809">
        <v>5000</v>
      </c>
      <c r="D1809" t="s">
        <v>2013</v>
      </c>
      <c r="E1809">
        <v>956.25</v>
      </c>
      <c r="F1809">
        <v>0</v>
      </c>
      <c r="G1809" t="s">
        <v>2017</v>
      </c>
      <c r="H1809" t="s">
        <v>2026</v>
      </c>
      <c r="I1809" t="s">
        <v>3835</v>
      </c>
      <c r="J1809" t="s">
        <v>4029</v>
      </c>
      <c r="K1809" t="s">
        <v>4051</v>
      </c>
      <c r="L1809">
        <v>-956.25</v>
      </c>
      <c r="N1809">
        <f t="shared" si="84"/>
        <v>-956.25</v>
      </c>
      <c r="O1809" t="s">
        <v>4104</v>
      </c>
      <c r="P1809" t="str">
        <f t="shared" si="85"/>
        <v xml:space="preserve"> </v>
      </c>
      <c r="Q1809" t="str">
        <f t="shared" si="86"/>
        <v>Unfavorable</v>
      </c>
    </row>
    <row r="1810" spans="1:17">
      <c r="A1810" t="s">
        <v>1820</v>
      </c>
      <c r="B1810" s="2">
        <v>45573</v>
      </c>
      <c r="C1810">
        <v>5000</v>
      </c>
      <c r="D1810" t="s">
        <v>2013</v>
      </c>
      <c r="E1810">
        <v>1866.55</v>
      </c>
      <c r="F1810">
        <v>0</v>
      </c>
      <c r="G1810" t="s">
        <v>2018</v>
      </c>
      <c r="H1810" t="s">
        <v>2023</v>
      </c>
      <c r="I1810" t="s">
        <v>3836</v>
      </c>
      <c r="J1810" t="s">
        <v>4029</v>
      </c>
      <c r="K1810" t="s">
        <v>4059</v>
      </c>
      <c r="L1810">
        <v>-1866.55</v>
      </c>
      <c r="N1810">
        <f t="shared" si="84"/>
        <v>-1866.55</v>
      </c>
      <c r="O1810" t="s">
        <v>4104</v>
      </c>
      <c r="P1810" t="str">
        <f t="shared" si="85"/>
        <v xml:space="preserve"> </v>
      </c>
      <c r="Q1810" t="str">
        <f t="shared" si="86"/>
        <v>Unfavorable</v>
      </c>
    </row>
    <row r="1811" spans="1:17">
      <c r="A1811" t="s">
        <v>1821</v>
      </c>
      <c r="B1811" s="2">
        <v>45815</v>
      </c>
      <c r="C1811">
        <v>5000</v>
      </c>
      <c r="D1811" t="s">
        <v>2013</v>
      </c>
      <c r="E1811">
        <v>1920.83</v>
      </c>
      <c r="F1811">
        <v>0</v>
      </c>
      <c r="G1811" t="s">
        <v>2020</v>
      </c>
      <c r="H1811" t="s">
        <v>2026</v>
      </c>
      <c r="I1811" t="s">
        <v>3837</v>
      </c>
      <c r="J1811" t="s">
        <v>4032</v>
      </c>
      <c r="K1811" t="s">
        <v>4052</v>
      </c>
      <c r="L1811">
        <v>-1920.83</v>
      </c>
      <c r="N1811">
        <f t="shared" si="84"/>
        <v>-1920.83</v>
      </c>
      <c r="O1811" t="s">
        <v>4104</v>
      </c>
      <c r="P1811" t="str">
        <f t="shared" si="85"/>
        <v xml:space="preserve"> </v>
      </c>
      <c r="Q1811" t="str">
        <f t="shared" si="86"/>
        <v>Unfavorable</v>
      </c>
    </row>
    <row r="1812" spans="1:17">
      <c r="A1812" t="s">
        <v>1822</v>
      </c>
      <c r="B1812" s="2">
        <v>45603</v>
      </c>
      <c r="C1812">
        <v>4000</v>
      </c>
      <c r="D1812" t="s">
        <v>2012</v>
      </c>
      <c r="E1812">
        <v>0</v>
      </c>
      <c r="F1812">
        <v>4953.79</v>
      </c>
      <c r="G1812" t="s">
        <v>2022</v>
      </c>
      <c r="H1812" t="s">
        <v>2024</v>
      </c>
      <c r="I1812" t="s">
        <v>3838</v>
      </c>
      <c r="J1812" t="s">
        <v>4032</v>
      </c>
      <c r="K1812" t="s">
        <v>4043</v>
      </c>
      <c r="L1812">
        <v>4953.79</v>
      </c>
      <c r="N1812">
        <f t="shared" si="84"/>
        <v>4953.79</v>
      </c>
      <c r="O1812" t="s">
        <v>4104</v>
      </c>
      <c r="P1812" t="str">
        <f t="shared" si="85"/>
        <v xml:space="preserve"> </v>
      </c>
      <c r="Q1812" t="str">
        <f t="shared" si="86"/>
        <v>Favorable</v>
      </c>
    </row>
    <row r="1813" spans="1:17">
      <c r="A1813" t="s">
        <v>1823</v>
      </c>
      <c r="B1813" s="2">
        <v>45423</v>
      </c>
      <c r="C1813">
        <v>5000</v>
      </c>
      <c r="D1813" t="s">
        <v>2013</v>
      </c>
      <c r="E1813">
        <v>1790.29</v>
      </c>
      <c r="F1813">
        <v>0</v>
      </c>
      <c r="G1813" t="s">
        <v>2022</v>
      </c>
      <c r="H1813" t="s">
        <v>2024</v>
      </c>
      <c r="I1813" t="s">
        <v>3839</v>
      </c>
      <c r="J1813" t="s">
        <v>4028</v>
      </c>
      <c r="K1813" t="s">
        <v>4033</v>
      </c>
      <c r="L1813">
        <v>-1790.29</v>
      </c>
      <c r="N1813">
        <f t="shared" si="84"/>
        <v>-1790.29</v>
      </c>
      <c r="O1813" t="s">
        <v>4104</v>
      </c>
      <c r="P1813" t="str">
        <f t="shared" si="85"/>
        <v xml:space="preserve"> </v>
      </c>
      <c r="Q1813" t="str">
        <f t="shared" si="86"/>
        <v>Unfavorable</v>
      </c>
    </row>
    <row r="1814" spans="1:17">
      <c r="A1814" t="s">
        <v>1824</v>
      </c>
      <c r="B1814" s="2">
        <v>45802</v>
      </c>
      <c r="C1814">
        <v>4000</v>
      </c>
      <c r="D1814" t="s">
        <v>2012</v>
      </c>
      <c r="E1814">
        <v>0</v>
      </c>
      <c r="F1814">
        <v>523.59</v>
      </c>
      <c r="G1814" t="s">
        <v>2018</v>
      </c>
      <c r="H1814" t="s">
        <v>2026</v>
      </c>
      <c r="I1814" t="s">
        <v>3840</v>
      </c>
      <c r="J1814" t="s">
        <v>4032</v>
      </c>
      <c r="K1814" t="s">
        <v>4038</v>
      </c>
      <c r="L1814">
        <v>523.59</v>
      </c>
      <c r="N1814">
        <f t="shared" si="84"/>
        <v>523.59</v>
      </c>
      <c r="O1814" t="s">
        <v>4104</v>
      </c>
      <c r="P1814" t="str">
        <f t="shared" si="85"/>
        <v xml:space="preserve"> </v>
      </c>
      <c r="Q1814" t="str">
        <f t="shared" si="86"/>
        <v>Favorable</v>
      </c>
    </row>
    <row r="1815" spans="1:17">
      <c r="A1815" t="s">
        <v>1825</v>
      </c>
      <c r="B1815" s="2">
        <v>45298</v>
      </c>
      <c r="C1815">
        <v>5010</v>
      </c>
      <c r="D1815" t="s">
        <v>2015</v>
      </c>
      <c r="E1815">
        <v>200.91</v>
      </c>
      <c r="F1815">
        <v>0</v>
      </c>
      <c r="G1815" t="s">
        <v>2021</v>
      </c>
      <c r="H1815" t="s">
        <v>2026</v>
      </c>
      <c r="I1815" t="s">
        <v>3841</v>
      </c>
      <c r="J1815" t="s">
        <v>4031</v>
      </c>
      <c r="K1815" t="s">
        <v>4053</v>
      </c>
      <c r="L1815">
        <v>-200.91</v>
      </c>
      <c r="N1815">
        <f t="shared" si="84"/>
        <v>-200.91</v>
      </c>
      <c r="O1815" t="s">
        <v>4104</v>
      </c>
      <c r="P1815" t="str">
        <f t="shared" si="85"/>
        <v xml:space="preserve"> </v>
      </c>
      <c r="Q1815" t="str">
        <f t="shared" si="86"/>
        <v>Unfavorable</v>
      </c>
    </row>
    <row r="1816" spans="1:17">
      <c r="A1816" t="s">
        <v>1826</v>
      </c>
      <c r="B1816" s="2">
        <v>45612</v>
      </c>
      <c r="C1816">
        <v>6000</v>
      </c>
      <c r="D1816" t="s">
        <v>2014</v>
      </c>
      <c r="E1816">
        <v>219.39</v>
      </c>
      <c r="F1816">
        <v>0</v>
      </c>
      <c r="G1816" t="s">
        <v>2018</v>
      </c>
      <c r="H1816" t="s">
        <v>2027</v>
      </c>
      <c r="I1816" t="s">
        <v>3842</v>
      </c>
      <c r="J1816" t="s">
        <v>4032</v>
      </c>
      <c r="K1816" t="s">
        <v>4043</v>
      </c>
      <c r="L1816">
        <v>-219.39</v>
      </c>
      <c r="N1816">
        <f t="shared" si="84"/>
        <v>-219.39</v>
      </c>
      <c r="O1816" t="s">
        <v>4104</v>
      </c>
      <c r="P1816" t="str">
        <f t="shared" si="85"/>
        <v xml:space="preserve"> </v>
      </c>
      <c r="Q1816" t="str">
        <f t="shared" si="86"/>
        <v>Unfavorable</v>
      </c>
    </row>
    <row r="1817" spans="1:17">
      <c r="A1817" t="s">
        <v>1827</v>
      </c>
      <c r="B1817" s="2">
        <v>45000</v>
      </c>
      <c r="C1817">
        <v>5010</v>
      </c>
      <c r="D1817" t="s">
        <v>2015</v>
      </c>
      <c r="E1817">
        <v>1274.73</v>
      </c>
      <c r="F1817">
        <v>0</v>
      </c>
      <c r="G1817" t="s">
        <v>2022</v>
      </c>
      <c r="H1817" t="s">
        <v>2027</v>
      </c>
      <c r="I1817" t="s">
        <v>3843</v>
      </c>
      <c r="J1817" t="s">
        <v>4032</v>
      </c>
      <c r="K1817" t="s">
        <v>4051</v>
      </c>
      <c r="L1817">
        <v>-1274.73</v>
      </c>
      <c r="N1817">
        <f t="shared" si="84"/>
        <v>-1274.73</v>
      </c>
      <c r="O1817" t="s">
        <v>4104</v>
      </c>
      <c r="P1817" t="str">
        <f t="shared" si="85"/>
        <v xml:space="preserve"> </v>
      </c>
      <c r="Q1817" t="str">
        <f t="shared" si="86"/>
        <v>Unfavorable</v>
      </c>
    </row>
    <row r="1818" spans="1:17">
      <c r="A1818" t="s">
        <v>1828</v>
      </c>
      <c r="B1818" s="2">
        <v>45775</v>
      </c>
      <c r="C1818">
        <v>5000</v>
      </c>
      <c r="D1818" t="s">
        <v>2013</v>
      </c>
      <c r="E1818">
        <v>692.56</v>
      </c>
      <c r="F1818">
        <v>0</v>
      </c>
      <c r="G1818" t="s">
        <v>2017</v>
      </c>
      <c r="H1818" t="s">
        <v>2023</v>
      </c>
      <c r="I1818" t="s">
        <v>3844</v>
      </c>
      <c r="J1818" t="s">
        <v>4030</v>
      </c>
      <c r="K1818" t="s">
        <v>4045</v>
      </c>
      <c r="L1818">
        <v>-692.56</v>
      </c>
      <c r="N1818">
        <f t="shared" si="84"/>
        <v>-692.56</v>
      </c>
      <c r="O1818" t="s">
        <v>4104</v>
      </c>
      <c r="P1818" t="str">
        <f t="shared" si="85"/>
        <v xml:space="preserve"> </v>
      </c>
      <c r="Q1818" t="str">
        <f t="shared" si="86"/>
        <v>Unfavorable</v>
      </c>
    </row>
    <row r="1819" spans="1:17">
      <c r="A1819" t="s">
        <v>1829</v>
      </c>
      <c r="B1819" s="2">
        <v>45704</v>
      </c>
      <c r="C1819">
        <v>5000</v>
      </c>
      <c r="D1819" t="s">
        <v>2013</v>
      </c>
      <c r="E1819">
        <v>1914.11</v>
      </c>
      <c r="F1819">
        <v>0</v>
      </c>
      <c r="G1819" t="s">
        <v>2022</v>
      </c>
      <c r="H1819" t="s">
        <v>2026</v>
      </c>
      <c r="I1819" t="s">
        <v>3845</v>
      </c>
      <c r="J1819" t="s">
        <v>4029</v>
      </c>
      <c r="K1819" t="s">
        <v>4061</v>
      </c>
      <c r="L1819">
        <v>-1914.11</v>
      </c>
      <c r="N1819">
        <f t="shared" si="84"/>
        <v>-1914.11</v>
      </c>
      <c r="O1819" t="s">
        <v>4104</v>
      </c>
      <c r="P1819" t="str">
        <f t="shared" si="85"/>
        <v xml:space="preserve"> </v>
      </c>
      <c r="Q1819" t="str">
        <f t="shared" si="86"/>
        <v>Unfavorable</v>
      </c>
    </row>
    <row r="1820" spans="1:17">
      <c r="A1820" t="s">
        <v>1830</v>
      </c>
      <c r="B1820" s="2">
        <v>45027</v>
      </c>
      <c r="C1820">
        <v>5010</v>
      </c>
      <c r="D1820" t="s">
        <v>2015</v>
      </c>
      <c r="E1820">
        <v>1033.2</v>
      </c>
      <c r="F1820">
        <v>0</v>
      </c>
      <c r="G1820" t="s">
        <v>2018</v>
      </c>
      <c r="H1820" t="s">
        <v>2023</v>
      </c>
      <c r="I1820" t="s">
        <v>3846</v>
      </c>
      <c r="J1820" t="s">
        <v>4030</v>
      </c>
      <c r="K1820" t="s">
        <v>4041</v>
      </c>
      <c r="L1820">
        <v>-1033.2</v>
      </c>
      <c r="N1820">
        <f t="shared" si="84"/>
        <v>-1033.2</v>
      </c>
      <c r="O1820" t="s">
        <v>4104</v>
      </c>
      <c r="P1820" t="str">
        <f t="shared" si="85"/>
        <v xml:space="preserve"> </v>
      </c>
      <c r="Q1820" t="str">
        <f t="shared" si="86"/>
        <v>Unfavorable</v>
      </c>
    </row>
    <row r="1821" spans="1:17">
      <c r="A1821" t="s">
        <v>1831</v>
      </c>
      <c r="B1821" s="2">
        <v>44958</v>
      </c>
      <c r="C1821">
        <v>4010</v>
      </c>
      <c r="D1821" t="s">
        <v>2016</v>
      </c>
      <c r="E1821">
        <v>0</v>
      </c>
      <c r="F1821">
        <v>2648.51</v>
      </c>
      <c r="G1821" t="s">
        <v>2020</v>
      </c>
      <c r="H1821" t="s">
        <v>2024</v>
      </c>
      <c r="I1821" t="s">
        <v>3847</v>
      </c>
      <c r="J1821" t="s">
        <v>4032</v>
      </c>
      <c r="K1821" t="s">
        <v>4057</v>
      </c>
      <c r="L1821">
        <v>2648.51</v>
      </c>
      <c r="N1821">
        <f t="shared" si="84"/>
        <v>2648.51</v>
      </c>
      <c r="O1821" t="s">
        <v>4104</v>
      </c>
      <c r="P1821" t="str">
        <f t="shared" si="85"/>
        <v xml:space="preserve"> </v>
      </c>
      <c r="Q1821" t="str">
        <f t="shared" si="86"/>
        <v>Favorable</v>
      </c>
    </row>
    <row r="1822" spans="1:17">
      <c r="A1822" t="s">
        <v>1832</v>
      </c>
      <c r="B1822" s="2">
        <v>45118</v>
      </c>
      <c r="C1822">
        <v>4000</v>
      </c>
      <c r="D1822" t="s">
        <v>2012</v>
      </c>
      <c r="E1822">
        <v>0</v>
      </c>
      <c r="F1822">
        <v>737.9</v>
      </c>
      <c r="G1822" t="s">
        <v>2022</v>
      </c>
      <c r="H1822" t="s">
        <v>2024</v>
      </c>
      <c r="I1822" t="s">
        <v>3848</v>
      </c>
      <c r="J1822" t="s">
        <v>4029</v>
      </c>
      <c r="K1822" t="s">
        <v>4050</v>
      </c>
      <c r="L1822">
        <v>737.9</v>
      </c>
      <c r="N1822">
        <f t="shared" si="84"/>
        <v>737.9</v>
      </c>
      <c r="O1822" t="s">
        <v>4104</v>
      </c>
      <c r="P1822" t="str">
        <f t="shared" si="85"/>
        <v xml:space="preserve"> </v>
      </c>
      <c r="Q1822" t="str">
        <f t="shared" si="86"/>
        <v>Favorable</v>
      </c>
    </row>
    <row r="1823" spans="1:17">
      <c r="A1823" t="s">
        <v>1833</v>
      </c>
      <c r="B1823" s="2">
        <v>45289</v>
      </c>
      <c r="C1823">
        <v>6000</v>
      </c>
      <c r="D1823" t="s">
        <v>2014</v>
      </c>
      <c r="E1823">
        <v>323.47000000000003</v>
      </c>
      <c r="F1823">
        <v>0</v>
      </c>
      <c r="G1823" t="s">
        <v>2020</v>
      </c>
      <c r="H1823" t="s">
        <v>2025</v>
      </c>
      <c r="I1823" t="s">
        <v>3849</v>
      </c>
      <c r="J1823" t="s">
        <v>4031</v>
      </c>
      <c r="K1823" t="s">
        <v>4039</v>
      </c>
      <c r="L1823">
        <v>-323.47000000000003</v>
      </c>
      <c r="N1823">
        <f t="shared" si="84"/>
        <v>-323.47000000000003</v>
      </c>
      <c r="O1823" t="s">
        <v>4104</v>
      </c>
      <c r="P1823" t="str">
        <f t="shared" si="85"/>
        <v xml:space="preserve"> </v>
      </c>
      <c r="Q1823" t="str">
        <f t="shared" si="86"/>
        <v>Unfavorable</v>
      </c>
    </row>
    <row r="1824" spans="1:17">
      <c r="A1824" t="s">
        <v>1834</v>
      </c>
      <c r="B1824" s="2">
        <v>45410</v>
      </c>
      <c r="C1824">
        <v>5010</v>
      </c>
      <c r="D1824" t="s">
        <v>2015</v>
      </c>
      <c r="E1824">
        <v>728.68</v>
      </c>
      <c r="F1824">
        <v>0</v>
      </c>
      <c r="G1824" t="s">
        <v>2018</v>
      </c>
      <c r="H1824" t="s">
        <v>2024</v>
      </c>
      <c r="I1824" t="s">
        <v>3850</v>
      </c>
      <c r="J1824" t="s">
        <v>4032</v>
      </c>
      <c r="K1824" t="s">
        <v>4040</v>
      </c>
      <c r="L1824">
        <v>-728.68</v>
      </c>
      <c r="N1824">
        <f t="shared" si="84"/>
        <v>-728.68</v>
      </c>
      <c r="O1824" t="s">
        <v>4104</v>
      </c>
      <c r="P1824" t="str">
        <f t="shared" si="85"/>
        <v xml:space="preserve"> </v>
      </c>
      <c r="Q1824" t="str">
        <f t="shared" si="86"/>
        <v>Unfavorable</v>
      </c>
    </row>
    <row r="1825" spans="1:17">
      <c r="A1825" t="s">
        <v>1835</v>
      </c>
      <c r="B1825" s="2">
        <v>45374</v>
      </c>
      <c r="C1825">
        <v>5000</v>
      </c>
      <c r="D1825" t="s">
        <v>2013</v>
      </c>
      <c r="E1825">
        <v>1625.93</v>
      </c>
      <c r="F1825">
        <v>0</v>
      </c>
      <c r="G1825" t="s">
        <v>2020</v>
      </c>
      <c r="H1825" t="s">
        <v>2023</v>
      </c>
      <c r="I1825" t="s">
        <v>3851</v>
      </c>
      <c r="J1825" t="s">
        <v>4029</v>
      </c>
      <c r="K1825" t="s">
        <v>4049</v>
      </c>
      <c r="L1825">
        <v>-1625.93</v>
      </c>
      <c r="N1825">
        <f t="shared" si="84"/>
        <v>-1625.93</v>
      </c>
      <c r="O1825" t="s">
        <v>4104</v>
      </c>
      <c r="P1825" t="str">
        <f t="shared" si="85"/>
        <v xml:space="preserve"> </v>
      </c>
      <c r="Q1825" t="str">
        <f t="shared" si="86"/>
        <v>Unfavorable</v>
      </c>
    </row>
    <row r="1826" spans="1:17">
      <c r="A1826" t="s">
        <v>1836</v>
      </c>
      <c r="B1826" s="2">
        <v>45474</v>
      </c>
      <c r="C1826">
        <v>4000</v>
      </c>
      <c r="D1826" t="s">
        <v>2012</v>
      </c>
      <c r="E1826">
        <v>0</v>
      </c>
      <c r="F1826">
        <v>166.02</v>
      </c>
      <c r="G1826" t="s">
        <v>2019</v>
      </c>
      <c r="H1826" t="s">
        <v>2023</v>
      </c>
      <c r="I1826" t="s">
        <v>3852</v>
      </c>
      <c r="J1826" t="s">
        <v>4029</v>
      </c>
      <c r="K1826" t="s">
        <v>4054</v>
      </c>
      <c r="L1826">
        <v>166.02</v>
      </c>
      <c r="N1826">
        <f t="shared" si="84"/>
        <v>166.02</v>
      </c>
      <c r="O1826" t="s">
        <v>4104</v>
      </c>
      <c r="P1826" t="str">
        <f t="shared" si="85"/>
        <v xml:space="preserve"> </v>
      </c>
      <c r="Q1826" t="str">
        <f t="shared" si="86"/>
        <v>Favorable</v>
      </c>
    </row>
    <row r="1827" spans="1:17">
      <c r="A1827" t="s">
        <v>1837</v>
      </c>
      <c r="B1827" s="2">
        <v>45492</v>
      </c>
      <c r="C1827">
        <v>5000</v>
      </c>
      <c r="D1827" t="s">
        <v>2013</v>
      </c>
      <c r="E1827">
        <v>510</v>
      </c>
      <c r="F1827">
        <v>0</v>
      </c>
      <c r="G1827" t="s">
        <v>2019</v>
      </c>
      <c r="H1827" t="s">
        <v>2025</v>
      </c>
      <c r="I1827" t="s">
        <v>3853</v>
      </c>
      <c r="J1827" t="s">
        <v>4030</v>
      </c>
      <c r="K1827" t="s">
        <v>4054</v>
      </c>
      <c r="L1827">
        <v>-510</v>
      </c>
      <c r="N1827">
        <f t="shared" si="84"/>
        <v>-510</v>
      </c>
      <c r="O1827" t="s">
        <v>4104</v>
      </c>
      <c r="P1827" t="str">
        <f t="shared" si="85"/>
        <v xml:space="preserve"> </v>
      </c>
      <c r="Q1827" t="str">
        <f t="shared" si="86"/>
        <v>Unfavorable</v>
      </c>
    </row>
    <row r="1828" spans="1:17">
      <c r="A1828" t="s">
        <v>1838</v>
      </c>
      <c r="B1828" s="2">
        <v>45574</v>
      </c>
      <c r="C1828">
        <v>4010</v>
      </c>
      <c r="D1828" t="s">
        <v>2016</v>
      </c>
      <c r="E1828">
        <v>0</v>
      </c>
      <c r="F1828">
        <v>1743.21</v>
      </c>
      <c r="G1828" t="s">
        <v>2022</v>
      </c>
      <c r="H1828" t="s">
        <v>2025</v>
      </c>
      <c r="I1828" t="s">
        <v>3854</v>
      </c>
      <c r="J1828" t="s">
        <v>4028</v>
      </c>
      <c r="K1828" t="s">
        <v>4059</v>
      </c>
      <c r="L1828">
        <v>1743.21</v>
      </c>
      <c r="N1828">
        <f t="shared" si="84"/>
        <v>1743.21</v>
      </c>
      <c r="O1828" t="s">
        <v>4104</v>
      </c>
      <c r="P1828" t="str">
        <f t="shared" si="85"/>
        <v xml:space="preserve"> </v>
      </c>
      <c r="Q1828" t="str">
        <f t="shared" si="86"/>
        <v>Favorable</v>
      </c>
    </row>
    <row r="1829" spans="1:17">
      <c r="A1829" t="s">
        <v>1839</v>
      </c>
      <c r="B1829" s="2">
        <v>45488</v>
      </c>
      <c r="C1829">
        <v>5010</v>
      </c>
      <c r="D1829" t="s">
        <v>2015</v>
      </c>
      <c r="E1829">
        <v>652.48</v>
      </c>
      <c r="F1829">
        <v>0</v>
      </c>
      <c r="G1829" t="s">
        <v>2017</v>
      </c>
      <c r="H1829" t="s">
        <v>2023</v>
      </c>
      <c r="I1829" t="s">
        <v>3855</v>
      </c>
      <c r="J1829" t="s">
        <v>4030</v>
      </c>
      <c r="K1829" t="s">
        <v>4054</v>
      </c>
      <c r="L1829">
        <v>-652.48</v>
      </c>
      <c r="N1829">
        <f t="shared" si="84"/>
        <v>-652.48</v>
      </c>
      <c r="O1829" t="s">
        <v>4104</v>
      </c>
      <c r="P1829" t="str">
        <f t="shared" si="85"/>
        <v xml:space="preserve"> </v>
      </c>
      <c r="Q1829" t="str">
        <f t="shared" si="86"/>
        <v>Unfavorable</v>
      </c>
    </row>
    <row r="1830" spans="1:17">
      <c r="A1830" t="s">
        <v>1840</v>
      </c>
      <c r="B1830" s="2">
        <v>45247</v>
      </c>
      <c r="C1830">
        <v>5000</v>
      </c>
      <c r="D1830" t="s">
        <v>2013</v>
      </c>
      <c r="E1830">
        <v>710.38</v>
      </c>
      <c r="F1830">
        <v>0</v>
      </c>
      <c r="G1830" t="s">
        <v>2017</v>
      </c>
      <c r="H1830" t="s">
        <v>2027</v>
      </c>
      <c r="I1830" t="s">
        <v>3856</v>
      </c>
      <c r="J1830" t="s">
        <v>4029</v>
      </c>
      <c r="K1830" t="s">
        <v>4042</v>
      </c>
      <c r="L1830">
        <v>-710.38</v>
      </c>
      <c r="N1830">
        <f t="shared" si="84"/>
        <v>-710.38</v>
      </c>
      <c r="O1830" t="s">
        <v>4104</v>
      </c>
      <c r="P1830" t="str">
        <f t="shared" si="85"/>
        <v xml:space="preserve"> </v>
      </c>
      <c r="Q1830" t="str">
        <f t="shared" si="86"/>
        <v>Unfavorable</v>
      </c>
    </row>
    <row r="1831" spans="1:17">
      <c r="A1831" t="s">
        <v>1841</v>
      </c>
      <c r="B1831" s="2">
        <v>45717</v>
      </c>
      <c r="C1831">
        <v>4010</v>
      </c>
      <c r="D1831" t="s">
        <v>2016</v>
      </c>
      <c r="E1831">
        <v>0</v>
      </c>
      <c r="F1831">
        <v>4569.3500000000004</v>
      </c>
      <c r="G1831" t="s">
        <v>2017</v>
      </c>
      <c r="H1831" t="s">
        <v>2026</v>
      </c>
      <c r="I1831" t="s">
        <v>3857</v>
      </c>
      <c r="J1831" t="s">
        <v>4029</v>
      </c>
      <c r="K1831" t="s">
        <v>4046</v>
      </c>
      <c r="L1831">
        <v>4569.3500000000004</v>
      </c>
      <c r="N1831">
        <f t="shared" si="84"/>
        <v>4569.3500000000004</v>
      </c>
      <c r="O1831" t="s">
        <v>4104</v>
      </c>
      <c r="P1831" t="str">
        <f t="shared" si="85"/>
        <v xml:space="preserve"> </v>
      </c>
      <c r="Q1831" t="str">
        <f t="shared" si="86"/>
        <v>Favorable</v>
      </c>
    </row>
    <row r="1832" spans="1:17">
      <c r="A1832" t="s">
        <v>1842</v>
      </c>
      <c r="B1832" s="2">
        <v>45596</v>
      </c>
      <c r="C1832">
        <v>5000</v>
      </c>
      <c r="D1832" t="s">
        <v>2013</v>
      </c>
      <c r="E1832">
        <v>1247.49</v>
      </c>
      <c r="F1832">
        <v>0</v>
      </c>
      <c r="G1832" t="s">
        <v>2021</v>
      </c>
      <c r="H1832" t="s">
        <v>2025</v>
      </c>
      <c r="I1832" t="s">
        <v>3858</v>
      </c>
      <c r="J1832" t="s">
        <v>4030</v>
      </c>
      <c r="K1832" t="s">
        <v>4059</v>
      </c>
      <c r="L1832">
        <v>-1247.49</v>
      </c>
      <c r="N1832">
        <f t="shared" si="84"/>
        <v>-1247.49</v>
      </c>
      <c r="O1832" t="s">
        <v>4104</v>
      </c>
      <c r="P1832" t="str">
        <f t="shared" si="85"/>
        <v xml:space="preserve"> </v>
      </c>
      <c r="Q1832" t="str">
        <f t="shared" si="86"/>
        <v>Unfavorable</v>
      </c>
    </row>
    <row r="1833" spans="1:17">
      <c r="A1833" t="s">
        <v>1843</v>
      </c>
      <c r="B1833" s="2">
        <v>45467</v>
      </c>
      <c r="C1833">
        <v>6000</v>
      </c>
      <c r="D1833" t="s">
        <v>2014</v>
      </c>
      <c r="E1833">
        <v>153.35</v>
      </c>
      <c r="F1833">
        <v>0</v>
      </c>
      <c r="G1833" t="s">
        <v>2021</v>
      </c>
      <c r="H1833" t="s">
        <v>2025</v>
      </c>
      <c r="I1833" t="s">
        <v>3859</v>
      </c>
      <c r="J1833" t="s">
        <v>4032</v>
      </c>
      <c r="K1833" t="s">
        <v>4034</v>
      </c>
      <c r="L1833">
        <v>-153.35</v>
      </c>
      <c r="N1833">
        <f t="shared" si="84"/>
        <v>-153.35</v>
      </c>
      <c r="O1833" t="s">
        <v>4104</v>
      </c>
      <c r="P1833" t="str">
        <f t="shared" si="85"/>
        <v xml:space="preserve"> </v>
      </c>
      <c r="Q1833" t="str">
        <f t="shared" si="86"/>
        <v>Unfavorable</v>
      </c>
    </row>
    <row r="1834" spans="1:17">
      <c r="A1834" t="s">
        <v>1844</v>
      </c>
      <c r="B1834" s="2">
        <v>45711</v>
      </c>
      <c r="C1834">
        <v>4010</v>
      </c>
      <c r="D1834" t="s">
        <v>2016</v>
      </c>
      <c r="E1834">
        <v>0</v>
      </c>
      <c r="F1834">
        <v>432.36</v>
      </c>
      <c r="G1834" t="s">
        <v>2017</v>
      </c>
      <c r="H1834" t="s">
        <v>2025</v>
      </c>
      <c r="I1834" t="s">
        <v>3860</v>
      </c>
      <c r="J1834" t="s">
        <v>4030</v>
      </c>
      <c r="K1834" t="s">
        <v>4061</v>
      </c>
      <c r="L1834">
        <v>432.36</v>
      </c>
      <c r="N1834">
        <f t="shared" si="84"/>
        <v>432.36</v>
      </c>
      <c r="O1834" t="s">
        <v>4104</v>
      </c>
      <c r="P1834" t="str">
        <f t="shared" si="85"/>
        <v xml:space="preserve"> </v>
      </c>
      <c r="Q1834" t="str">
        <f t="shared" si="86"/>
        <v>Favorable</v>
      </c>
    </row>
    <row r="1835" spans="1:17">
      <c r="A1835" t="s">
        <v>1845</v>
      </c>
      <c r="B1835" s="2">
        <v>45712</v>
      </c>
      <c r="C1835">
        <v>5010</v>
      </c>
      <c r="D1835" t="s">
        <v>2015</v>
      </c>
      <c r="E1835">
        <v>283.95999999999998</v>
      </c>
      <c r="F1835">
        <v>0</v>
      </c>
      <c r="G1835" t="s">
        <v>2018</v>
      </c>
      <c r="H1835" t="s">
        <v>2023</v>
      </c>
      <c r="I1835" t="s">
        <v>3861</v>
      </c>
      <c r="J1835" t="s">
        <v>4031</v>
      </c>
      <c r="K1835" t="s">
        <v>4061</v>
      </c>
      <c r="L1835">
        <v>-283.95999999999998</v>
      </c>
      <c r="N1835">
        <f t="shared" si="84"/>
        <v>-283.95999999999998</v>
      </c>
      <c r="O1835" t="s">
        <v>4104</v>
      </c>
      <c r="P1835" t="str">
        <f t="shared" si="85"/>
        <v xml:space="preserve"> </v>
      </c>
      <c r="Q1835" t="str">
        <f t="shared" si="86"/>
        <v>Unfavorable</v>
      </c>
    </row>
    <row r="1836" spans="1:17">
      <c r="A1836" t="s">
        <v>1846</v>
      </c>
      <c r="B1836" s="2">
        <v>44966</v>
      </c>
      <c r="C1836">
        <v>5000</v>
      </c>
      <c r="D1836" t="s">
        <v>2013</v>
      </c>
      <c r="E1836">
        <v>1915.58</v>
      </c>
      <c r="F1836">
        <v>0</v>
      </c>
      <c r="G1836" t="s">
        <v>2021</v>
      </c>
      <c r="H1836" t="s">
        <v>2027</v>
      </c>
      <c r="I1836" t="s">
        <v>3862</v>
      </c>
      <c r="J1836" t="s">
        <v>4031</v>
      </c>
      <c r="K1836" t="s">
        <v>4057</v>
      </c>
      <c r="L1836">
        <v>-1915.58</v>
      </c>
      <c r="N1836">
        <f t="shared" si="84"/>
        <v>-1915.58</v>
      </c>
      <c r="O1836" t="s">
        <v>4104</v>
      </c>
      <c r="P1836" t="str">
        <f t="shared" si="85"/>
        <v xml:space="preserve"> </v>
      </c>
      <c r="Q1836" t="str">
        <f t="shared" si="86"/>
        <v>Unfavorable</v>
      </c>
    </row>
    <row r="1837" spans="1:17">
      <c r="A1837" t="s">
        <v>1847</v>
      </c>
      <c r="B1837" s="2">
        <v>45025</v>
      </c>
      <c r="C1837">
        <v>5000</v>
      </c>
      <c r="D1837" t="s">
        <v>2013</v>
      </c>
      <c r="E1837">
        <v>229.78</v>
      </c>
      <c r="F1837">
        <v>0</v>
      </c>
      <c r="G1837" t="s">
        <v>2020</v>
      </c>
      <c r="H1837" t="s">
        <v>2026</v>
      </c>
      <c r="I1837" t="s">
        <v>3863</v>
      </c>
      <c r="J1837" t="s">
        <v>4028</v>
      </c>
      <c r="K1837" t="s">
        <v>4041</v>
      </c>
      <c r="L1837">
        <v>-229.78</v>
      </c>
      <c r="N1837">
        <f t="shared" si="84"/>
        <v>-229.78</v>
      </c>
      <c r="O1837" t="s">
        <v>4104</v>
      </c>
      <c r="P1837" t="str">
        <f t="shared" si="85"/>
        <v xml:space="preserve"> </v>
      </c>
      <c r="Q1837" t="str">
        <f t="shared" si="86"/>
        <v>Unfavorable</v>
      </c>
    </row>
    <row r="1838" spans="1:17">
      <c r="A1838" t="s">
        <v>1848</v>
      </c>
      <c r="B1838" s="2">
        <v>45651</v>
      </c>
      <c r="C1838">
        <v>6000</v>
      </c>
      <c r="D1838" t="s">
        <v>2014</v>
      </c>
      <c r="E1838">
        <v>1583.41</v>
      </c>
      <c r="F1838">
        <v>0</v>
      </c>
      <c r="G1838" t="s">
        <v>2018</v>
      </c>
      <c r="H1838" t="s">
        <v>2023</v>
      </c>
      <c r="I1838" t="s">
        <v>3864</v>
      </c>
      <c r="J1838" t="s">
        <v>4029</v>
      </c>
      <c r="K1838" t="s">
        <v>4056</v>
      </c>
      <c r="L1838">
        <v>-1583.41</v>
      </c>
      <c r="N1838">
        <f t="shared" si="84"/>
        <v>-1583.41</v>
      </c>
      <c r="O1838" t="s">
        <v>4104</v>
      </c>
      <c r="P1838" t="str">
        <f t="shared" si="85"/>
        <v xml:space="preserve"> </v>
      </c>
      <c r="Q1838" t="str">
        <f t="shared" si="86"/>
        <v>Unfavorable</v>
      </c>
    </row>
    <row r="1839" spans="1:17">
      <c r="A1839" t="s">
        <v>1849</v>
      </c>
      <c r="B1839" s="2">
        <v>44978</v>
      </c>
      <c r="C1839">
        <v>4010</v>
      </c>
      <c r="D1839" t="s">
        <v>2016</v>
      </c>
      <c r="E1839">
        <v>0</v>
      </c>
      <c r="F1839">
        <v>4316.26</v>
      </c>
      <c r="G1839" t="s">
        <v>2018</v>
      </c>
      <c r="H1839" t="s">
        <v>2027</v>
      </c>
      <c r="I1839" t="s">
        <v>3865</v>
      </c>
      <c r="J1839" t="s">
        <v>4028</v>
      </c>
      <c r="K1839" t="s">
        <v>4057</v>
      </c>
      <c r="L1839">
        <v>4316.26</v>
      </c>
      <c r="N1839">
        <f t="shared" si="84"/>
        <v>4316.26</v>
      </c>
      <c r="O1839" t="s">
        <v>4104</v>
      </c>
      <c r="P1839" t="str">
        <f t="shared" si="85"/>
        <v xml:space="preserve"> </v>
      </c>
      <c r="Q1839" t="str">
        <f t="shared" si="86"/>
        <v>Favorable</v>
      </c>
    </row>
    <row r="1840" spans="1:17">
      <c r="A1840" t="s">
        <v>1850</v>
      </c>
      <c r="B1840" s="2">
        <v>45460</v>
      </c>
      <c r="C1840">
        <v>4000</v>
      </c>
      <c r="D1840" t="s">
        <v>2012</v>
      </c>
      <c r="E1840">
        <v>0</v>
      </c>
      <c r="F1840">
        <v>887.28</v>
      </c>
      <c r="G1840" t="s">
        <v>2017</v>
      </c>
      <c r="H1840" t="s">
        <v>2026</v>
      </c>
      <c r="I1840" t="s">
        <v>3866</v>
      </c>
      <c r="J1840" t="s">
        <v>4029</v>
      </c>
      <c r="K1840" t="s">
        <v>4034</v>
      </c>
      <c r="L1840">
        <v>887.28</v>
      </c>
      <c r="N1840">
        <f t="shared" si="84"/>
        <v>887.28</v>
      </c>
      <c r="O1840" t="s">
        <v>4104</v>
      </c>
      <c r="P1840" t="str">
        <f t="shared" si="85"/>
        <v xml:space="preserve"> </v>
      </c>
      <c r="Q1840" t="str">
        <f t="shared" si="86"/>
        <v>Favorable</v>
      </c>
    </row>
    <row r="1841" spans="1:17">
      <c r="A1841" t="s">
        <v>1851</v>
      </c>
      <c r="B1841" s="2">
        <v>45831</v>
      </c>
      <c r="C1841">
        <v>4010</v>
      </c>
      <c r="D1841" t="s">
        <v>2016</v>
      </c>
      <c r="E1841">
        <v>0</v>
      </c>
      <c r="F1841">
        <v>1446.64</v>
      </c>
      <c r="G1841" t="s">
        <v>2018</v>
      </c>
      <c r="H1841" t="s">
        <v>2025</v>
      </c>
      <c r="I1841" t="s">
        <v>3867</v>
      </c>
      <c r="J1841" t="s">
        <v>4029</v>
      </c>
      <c r="K1841" t="s">
        <v>4052</v>
      </c>
      <c r="L1841">
        <v>1446.64</v>
      </c>
      <c r="N1841">
        <f t="shared" si="84"/>
        <v>1446.64</v>
      </c>
      <c r="O1841" t="s">
        <v>4104</v>
      </c>
      <c r="P1841" t="str">
        <f t="shared" si="85"/>
        <v xml:space="preserve"> </v>
      </c>
      <c r="Q1841" t="str">
        <f t="shared" si="86"/>
        <v>Favorable</v>
      </c>
    </row>
    <row r="1842" spans="1:17">
      <c r="A1842" t="s">
        <v>1852</v>
      </c>
      <c r="B1842" s="2">
        <v>45615</v>
      </c>
      <c r="C1842">
        <v>5010</v>
      </c>
      <c r="D1842" t="s">
        <v>2015</v>
      </c>
      <c r="E1842">
        <v>794.56</v>
      </c>
      <c r="F1842">
        <v>0</v>
      </c>
      <c r="G1842" t="s">
        <v>2022</v>
      </c>
      <c r="H1842" t="s">
        <v>2027</v>
      </c>
      <c r="I1842" t="s">
        <v>3868</v>
      </c>
      <c r="J1842" t="s">
        <v>4031</v>
      </c>
      <c r="K1842" t="s">
        <v>4043</v>
      </c>
      <c r="L1842">
        <v>-794.56</v>
      </c>
      <c r="N1842">
        <f t="shared" si="84"/>
        <v>-794.56</v>
      </c>
      <c r="O1842" t="s">
        <v>4104</v>
      </c>
      <c r="P1842" t="str">
        <f t="shared" si="85"/>
        <v xml:space="preserve"> </v>
      </c>
      <c r="Q1842" t="str">
        <f t="shared" si="86"/>
        <v>Unfavorable</v>
      </c>
    </row>
    <row r="1843" spans="1:17">
      <c r="A1843" t="s">
        <v>1853</v>
      </c>
      <c r="B1843" s="2">
        <v>44993</v>
      </c>
      <c r="C1843">
        <v>4000</v>
      </c>
      <c r="D1843" t="s">
        <v>2012</v>
      </c>
      <c r="E1843">
        <v>0</v>
      </c>
      <c r="F1843">
        <v>1094.51</v>
      </c>
      <c r="G1843" t="s">
        <v>2018</v>
      </c>
      <c r="H1843" t="s">
        <v>2025</v>
      </c>
      <c r="I1843" t="s">
        <v>3869</v>
      </c>
      <c r="J1843" t="s">
        <v>4031</v>
      </c>
      <c r="K1843" t="s">
        <v>4051</v>
      </c>
      <c r="L1843">
        <v>1094.51</v>
      </c>
      <c r="N1843">
        <f t="shared" si="84"/>
        <v>1094.51</v>
      </c>
      <c r="O1843" t="s">
        <v>4104</v>
      </c>
      <c r="P1843" t="str">
        <f t="shared" si="85"/>
        <v xml:space="preserve"> </v>
      </c>
      <c r="Q1843" t="str">
        <f t="shared" si="86"/>
        <v>Favorable</v>
      </c>
    </row>
    <row r="1844" spans="1:17">
      <c r="A1844" t="s">
        <v>1854</v>
      </c>
      <c r="B1844" s="2">
        <v>45421</v>
      </c>
      <c r="C1844">
        <v>4010</v>
      </c>
      <c r="D1844" t="s">
        <v>2016</v>
      </c>
      <c r="E1844">
        <v>0</v>
      </c>
      <c r="F1844">
        <v>1492.82</v>
      </c>
      <c r="G1844" t="s">
        <v>2019</v>
      </c>
      <c r="H1844" t="s">
        <v>2026</v>
      </c>
      <c r="I1844" t="s">
        <v>3870</v>
      </c>
      <c r="J1844" t="s">
        <v>4031</v>
      </c>
      <c r="K1844" t="s">
        <v>4033</v>
      </c>
      <c r="L1844">
        <v>1492.82</v>
      </c>
      <c r="N1844">
        <f t="shared" si="84"/>
        <v>1492.82</v>
      </c>
      <c r="O1844" t="s">
        <v>4104</v>
      </c>
      <c r="P1844" t="str">
        <f t="shared" si="85"/>
        <v xml:space="preserve"> </v>
      </c>
      <c r="Q1844" t="str">
        <f t="shared" si="86"/>
        <v>Favorable</v>
      </c>
    </row>
    <row r="1845" spans="1:17">
      <c r="A1845" t="s">
        <v>1855</v>
      </c>
      <c r="B1845" s="2">
        <v>45660</v>
      </c>
      <c r="C1845">
        <v>4000</v>
      </c>
      <c r="D1845" t="s">
        <v>2012</v>
      </c>
      <c r="E1845">
        <v>0</v>
      </c>
      <c r="F1845">
        <v>1521.98</v>
      </c>
      <c r="G1845" t="s">
        <v>2020</v>
      </c>
      <c r="H1845" t="s">
        <v>2025</v>
      </c>
      <c r="I1845" t="s">
        <v>3871</v>
      </c>
      <c r="J1845" t="s">
        <v>4028</v>
      </c>
      <c r="K1845" t="s">
        <v>4035</v>
      </c>
      <c r="L1845">
        <v>1521.98</v>
      </c>
      <c r="N1845">
        <f t="shared" si="84"/>
        <v>1521.98</v>
      </c>
      <c r="O1845" t="s">
        <v>4104</v>
      </c>
      <c r="P1845" t="str">
        <f t="shared" si="85"/>
        <v xml:space="preserve"> </v>
      </c>
      <c r="Q1845" t="str">
        <f t="shared" si="86"/>
        <v>Favorable</v>
      </c>
    </row>
    <row r="1846" spans="1:17">
      <c r="A1846" t="s">
        <v>1856</v>
      </c>
      <c r="B1846" s="2">
        <v>45527</v>
      </c>
      <c r="C1846">
        <v>5010</v>
      </c>
      <c r="D1846" t="s">
        <v>2015</v>
      </c>
      <c r="E1846">
        <v>597.86</v>
      </c>
      <c r="F1846">
        <v>0</v>
      </c>
      <c r="G1846" t="s">
        <v>2020</v>
      </c>
      <c r="H1846" t="s">
        <v>2027</v>
      </c>
      <c r="I1846" t="s">
        <v>3872</v>
      </c>
      <c r="J1846" t="s">
        <v>4029</v>
      </c>
      <c r="K1846" t="s">
        <v>4058</v>
      </c>
      <c r="L1846">
        <v>-597.86</v>
      </c>
      <c r="N1846">
        <f t="shared" si="84"/>
        <v>-597.86</v>
      </c>
      <c r="O1846" t="s">
        <v>4104</v>
      </c>
      <c r="P1846" t="str">
        <f t="shared" si="85"/>
        <v xml:space="preserve"> </v>
      </c>
      <c r="Q1846" t="str">
        <f t="shared" si="86"/>
        <v>Unfavorable</v>
      </c>
    </row>
    <row r="1847" spans="1:17">
      <c r="A1847" t="s">
        <v>1857</v>
      </c>
      <c r="B1847" s="2">
        <v>45312</v>
      </c>
      <c r="C1847">
        <v>6000</v>
      </c>
      <c r="D1847" t="s">
        <v>2014</v>
      </c>
      <c r="E1847">
        <v>106.18</v>
      </c>
      <c r="F1847">
        <v>0</v>
      </c>
      <c r="G1847" t="s">
        <v>2020</v>
      </c>
      <c r="H1847" t="s">
        <v>2026</v>
      </c>
      <c r="I1847" t="s">
        <v>3873</v>
      </c>
      <c r="J1847" t="s">
        <v>4031</v>
      </c>
      <c r="K1847" t="s">
        <v>4053</v>
      </c>
      <c r="L1847">
        <v>-106.18</v>
      </c>
      <c r="N1847">
        <f t="shared" si="84"/>
        <v>-106.18</v>
      </c>
      <c r="O1847" t="s">
        <v>4104</v>
      </c>
      <c r="P1847" t="str">
        <f t="shared" si="85"/>
        <v xml:space="preserve"> </v>
      </c>
      <c r="Q1847" t="str">
        <f t="shared" si="86"/>
        <v>Unfavorable</v>
      </c>
    </row>
    <row r="1848" spans="1:17">
      <c r="A1848" t="s">
        <v>1858</v>
      </c>
      <c r="B1848" s="2">
        <v>45118</v>
      </c>
      <c r="C1848">
        <v>5010</v>
      </c>
      <c r="D1848" t="s">
        <v>2015</v>
      </c>
      <c r="E1848">
        <v>446.48</v>
      </c>
      <c r="F1848">
        <v>0</v>
      </c>
      <c r="G1848" t="s">
        <v>2017</v>
      </c>
      <c r="H1848" t="s">
        <v>2026</v>
      </c>
      <c r="I1848" t="s">
        <v>3874</v>
      </c>
      <c r="J1848" t="s">
        <v>4028</v>
      </c>
      <c r="K1848" t="s">
        <v>4050</v>
      </c>
      <c r="L1848">
        <v>-446.48</v>
      </c>
      <c r="N1848">
        <f t="shared" si="84"/>
        <v>-446.48</v>
      </c>
      <c r="O1848" t="s">
        <v>4104</v>
      </c>
      <c r="P1848" t="str">
        <f t="shared" si="85"/>
        <v xml:space="preserve"> </v>
      </c>
      <c r="Q1848" t="str">
        <f t="shared" si="86"/>
        <v>Unfavorable</v>
      </c>
    </row>
    <row r="1849" spans="1:17">
      <c r="A1849" t="s">
        <v>1859</v>
      </c>
      <c r="B1849" s="2">
        <v>45645</v>
      </c>
      <c r="C1849">
        <v>6000</v>
      </c>
      <c r="D1849" t="s">
        <v>2014</v>
      </c>
      <c r="E1849">
        <v>405.28</v>
      </c>
      <c r="F1849">
        <v>0</v>
      </c>
      <c r="G1849" t="s">
        <v>2018</v>
      </c>
      <c r="H1849" t="s">
        <v>2025</v>
      </c>
      <c r="I1849" t="s">
        <v>3875</v>
      </c>
      <c r="J1849" t="s">
        <v>4028</v>
      </c>
      <c r="K1849" t="s">
        <v>4056</v>
      </c>
      <c r="L1849">
        <v>-405.28</v>
      </c>
      <c r="N1849">
        <f t="shared" si="84"/>
        <v>-405.28</v>
      </c>
      <c r="O1849" t="s">
        <v>4104</v>
      </c>
      <c r="P1849" t="str">
        <f t="shared" si="85"/>
        <v xml:space="preserve"> </v>
      </c>
      <c r="Q1849" t="str">
        <f t="shared" si="86"/>
        <v>Unfavorable</v>
      </c>
    </row>
    <row r="1850" spans="1:17">
      <c r="A1850" t="s">
        <v>1860</v>
      </c>
      <c r="B1850" s="2">
        <v>45120</v>
      </c>
      <c r="C1850">
        <v>5000</v>
      </c>
      <c r="D1850" t="s">
        <v>2013</v>
      </c>
      <c r="E1850">
        <v>1418.69</v>
      </c>
      <c r="F1850">
        <v>0</v>
      </c>
      <c r="G1850" t="s">
        <v>2018</v>
      </c>
      <c r="H1850" t="s">
        <v>2024</v>
      </c>
      <c r="I1850" t="s">
        <v>3876</v>
      </c>
      <c r="J1850" t="s">
        <v>4031</v>
      </c>
      <c r="K1850" t="s">
        <v>4050</v>
      </c>
      <c r="L1850">
        <v>-1418.69</v>
      </c>
      <c r="N1850">
        <f t="shared" si="84"/>
        <v>-1418.69</v>
      </c>
      <c r="O1850" t="s">
        <v>4104</v>
      </c>
      <c r="P1850" t="str">
        <f t="shared" si="85"/>
        <v xml:space="preserve"> </v>
      </c>
      <c r="Q1850" t="str">
        <f t="shared" si="86"/>
        <v>Unfavorable</v>
      </c>
    </row>
    <row r="1851" spans="1:17">
      <c r="A1851" t="s">
        <v>1861</v>
      </c>
      <c r="B1851" s="2">
        <v>45714</v>
      </c>
      <c r="C1851">
        <v>6000</v>
      </c>
      <c r="D1851" t="s">
        <v>2014</v>
      </c>
      <c r="E1851">
        <v>622.67999999999995</v>
      </c>
      <c r="F1851">
        <v>0</v>
      </c>
      <c r="G1851" t="s">
        <v>2018</v>
      </c>
      <c r="H1851" t="s">
        <v>2026</v>
      </c>
      <c r="I1851" t="s">
        <v>3877</v>
      </c>
      <c r="J1851" t="s">
        <v>4031</v>
      </c>
      <c r="K1851" t="s">
        <v>4061</v>
      </c>
      <c r="L1851">
        <v>-622.67999999999995</v>
      </c>
      <c r="N1851">
        <f t="shared" si="84"/>
        <v>-622.67999999999995</v>
      </c>
      <c r="O1851" t="s">
        <v>4104</v>
      </c>
      <c r="P1851" t="str">
        <f t="shared" si="85"/>
        <v xml:space="preserve"> </v>
      </c>
      <c r="Q1851" t="str">
        <f t="shared" si="86"/>
        <v>Unfavorable</v>
      </c>
    </row>
    <row r="1852" spans="1:17">
      <c r="A1852" t="s">
        <v>1862</v>
      </c>
      <c r="B1852" s="2">
        <v>45536</v>
      </c>
      <c r="C1852">
        <v>6000</v>
      </c>
      <c r="D1852" t="s">
        <v>2014</v>
      </c>
      <c r="E1852">
        <v>568.46</v>
      </c>
      <c r="F1852">
        <v>0</v>
      </c>
      <c r="G1852" t="s">
        <v>2018</v>
      </c>
      <c r="H1852" t="s">
        <v>2023</v>
      </c>
      <c r="I1852" t="s">
        <v>3878</v>
      </c>
      <c r="J1852" t="s">
        <v>4030</v>
      </c>
      <c r="K1852" t="s">
        <v>4048</v>
      </c>
      <c r="L1852">
        <v>-568.46</v>
      </c>
      <c r="N1852">
        <f t="shared" si="84"/>
        <v>-568.46</v>
      </c>
      <c r="O1852" t="s">
        <v>4104</v>
      </c>
      <c r="P1852" t="str">
        <f t="shared" si="85"/>
        <v xml:space="preserve"> </v>
      </c>
      <c r="Q1852" t="str">
        <f t="shared" si="86"/>
        <v>Unfavorable</v>
      </c>
    </row>
    <row r="1853" spans="1:17">
      <c r="A1853" t="s">
        <v>1863</v>
      </c>
      <c r="B1853" s="2">
        <v>45151</v>
      </c>
      <c r="C1853">
        <v>5000</v>
      </c>
      <c r="D1853" t="s">
        <v>2013</v>
      </c>
      <c r="E1853">
        <v>544.71</v>
      </c>
      <c r="F1853">
        <v>0</v>
      </c>
      <c r="G1853" t="s">
        <v>2022</v>
      </c>
      <c r="H1853" t="s">
        <v>2027</v>
      </c>
      <c r="I1853" t="s">
        <v>3879</v>
      </c>
      <c r="J1853" t="s">
        <v>4032</v>
      </c>
      <c r="K1853" t="s">
        <v>4037</v>
      </c>
      <c r="L1853">
        <v>-544.71</v>
      </c>
      <c r="N1853">
        <f t="shared" si="84"/>
        <v>-544.71</v>
      </c>
      <c r="O1853" t="s">
        <v>4104</v>
      </c>
      <c r="P1853" t="str">
        <f t="shared" si="85"/>
        <v xml:space="preserve"> </v>
      </c>
      <c r="Q1853" t="str">
        <f t="shared" si="86"/>
        <v>Unfavorable</v>
      </c>
    </row>
    <row r="1854" spans="1:17">
      <c r="A1854" t="s">
        <v>1864</v>
      </c>
      <c r="B1854" s="2">
        <v>44945</v>
      </c>
      <c r="C1854">
        <v>5000</v>
      </c>
      <c r="D1854" t="s">
        <v>2013</v>
      </c>
      <c r="E1854">
        <v>1849.24</v>
      </c>
      <c r="F1854">
        <v>0</v>
      </c>
      <c r="G1854" t="s">
        <v>2020</v>
      </c>
      <c r="H1854" t="s">
        <v>2025</v>
      </c>
      <c r="I1854" t="s">
        <v>3880</v>
      </c>
      <c r="J1854" t="s">
        <v>4031</v>
      </c>
      <c r="K1854" t="s">
        <v>4047</v>
      </c>
      <c r="L1854">
        <v>-1849.24</v>
      </c>
      <c r="N1854">
        <f t="shared" si="84"/>
        <v>-1849.24</v>
      </c>
      <c r="O1854" t="s">
        <v>4104</v>
      </c>
      <c r="P1854" t="str">
        <f t="shared" si="85"/>
        <v xml:space="preserve"> </v>
      </c>
      <c r="Q1854" t="str">
        <f t="shared" si="86"/>
        <v>Unfavorable</v>
      </c>
    </row>
    <row r="1855" spans="1:17">
      <c r="A1855" t="s">
        <v>1865</v>
      </c>
      <c r="B1855" s="2">
        <v>45533</v>
      </c>
      <c r="C1855">
        <v>6000</v>
      </c>
      <c r="D1855" t="s">
        <v>2014</v>
      </c>
      <c r="E1855">
        <v>499.11</v>
      </c>
      <c r="F1855">
        <v>0</v>
      </c>
      <c r="G1855" t="s">
        <v>2017</v>
      </c>
      <c r="H1855" t="s">
        <v>2027</v>
      </c>
      <c r="I1855" t="s">
        <v>3881</v>
      </c>
      <c r="J1855" t="s">
        <v>4032</v>
      </c>
      <c r="K1855" t="s">
        <v>4058</v>
      </c>
      <c r="L1855">
        <v>-499.11</v>
      </c>
      <c r="N1855">
        <f t="shared" si="84"/>
        <v>-499.11</v>
      </c>
      <c r="O1855" t="s">
        <v>4104</v>
      </c>
      <c r="P1855" t="str">
        <f t="shared" si="85"/>
        <v xml:space="preserve"> </v>
      </c>
      <c r="Q1855" t="str">
        <f t="shared" si="86"/>
        <v>Unfavorable</v>
      </c>
    </row>
    <row r="1856" spans="1:17">
      <c r="A1856" t="s">
        <v>1866</v>
      </c>
      <c r="B1856" s="2">
        <v>45440</v>
      </c>
      <c r="C1856">
        <v>6000</v>
      </c>
      <c r="D1856" t="s">
        <v>2014</v>
      </c>
      <c r="E1856">
        <v>288.41000000000003</v>
      </c>
      <c r="F1856">
        <v>0</v>
      </c>
      <c r="G1856" t="s">
        <v>2020</v>
      </c>
      <c r="H1856" t="s">
        <v>2023</v>
      </c>
      <c r="I1856" t="s">
        <v>3882</v>
      </c>
      <c r="J1856" t="s">
        <v>4028</v>
      </c>
      <c r="K1856" t="s">
        <v>4033</v>
      </c>
      <c r="L1856">
        <v>-288.41000000000003</v>
      </c>
      <c r="N1856">
        <f t="shared" si="84"/>
        <v>-288.41000000000003</v>
      </c>
      <c r="O1856" t="s">
        <v>4104</v>
      </c>
      <c r="P1856" t="str">
        <f t="shared" si="85"/>
        <v xml:space="preserve"> </v>
      </c>
      <c r="Q1856" t="str">
        <f t="shared" si="86"/>
        <v>Unfavorable</v>
      </c>
    </row>
    <row r="1857" spans="1:17">
      <c r="A1857" t="s">
        <v>1867</v>
      </c>
      <c r="B1857" s="2">
        <v>45033</v>
      </c>
      <c r="C1857">
        <v>4010</v>
      </c>
      <c r="D1857" t="s">
        <v>2016</v>
      </c>
      <c r="E1857">
        <v>0</v>
      </c>
      <c r="F1857">
        <v>4589.42</v>
      </c>
      <c r="G1857" t="s">
        <v>2017</v>
      </c>
      <c r="H1857" t="s">
        <v>2025</v>
      </c>
      <c r="I1857" t="s">
        <v>3883</v>
      </c>
      <c r="J1857" t="s">
        <v>4029</v>
      </c>
      <c r="K1857" t="s">
        <v>4041</v>
      </c>
      <c r="L1857">
        <v>4589.42</v>
      </c>
      <c r="N1857">
        <f t="shared" si="84"/>
        <v>4589.42</v>
      </c>
      <c r="O1857" t="s">
        <v>4104</v>
      </c>
      <c r="P1857" t="str">
        <f t="shared" si="85"/>
        <v xml:space="preserve"> </v>
      </c>
      <c r="Q1857" t="str">
        <f t="shared" si="86"/>
        <v>Favorable</v>
      </c>
    </row>
    <row r="1858" spans="1:17">
      <c r="A1858" t="s">
        <v>1868</v>
      </c>
      <c r="B1858" s="2">
        <v>45613</v>
      </c>
      <c r="C1858">
        <v>4010</v>
      </c>
      <c r="D1858" t="s">
        <v>2016</v>
      </c>
      <c r="E1858">
        <v>0</v>
      </c>
      <c r="F1858">
        <v>4897.2299999999996</v>
      </c>
      <c r="G1858" t="s">
        <v>2020</v>
      </c>
      <c r="H1858" t="s">
        <v>2025</v>
      </c>
      <c r="I1858" t="s">
        <v>3884</v>
      </c>
      <c r="J1858" t="s">
        <v>4032</v>
      </c>
      <c r="K1858" t="s">
        <v>4043</v>
      </c>
      <c r="L1858">
        <v>4897.2299999999996</v>
      </c>
      <c r="N1858">
        <f t="shared" si="84"/>
        <v>4897.2299999999996</v>
      </c>
      <c r="O1858" t="s">
        <v>4104</v>
      </c>
      <c r="P1858" t="str">
        <f t="shared" si="85"/>
        <v xml:space="preserve"> </v>
      </c>
      <c r="Q1858" t="str">
        <f t="shared" si="86"/>
        <v>Favorable</v>
      </c>
    </row>
    <row r="1859" spans="1:17">
      <c r="A1859" t="s">
        <v>1869</v>
      </c>
      <c r="B1859" s="2">
        <v>45417</v>
      </c>
      <c r="C1859">
        <v>4010</v>
      </c>
      <c r="D1859" t="s">
        <v>2016</v>
      </c>
      <c r="E1859">
        <v>0</v>
      </c>
      <c r="F1859">
        <v>4365.5600000000004</v>
      </c>
      <c r="G1859" t="s">
        <v>2022</v>
      </c>
      <c r="H1859" t="s">
        <v>2024</v>
      </c>
      <c r="I1859" t="s">
        <v>3885</v>
      </c>
      <c r="J1859" t="s">
        <v>4028</v>
      </c>
      <c r="K1859" t="s">
        <v>4033</v>
      </c>
      <c r="L1859">
        <v>4365.5600000000004</v>
      </c>
      <c r="N1859">
        <f t="shared" ref="N1859:N1922" si="87">L:L-M:M</f>
        <v>4365.5600000000004</v>
      </c>
      <c r="O1859" t="s">
        <v>4104</v>
      </c>
      <c r="P1859" t="str">
        <f t="shared" ref="P1859:P1922" si="88">IF(AND(ABS(N:N)&gt;10000,M:M&lt;&gt;0),"Material", " ")</f>
        <v xml:space="preserve"> </v>
      </c>
      <c r="Q1859" t="str">
        <f t="shared" ref="Q1859:Q1922" si="89">IF(N:N&gt;0,"Favorable","Unfavorable")</f>
        <v>Favorable</v>
      </c>
    </row>
    <row r="1860" spans="1:17">
      <c r="A1860" t="s">
        <v>1870</v>
      </c>
      <c r="B1860" s="2">
        <v>45663</v>
      </c>
      <c r="C1860">
        <v>5010</v>
      </c>
      <c r="D1860" t="s">
        <v>2015</v>
      </c>
      <c r="E1860">
        <v>1569.69</v>
      </c>
      <c r="F1860">
        <v>0</v>
      </c>
      <c r="G1860" t="s">
        <v>2018</v>
      </c>
      <c r="H1860" t="s">
        <v>2025</v>
      </c>
      <c r="I1860" t="s">
        <v>3886</v>
      </c>
      <c r="J1860" t="s">
        <v>4031</v>
      </c>
      <c r="K1860" t="s">
        <v>4035</v>
      </c>
      <c r="L1860">
        <v>-1569.69</v>
      </c>
      <c r="N1860">
        <f t="shared" si="87"/>
        <v>-1569.69</v>
      </c>
      <c r="O1860" t="s">
        <v>4104</v>
      </c>
      <c r="P1860" t="str">
        <f t="shared" si="88"/>
        <v xml:space="preserve"> </v>
      </c>
      <c r="Q1860" t="str">
        <f t="shared" si="89"/>
        <v>Unfavorable</v>
      </c>
    </row>
    <row r="1861" spans="1:17">
      <c r="A1861" t="s">
        <v>1871</v>
      </c>
      <c r="B1861" s="2">
        <v>45827</v>
      </c>
      <c r="C1861">
        <v>6000</v>
      </c>
      <c r="D1861" t="s">
        <v>2014</v>
      </c>
      <c r="E1861">
        <v>1592.97</v>
      </c>
      <c r="F1861">
        <v>0</v>
      </c>
      <c r="G1861" t="s">
        <v>2018</v>
      </c>
      <c r="H1861" t="s">
        <v>2026</v>
      </c>
      <c r="I1861" t="s">
        <v>3887</v>
      </c>
      <c r="J1861" t="s">
        <v>4028</v>
      </c>
      <c r="K1861" t="s">
        <v>4052</v>
      </c>
      <c r="L1861">
        <v>-1592.97</v>
      </c>
      <c r="N1861">
        <f t="shared" si="87"/>
        <v>-1592.97</v>
      </c>
      <c r="O1861" t="s">
        <v>4104</v>
      </c>
      <c r="P1861" t="str">
        <f t="shared" si="88"/>
        <v xml:space="preserve"> </v>
      </c>
      <c r="Q1861" t="str">
        <f t="shared" si="89"/>
        <v>Unfavorable</v>
      </c>
    </row>
    <row r="1862" spans="1:17">
      <c r="A1862" t="s">
        <v>1872</v>
      </c>
      <c r="B1862" s="2">
        <v>45270</v>
      </c>
      <c r="C1862">
        <v>4010</v>
      </c>
      <c r="D1862" t="s">
        <v>2016</v>
      </c>
      <c r="E1862">
        <v>0</v>
      </c>
      <c r="F1862">
        <v>871.59</v>
      </c>
      <c r="G1862" t="s">
        <v>2021</v>
      </c>
      <c r="H1862" t="s">
        <v>2026</v>
      </c>
      <c r="I1862" t="s">
        <v>3888</v>
      </c>
      <c r="J1862" t="s">
        <v>4031</v>
      </c>
      <c r="K1862" t="s">
        <v>4039</v>
      </c>
      <c r="L1862">
        <v>871.59</v>
      </c>
      <c r="N1862">
        <f t="shared" si="87"/>
        <v>871.59</v>
      </c>
      <c r="O1862" t="s">
        <v>4104</v>
      </c>
      <c r="P1862" t="str">
        <f t="shared" si="88"/>
        <v xml:space="preserve"> </v>
      </c>
      <c r="Q1862" t="str">
        <f t="shared" si="89"/>
        <v>Favorable</v>
      </c>
    </row>
    <row r="1863" spans="1:17">
      <c r="A1863" t="s">
        <v>1873</v>
      </c>
      <c r="B1863" s="2">
        <v>45022</v>
      </c>
      <c r="C1863">
        <v>5000</v>
      </c>
      <c r="D1863" t="s">
        <v>2013</v>
      </c>
      <c r="E1863">
        <v>585.89</v>
      </c>
      <c r="F1863">
        <v>0</v>
      </c>
      <c r="G1863" t="s">
        <v>2018</v>
      </c>
      <c r="H1863" t="s">
        <v>2024</v>
      </c>
      <c r="I1863" t="s">
        <v>3889</v>
      </c>
      <c r="J1863" t="s">
        <v>4029</v>
      </c>
      <c r="K1863" t="s">
        <v>4041</v>
      </c>
      <c r="L1863">
        <v>-585.89</v>
      </c>
      <c r="N1863">
        <f t="shared" si="87"/>
        <v>-585.89</v>
      </c>
      <c r="O1863" t="s">
        <v>4104</v>
      </c>
      <c r="P1863" t="str">
        <f t="shared" si="88"/>
        <v xml:space="preserve"> </v>
      </c>
      <c r="Q1863" t="str">
        <f t="shared" si="89"/>
        <v>Unfavorable</v>
      </c>
    </row>
    <row r="1864" spans="1:17">
      <c r="A1864" t="s">
        <v>1874</v>
      </c>
      <c r="B1864" s="2">
        <v>45075</v>
      </c>
      <c r="C1864">
        <v>5000</v>
      </c>
      <c r="D1864" t="s">
        <v>2013</v>
      </c>
      <c r="E1864">
        <v>1221.74</v>
      </c>
      <c r="F1864">
        <v>0</v>
      </c>
      <c r="G1864" t="s">
        <v>2022</v>
      </c>
      <c r="H1864" t="s">
        <v>2023</v>
      </c>
      <c r="I1864" t="s">
        <v>3890</v>
      </c>
      <c r="J1864" t="s">
        <v>4029</v>
      </c>
      <c r="K1864" t="s">
        <v>4062</v>
      </c>
      <c r="L1864">
        <v>-1221.74</v>
      </c>
      <c r="N1864">
        <f t="shared" si="87"/>
        <v>-1221.74</v>
      </c>
      <c r="O1864" t="s">
        <v>4104</v>
      </c>
      <c r="P1864" t="str">
        <f t="shared" si="88"/>
        <v xml:space="preserve"> </v>
      </c>
      <c r="Q1864" t="str">
        <f t="shared" si="89"/>
        <v>Unfavorable</v>
      </c>
    </row>
    <row r="1865" spans="1:17">
      <c r="A1865" t="s">
        <v>1875</v>
      </c>
      <c r="B1865" s="2">
        <v>45347</v>
      </c>
      <c r="C1865">
        <v>4000</v>
      </c>
      <c r="D1865" t="s">
        <v>2012</v>
      </c>
      <c r="E1865">
        <v>0</v>
      </c>
      <c r="F1865">
        <v>4982.43</v>
      </c>
      <c r="G1865" t="s">
        <v>2020</v>
      </c>
      <c r="H1865" t="s">
        <v>2024</v>
      </c>
      <c r="I1865" t="s">
        <v>3891</v>
      </c>
      <c r="J1865" t="s">
        <v>4028</v>
      </c>
      <c r="K1865" t="s">
        <v>4044</v>
      </c>
      <c r="L1865">
        <v>4982.43</v>
      </c>
      <c r="N1865">
        <f t="shared" si="87"/>
        <v>4982.43</v>
      </c>
      <c r="O1865" t="s">
        <v>4104</v>
      </c>
      <c r="P1865" t="str">
        <f t="shared" si="88"/>
        <v xml:space="preserve"> </v>
      </c>
      <c r="Q1865" t="str">
        <f t="shared" si="89"/>
        <v>Favorable</v>
      </c>
    </row>
    <row r="1866" spans="1:17">
      <c r="A1866" t="s">
        <v>1876</v>
      </c>
      <c r="B1866" s="2">
        <v>45617</v>
      </c>
      <c r="C1866">
        <v>5000</v>
      </c>
      <c r="D1866" t="s">
        <v>2013</v>
      </c>
      <c r="E1866">
        <v>1723.01</v>
      </c>
      <c r="F1866">
        <v>0</v>
      </c>
      <c r="G1866" t="s">
        <v>2019</v>
      </c>
      <c r="H1866" t="s">
        <v>2027</v>
      </c>
      <c r="I1866" t="s">
        <v>3892</v>
      </c>
      <c r="J1866" t="s">
        <v>4030</v>
      </c>
      <c r="K1866" t="s">
        <v>4043</v>
      </c>
      <c r="L1866">
        <v>-1723.01</v>
      </c>
      <c r="N1866">
        <f t="shared" si="87"/>
        <v>-1723.01</v>
      </c>
      <c r="O1866" t="s">
        <v>4104</v>
      </c>
      <c r="P1866" t="str">
        <f t="shared" si="88"/>
        <v xml:space="preserve"> </v>
      </c>
      <c r="Q1866" t="str">
        <f t="shared" si="89"/>
        <v>Unfavorable</v>
      </c>
    </row>
    <row r="1867" spans="1:17">
      <c r="A1867" t="s">
        <v>1877</v>
      </c>
      <c r="B1867" s="2">
        <v>45636</v>
      </c>
      <c r="C1867">
        <v>5010</v>
      </c>
      <c r="D1867" t="s">
        <v>2015</v>
      </c>
      <c r="E1867">
        <v>1741.23</v>
      </c>
      <c r="F1867">
        <v>0</v>
      </c>
      <c r="G1867" t="s">
        <v>2018</v>
      </c>
      <c r="H1867" t="s">
        <v>2025</v>
      </c>
      <c r="I1867" t="s">
        <v>3893</v>
      </c>
      <c r="J1867" t="s">
        <v>4028</v>
      </c>
      <c r="K1867" t="s">
        <v>4056</v>
      </c>
      <c r="L1867">
        <v>-1741.23</v>
      </c>
      <c r="N1867">
        <f t="shared" si="87"/>
        <v>-1741.23</v>
      </c>
      <c r="O1867" t="s">
        <v>4104</v>
      </c>
      <c r="P1867" t="str">
        <f t="shared" si="88"/>
        <v xml:space="preserve"> </v>
      </c>
      <c r="Q1867" t="str">
        <f t="shared" si="89"/>
        <v>Unfavorable</v>
      </c>
    </row>
    <row r="1868" spans="1:17">
      <c r="A1868" t="s">
        <v>1878</v>
      </c>
      <c r="B1868" s="2">
        <v>45326</v>
      </c>
      <c r="C1868">
        <v>6000</v>
      </c>
      <c r="D1868" t="s">
        <v>2014</v>
      </c>
      <c r="E1868">
        <v>1055.53</v>
      </c>
      <c r="F1868">
        <v>0</v>
      </c>
      <c r="G1868" t="s">
        <v>2019</v>
      </c>
      <c r="H1868" t="s">
        <v>2026</v>
      </c>
      <c r="I1868" t="s">
        <v>3894</v>
      </c>
      <c r="J1868" t="s">
        <v>4028</v>
      </c>
      <c r="K1868" t="s">
        <v>4044</v>
      </c>
      <c r="L1868">
        <v>-1055.53</v>
      </c>
      <c r="N1868">
        <f t="shared" si="87"/>
        <v>-1055.53</v>
      </c>
      <c r="O1868" t="s">
        <v>4104</v>
      </c>
      <c r="P1868" t="str">
        <f t="shared" si="88"/>
        <v xml:space="preserve"> </v>
      </c>
      <c r="Q1868" t="str">
        <f t="shared" si="89"/>
        <v>Unfavorable</v>
      </c>
    </row>
    <row r="1869" spans="1:17">
      <c r="A1869" t="s">
        <v>1879</v>
      </c>
      <c r="B1869" s="2">
        <v>45684</v>
      </c>
      <c r="C1869">
        <v>6000</v>
      </c>
      <c r="D1869" t="s">
        <v>2014</v>
      </c>
      <c r="E1869">
        <v>349.69</v>
      </c>
      <c r="F1869">
        <v>0</v>
      </c>
      <c r="G1869" t="s">
        <v>2021</v>
      </c>
      <c r="H1869" t="s">
        <v>2027</v>
      </c>
      <c r="I1869" t="s">
        <v>3895</v>
      </c>
      <c r="J1869" t="s">
        <v>4028</v>
      </c>
      <c r="K1869" t="s">
        <v>4035</v>
      </c>
      <c r="L1869">
        <v>-349.69</v>
      </c>
      <c r="N1869">
        <f t="shared" si="87"/>
        <v>-349.69</v>
      </c>
      <c r="O1869" t="s">
        <v>4104</v>
      </c>
      <c r="P1869" t="str">
        <f t="shared" si="88"/>
        <v xml:space="preserve"> </v>
      </c>
      <c r="Q1869" t="str">
        <f t="shared" si="89"/>
        <v>Unfavorable</v>
      </c>
    </row>
    <row r="1870" spans="1:17">
      <c r="A1870" t="s">
        <v>1880</v>
      </c>
      <c r="B1870" s="2">
        <v>45588</v>
      </c>
      <c r="C1870">
        <v>4010</v>
      </c>
      <c r="D1870" t="s">
        <v>2016</v>
      </c>
      <c r="E1870">
        <v>0</v>
      </c>
      <c r="F1870">
        <v>1886.23</v>
      </c>
      <c r="G1870" t="s">
        <v>2017</v>
      </c>
      <c r="H1870" t="s">
        <v>2023</v>
      </c>
      <c r="I1870" t="s">
        <v>3896</v>
      </c>
      <c r="J1870" t="s">
        <v>4029</v>
      </c>
      <c r="K1870" t="s">
        <v>4059</v>
      </c>
      <c r="L1870">
        <v>1886.23</v>
      </c>
      <c r="N1870">
        <f t="shared" si="87"/>
        <v>1886.23</v>
      </c>
      <c r="O1870" t="s">
        <v>4104</v>
      </c>
      <c r="P1870" t="str">
        <f t="shared" si="88"/>
        <v xml:space="preserve"> </v>
      </c>
      <c r="Q1870" t="str">
        <f t="shared" si="89"/>
        <v>Favorable</v>
      </c>
    </row>
    <row r="1871" spans="1:17">
      <c r="A1871" t="s">
        <v>1881</v>
      </c>
      <c r="B1871" s="2">
        <v>45263</v>
      </c>
      <c r="C1871">
        <v>6000</v>
      </c>
      <c r="D1871" t="s">
        <v>2014</v>
      </c>
      <c r="E1871">
        <v>552.91</v>
      </c>
      <c r="F1871">
        <v>0</v>
      </c>
      <c r="G1871" t="s">
        <v>2020</v>
      </c>
      <c r="H1871" t="s">
        <v>2026</v>
      </c>
      <c r="I1871" t="s">
        <v>3897</v>
      </c>
      <c r="J1871" t="s">
        <v>4030</v>
      </c>
      <c r="K1871" t="s">
        <v>4039</v>
      </c>
      <c r="L1871">
        <v>-552.91</v>
      </c>
      <c r="N1871">
        <f t="shared" si="87"/>
        <v>-552.91</v>
      </c>
      <c r="O1871" t="s">
        <v>4104</v>
      </c>
      <c r="P1871" t="str">
        <f t="shared" si="88"/>
        <v xml:space="preserve"> </v>
      </c>
      <c r="Q1871" t="str">
        <f t="shared" si="89"/>
        <v>Unfavorable</v>
      </c>
    </row>
    <row r="1872" spans="1:17">
      <c r="A1872" t="s">
        <v>1882</v>
      </c>
      <c r="B1872" s="2">
        <v>45620</v>
      </c>
      <c r="C1872">
        <v>4010</v>
      </c>
      <c r="D1872" t="s">
        <v>2016</v>
      </c>
      <c r="E1872">
        <v>0</v>
      </c>
      <c r="F1872">
        <v>258.08</v>
      </c>
      <c r="G1872" t="s">
        <v>2021</v>
      </c>
      <c r="H1872" t="s">
        <v>2024</v>
      </c>
      <c r="I1872" t="s">
        <v>3898</v>
      </c>
      <c r="J1872" t="s">
        <v>4031</v>
      </c>
      <c r="K1872" t="s">
        <v>4043</v>
      </c>
      <c r="L1872">
        <v>258.08</v>
      </c>
      <c r="N1872">
        <f t="shared" si="87"/>
        <v>258.08</v>
      </c>
      <c r="O1872" t="s">
        <v>4104</v>
      </c>
      <c r="P1872" t="str">
        <f t="shared" si="88"/>
        <v xml:space="preserve"> </v>
      </c>
      <c r="Q1872" t="str">
        <f t="shared" si="89"/>
        <v>Favorable</v>
      </c>
    </row>
    <row r="1873" spans="1:17">
      <c r="A1873" t="s">
        <v>1883</v>
      </c>
      <c r="B1873" s="2">
        <v>45795</v>
      </c>
      <c r="C1873">
        <v>5010</v>
      </c>
      <c r="D1873" t="s">
        <v>2015</v>
      </c>
      <c r="E1873">
        <v>1370.81</v>
      </c>
      <c r="F1873">
        <v>0</v>
      </c>
      <c r="G1873" t="s">
        <v>2021</v>
      </c>
      <c r="H1873" t="s">
        <v>2023</v>
      </c>
      <c r="I1873" t="s">
        <v>3899</v>
      </c>
      <c r="J1873" t="s">
        <v>4030</v>
      </c>
      <c r="K1873" t="s">
        <v>4038</v>
      </c>
      <c r="L1873">
        <v>-1370.81</v>
      </c>
      <c r="N1873">
        <f t="shared" si="87"/>
        <v>-1370.81</v>
      </c>
      <c r="O1873" t="s">
        <v>4104</v>
      </c>
      <c r="P1873" t="str">
        <f t="shared" si="88"/>
        <v xml:space="preserve"> </v>
      </c>
      <c r="Q1873" t="str">
        <f t="shared" si="89"/>
        <v>Unfavorable</v>
      </c>
    </row>
    <row r="1874" spans="1:17">
      <c r="A1874" t="s">
        <v>1884</v>
      </c>
      <c r="B1874" s="2">
        <v>45382</v>
      </c>
      <c r="C1874">
        <v>6000</v>
      </c>
      <c r="D1874" t="s">
        <v>2014</v>
      </c>
      <c r="E1874">
        <v>1669.15</v>
      </c>
      <c r="F1874">
        <v>0</v>
      </c>
      <c r="G1874" t="s">
        <v>2019</v>
      </c>
      <c r="H1874" t="s">
        <v>2024</v>
      </c>
      <c r="I1874" t="s">
        <v>3900</v>
      </c>
      <c r="J1874" t="s">
        <v>4031</v>
      </c>
      <c r="K1874" t="s">
        <v>4049</v>
      </c>
      <c r="L1874">
        <v>-1669.15</v>
      </c>
      <c r="N1874">
        <f t="shared" si="87"/>
        <v>-1669.15</v>
      </c>
      <c r="O1874" t="s">
        <v>4104</v>
      </c>
      <c r="P1874" t="str">
        <f t="shared" si="88"/>
        <v xml:space="preserve"> </v>
      </c>
      <c r="Q1874" t="str">
        <f t="shared" si="89"/>
        <v>Unfavorable</v>
      </c>
    </row>
    <row r="1875" spans="1:17">
      <c r="A1875" t="s">
        <v>1885</v>
      </c>
      <c r="B1875" s="2">
        <v>45095</v>
      </c>
      <c r="C1875">
        <v>5010</v>
      </c>
      <c r="D1875" t="s">
        <v>2015</v>
      </c>
      <c r="E1875">
        <v>1711.71</v>
      </c>
      <c r="F1875">
        <v>0</v>
      </c>
      <c r="G1875" t="s">
        <v>2017</v>
      </c>
      <c r="H1875" t="s">
        <v>2025</v>
      </c>
      <c r="I1875" t="s">
        <v>3901</v>
      </c>
      <c r="J1875" t="s">
        <v>4029</v>
      </c>
      <c r="K1875" t="s">
        <v>4055</v>
      </c>
      <c r="L1875">
        <v>-1711.71</v>
      </c>
      <c r="N1875">
        <f t="shared" si="87"/>
        <v>-1711.71</v>
      </c>
      <c r="O1875" t="s">
        <v>4104</v>
      </c>
      <c r="P1875" t="str">
        <f t="shared" si="88"/>
        <v xml:space="preserve"> </v>
      </c>
      <c r="Q1875" t="str">
        <f t="shared" si="89"/>
        <v>Unfavorable</v>
      </c>
    </row>
    <row r="1876" spans="1:17">
      <c r="A1876" t="s">
        <v>1886</v>
      </c>
      <c r="B1876" s="2">
        <v>44933</v>
      </c>
      <c r="C1876">
        <v>5000</v>
      </c>
      <c r="D1876" t="s">
        <v>2013</v>
      </c>
      <c r="E1876">
        <v>520.70000000000005</v>
      </c>
      <c r="F1876">
        <v>0</v>
      </c>
      <c r="G1876" t="s">
        <v>2018</v>
      </c>
      <c r="H1876" t="s">
        <v>2027</v>
      </c>
      <c r="I1876" t="s">
        <v>3902</v>
      </c>
      <c r="J1876" t="s">
        <v>4031</v>
      </c>
      <c r="K1876" t="s">
        <v>4047</v>
      </c>
      <c r="L1876">
        <v>-520.70000000000005</v>
      </c>
      <c r="N1876">
        <f t="shared" si="87"/>
        <v>-520.70000000000005</v>
      </c>
      <c r="O1876" t="s">
        <v>4104</v>
      </c>
      <c r="P1876" t="str">
        <f t="shared" si="88"/>
        <v xml:space="preserve"> </v>
      </c>
      <c r="Q1876" t="str">
        <f t="shared" si="89"/>
        <v>Unfavorable</v>
      </c>
    </row>
    <row r="1877" spans="1:17">
      <c r="A1877" t="s">
        <v>1887</v>
      </c>
      <c r="B1877" s="2">
        <v>45378</v>
      </c>
      <c r="C1877">
        <v>6000</v>
      </c>
      <c r="D1877" t="s">
        <v>2014</v>
      </c>
      <c r="E1877">
        <v>501.53</v>
      </c>
      <c r="F1877">
        <v>0</v>
      </c>
      <c r="G1877" t="s">
        <v>2017</v>
      </c>
      <c r="H1877" t="s">
        <v>2027</v>
      </c>
      <c r="I1877" t="s">
        <v>3903</v>
      </c>
      <c r="J1877" t="s">
        <v>4031</v>
      </c>
      <c r="K1877" t="s">
        <v>4049</v>
      </c>
      <c r="L1877">
        <v>-501.53</v>
      </c>
      <c r="N1877">
        <f t="shared" si="87"/>
        <v>-501.53</v>
      </c>
      <c r="O1877" t="s">
        <v>4104</v>
      </c>
      <c r="P1877" t="str">
        <f t="shared" si="88"/>
        <v xml:space="preserve"> </v>
      </c>
      <c r="Q1877" t="str">
        <f t="shared" si="89"/>
        <v>Unfavorable</v>
      </c>
    </row>
    <row r="1878" spans="1:17">
      <c r="A1878" t="s">
        <v>1888</v>
      </c>
      <c r="B1878" s="2">
        <v>45293</v>
      </c>
      <c r="C1878">
        <v>5010</v>
      </c>
      <c r="D1878" t="s">
        <v>2015</v>
      </c>
      <c r="E1878">
        <v>283.45</v>
      </c>
      <c r="F1878">
        <v>0</v>
      </c>
      <c r="G1878" t="s">
        <v>2018</v>
      </c>
      <c r="H1878" t="s">
        <v>2024</v>
      </c>
      <c r="I1878" t="s">
        <v>3904</v>
      </c>
      <c r="J1878" t="s">
        <v>4031</v>
      </c>
      <c r="K1878" t="s">
        <v>4053</v>
      </c>
      <c r="L1878">
        <v>-283.45</v>
      </c>
      <c r="N1878">
        <f t="shared" si="87"/>
        <v>-283.45</v>
      </c>
      <c r="O1878" t="s">
        <v>4104</v>
      </c>
      <c r="P1878" t="str">
        <f t="shared" si="88"/>
        <v xml:space="preserve"> </v>
      </c>
      <c r="Q1878" t="str">
        <f t="shared" si="89"/>
        <v>Unfavorable</v>
      </c>
    </row>
    <row r="1879" spans="1:17">
      <c r="A1879" t="s">
        <v>1889</v>
      </c>
      <c r="B1879" s="2">
        <v>45811</v>
      </c>
      <c r="C1879">
        <v>4010</v>
      </c>
      <c r="D1879" t="s">
        <v>2016</v>
      </c>
      <c r="E1879">
        <v>0</v>
      </c>
      <c r="F1879">
        <v>3079.85</v>
      </c>
      <c r="G1879" t="s">
        <v>2018</v>
      </c>
      <c r="H1879" t="s">
        <v>2024</v>
      </c>
      <c r="I1879" t="s">
        <v>3905</v>
      </c>
      <c r="J1879" t="s">
        <v>4032</v>
      </c>
      <c r="K1879" t="s">
        <v>4052</v>
      </c>
      <c r="L1879">
        <v>3079.85</v>
      </c>
      <c r="N1879">
        <f t="shared" si="87"/>
        <v>3079.85</v>
      </c>
      <c r="O1879" t="s">
        <v>4104</v>
      </c>
      <c r="P1879" t="str">
        <f t="shared" si="88"/>
        <v xml:space="preserve"> </v>
      </c>
      <c r="Q1879" t="str">
        <f t="shared" si="89"/>
        <v>Favorable</v>
      </c>
    </row>
    <row r="1880" spans="1:17">
      <c r="A1880" t="s">
        <v>1890</v>
      </c>
      <c r="B1880" s="2">
        <v>45221</v>
      </c>
      <c r="C1880">
        <v>6000</v>
      </c>
      <c r="D1880" t="s">
        <v>2014</v>
      </c>
      <c r="E1880">
        <v>316.08</v>
      </c>
      <c r="F1880">
        <v>0</v>
      </c>
      <c r="G1880" t="s">
        <v>2018</v>
      </c>
      <c r="H1880" t="s">
        <v>2023</v>
      </c>
      <c r="I1880" t="s">
        <v>3906</v>
      </c>
      <c r="J1880" t="s">
        <v>4032</v>
      </c>
      <c r="K1880" t="s">
        <v>4060</v>
      </c>
      <c r="L1880">
        <v>-316.08</v>
      </c>
      <c r="N1880">
        <f t="shared" si="87"/>
        <v>-316.08</v>
      </c>
      <c r="O1880" t="s">
        <v>4104</v>
      </c>
      <c r="P1880" t="str">
        <f t="shared" si="88"/>
        <v xml:space="preserve"> </v>
      </c>
      <c r="Q1880" t="str">
        <f t="shared" si="89"/>
        <v>Unfavorable</v>
      </c>
    </row>
    <row r="1881" spans="1:17">
      <c r="A1881" t="s">
        <v>1891</v>
      </c>
      <c r="B1881" s="2">
        <v>45334</v>
      </c>
      <c r="C1881">
        <v>5010</v>
      </c>
      <c r="D1881" t="s">
        <v>2015</v>
      </c>
      <c r="E1881">
        <v>1517.3</v>
      </c>
      <c r="F1881">
        <v>0</v>
      </c>
      <c r="G1881" t="s">
        <v>2021</v>
      </c>
      <c r="H1881" t="s">
        <v>2026</v>
      </c>
      <c r="I1881" t="s">
        <v>3907</v>
      </c>
      <c r="J1881" t="s">
        <v>4030</v>
      </c>
      <c r="K1881" t="s">
        <v>4044</v>
      </c>
      <c r="L1881">
        <v>-1517.3</v>
      </c>
      <c r="N1881">
        <f t="shared" si="87"/>
        <v>-1517.3</v>
      </c>
      <c r="O1881" t="s">
        <v>4104</v>
      </c>
      <c r="P1881" t="str">
        <f t="shared" si="88"/>
        <v xml:space="preserve"> </v>
      </c>
      <c r="Q1881" t="str">
        <f t="shared" si="89"/>
        <v>Unfavorable</v>
      </c>
    </row>
    <row r="1882" spans="1:17">
      <c r="A1882" t="s">
        <v>1892</v>
      </c>
      <c r="B1882" s="2">
        <v>45493</v>
      </c>
      <c r="C1882">
        <v>5000</v>
      </c>
      <c r="D1882" t="s">
        <v>2013</v>
      </c>
      <c r="E1882">
        <v>1863.66</v>
      </c>
      <c r="F1882">
        <v>0</v>
      </c>
      <c r="G1882" t="s">
        <v>2022</v>
      </c>
      <c r="H1882" t="s">
        <v>2027</v>
      </c>
      <c r="I1882" t="s">
        <v>3908</v>
      </c>
      <c r="J1882" t="s">
        <v>4032</v>
      </c>
      <c r="K1882" t="s">
        <v>4054</v>
      </c>
      <c r="L1882">
        <v>-1863.66</v>
      </c>
      <c r="N1882">
        <f t="shared" si="87"/>
        <v>-1863.66</v>
      </c>
      <c r="O1882" t="s">
        <v>4104</v>
      </c>
      <c r="P1882" t="str">
        <f t="shared" si="88"/>
        <v xml:space="preserve"> </v>
      </c>
      <c r="Q1882" t="str">
        <f t="shared" si="89"/>
        <v>Unfavorable</v>
      </c>
    </row>
    <row r="1883" spans="1:17">
      <c r="A1883" t="s">
        <v>1893</v>
      </c>
      <c r="B1883" s="2">
        <v>45466</v>
      </c>
      <c r="C1883">
        <v>5000</v>
      </c>
      <c r="D1883" t="s">
        <v>2013</v>
      </c>
      <c r="E1883">
        <v>146.04</v>
      </c>
      <c r="F1883">
        <v>0</v>
      </c>
      <c r="G1883" t="s">
        <v>2022</v>
      </c>
      <c r="H1883" t="s">
        <v>2025</v>
      </c>
      <c r="I1883" t="s">
        <v>3909</v>
      </c>
      <c r="J1883" t="s">
        <v>4030</v>
      </c>
      <c r="K1883" t="s">
        <v>4034</v>
      </c>
      <c r="L1883">
        <v>-146.04</v>
      </c>
      <c r="N1883">
        <f t="shared" si="87"/>
        <v>-146.04</v>
      </c>
      <c r="O1883" t="s">
        <v>4104</v>
      </c>
      <c r="P1883" t="str">
        <f t="shared" si="88"/>
        <v xml:space="preserve"> </v>
      </c>
      <c r="Q1883" t="str">
        <f t="shared" si="89"/>
        <v>Unfavorable</v>
      </c>
    </row>
    <row r="1884" spans="1:17">
      <c r="A1884" t="s">
        <v>1894</v>
      </c>
      <c r="B1884" s="2">
        <v>45225</v>
      </c>
      <c r="C1884">
        <v>6000</v>
      </c>
      <c r="D1884" t="s">
        <v>2014</v>
      </c>
      <c r="E1884">
        <v>701.14</v>
      </c>
      <c r="F1884">
        <v>0</v>
      </c>
      <c r="G1884" t="s">
        <v>2017</v>
      </c>
      <c r="H1884" t="s">
        <v>2025</v>
      </c>
      <c r="I1884" t="s">
        <v>3910</v>
      </c>
      <c r="J1884" t="s">
        <v>4029</v>
      </c>
      <c r="K1884" t="s">
        <v>4060</v>
      </c>
      <c r="L1884">
        <v>-701.14</v>
      </c>
      <c r="N1884">
        <f t="shared" si="87"/>
        <v>-701.14</v>
      </c>
      <c r="O1884" t="s">
        <v>4104</v>
      </c>
      <c r="P1884" t="str">
        <f t="shared" si="88"/>
        <v xml:space="preserve"> </v>
      </c>
      <c r="Q1884" t="str">
        <f t="shared" si="89"/>
        <v>Unfavorable</v>
      </c>
    </row>
    <row r="1885" spans="1:17">
      <c r="A1885" t="s">
        <v>1895</v>
      </c>
      <c r="B1885" s="2">
        <v>45562</v>
      </c>
      <c r="C1885">
        <v>5010</v>
      </c>
      <c r="D1885" t="s">
        <v>2015</v>
      </c>
      <c r="E1885">
        <v>1033.6199999999999</v>
      </c>
      <c r="F1885">
        <v>0</v>
      </c>
      <c r="G1885" t="s">
        <v>2019</v>
      </c>
      <c r="H1885" t="s">
        <v>2025</v>
      </c>
      <c r="I1885" t="s">
        <v>3911</v>
      </c>
      <c r="J1885" t="s">
        <v>4031</v>
      </c>
      <c r="K1885" t="s">
        <v>4048</v>
      </c>
      <c r="L1885">
        <v>-1033.6199999999999</v>
      </c>
      <c r="N1885">
        <f t="shared" si="87"/>
        <v>-1033.6199999999999</v>
      </c>
      <c r="O1885" t="s">
        <v>4104</v>
      </c>
      <c r="P1885" t="str">
        <f t="shared" si="88"/>
        <v xml:space="preserve"> </v>
      </c>
      <c r="Q1885" t="str">
        <f t="shared" si="89"/>
        <v>Unfavorable</v>
      </c>
    </row>
    <row r="1886" spans="1:17">
      <c r="A1886" t="s">
        <v>1896</v>
      </c>
      <c r="B1886" s="2">
        <v>45787</v>
      </c>
      <c r="C1886">
        <v>6000</v>
      </c>
      <c r="D1886" t="s">
        <v>2014</v>
      </c>
      <c r="E1886">
        <v>652.77</v>
      </c>
      <c r="F1886">
        <v>0</v>
      </c>
      <c r="G1886" t="s">
        <v>2021</v>
      </c>
      <c r="H1886" t="s">
        <v>2024</v>
      </c>
      <c r="I1886" t="s">
        <v>3912</v>
      </c>
      <c r="J1886" t="s">
        <v>4031</v>
      </c>
      <c r="K1886" t="s">
        <v>4038</v>
      </c>
      <c r="L1886">
        <v>-652.77</v>
      </c>
      <c r="N1886">
        <f t="shared" si="87"/>
        <v>-652.77</v>
      </c>
      <c r="O1886" t="s">
        <v>4104</v>
      </c>
      <c r="P1886" t="str">
        <f t="shared" si="88"/>
        <v xml:space="preserve"> </v>
      </c>
      <c r="Q1886" t="str">
        <f t="shared" si="89"/>
        <v>Unfavorable</v>
      </c>
    </row>
    <row r="1887" spans="1:17">
      <c r="A1887" t="s">
        <v>1897</v>
      </c>
      <c r="B1887" s="2">
        <v>45110</v>
      </c>
      <c r="C1887">
        <v>4000</v>
      </c>
      <c r="D1887" t="s">
        <v>2012</v>
      </c>
      <c r="E1887">
        <v>0</v>
      </c>
      <c r="F1887">
        <v>2202.71</v>
      </c>
      <c r="G1887" t="s">
        <v>2017</v>
      </c>
      <c r="H1887" t="s">
        <v>2025</v>
      </c>
      <c r="I1887" t="s">
        <v>3913</v>
      </c>
      <c r="J1887" t="s">
        <v>4031</v>
      </c>
      <c r="K1887" t="s">
        <v>4050</v>
      </c>
      <c r="L1887">
        <v>2202.71</v>
      </c>
      <c r="N1887">
        <f t="shared" si="87"/>
        <v>2202.71</v>
      </c>
      <c r="O1887" t="s">
        <v>4104</v>
      </c>
      <c r="P1887" t="str">
        <f t="shared" si="88"/>
        <v xml:space="preserve"> </v>
      </c>
      <c r="Q1887" t="str">
        <f t="shared" si="89"/>
        <v>Favorable</v>
      </c>
    </row>
    <row r="1888" spans="1:17">
      <c r="A1888" t="s">
        <v>1898</v>
      </c>
      <c r="B1888" s="2">
        <v>45201</v>
      </c>
      <c r="C1888">
        <v>6000</v>
      </c>
      <c r="D1888" t="s">
        <v>2014</v>
      </c>
      <c r="E1888">
        <v>1252.73</v>
      </c>
      <c r="F1888">
        <v>0</v>
      </c>
      <c r="G1888" t="s">
        <v>2021</v>
      </c>
      <c r="H1888" t="s">
        <v>2026</v>
      </c>
      <c r="I1888" t="s">
        <v>3914</v>
      </c>
      <c r="J1888" t="s">
        <v>4031</v>
      </c>
      <c r="K1888" t="s">
        <v>4060</v>
      </c>
      <c r="L1888">
        <v>-1252.73</v>
      </c>
      <c r="N1888">
        <f t="shared" si="87"/>
        <v>-1252.73</v>
      </c>
      <c r="O1888" t="s">
        <v>4104</v>
      </c>
      <c r="P1888" t="str">
        <f t="shared" si="88"/>
        <v xml:space="preserve"> </v>
      </c>
      <c r="Q1888" t="str">
        <f t="shared" si="89"/>
        <v>Unfavorable</v>
      </c>
    </row>
    <row r="1889" spans="1:17">
      <c r="A1889" t="s">
        <v>1899</v>
      </c>
      <c r="B1889" s="2">
        <v>45386</v>
      </c>
      <c r="C1889">
        <v>5000</v>
      </c>
      <c r="D1889" t="s">
        <v>2013</v>
      </c>
      <c r="E1889">
        <v>1422.61</v>
      </c>
      <c r="F1889">
        <v>0</v>
      </c>
      <c r="G1889" t="s">
        <v>2018</v>
      </c>
      <c r="H1889" t="s">
        <v>2026</v>
      </c>
      <c r="I1889" t="s">
        <v>3915</v>
      </c>
      <c r="J1889" t="s">
        <v>4032</v>
      </c>
      <c r="K1889" t="s">
        <v>4040</v>
      </c>
      <c r="L1889">
        <v>-1422.61</v>
      </c>
      <c r="N1889">
        <f t="shared" si="87"/>
        <v>-1422.61</v>
      </c>
      <c r="O1889" t="s">
        <v>4104</v>
      </c>
      <c r="P1889" t="str">
        <f t="shared" si="88"/>
        <v xml:space="preserve"> </v>
      </c>
      <c r="Q1889" t="str">
        <f t="shared" si="89"/>
        <v>Unfavorable</v>
      </c>
    </row>
    <row r="1890" spans="1:17">
      <c r="A1890" t="s">
        <v>1900</v>
      </c>
      <c r="B1890" s="2">
        <v>45810</v>
      </c>
      <c r="C1890">
        <v>5010</v>
      </c>
      <c r="D1890" t="s">
        <v>2015</v>
      </c>
      <c r="E1890">
        <v>729.53</v>
      </c>
      <c r="F1890">
        <v>0</v>
      </c>
      <c r="G1890" t="s">
        <v>2020</v>
      </c>
      <c r="H1890" t="s">
        <v>2023</v>
      </c>
      <c r="I1890" t="s">
        <v>3916</v>
      </c>
      <c r="J1890" t="s">
        <v>4029</v>
      </c>
      <c r="K1890" t="s">
        <v>4052</v>
      </c>
      <c r="L1890">
        <v>-729.53</v>
      </c>
      <c r="N1890">
        <f t="shared" si="87"/>
        <v>-729.53</v>
      </c>
      <c r="O1890" t="s">
        <v>4104</v>
      </c>
      <c r="P1890" t="str">
        <f t="shared" si="88"/>
        <v xml:space="preserve"> </v>
      </c>
      <c r="Q1890" t="str">
        <f t="shared" si="89"/>
        <v>Unfavorable</v>
      </c>
    </row>
    <row r="1891" spans="1:17">
      <c r="A1891" t="s">
        <v>1901</v>
      </c>
      <c r="B1891" s="2">
        <v>44945</v>
      </c>
      <c r="C1891">
        <v>5010</v>
      </c>
      <c r="D1891" t="s">
        <v>2015</v>
      </c>
      <c r="E1891">
        <v>1561.21</v>
      </c>
      <c r="F1891">
        <v>0</v>
      </c>
      <c r="G1891" t="s">
        <v>2018</v>
      </c>
      <c r="H1891" t="s">
        <v>2026</v>
      </c>
      <c r="I1891" t="s">
        <v>3917</v>
      </c>
      <c r="J1891" t="s">
        <v>4031</v>
      </c>
      <c r="K1891" t="s">
        <v>4047</v>
      </c>
      <c r="L1891">
        <v>-1561.21</v>
      </c>
      <c r="N1891">
        <f t="shared" si="87"/>
        <v>-1561.21</v>
      </c>
      <c r="O1891" t="s">
        <v>4104</v>
      </c>
      <c r="P1891" t="str">
        <f t="shared" si="88"/>
        <v xml:space="preserve"> </v>
      </c>
      <c r="Q1891" t="str">
        <f t="shared" si="89"/>
        <v>Unfavorable</v>
      </c>
    </row>
    <row r="1892" spans="1:17">
      <c r="A1892" t="s">
        <v>1902</v>
      </c>
      <c r="B1892" s="2">
        <v>45701</v>
      </c>
      <c r="C1892">
        <v>4010</v>
      </c>
      <c r="D1892" t="s">
        <v>2016</v>
      </c>
      <c r="E1892">
        <v>0</v>
      </c>
      <c r="F1892">
        <v>3774.32</v>
      </c>
      <c r="G1892" t="s">
        <v>2022</v>
      </c>
      <c r="H1892" t="s">
        <v>2024</v>
      </c>
      <c r="I1892" t="s">
        <v>3918</v>
      </c>
      <c r="J1892" t="s">
        <v>4032</v>
      </c>
      <c r="K1892" t="s">
        <v>4061</v>
      </c>
      <c r="L1892">
        <v>3774.32</v>
      </c>
      <c r="N1892">
        <f t="shared" si="87"/>
        <v>3774.32</v>
      </c>
      <c r="O1892" t="s">
        <v>4104</v>
      </c>
      <c r="P1892" t="str">
        <f t="shared" si="88"/>
        <v xml:space="preserve"> </v>
      </c>
      <c r="Q1892" t="str">
        <f t="shared" si="89"/>
        <v>Favorable</v>
      </c>
    </row>
    <row r="1893" spans="1:17">
      <c r="A1893" t="s">
        <v>1903</v>
      </c>
      <c r="B1893" s="2">
        <v>45159</v>
      </c>
      <c r="C1893">
        <v>6000</v>
      </c>
      <c r="D1893" t="s">
        <v>2014</v>
      </c>
      <c r="E1893">
        <v>503.88</v>
      </c>
      <c r="F1893">
        <v>0</v>
      </c>
      <c r="G1893" t="s">
        <v>2020</v>
      </c>
      <c r="H1893" t="s">
        <v>2024</v>
      </c>
      <c r="I1893" t="s">
        <v>3919</v>
      </c>
      <c r="J1893" t="s">
        <v>4029</v>
      </c>
      <c r="K1893" t="s">
        <v>4037</v>
      </c>
      <c r="L1893">
        <v>-503.88</v>
      </c>
      <c r="N1893">
        <f t="shared" si="87"/>
        <v>-503.88</v>
      </c>
      <c r="O1893" t="s">
        <v>4104</v>
      </c>
      <c r="P1893" t="str">
        <f t="shared" si="88"/>
        <v xml:space="preserve"> </v>
      </c>
      <c r="Q1893" t="str">
        <f t="shared" si="89"/>
        <v>Unfavorable</v>
      </c>
    </row>
    <row r="1894" spans="1:17">
      <c r="A1894" t="s">
        <v>1904</v>
      </c>
      <c r="B1894" s="2">
        <v>45212</v>
      </c>
      <c r="C1894">
        <v>4010</v>
      </c>
      <c r="D1894" t="s">
        <v>2016</v>
      </c>
      <c r="E1894">
        <v>0</v>
      </c>
      <c r="F1894">
        <v>2344.2199999999998</v>
      </c>
      <c r="G1894" t="s">
        <v>2018</v>
      </c>
      <c r="H1894" t="s">
        <v>2024</v>
      </c>
      <c r="I1894" t="s">
        <v>3920</v>
      </c>
      <c r="J1894" t="s">
        <v>4029</v>
      </c>
      <c r="K1894" t="s">
        <v>4060</v>
      </c>
      <c r="L1894">
        <v>2344.2199999999998</v>
      </c>
      <c r="N1894">
        <f t="shared" si="87"/>
        <v>2344.2199999999998</v>
      </c>
      <c r="O1894" t="s">
        <v>4104</v>
      </c>
      <c r="P1894" t="str">
        <f t="shared" si="88"/>
        <v xml:space="preserve"> </v>
      </c>
      <c r="Q1894" t="str">
        <f t="shared" si="89"/>
        <v>Favorable</v>
      </c>
    </row>
    <row r="1895" spans="1:17">
      <c r="A1895" t="s">
        <v>1905</v>
      </c>
      <c r="B1895" s="2">
        <v>45304</v>
      </c>
      <c r="C1895">
        <v>5010</v>
      </c>
      <c r="D1895" t="s">
        <v>2015</v>
      </c>
      <c r="E1895">
        <v>1283.57</v>
      </c>
      <c r="F1895">
        <v>0</v>
      </c>
      <c r="G1895" t="s">
        <v>2018</v>
      </c>
      <c r="H1895" t="s">
        <v>2027</v>
      </c>
      <c r="I1895" t="s">
        <v>3921</v>
      </c>
      <c r="J1895" t="s">
        <v>4032</v>
      </c>
      <c r="K1895" t="s">
        <v>4053</v>
      </c>
      <c r="L1895">
        <v>-1283.57</v>
      </c>
      <c r="N1895">
        <f t="shared" si="87"/>
        <v>-1283.57</v>
      </c>
      <c r="O1895" t="s">
        <v>4104</v>
      </c>
      <c r="P1895" t="str">
        <f t="shared" si="88"/>
        <v xml:space="preserve"> </v>
      </c>
      <c r="Q1895" t="str">
        <f t="shared" si="89"/>
        <v>Unfavorable</v>
      </c>
    </row>
    <row r="1896" spans="1:17">
      <c r="A1896" t="s">
        <v>1906</v>
      </c>
      <c r="B1896" s="2">
        <v>45483</v>
      </c>
      <c r="C1896">
        <v>4010</v>
      </c>
      <c r="D1896" t="s">
        <v>2016</v>
      </c>
      <c r="E1896">
        <v>0</v>
      </c>
      <c r="F1896">
        <v>1964.79</v>
      </c>
      <c r="G1896" t="s">
        <v>2022</v>
      </c>
      <c r="H1896" t="s">
        <v>2024</v>
      </c>
      <c r="I1896" t="s">
        <v>3922</v>
      </c>
      <c r="J1896" t="s">
        <v>4030</v>
      </c>
      <c r="K1896" t="s">
        <v>4054</v>
      </c>
      <c r="L1896">
        <v>1964.79</v>
      </c>
      <c r="N1896">
        <f t="shared" si="87"/>
        <v>1964.79</v>
      </c>
      <c r="O1896" t="s">
        <v>4104</v>
      </c>
      <c r="P1896" t="str">
        <f t="shared" si="88"/>
        <v xml:space="preserve"> </v>
      </c>
      <c r="Q1896" t="str">
        <f t="shared" si="89"/>
        <v>Favorable</v>
      </c>
    </row>
    <row r="1897" spans="1:17">
      <c r="A1897" t="s">
        <v>1907</v>
      </c>
      <c r="B1897" s="2">
        <v>45481</v>
      </c>
      <c r="C1897">
        <v>4010</v>
      </c>
      <c r="D1897" t="s">
        <v>2016</v>
      </c>
      <c r="E1897">
        <v>0</v>
      </c>
      <c r="F1897">
        <v>3387.63</v>
      </c>
      <c r="G1897" t="s">
        <v>2021</v>
      </c>
      <c r="H1897" t="s">
        <v>2026</v>
      </c>
      <c r="I1897" t="s">
        <v>3923</v>
      </c>
      <c r="J1897" t="s">
        <v>4029</v>
      </c>
      <c r="K1897" t="s">
        <v>4054</v>
      </c>
      <c r="L1897">
        <v>3387.63</v>
      </c>
      <c r="N1897">
        <f t="shared" si="87"/>
        <v>3387.63</v>
      </c>
      <c r="O1897" t="s">
        <v>4104</v>
      </c>
      <c r="P1897" t="str">
        <f t="shared" si="88"/>
        <v xml:space="preserve"> </v>
      </c>
      <c r="Q1897" t="str">
        <f t="shared" si="89"/>
        <v>Favorable</v>
      </c>
    </row>
    <row r="1898" spans="1:17">
      <c r="A1898" t="s">
        <v>1908</v>
      </c>
      <c r="B1898" s="2">
        <v>45166</v>
      </c>
      <c r="C1898">
        <v>6000</v>
      </c>
      <c r="D1898" t="s">
        <v>2014</v>
      </c>
      <c r="E1898">
        <v>1756.28</v>
      </c>
      <c r="F1898">
        <v>0</v>
      </c>
      <c r="G1898" t="s">
        <v>2019</v>
      </c>
      <c r="H1898" t="s">
        <v>2027</v>
      </c>
      <c r="I1898" t="s">
        <v>3924</v>
      </c>
      <c r="J1898" t="s">
        <v>4029</v>
      </c>
      <c r="K1898" t="s">
        <v>4037</v>
      </c>
      <c r="L1898">
        <v>-1756.28</v>
      </c>
      <c r="N1898">
        <f t="shared" si="87"/>
        <v>-1756.28</v>
      </c>
      <c r="O1898" t="s">
        <v>4104</v>
      </c>
      <c r="P1898" t="str">
        <f t="shared" si="88"/>
        <v xml:space="preserve"> </v>
      </c>
      <c r="Q1898" t="str">
        <f t="shared" si="89"/>
        <v>Unfavorable</v>
      </c>
    </row>
    <row r="1899" spans="1:17">
      <c r="A1899" t="s">
        <v>1909</v>
      </c>
      <c r="B1899" s="2">
        <v>45291</v>
      </c>
      <c r="C1899">
        <v>6000</v>
      </c>
      <c r="D1899" t="s">
        <v>2014</v>
      </c>
      <c r="E1899">
        <v>938.88</v>
      </c>
      <c r="F1899">
        <v>0</v>
      </c>
      <c r="G1899" t="s">
        <v>2018</v>
      </c>
      <c r="H1899" t="s">
        <v>2027</v>
      </c>
      <c r="I1899" t="s">
        <v>3925</v>
      </c>
      <c r="J1899" t="s">
        <v>4028</v>
      </c>
      <c r="K1899" t="s">
        <v>4039</v>
      </c>
      <c r="L1899">
        <v>-938.88</v>
      </c>
      <c r="N1899">
        <f t="shared" si="87"/>
        <v>-938.88</v>
      </c>
      <c r="O1899" t="s">
        <v>4104</v>
      </c>
      <c r="P1899" t="str">
        <f t="shared" si="88"/>
        <v xml:space="preserve"> </v>
      </c>
      <c r="Q1899" t="str">
        <f t="shared" si="89"/>
        <v>Unfavorable</v>
      </c>
    </row>
    <row r="1900" spans="1:17">
      <c r="A1900" t="s">
        <v>1910</v>
      </c>
      <c r="B1900" s="2">
        <v>45637</v>
      </c>
      <c r="C1900">
        <v>4000</v>
      </c>
      <c r="D1900" t="s">
        <v>2012</v>
      </c>
      <c r="E1900">
        <v>0</v>
      </c>
      <c r="F1900">
        <v>994.95</v>
      </c>
      <c r="G1900" t="s">
        <v>2018</v>
      </c>
      <c r="H1900" t="s">
        <v>2023</v>
      </c>
      <c r="I1900" t="s">
        <v>3926</v>
      </c>
      <c r="J1900" t="s">
        <v>4032</v>
      </c>
      <c r="K1900" t="s">
        <v>4056</v>
      </c>
      <c r="L1900">
        <v>994.95</v>
      </c>
      <c r="N1900">
        <f t="shared" si="87"/>
        <v>994.95</v>
      </c>
      <c r="O1900" t="s">
        <v>4104</v>
      </c>
      <c r="P1900" t="str">
        <f t="shared" si="88"/>
        <v xml:space="preserve"> </v>
      </c>
      <c r="Q1900" t="str">
        <f t="shared" si="89"/>
        <v>Favorable</v>
      </c>
    </row>
    <row r="1901" spans="1:17">
      <c r="A1901" t="s">
        <v>1911</v>
      </c>
      <c r="B1901" s="2">
        <v>45480</v>
      </c>
      <c r="C1901">
        <v>5000</v>
      </c>
      <c r="D1901" t="s">
        <v>2013</v>
      </c>
      <c r="E1901">
        <v>1619.31</v>
      </c>
      <c r="F1901">
        <v>0</v>
      </c>
      <c r="G1901" t="s">
        <v>2020</v>
      </c>
      <c r="H1901" t="s">
        <v>2024</v>
      </c>
      <c r="I1901" t="s">
        <v>3927</v>
      </c>
      <c r="J1901" t="s">
        <v>4030</v>
      </c>
      <c r="K1901" t="s">
        <v>4054</v>
      </c>
      <c r="L1901">
        <v>-1619.31</v>
      </c>
      <c r="N1901">
        <f t="shared" si="87"/>
        <v>-1619.31</v>
      </c>
      <c r="O1901" t="s">
        <v>4104</v>
      </c>
      <c r="P1901" t="str">
        <f t="shared" si="88"/>
        <v xml:space="preserve"> </v>
      </c>
      <c r="Q1901" t="str">
        <f t="shared" si="89"/>
        <v>Unfavorable</v>
      </c>
    </row>
    <row r="1902" spans="1:17">
      <c r="A1902" t="s">
        <v>1912</v>
      </c>
      <c r="B1902" s="2">
        <v>45413</v>
      </c>
      <c r="C1902">
        <v>4010</v>
      </c>
      <c r="D1902" t="s">
        <v>2016</v>
      </c>
      <c r="E1902">
        <v>0</v>
      </c>
      <c r="F1902">
        <v>2332.9299999999998</v>
      </c>
      <c r="G1902" t="s">
        <v>2017</v>
      </c>
      <c r="H1902" t="s">
        <v>2027</v>
      </c>
      <c r="I1902" t="s">
        <v>3928</v>
      </c>
      <c r="J1902" t="s">
        <v>4031</v>
      </c>
      <c r="K1902" t="s">
        <v>4033</v>
      </c>
      <c r="L1902">
        <v>2332.9299999999998</v>
      </c>
      <c r="N1902">
        <f t="shared" si="87"/>
        <v>2332.9299999999998</v>
      </c>
      <c r="O1902" t="s">
        <v>4104</v>
      </c>
      <c r="P1902" t="str">
        <f t="shared" si="88"/>
        <v xml:space="preserve"> </v>
      </c>
      <c r="Q1902" t="str">
        <f t="shared" si="89"/>
        <v>Favorable</v>
      </c>
    </row>
    <row r="1903" spans="1:17">
      <c r="A1903" t="s">
        <v>1913</v>
      </c>
      <c r="B1903" s="2">
        <v>45199</v>
      </c>
      <c r="C1903">
        <v>5010</v>
      </c>
      <c r="D1903" t="s">
        <v>2015</v>
      </c>
      <c r="E1903">
        <v>335.2</v>
      </c>
      <c r="F1903">
        <v>0</v>
      </c>
      <c r="G1903" t="s">
        <v>2020</v>
      </c>
      <c r="H1903" t="s">
        <v>2024</v>
      </c>
      <c r="I1903" t="s">
        <v>3929</v>
      </c>
      <c r="J1903" t="s">
        <v>4031</v>
      </c>
      <c r="K1903" t="s">
        <v>4036</v>
      </c>
      <c r="L1903">
        <v>-335.2</v>
      </c>
      <c r="N1903">
        <f t="shared" si="87"/>
        <v>-335.2</v>
      </c>
      <c r="O1903" t="s">
        <v>4104</v>
      </c>
      <c r="P1903" t="str">
        <f t="shared" si="88"/>
        <v xml:space="preserve"> </v>
      </c>
      <c r="Q1903" t="str">
        <f t="shared" si="89"/>
        <v>Unfavorable</v>
      </c>
    </row>
    <row r="1904" spans="1:17">
      <c r="A1904" t="s">
        <v>1914</v>
      </c>
      <c r="B1904" s="2">
        <v>45545</v>
      </c>
      <c r="C1904">
        <v>5010</v>
      </c>
      <c r="D1904" t="s">
        <v>2015</v>
      </c>
      <c r="E1904">
        <v>1838.96</v>
      </c>
      <c r="F1904">
        <v>0</v>
      </c>
      <c r="G1904" t="s">
        <v>2022</v>
      </c>
      <c r="H1904" t="s">
        <v>2026</v>
      </c>
      <c r="I1904" t="s">
        <v>3930</v>
      </c>
      <c r="J1904" t="s">
        <v>4030</v>
      </c>
      <c r="K1904" t="s">
        <v>4048</v>
      </c>
      <c r="L1904">
        <v>-1838.96</v>
      </c>
      <c r="N1904">
        <f t="shared" si="87"/>
        <v>-1838.96</v>
      </c>
      <c r="O1904" t="s">
        <v>4104</v>
      </c>
      <c r="P1904" t="str">
        <f t="shared" si="88"/>
        <v xml:space="preserve"> </v>
      </c>
      <c r="Q1904" t="str">
        <f t="shared" si="89"/>
        <v>Unfavorable</v>
      </c>
    </row>
    <row r="1905" spans="1:17">
      <c r="A1905" t="s">
        <v>1915</v>
      </c>
      <c r="B1905" s="2">
        <v>45753</v>
      </c>
      <c r="C1905">
        <v>4000</v>
      </c>
      <c r="D1905" t="s">
        <v>2012</v>
      </c>
      <c r="E1905">
        <v>0</v>
      </c>
      <c r="F1905">
        <v>2599.65</v>
      </c>
      <c r="G1905" t="s">
        <v>2018</v>
      </c>
      <c r="H1905" t="s">
        <v>2024</v>
      </c>
      <c r="I1905" t="s">
        <v>3931</v>
      </c>
      <c r="J1905" t="s">
        <v>4029</v>
      </c>
      <c r="K1905" t="s">
        <v>4045</v>
      </c>
      <c r="L1905">
        <v>2599.65</v>
      </c>
      <c r="N1905">
        <f t="shared" si="87"/>
        <v>2599.65</v>
      </c>
      <c r="O1905" t="s">
        <v>4104</v>
      </c>
      <c r="P1905" t="str">
        <f t="shared" si="88"/>
        <v xml:space="preserve"> </v>
      </c>
      <c r="Q1905" t="str">
        <f t="shared" si="89"/>
        <v>Favorable</v>
      </c>
    </row>
    <row r="1906" spans="1:17">
      <c r="A1906" t="s">
        <v>1916</v>
      </c>
      <c r="B1906" s="2">
        <v>45069</v>
      </c>
      <c r="C1906">
        <v>5000</v>
      </c>
      <c r="D1906" t="s">
        <v>2013</v>
      </c>
      <c r="E1906">
        <v>801.83</v>
      </c>
      <c r="F1906">
        <v>0</v>
      </c>
      <c r="G1906" t="s">
        <v>2019</v>
      </c>
      <c r="H1906" t="s">
        <v>2025</v>
      </c>
      <c r="I1906" t="s">
        <v>3932</v>
      </c>
      <c r="J1906" t="s">
        <v>4031</v>
      </c>
      <c r="K1906" t="s">
        <v>4062</v>
      </c>
      <c r="L1906">
        <v>-801.83</v>
      </c>
      <c r="N1906">
        <f t="shared" si="87"/>
        <v>-801.83</v>
      </c>
      <c r="O1906" t="s">
        <v>4104</v>
      </c>
      <c r="P1906" t="str">
        <f t="shared" si="88"/>
        <v xml:space="preserve"> </v>
      </c>
      <c r="Q1906" t="str">
        <f t="shared" si="89"/>
        <v>Unfavorable</v>
      </c>
    </row>
    <row r="1907" spans="1:17">
      <c r="A1907" t="s">
        <v>1917</v>
      </c>
      <c r="B1907" s="2">
        <v>45153</v>
      </c>
      <c r="C1907">
        <v>5000</v>
      </c>
      <c r="D1907" t="s">
        <v>2013</v>
      </c>
      <c r="E1907">
        <v>54.12</v>
      </c>
      <c r="F1907">
        <v>0</v>
      </c>
      <c r="G1907" t="s">
        <v>2017</v>
      </c>
      <c r="H1907" t="s">
        <v>2027</v>
      </c>
      <c r="I1907" t="s">
        <v>3933</v>
      </c>
      <c r="J1907" t="s">
        <v>4028</v>
      </c>
      <c r="K1907" t="s">
        <v>4037</v>
      </c>
      <c r="L1907">
        <v>-54.12</v>
      </c>
      <c r="N1907">
        <f t="shared" si="87"/>
        <v>-54.12</v>
      </c>
      <c r="O1907" t="s">
        <v>4104</v>
      </c>
      <c r="P1907" t="str">
        <f t="shared" si="88"/>
        <v xml:space="preserve"> </v>
      </c>
      <c r="Q1907" t="str">
        <f t="shared" si="89"/>
        <v>Unfavorable</v>
      </c>
    </row>
    <row r="1908" spans="1:17">
      <c r="A1908" t="s">
        <v>1918</v>
      </c>
      <c r="B1908" s="2">
        <v>44973</v>
      </c>
      <c r="C1908">
        <v>5000</v>
      </c>
      <c r="D1908" t="s">
        <v>2013</v>
      </c>
      <c r="E1908">
        <v>326.83</v>
      </c>
      <c r="F1908">
        <v>0</v>
      </c>
      <c r="G1908" t="s">
        <v>2020</v>
      </c>
      <c r="H1908" t="s">
        <v>2026</v>
      </c>
      <c r="I1908" t="s">
        <v>3934</v>
      </c>
      <c r="J1908" t="s">
        <v>4032</v>
      </c>
      <c r="K1908" t="s">
        <v>4057</v>
      </c>
      <c r="L1908">
        <v>-326.83</v>
      </c>
      <c r="N1908">
        <f t="shared" si="87"/>
        <v>-326.83</v>
      </c>
      <c r="O1908" t="s">
        <v>4104</v>
      </c>
      <c r="P1908" t="str">
        <f t="shared" si="88"/>
        <v xml:space="preserve"> </v>
      </c>
      <c r="Q1908" t="str">
        <f t="shared" si="89"/>
        <v>Unfavorable</v>
      </c>
    </row>
    <row r="1909" spans="1:17">
      <c r="A1909" t="s">
        <v>1919</v>
      </c>
      <c r="B1909" s="2">
        <v>45327</v>
      </c>
      <c r="C1909">
        <v>5000</v>
      </c>
      <c r="D1909" t="s">
        <v>2013</v>
      </c>
      <c r="E1909">
        <v>1868.89</v>
      </c>
      <c r="F1909">
        <v>0</v>
      </c>
      <c r="G1909" t="s">
        <v>2017</v>
      </c>
      <c r="H1909" t="s">
        <v>2027</v>
      </c>
      <c r="I1909" t="s">
        <v>3935</v>
      </c>
      <c r="J1909" t="s">
        <v>4028</v>
      </c>
      <c r="K1909" t="s">
        <v>4044</v>
      </c>
      <c r="L1909">
        <v>-1868.89</v>
      </c>
      <c r="N1909">
        <f t="shared" si="87"/>
        <v>-1868.89</v>
      </c>
      <c r="O1909" t="s">
        <v>4104</v>
      </c>
      <c r="P1909" t="str">
        <f t="shared" si="88"/>
        <v xml:space="preserve"> </v>
      </c>
      <c r="Q1909" t="str">
        <f t="shared" si="89"/>
        <v>Unfavorable</v>
      </c>
    </row>
    <row r="1910" spans="1:17">
      <c r="A1910" t="s">
        <v>1920</v>
      </c>
      <c r="B1910" s="2">
        <v>45513</v>
      </c>
      <c r="C1910">
        <v>6000</v>
      </c>
      <c r="D1910" t="s">
        <v>2014</v>
      </c>
      <c r="E1910">
        <v>1572.8</v>
      </c>
      <c r="F1910">
        <v>0</v>
      </c>
      <c r="G1910" t="s">
        <v>2022</v>
      </c>
      <c r="H1910" t="s">
        <v>2025</v>
      </c>
      <c r="I1910" t="s">
        <v>3936</v>
      </c>
      <c r="J1910" t="s">
        <v>4030</v>
      </c>
      <c r="K1910" t="s">
        <v>4058</v>
      </c>
      <c r="L1910">
        <v>-1572.8</v>
      </c>
      <c r="N1910">
        <f t="shared" si="87"/>
        <v>-1572.8</v>
      </c>
      <c r="O1910" t="s">
        <v>4104</v>
      </c>
      <c r="P1910" t="str">
        <f t="shared" si="88"/>
        <v xml:space="preserve"> </v>
      </c>
      <c r="Q1910" t="str">
        <f t="shared" si="89"/>
        <v>Unfavorable</v>
      </c>
    </row>
    <row r="1911" spans="1:17">
      <c r="A1911" t="s">
        <v>1921</v>
      </c>
      <c r="B1911" s="2">
        <v>45786</v>
      </c>
      <c r="C1911">
        <v>5010</v>
      </c>
      <c r="D1911" t="s">
        <v>2015</v>
      </c>
      <c r="E1911">
        <v>284.08</v>
      </c>
      <c r="F1911">
        <v>0</v>
      </c>
      <c r="G1911" t="s">
        <v>2020</v>
      </c>
      <c r="H1911" t="s">
        <v>2027</v>
      </c>
      <c r="I1911" t="s">
        <v>3937</v>
      </c>
      <c r="J1911" t="s">
        <v>4030</v>
      </c>
      <c r="K1911" t="s">
        <v>4038</v>
      </c>
      <c r="L1911">
        <v>-284.08</v>
      </c>
      <c r="N1911">
        <f t="shared" si="87"/>
        <v>-284.08</v>
      </c>
      <c r="O1911" t="s">
        <v>4104</v>
      </c>
      <c r="P1911" t="str">
        <f t="shared" si="88"/>
        <v xml:space="preserve"> </v>
      </c>
      <c r="Q1911" t="str">
        <f t="shared" si="89"/>
        <v>Unfavorable</v>
      </c>
    </row>
    <row r="1912" spans="1:17">
      <c r="A1912" t="s">
        <v>1922</v>
      </c>
      <c r="B1912" s="2">
        <v>45262</v>
      </c>
      <c r="C1912">
        <v>4010</v>
      </c>
      <c r="D1912" t="s">
        <v>2016</v>
      </c>
      <c r="E1912">
        <v>0</v>
      </c>
      <c r="F1912">
        <v>2962.29</v>
      </c>
      <c r="G1912" t="s">
        <v>2017</v>
      </c>
      <c r="H1912" t="s">
        <v>2024</v>
      </c>
      <c r="I1912" t="s">
        <v>3938</v>
      </c>
      <c r="J1912" t="s">
        <v>4031</v>
      </c>
      <c r="K1912" t="s">
        <v>4039</v>
      </c>
      <c r="L1912">
        <v>2962.29</v>
      </c>
      <c r="N1912">
        <f t="shared" si="87"/>
        <v>2962.29</v>
      </c>
      <c r="O1912" t="s">
        <v>4104</v>
      </c>
      <c r="P1912" t="str">
        <f t="shared" si="88"/>
        <v xml:space="preserve"> </v>
      </c>
      <c r="Q1912" t="str">
        <f t="shared" si="89"/>
        <v>Favorable</v>
      </c>
    </row>
    <row r="1913" spans="1:17">
      <c r="A1913" t="s">
        <v>1923</v>
      </c>
      <c r="B1913" s="2">
        <v>45739</v>
      </c>
      <c r="C1913">
        <v>4010</v>
      </c>
      <c r="D1913" t="s">
        <v>2016</v>
      </c>
      <c r="E1913">
        <v>0</v>
      </c>
      <c r="F1913">
        <v>1937.71</v>
      </c>
      <c r="G1913" t="s">
        <v>2019</v>
      </c>
      <c r="H1913" t="s">
        <v>2027</v>
      </c>
      <c r="I1913" t="s">
        <v>3939</v>
      </c>
      <c r="J1913" t="s">
        <v>4029</v>
      </c>
      <c r="K1913" t="s">
        <v>4046</v>
      </c>
      <c r="L1913">
        <v>1937.71</v>
      </c>
      <c r="N1913">
        <f t="shared" si="87"/>
        <v>1937.71</v>
      </c>
      <c r="O1913" t="s">
        <v>4104</v>
      </c>
      <c r="P1913" t="str">
        <f t="shared" si="88"/>
        <v xml:space="preserve"> </v>
      </c>
      <c r="Q1913" t="str">
        <f t="shared" si="89"/>
        <v>Favorable</v>
      </c>
    </row>
    <row r="1914" spans="1:17">
      <c r="A1914" t="s">
        <v>1924</v>
      </c>
      <c r="B1914" s="2">
        <v>45223</v>
      </c>
      <c r="C1914">
        <v>4010</v>
      </c>
      <c r="D1914" t="s">
        <v>2016</v>
      </c>
      <c r="E1914">
        <v>0</v>
      </c>
      <c r="F1914">
        <v>166.31</v>
      </c>
      <c r="G1914" t="s">
        <v>2021</v>
      </c>
      <c r="H1914" t="s">
        <v>2023</v>
      </c>
      <c r="I1914" t="s">
        <v>3940</v>
      </c>
      <c r="J1914" t="s">
        <v>4032</v>
      </c>
      <c r="K1914" t="s">
        <v>4060</v>
      </c>
      <c r="L1914">
        <v>166.31</v>
      </c>
      <c r="N1914">
        <f t="shared" si="87"/>
        <v>166.31</v>
      </c>
      <c r="O1914" t="s">
        <v>4104</v>
      </c>
      <c r="P1914" t="str">
        <f t="shared" si="88"/>
        <v xml:space="preserve"> </v>
      </c>
      <c r="Q1914" t="str">
        <f t="shared" si="89"/>
        <v>Favorable</v>
      </c>
    </row>
    <row r="1915" spans="1:17">
      <c r="A1915" t="s">
        <v>1925</v>
      </c>
      <c r="B1915" s="2">
        <v>45035</v>
      </c>
      <c r="C1915">
        <v>4000</v>
      </c>
      <c r="D1915" t="s">
        <v>2012</v>
      </c>
      <c r="E1915">
        <v>0</v>
      </c>
      <c r="F1915">
        <v>1137.06</v>
      </c>
      <c r="G1915" t="s">
        <v>2019</v>
      </c>
      <c r="H1915" t="s">
        <v>2026</v>
      </c>
      <c r="I1915" t="s">
        <v>3941</v>
      </c>
      <c r="J1915" t="s">
        <v>4029</v>
      </c>
      <c r="K1915" t="s">
        <v>4041</v>
      </c>
      <c r="L1915">
        <v>1137.06</v>
      </c>
      <c r="N1915">
        <f t="shared" si="87"/>
        <v>1137.06</v>
      </c>
      <c r="O1915" t="s">
        <v>4104</v>
      </c>
      <c r="P1915" t="str">
        <f t="shared" si="88"/>
        <v xml:space="preserve"> </v>
      </c>
      <c r="Q1915" t="str">
        <f t="shared" si="89"/>
        <v>Favorable</v>
      </c>
    </row>
    <row r="1916" spans="1:17">
      <c r="A1916" t="s">
        <v>1926</v>
      </c>
      <c r="B1916" s="2">
        <v>45366</v>
      </c>
      <c r="C1916">
        <v>4010</v>
      </c>
      <c r="D1916" t="s">
        <v>2016</v>
      </c>
      <c r="E1916">
        <v>0</v>
      </c>
      <c r="F1916">
        <v>993.38</v>
      </c>
      <c r="G1916" t="s">
        <v>2021</v>
      </c>
      <c r="H1916" t="s">
        <v>2027</v>
      </c>
      <c r="I1916" t="s">
        <v>3942</v>
      </c>
      <c r="J1916" t="s">
        <v>4030</v>
      </c>
      <c r="K1916" t="s">
        <v>4049</v>
      </c>
      <c r="L1916">
        <v>993.38</v>
      </c>
      <c r="N1916">
        <f t="shared" si="87"/>
        <v>993.38</v>
      </c>
      <c r="O1916" t="s">
        <v>4104</v>
      </c>
      <c r="P1916" t="str">
        <f t="shared" si="88"/>
        <v xml:space="preserve"> </v>
      </c>
      <c r="Q1916" t="str">
        <f t="shared" si="89"/>
        <v>Favorable</v>
      </c>
    </row>
    <row r="1917" spans="1:17">
      <c r="A1917" t="s">
        <v>1927</v>
      </c>
      <c r="B1917" s="2">
        <v>45445</v>
      </c>
      <c r="C1917">
        <v>5010</v>
      </c>
      <c r="D1917" t="s">
        <v>2015</v>
      </c>
      <c r="E1917">
        <v>1915.74</v>
      </c>
      <c r="F1917">
        <v>0</v>
      </c>
      <c r="G1917" t="s">
        <v>2021</v>
      </c>
      <c r="H1917" t="s">
        <v>2024</v>
      </c>
      <c r="I1917" t="s">
        <v>3943</v>
      </c>
      <c r="J1917" t="s">
        <v>4028</v>
      </c>
      <c r="K1917" t="s">
        <v>4034</v>
      </c>
      <c r="L1917">
        <v>-1915.74</v>
      </c>
      <c r="N1917">
        <f t="shared" si="87"/>
        <v>-1915.74</v>
      </c>
      <c r="O1917" t="s">
        <v>4104</v>
      </c>
      <c r="P1917" t="str">
        <f t="shared" si="88"/>
        <v xml:space="preserve"> </v>
      </c>
      <c r="Q1917" t="str">
        <f t="shared" si="89"/>
        <v>Unfavorable</v>
      </c>
    </row>
    <row r="1918" spans="1:17">
      <c r="A1918" t="s">
        <v>1928</v>
      </c>
      <c r="B1918" s="2">
        <v>45145</v>
      </c>
      <c r="C1918">
        <v>5010</v>
      </c>
      <c r="D1918" t="s">
        <v>2015</v>
      </c>
      <c r="E1918">
        <v>1850.88</v>
      </c>
      <c r="F1918">
        <v>0</v>
      </c>
      <c r="G1918" t="s">
        <v>2020</v>
      </c>
      <c r="H1918" t="s">
        <v>2024</v>
      </c>
      <c r="I1918" t="s">
        <v>3944</v>
      </c>
      <c r="J1918" t="s">
        <v>4028</v>
      </c>
      <c r="K1918" t="s">
        <v>4037</v>
      </c>
      <c r="L1918">
        <v>-1850.88</v>
      </c>
      <c r="N1918">
        <f t="shared" si="87"/>
        <v>-1850.88</v>
      </c>
      <c r="O1918" t="s">
        <v>4104</v>
      </c>
      <c r="P1918" t="str">
        <f t="shared" si="88"/>
        <v xml:space="preserve"> </v>
      </c>
      <c r="Q1918" t="str">
        <f t="shared" si="89"/>
        <v>Unfavorable</v>
      </c>
    </row>
    <row r="1919" spans="1:17">
      <c r="A1919" t="s">
        <v>1929</v>
      </c>
      <c r="B1919" s="2">
        <v>45143</v>
      </c>
      <c r="C1919">
        <v>4010</v>
      </c>
      <c r="D1919" t="s">
        <v>2016</v>
      </c>
      <c r="E1919">
        <v>0</v>
      </c>
      <c r="F1919">
        <v>4525.68</v>
      </c>
      <c r="G1919" t="s">
        <v>2017</v>
      </c>
      <c r="H1919" t="s">
        <v>2027</v>
      </c>
      <c r="I1919" t="s">
        <v>3945</v>
      </c>
      <c r="J1919" t="s">
        <v>4031</v>
      </c>
      <c r="K1919" t="s">
        <v>4037</v>
      </c>
      <c r="L1919">
        <v>4525.68</v>
      </c>
      <c r="N1919">
        <f t="shared" si="87"/>
        <v>4525.68</v>
      </c>
      <c r="O1919" t="s">
        <v>4104</v>
      </c>
      <c r="P1919" t="str">
        <f t="shared" si="88"/>
        <v xml:space="preserve"> </v>
      </c>
      <c r="Q1919" t="str">
        <f t="shared" si="89"/>
        <v>Favorable</v>
      </c>
    </row>
    <row r="1920" spans="1:17">
      <c r="A1920" t="s">
        <v>1930</v>
      </c>
      <c r="B1920" s="2">
        <v>44942</v>
      </c>
      <c r="C1920">
        <v>5010</v>
      </c>
      <c r="D1920" t="s">
        <v>2015</v>
      </c>
      <c r="E1920">
        <v>854.45</v>
      </c>
      <c r="F1920">
        <v>0</v>
      </c>
      <c r="G1920" t="s">
        <v>2020</v>
      </c>
      <c r="H1920" t="s">
        <v>2027</v>
      </c>
      <c r="I1920" t="s">
        <v>3946</v>
      </c>
      <c r="J1920" t="s">
        <v>4028</v>
      </c>
      <c r="K1920" t="s">
        <v>4047</v>
      </c>
      <c r="L1920">
        <v>-854.45</v>
      </c>
      <c r="N1920">
        <f t="shared" si="87"/>
        <v>-854.45</v>
      </c>
      <c r="O1920" t="s">
        <v>4104</v>
      </c>
      <c r="P1920" t="str">
        <f t="shared" si="88"/>
        <v xml:space="preserve"> </v>
      </c>
      <c r="Q1920" t="str">
        <f t="shared" si="89"/>
        <v>Unfavorable</v>
      </c>
    </row>
    <row r="1921" spans="1:17">
      <c r="A1921" t="s">
        <v>1931</v>
      </c>
      <c r="B1921" s="2">
        <v>45574</v>
      </c>
      <c r="C1921">
        <v>5000</v>
      </c>
      <c r="D1921" t="s">
        <v>2013</v>
      </c>
      <c r="E1921">
        <v>198.43</v>
      </c>
      <c r="F1921">
        <v>0</v>
      </c>
      <c r="G1921" t="s">
        <v>2019</v>
      </c>
      <c r="H1921" t="s">
        <v>2025</v>
      </c>
      <c r="I1921" t="s">
        <v>3947</v>
      </c>
      <c r="J1921" t="s">
        <v>4030</v>
      </c>
      <c r="K1921" t="s">
        <v>4059</v>
      </c>
      <c r="L1921">
        <v>-198.43</v>
      </c>
      <c r="N1921">
        <f t="shared" si="87"/>
        <v>-198.43</v>
      </c>
      <c r="O1921" t="s">
        <v>4104</v>
      </c>
      <c r="P1921" t="str">
        <f t="shared" si="88"/>
        <v xml:space="preserve"> </v>
      </c>
      <c r="Q1921" t="str">
        <f t="shared" si="89"/>
        <v>Unfavorable</v>
      </c>
    </row>
    <row r="1922" spans="1:17">
      <c r="A1922" t="s">
        <v>1932</v>
      </c>
      <c r="B1922" s="2">
        <v>45720</v>
      </c>
      <c r="C1922">
        <v>6000</v>
      </c>
      <c r="D1922" t="s">
        <v>2014</v>
      </c>
      <c r="E1922">
        <v>1818.32</v>
      </c>
      <c r="F1922">
        <v>0</v>
      </c>
      <c r="G1922" t="s">
        <v>2021</v>
      </c>
      <c r="H1922" t="s">
        <v>2024</v>
      </c>
      <c r="I1922" t="s">
        <v>3948</v>
      </c>
      <c r="J1922" t="s">
        <v>4032</v>
      </c>
      <c r="K1922" t="s">
        <v>4046</v>
      </c>
      <c r="L1922">
        <v>-1818.32</v>
      </c>
      <c r="N1922">
        <f t="shared" si="87"/>
        <v>-1818.32</v>
      </c>
      <c r="O1922" t="s">
        <v>4104</v>
      </c>
      <c r="P1922" t="str">
        <f t="shared" si="88"/>
        <v xml:space="preserve"> </v>
      </c>
      <c r="Q1922" t="str">
        <f t="shared" si="89"/>
        <v>Unfavorable</v>
      </c>
    </row>
    <row r="1923" spans="1:17">
      <c r="A1923" t="s">
        <v>1933</v>
      </c>
      <c r="B1923" s="2">
        <v>45384</v>
      </c>
      <c r="C1923">
        <v>4010</v>
      </c>
      <c r="D1923" t="s">
        <v>2016</v>
      </c>
      <c r="E1923">
        <v>0</v>
      </c>
      <c r="F1923">
        <v>2638.4</v>
      </c>
      <c r="G1923" t="s">
        <v>2022</v>
      </c>
      <c r="H1923" t="s">
        <v>2027</v>
      </c>
      <c r="I1923" t="s">
        <v>3949</v>
      </c>
      <c r="J1923" t="s">
        <v>4031</v>
      </c>
      <c r="K1923" t="s">
        <v>4040</v>
      </c>
      <c r="L1923">
        <v>2638.4</v>
      </c>
      <c r="N1923">
        <f t="shared" ref="N1923:N1986" si="90">L:L-M:M</f>
        <v>2638.4</v>
      </c>
      <c r="O1923" t="s">
        <v>4104</v>
      </c>
      <c r="P1923" t="str">
        <f t="shared" ref="P1923:P1986" si="91">IF(AND(ABS(N:N)&gt;10000,M:M&lt;&gt;0),"Material", " ")</f>
        <v xml:space="preserve"> </v>
      </c>
      <c r="Q1923" t="str">
        <f t="shared" ref="Q1923:Q1986" si="92">IF(N:N&gt;0,"Favorable","Unfavorable")</f>
        <v>Favorable</v>
      </c>
    </row>
    <row r="1924" spans="1:17">
      <c r="A1924" t="s">
        <v>1934</v>
      </c>
      <c r="B1924" s="2">
        <v>45003</v>
      </c>
      <c r="C1924">
        <v>4010</v>
      </c>
      <c r="D1924" t="s">
        <v>2016</v>
      </c>
      <c r="E1924">
        <v>0</v>
      </c>
      <c r="F1924">
        <v>2791.71</v>
      </c>
      <c r="G1924" t="s">
        <v>2018</v>
      </c>
      <c r="H1924" t="s">
        <v>2026</v>
      </c>
      <c r="I1924" t="s">
        <v>3950</v>
      </c>
      <c r="J1924" t="s">
        <v>4032</v>
      </c>
      <c r="K1924" t="s">
        <v>4051</v>
      </c>
      <c r="L1924">
        <v>2791.71</v>
      </c>
      <c r="N1924">
        <f t="shared" si="90"/>
        <v>2791.71</v>
      </c>
      <c r="O1924" t="s">
        <v>4104</v>
      </c>
      <c r="P1924" t="str">
        <f t="shared" si="91"/>
        <v xml:space="preserve"> </v>
      </c>
      <c r="Q1924" t="str">
        <f t="shared" si="92"/>
        <v>Favorable</v>
      </c>
    </row>
    <row r="1925" spans="1:17">
      <c r="A1925" t="s">
        <v>1935</v>
      </c>
      <c r="B1925" s="2">
        <v>45320</v>
      </c>
      <c r="C1925">
        <v>5000</v>
      </c>
      <c r="D1925" t="s">
        <v>2013</v>
      </c>
      <c r="E1925">
        <v>726.03</v>
      </c>
      <c r="F1925">
        <v>0</v>
      </c>
      <c r="G1925" t="s">
        <v>2018</v>
      </c>
      <c r="H1925" t="s">
        <v>2027</v>
      </c>
      <c r="I1925" t="s">
        <v>3951</v>
      </c>
      <c r="J1925" t="s">
        <v>4031</v>
      </c>
      <c r="K1925" t="s">
        <v>4053</v>
      </c>
      <c r="L1925">
        <v>-726.03</v>
      </c>
      <c r="N1925">
        <f t="shared" si="90"/>
        <v>-726.03</v>
      </c>
      <c r="O1925" t="s">
        <v>4104</v>
      </c>
      <c r="P1925" t="str">
        <f t="shared" si="91"/>
        <v xml:space="preserve"> </v>
      </c>
      <c r="Q1925" t="str">
        <f t="shared" si="92"/>
        <v>Unfavorable</v>
      </c>
    </row>
    <row r="1926" spans="1:17">
      <c r="A1926" t="s">
        <v>1936</v>
      </c>
      <c r="B1926" s="2">
        <v>45055</v>
      </c>
      <c r="C1926">
        <v>5000</v>
      </c>
      <c r="D1926" t="s">
        <v>2013</v>
      </c>
      <c r="E1926">
        <v>1370.59</v>
      </c>
      <c r="F1926">
        <v>0</v>
      </c>
      <c r="G1926" t="s">
        <v>2017</v>
      </c>
      <c r="H1926" t="s">
        <v>2027</v>
      </c>
      <c r="I1926" t="s">
        <v>3952</v>
      </c>
      <c r="J1926" t="s">
        <v>4030</v>
      </c>
      <c r="K1926" t="s">
        <v>4062</v>
      </c>
      <c r="L1926">
        <v>-1370.59</v>
      </c>
      <c r="N1926">
        <f t="shared" si="90"/>
        <v>-1370.59</v>
      </c>
      <c r="O1926" t="s">
        <v>4104</v>
      </c>
      <c r="P1926" t="str">
        <f t="shared" si="91"/>
        <v xml:space="preserve"> </v>
      </c>
      <c r="Q1926" t="str">
        <f t="shared" si="92"/>
        <v>Unfavorable</v>
      </c>
    </row>
    <row r="1927" spans="1:17">
      <c r="A1927" t="s">
        <v>1937</v>
      </c>
      <c r="B1927" s="2">
        <v>45409</v>
      </c>
      <c r="C1927">
        <v>5010</v>
      </c>
      <c r="D1927" t="s">
        <v>2015</v>
      </c>
      <c r="E1927">
        <v>263.16000000000003</v>
      </c>
      <c r="F1927">
        <v>0</v>
      </c>
      <c r="G1927" t="s">
        <v>2019</v>
      </c>
      <c r="H1927" t="s">
        <v>2025</v>
      </c>
      <c r="I1927" t="s">
        <v>3953</v>
      </c>
      <c r="J1927" t="s">
        <v>4032</v>
      </c>
      <c r="K1927" t="s">
        <v>4040</v>
      </c>
      <c r="L1927">
        <v>-263.16000000000003</v>
      </c>
      <c r="N1927">
        <f t="shared" si="90"/>
        <v>-263.16000000000003</v>
      </c>
      <c r="O1927" t="s">
        <v>4104</v>
      </c>
      <c r="P1927" t="str">
        <f t="shared" si="91"/>
        <v xml:space="preserve"> </v>
      </c>
      <c r="Q1927" t="str">
        <f t="shared" si="92"/>
        <v>Unfavorable</v>
      </c>
    </row>
    <row r="1928" spans="1:17">
      <c r="A1928" t="s">
        <v>1938</v>
      </c>
      <c r="B1928" s="2">
        <v>45561</v>
      </c>
      <c r="C1928">
        <v>5010</v>
      </c>
      <c r="D1928" t="s">
        <v>2015</v>
      </c>
      <c r="E1928">
        <v>1336.28</v>
      </c>
      <c r="F1928">
        <v>0</v>
      </c>
      <c r="G1928" t="s">
        <v>2019</v>
      </c>
      <c r="H1928" t="s">
        <v>2024</v>
      </c>
      <c r="I1928" t="s">
        <v>3954</v>
      </c>
      <c r="J1928" t="s">
        <v>4030</v>
      </c>
      <c r="K1928" t="s">
        <v>4048</v>
      </c>
      <c r="L1928">
        <v>-1336.28</v>
      </c>
      <c r="N1928">
        <f t="shared" si="90"/>
        <v>-1336.28</v>
      </c>
      <c r="O1928" t="s">
        <v>4104</v>
      </c>
      <c r="P1928" t="str">
        <f t="shared" si="91"/>
        <v xml:space="preserve"> </v>
      </c>
      <c r="Q1928" t="str">
        <f t="shared" si="92"/>
        <v>Unfavorable</v>
      </c>
    </row>
    <row r="1929" spans="1:17">
      <c r="A1929" t="s">
        <v>1939</v>
      </c>
      <c r="B1929" s="2">
        <v>45435</v>
      </c>
      <c r="C1929">
        <v>6000</v>
      </c>
      <c r="D1929" t="s">
        <v>2014</v>
      </c>
      <c r="E1929">
        <v>1661.05</v>
      </c>
      <c r="F1929">
        <v>0</v>
      </c>
      <c r="G1929" t="s">
        <v>2020</v>
      </c>
      <c r="H1929" t="s">
        <v>2025</v>
      </c>
      <c r="I1929" t="s">
        <v>3955</v>
      </c>
      <c r="J1929" t="s">
        <v>4029</v>
      </c>
      <c r="K1929" t="s">
        <v>4033</v>
      </c>
      <c r="L1929">
        <v>-1661.05</v>
      </c>
      <c r="N1929">
        <f t="shared" si="90"/>
        <v>-1661.05</v>
      </c>
      <c r="O1929" t="s">
        <v>4104</v>
      </c>
      <c r="P1929" t="str">
        <f t="shared" si="91"/>
        <v xml:space="preserve"> </v>
      </c>
      <c r="Q1929" t="str">
        <f t="shared" si="92"/>
        <v>Unfavorable</v>
      </c>
    </row>
    <row r="1930" spans="1:17">
      <c r="A1930" t="s">
        <v>1940</v>
      </c>
      <c r="B1930" s="2">
        <v>45247</v>
      </c>
      <c r="C1930">
        <v>4000</v>
      </c>
      <c r="D1930" t="s">
        <v>2012</v>
      </c>
      <c r="E1930">
        <v>0</v>
      </c>
      <c r="F1930">
        <v>2221.86</v>
      </c>
      <c r="G1930" t="s">
        <v>2022</v>
      </c>
      <c r="H1930" t="s">
        <v>2024</v>
      </c>
      <c r="I1930" t="s">
        <v>3956</v>
      </c>
      <c r="J1930" t="s">
        <v>4028</v>
      </c>
      <c r="K1930" t="s">
        <v>4042</v>
      </c>
      <c r="L1930">
        <v>2221.86</v>
      </c>
      <c r="N1930">
        <f t="shared" si="90"/>
        <v>2221.86</v>
      </c>
      <c r="O1930" t="s">
        <v>4104</v>
      </c>
      <c r="P1930" t="str">
        <f t="shared" si="91"/>
        <v xml:space="preserve"> </v>
      </c>
      <c r="Q1930" t="str">
        <f t="shared" si="92"/>
        <v>Favorable</v>
      </c>
    </row>
    <row r="1931" spans="1:17">
      <c r="A1931" t="s">
        <v>1941</v>
      </c>
      <c r="B1931" s="2">
        <v>45356</v>
      </c>
      <c r="C1931">
        <v>4010</v>
      </c>
      <c r="D1931" t="s">
        <v>2016</v>
      </c>
      <c r="E1931">
        <v>0</v>
      </c>
      <c r="F1931">
        <v>4064.87</v>
      </c>
      <c r="G1931" t="s">
        <v>2017</v>
      </c>
      <c r="H1931" t="s">
        <v>2024</v>
      </c>
      <c r="I1931" t="s">
        <v>3957</v>
      </c>
      <c r="J1931" t="s">
        <v>4032</v>
      </c>
      <c r="K1931" t="s">
        <v>4049</v>
      </c>
      <c r="L1931">
        <v>4064.87</v>
      </c>
      <c r="N1931">
        <f t="shared" si="90"/>
        <v>4064.87</v>
      </c>
      <c r="O1931" t="s">
        <v>4104</v>
      </c>
      <c r="P1931" t="str">
        <f t="shared" si="91"/>
        <v xml:space="preserve"> </v>
      </c>
      <c r="Q1931" t="str">
        <f t="shared" si="92"/>
        <v>Favorable</v>
      </c>
    </row>
    <row r="1932" spans="1:17">
      <c r="A1932" t="s">
        <v>1942</v>
      </c>
      <c r="B1932" s="2">
        <v>45592</v>
      </c>
      <c r="C1932">
        <v>5000</v>
      </c>
      <c r="D1932" t="s">
        <v>2013</v>
      </c>
      <c r="E1932">
        <v>564.04</v>
      </c>
      <c r="F1932">
        <v>0</v>
      </c>
      <c r="G1932" t="s">
        <v>2020</v>
      </c>
      <c r="H1932" t="s">
        <v>2025</v>
      </c>
      <c r="I1932" t="s">
        <v>3958</v>
      </c>
      <c r="J1932" t="s">
        <v>4031</v>
      </c>
      <c r="K1932" t="s">
        <v>4059</v>
      </c>
      <c r="L1932">
        <v>-564.04</v>
      </c>
      <c r="N1932">
        <f t="shared" si="90"/>
        <v>-564.04</v>
      </c>
      <c r="O1932" t="s">
        <v>4104</v>
      </c>
      <c r="P1932" t="str">
        <f t="shared" si="91"/>
        <v xml:space="preserve"> </v>
      </c>
      <c r="Q1932" t="str">
        <f t="shared" si="92"/>
        <v>Unfavorable</v>
      </c>
    </row>
    <row r="1933" spans="1:17">
      <c r="A1933" t="s">
        <v>1943</v>
      </c>
      <c r="B1933" s="2">
        <v>45255</v>
      </c>
      <c r="C1933">
        <v>4010</v>
      </c>
      <c r="D1933" t="s">
        <v>2016</v>
      </c>
      <c r="E1933">
        <v>0</v>
      </c>
      <c r="F1933">
        <v>2394.69</v>
      </c>
      <c r="G1933" t="s">
        <v>2022</v>
      </c>
      <c r="H1933" t="s">
        <v>2024</v>
      </c>
      <c r="I1933" t="s">
        <v>3959</v>
      </c>
      <c r="J1933" t="s">
        <v>4030</v>
      </c>
      <c r="K1933" t="s">
        <v>4042</v>
      </c>
      <c r="L1933">
        <v>2394.69</v>
      </c>
      <c r="N1933">
        <f t="shared" si="90"/>
        <v>2394.69</v>
      </c>
      <c r="O1933" t="s">
        <v>4104</v>
      </c>
      <c r="P1933" t="str">
        <f t="shared" si="91"/>
        <v xml:space="preserve"> </v>
      </c>
      <c r="Q1933" t="str">
        <f t="shared" si="92"/>
        <v>Favorable</v>
      </c>
    </row>
    <row r="1934" spans="1:17">
      <c r="A1934" t="s">
        <v>1944</v>
      </c>
      <c r="B1934" s="2">
        <v>45583</v>
      </c>
      <c r="C1934">
        <v>4010</v>
      </c>
      <c r="D1934" t="s">
        <v>2016</v>
      </c>
      <c r="E1934">
        <v>0</v>
      </c>
      <c r="F1934">
        <v>4484.1899999999996</v>
      </c>
      <c r="G1934" t="s">
        <v>2020</v>
      </c>
      <c r="H1934" t="s">
        <v>2023</v>
      </c>
      <c r="I1934" t="s">
        <v>3960</v>
      </c>
      <c r="J1934" t="s">
        <v>4030</v>
      </c>
      <c r="K1934" t="s">
        <v>4059</v>
      </c>
      <c r="L1934">
        <v>4484.1899999999996</v>
      </c>
      <c r="N1934">
        <f t="shared" si="90"/>
        <v>4484.1899999999996</v>
      </c>
      <c r="O1934" t="s">
        <v>4104</v>
      </c>
      <c r="P1934" t="str">
        <f t="shared" si="91"/>
        <v xml:space="preserve"> </v>
      </c>
      <c r="Q1934" t="str">
        <f t="shared" si="92"/>
        <v>Favorable</v>
      </c>
    </row>
    <row r="1935" spans="1:17">
      <c r="A1935" t="s">
        <v>1945</v>
      </c>
      <c r="B1935" s="2">
        <v>45656</v>
      </c>
      <c r="C1935">
        <v>4010</v>
      </c>
      <c r="D1935" t="s">
        <v>2016</v>
      </c>
      <c r="E1935">
        <v>0</v>
      </c>
      <c r="F1935">
        <v>1838.71</v>
      </c>
      <c r="G1935" t="s">
        <v>2020</v>
      </c>
      <c r="H1935" t="s">
        <v>2025</v>
      </c>
      <c r="I1935" t="s">
        <v>3961</v>
      </c>
      <c r="J1935" t="s">
        <v>4032</v>
      </c>
      <c r="K1935" t="s">
        <v>4056</v>
      </c>
      <c r="L1935">
        <v>1838.71</v>
      </c>
      <c r="N1935">
        <f t="shared" si="90"/>
        <v>1838.71</v>
      </c>
      <c r="O1935" t="s">
        <v>4104</v>
      </c>
      <c r="P1935" t="str">
        <f t="shared" si="91"/>
        <v xml:space="preserve"> </v>
      </c>
      <c r="Q1935" t="str">
        <f t="shared" si="92"/>
        <v>Favorable</v>
      </c>
    </row>
    <row r="1936" spans="1:17">
      <c r="A1936" t="s">
        <v>1946</v>
      </c>
      <c r="B1936" s="2">
        <v>45767</v>
      </c>
      <c r="C1936">
        <v>5010</v>
      </c>
      <c r="D1936" t="s">
        <v>2015</v>
      </c>
      <c r="E1936">
        <v>407.55</v>
      </c>
      <c r="F1936">
        <v>0</v>
      </c>
      <c r="G1936" t="s">
        <v>2019</v>
      </c>
      <c r="H1936" t="s">
        <v>2025</v>
      </c>
      <c r="I1936" t="s">
        <v>3962</v>
      </c>
      <c r="J1936" t="s">
        <v>4028</v>
      </c>
      <c r="K1936" t="s">
        <v>4045</v>
      </c>
      <c r="L1936">
        <v>-407.55</v>
      </c>
      <c r="N1936">
        <f t="shared" si="90"/>
        <v>-407.55</v>
      </c>
      <c r="O1936" t="s">
        <v>4104</v>
      </c>
      <c r="P1936" t="str">
        <f t="shared" si="91"/>
        <v xml:space="preserve"> </v>
      </c>
      <c r="Q1936" t="str">
        <f t="shared" si="92"/>
        <v>Unfavorable</v>
      </c>
    </row>
    <row r="1937" spans="1:17">
      <c r="A1937" t="s">
        <v>1947</v>
      </c>
      <c r="B1937" s="2">
        <v>45253</v>
      </c>
      <c r="C1937">
        <v>4000</v>
      </c>
      <c r="D1937" t="s">
        <v>2012</v>
      </c>
      <c r="E1937">
        <v>0</v>
      </c>
      <c r="F1937">
        <v>1239.76</v>
      </c>
      <c r="G1937" t="s">
        <v>2022</v>
      </c>
      <c r="H1937" t="s">
        <v>2025</v>
      </c>
      <c r="I1937" t="s">
        <v>3963</v>
      </c>
      <c r="J1937" t="s">
        <v>4032</v>
      </c>
      <c r="K1937" t="s">
        <v>4042</v>
      </c>
      <c r="L1937">
        <v>1239.76</v>
      </c>
      <c r="N1937">
        <f t="shared" si="90"/>
        <v>1239.76</v>
      </c>
      <c r="O1937" t="s">
        <v>4104</v>
      </c>
      <c r="P1937" t="str">
        <f t="shared" si="91"/>
        <v xml:space="preserve"> </v>
      </c>
      <c r="Q1937" t="str">
        <f t="shared" si="92"/>
        <v>Favorable</v>
      </c>
    </row>
    <row r="1938" spans="1:17">
      <c r="A1938" t="s">
        <v>1948</v>
      </c>
      <c r="B1938" s="2">
        <v>45119</v>
      </c>
      <c r="C1938">
        <v>5010</v>
      </c>
      <c r="D1938" t="s">
        <v>2015</v>
      </c>
      <c r="E1938">
        <v>721.91</v>
      </c>
      <c r="F1938">
        <v>0</v>
      </c>
      <c r="G1938" t="s">
        <v>2020</v>
      </c>
      <c r="H1938" t="s">
        <v>2023</v>
      </c>
      <c r="I1938" t="s">
        <v>3964</v>
      </c>
      <c r="J1938" t="s">
        <v>4029</v>
      </c>
      <c r="K1938" t="s">
        <v>4050</v>
      </c>
      <c r="L1938">
        <v>-721.91</v>
      </c>
      <c r="N1938">
        <f t="shared" si="90"/>
        <v>-721.91</v>
      </c>
      <c r="O1938" t="s">
        <v>4104</v>
      </c>
      <c r="P1938" t="str">
        <f t="shared" si="91"/>
        <v xml:space="preserve"> </v>
      </c>
      <c r="Q1938" t="str">
        <f t="shared" si="92"/>
        <v>Unfavorable</v>
      </c>
    </row>
    <row r="1939" spans="1:17">
      <c r="A1939" t="s">
        <v>1949</v>
      </c>
      <c r="B1939" s="2">
        <v>45307</v>
      </c>
      <c r="C1939">
        <v>6000</v>
      </c>
      <c r="D1939" t="s">
        <v>2014</v>
      </c>
      <c r="E1939">
        <v>1506.81</v>
      </c>
      <c r="F1939">
        <v>0</v>
      </c>
      <c r="G1939" t="s">
        <v>2020</v>
      </c>
      <c r="H1939" t="s">
        <v>2026</v>
      </c>
      <c r="I1939" t="s">
        <v>3965</v>
      </c>
      <c r="J1939" t="s">
        <v>4028</v>
      </c>
      <c r="K1939" t="s">
        <v>4053</v>
      </c>
      <c r="L1939">
        <v>-1506.81</v>
      </c>
      <c r="N1939">
        <f t="shared" si="90"/>
        <v>-1506.81</v>
      </c>
      <c r="O1939" t="s">
        <v>4104</v>
      </c>
      <c r="P1939" t="str">
        <f t="shared" si="91"/>
        <v xml:space="preserve"> </v>
      </c>
      <c r="Q1939" t="str">
        <f t="shared" si="92"/>
        <v>Unfavorable</v>
      </c>
    </row>
    <row r="1940" spans="1:17">
      <c r="A1940" t="s">
        <v>1950</v>
      </c>
      <c r="B1940" s="2">
        <v>45723</v>
      </c>
      <c r="C1940">
        <v>4010</v>
      </c>
      <c r="D1940" t="s">
        <v>2016</v>
      </c>
      <c r="E1940">
        <v>0</v>
      </c>
      <c r="F1940">
        <v>3376.73</v>
      </c>
      <c r="G1940" t="s">
        <v>2019</v>
      </c>
      <c r="H1940" t="s">
        <v>2025</v>
      </c>
      <c r="I1940" t="s">
        <v>3966</v>
      </c>
      <c r="J1940" t="s">
        <v>4029</v>
      </c>
      <c r="K1940" t="s">
        <v>4046</v>
      </c>
      <c r="L1940">
        <v>3376.73</v>
      </c>
      <c r="N1940">
        <f t="shared" si="90"/>
        <v>3376.73</v>
      </c>
      <c r="O1940" t="s">
        <v>4104</v>
      </c>
      <c r="P1940" t="str">
        <f t="shared" si="91"/>
        <v xml:space="preserve"> </v>
      </c>
      <c r="Q1940" t="str">
        <f t="shared" si="92"/>
        <v>Favorable</v>
      </c>
    </row>
    <row r="1941" spans="1:17">
      <c r="A1941" t="s">
        <v>1951</v>
      </c>
      <c r="B1941" s="2">
        <v>45265</v>
      </c>
      <c r="C1941">
        <v>6000</v>
      </c>
      <c r="D1941" t="s">
        <v>2014</v>
      </c>
      <c r="E1941">
        <v>1023.13</v>
      </c>
      <c r="F1941">
        <v>0</v>
      </c>
      <c r="G1941" t="s">
        <v>2020</v>
      </c>
      <c r="H1941" t="s">
        <v>2027</v>
      </c>
      <c r="I1941" t="s">
        <v>3967</v>
      </c>
      <c r="J1941" t="s">
        <v>4028</v>
      </c>
      <c r="K1941" t="s">
        <v>4039</v>
      </c>
      <c r="L1941">
        <v>-1023.13</v>
      </c>
      <c r="N1941">
        <f t="shared" si="90"/>
        <v>-1023.13</v>
      </c>
      <c r="O1941" t="s">
        <v>4104</v>
      </c>
      <c r="P1941" t="str">
        <f t="shared" si="91"/>
        <v xml:space="preserve"> </v>
      </c>
      <c r="Q1941" t="str">
        <f t="shared" si="92"/>
        <v>Unfavorable</v>
      </c>
    </row>
    <row r="1942" spans="1:17">
      <c r="A1942" t="s">
        <v>1952</v>
      </c>
      <c r="B1942" s="2">
        <v>45834</v>
      </c>
      <c r="C1942">
        <v>6000</v>
      </c>
      <c r="D1942" t="s">
        <v>2014</v>
      </c>
      <c r="E1942">
        <v>1885.62</v>
      </c>
      <c r="F1942">
        <v>0</v>
      </c>
      <c r="G1942" t="s">
        <v>2021</v>
      </c>
      <c r="H1942" t="s">
        <v>2026</v>
      </c>
      <c r="I1942" t="s">
        <v>3968</v>
      </c>
      <c r="J1942" t="s">
        <v>4032</v>
      </c>
      <c r="K1942" t="s">
        <v>4052</v>
      </c>
      <c r="L1942">
        <v>-1885.62</v>
      </c>
      <c r="N1942">
        <f t="shared" si="90"/>
        <v>-1885.62</v>
      </c>
      <c r="O1942" t="s">
        <v>4104</v>
      </c>
      <c r="P1942" t="str">
        <f t="shared" si="91"/>
        <v xml:space="preserve"> </v>
      </c>
      <c r="Q1942" t="str">
        <f t="shared" si="92"/>
        <v>Unfavorable</v>
      </c>
    </row>
    <row r="1943" spans="1:17">
      <c r="A1943" t="s">
        <v>1953</v>
      </c>
      <c r="B1943" s="2">
        <v>45421</v>
      </c>
      <c r="C1943">
        <v>4010</v>
      </c>
      <c r="D1943" t="s">
        <v>2016</v>
      </c>
      <c r="E1943">
        <v>0</v>
      </c>
      <c r="F1943">
        <v>955.35</v>
      </c>
      <c r="G1943" t="s">
        <v>2020</v>
      </c>
      <c r="H1943" t="s">
        <v>2026</v>
      </c>
      <c r="I1943" t="s">
        <v>3969</v>
      </c>
      <c r="J1943" t="s">
        <v>4032</v>
      </c>
      <c r="K1943" t="s">
        <v>4033</v>
      </c>
      <c r="L1943">
        <v>955.35</v>
      </c>
      <c r="N1943">
        <f t="shared" si="90"/>
        <v>955.35</v>
      </c>
      <c r="O1943" t="s">
        <v>4104</v>
      </c>
      <c r="P1943" t="str">
        <f t="shared" si="91"/>
        <v xml:space="preserve"> </v>
      </c>
      <c r="Q1943" t="str">
        <f t="shared" si="92"/>
        <v>Favorable</v>
      </c>
    </row>
    <row r="1944" spans="1:17">
      <c r="A1944" t="s">
        <v>1954</v>
      </c>
      <c r="B1944" s="2">
        <v>44927</v>
      </c>
      <c r="C1944">
        <v>5010</v>
      </c>
      <c r="D1944" t="s">
        <v>2015</v>
      </c>
      <c r="E1944">
        <v>1735.63</v>
      </c>
      <c r="F1944">
        <v>0</v>
      </c>
      <c r="G1944" t="s">
        <v>2017</v>
      </c>
      <c r="H1944" t="s">
        <v>2023</v>
      </c>
      <c r="I1944" t="s">
        <v>3970</v>
      </c>
      <c r="J1944" t="s">
        <v>4032</v>
      </c>
      <c r="K1944" t="s">
        <v>4047</v>
      </c>
      <c r="L1944">
        <v>-1735.63</v>
      </c>
      <c r="N1944">
        <f t="shared" si="90"/>
        <v>-1735.63</v>
      </c>
      <c r="O1944" t="s">
        <v>4104</v>
      </c>
      <c r="P1944" t="str">
        <f t="shared" si="91"/>
        <v xml:space="preserve"> </v>
      </c>
      <c r="Q1944" t="str">
        <f t="shared" si="92"/>
        <v>Unfavorable</v>
      </c>
    </row>
    <row r="1945" spans="1:17">
      <c r="A1945" t="s">
        <v>1955</v>
      </c>
      <c r="B1945" s="2">
        <v>45131</v>
      </c>
      <c r="C1945">
        <v>5000</v>
      </c>
      <c r="D1945" t="s">
        <v>2013</v>
      </c>
      <c r="E1945">
        <v>1311.61</v>
      </c>
      <c r="F1945">
        <v>0</v>
      </c>
      <c r="G1945" t="s">
        <v>2022</v>
      </c>
      <c r="H1945" t="s">
        <v>2027</v>
      </c>
      <c r="I1945" t="s">
        <v>3971</v>
      </c>
      <c r="J1945" t="s">
        <v>4030</v>
      </c>
      <c r="K1945" t="s">
        <v>4050</v>
      </c>
      <c r="L1945">
        <v>-1311.61</v>
      </c>
      <c r="N1945">
        <f t="shared" si="90"/>
        <v>-1311.61</v>
      </c>
      <c r="O1945" t="s">
        <v>4104</v>
      </c>
      <c r="P1945" t="str">
        <f t="shared" si="91"/>
        <v xml:space="preserve"> </v>
      </c>
      <c r="Q1945" t="str">
        <f t="shared" si="92"/>
        <v>Unfavorable</v>
      </c>
    </row>
    <row r="1946" spans="1:17">
      <c r="A1946" t="s">
        <v>1956</v>
      </c>
      <c r="B1946" s="2">
        <v>45256</v>
      </c>
      <c r="C1946">
        <v>4010</v>
      </c>
      <c r="D1946" t="s">
        <v>2016</v>
      </c>
      <c r="E1946">
        <v>0</v>
      </c>
      <c r="F1946">
        <v>3124.09</v>
      </c>
      <c r="G1946" t="s">
        <v>2022</v>
      </c>
      <c r="H1946" t="s">
        <v>2023</v>
      </c>
      <c r="I1946" t="s">
        <v>3972</v>
      </c>
      <c r="J1946" t="s">
        <v>4031</v>
      </c>
      <c r="K1946" t="s">
        <v>4042</v>
      </c>
      <c r="L1946">
        <v>3124.09</v>
      </c>
      <c r="N1946">
        <f t="shared" si="90"/>
        <v>3124.09</v>
      </c>
      <c r="O1946" t="s">
        <v>4104</v>
      </c>
      <c r="P1946" t="str">
        <f t="shared" si="91"/>
        <v xml:space="preserve"> </v>
      </c>
      <c r="Q1946" t="str">
        <f t="shared" si="92"/>
        <v>Favorable</v>
      </c>
    </row>
    <row r="1947" spans="1:17">
      <c r="A1947" t="s">
        <v>1957</v>
      </c>
      <c r="B1947" s="2">
        <v>45505</v>
      </c>
      <c r="C1947">
        <v>5010</v>
      </c>
      <c r="D1947" t="s">
        <v>2015</v>
      </c>
      <c r="E1947">
        <v>1453.46</v>
      </c>
      <c r="F1947">
        <v>0</v>
      </c>
      <c r="G1947" t="s">
        <v>2021</v>
      </c>
      <c r="H1947" t="s">
        <v>2025</v>
      </c>
      <c r="I1947" t="s">
        <v>3973</v>
      </c>
      <c r="J1947" t="s">
        <v>4031</v>
      </c>
      <c r="K1947" t="s">
        <v>4058</v>
      </c>
      <c r="L1947">
        <v>-1453.46</v>
      </c>
      <c r="N1947">
        <f t="shared" si="90"/>
        <v>-1453.46</v>
      </c>
      <c r="O1947" t="s">
        <v>4104</v>
      </c>
      <c r="P1947" t="str">
        <f t="shared" si="91"/>
        <v xml:space="preserve"> </v>
      </c>
      <c r="Q1947" t="str">
        <f t="shared" si="92"/>
        <v>Unfavorable</v>
      </c>
    </row>
    <row r="1948" spans="1:17">
      <c r="A1948" t="s">
        <v>1958</v>
      </c>
      <c r="B1948" s="2">
        <v>45018</v>
      </c>
      <c r="C1948">
        <v>6000</v>
      </c>
      <c r="D1948" t="s">
        <v>2014</v>
      </c>
      <c r="E1948">
        <v>502.87</v>
      </c>
      <c r="F1948">
        <v>0</v>
      </c>
      <c r="G1948" t="s">
        <v>2018</v>
      </c>
      <c r="H1948" t="s">
        <v>2023</v>
      </c>
      <c r="I1948" t="s">
        <v>3974</v>
      </c>
      <c r="J1948" t="s">
        <v>4032</v>
      </c>
      <c r="K1948" t="s">
        <v>4041</v>
      </c>
      <c r="L1948">
        <v>-502.87</v>
      </c>
      <c r="N1948">
        <f t="shared" si="90"/>
        <v>-502.87</v>
      </c>
      <c r="O1948" t="s">
        <v>4104</v>
      </c>
      <c r="P1948" t="str">
        <f t="shared" si="91"/>
        <v xml:space="preserve"> </v>
      </c>
      <c r="Q1948" t="str">
        <f t="shared" si="92"/>
        <v>Unfavorable</v>
      </c>
    </row>
    <row r="1949" spans="1:17">
      <c r="A1949" t="s">
        <v>1959</v>
      </c>
      <c r="B1949" s="2">
        <v>45161</v>
      </c>
      <c r="C1949">
        <v>6000</v>
      </c>
      <c r="D1949" t="s">
        <v>2014</v>
      </c>
      <c r="E1949">
        <v>845.04</v>
      </c>
      <c r="F1949">
        <v>0</v>
      </c>
      <c r="G1949" t="s">
        <v>2020</v>
      </c>
      <c r="H1949" t="s">
        <v>2024</v>
      </c>
      <c r="I1949" t="s">
        <v>3975</v>
      </c>
      <c r="J1949" t="s">
        <v>4029</v>
      </c>
      <c r="K1949" t="s">
        <v>4037</v>
      </c>
      <c r="L1949">
        <v>-845.04</v>
      </c>
      <c r="N1949">
        <f t="shared" si="90"/>
        <v>-845.04</v>
      </c>
      <c r="O1949" t="s">
        <v>4104</v>
      </c>
      <c r="P1949" t="str">
        <f t="shared" si="91"/>
        <v xml:space="preserve"> </v>
      </c>
      <c r="Q1949" t="str">
        <f t="shared" si="92"/>
        <v>Unfavorable</v>
      </c>
    </row>
    <row r="1950" spans="1:17">
      <c r="A1950" t="s">
        <v>1960</v>
      </c>
      <c r="B1950" s="2">
        <v>45657</v>
      </c>
      <c r="C1950">
        <v>4010</v>
      </c>
      <c r="D1950" t="s">
        <v>2016</v>
      </c>
      <c r="E1950">
        <v>0</v>
      </c>
      <c r="F1950">
        <v>2650.78</v>
      </c>
      <c r="G1950" t="s">
        <v>2021</v>
      </c>
      <c r="H1950" t="s">
        <v>2025</v>
      </c>
      <c r="I1950" t="s">
        <v>3976</v>
      </c>
      <c r="J1950" t="s">
        <v>4030</v>
      </c>
      <c r="K1950" t="s">
        <v>4056</v>
      </c>
      <c r="L1950">
        <v>2650.78</v>
      </c>
      <c r="N1950">
        <f t="shared" si="90"/>
        <v>2650.78</v>
      </c>
      <c r="O1950" t="s">
        <v>4104</v>
      </c>
      <c r="P1950" t="str">
        <f t="shared" si="91"/>
        <v xml:space="preserve"> </v>
      </c>
      <c r="Q1950" t="str">
        <f t="shared" si="92"/>
        <v>Favorable</v>
      </c>
    </row>
    <row r="1951" spans="1:17">
      <c r="A1951" t="s">
        <v>1961</v>
      </c>
      <c r="B1951" s="2">
        <v>45663</v>
      </c>
      <c r="C1951">
        <v>4000</v>
      </c>
      <c r="D1951" t="s">
        <v>2012</v>
      </c>
      <c r="E1951">
        <v>0</v>
      </c>
      <c r="F1951">
        <v>3701</v>
      </c>
      <c r="G1951" t="s">
        <v>2018</v>
      </c>
      <c r="H1951" t="s">
        <v>2027</v>
      </c>
      <c r="I1951" t="s">
        <v>3977</v>
      </c>
      <c r="J1951" t="s">
        <v>4030</v>
      </c>
      <c r="K1951" t="s">
        <v>4035</v>
      </c>
      <c r="L1951">
        <v>3701</v>
      </c>
      <c r="N1951">
        <f t="shared" si="90"/>
        <v>3701</v>
      </c>
      <c r="O1951" t="s">
        <v>4104</v>
      </c>
      <c r="P1951" t="str">
        <f t="shared" si="91"/>
        <v xml:space="preserve"> </v>
      </c>
      <c r="Q1951" t="str">
        <f t="shared" si="92"/>
        <v>Favorable</v>
      </c>
    </row>
    <row r="1952" spans="1:17">
      <c r="A1952" t="s">
        <v>1962</v>
      </c>
      <c r="B1952" s="2">
        <v>45525</v>
      </c>
      <c r="C1952">
        <v>6000</v>
      </c>
      <c r="D1952" t="s">
        <v>2014</v>
      </c>
      <c r="E1952">
        <v>866.51</v>
      </c>
      <c r="F1952">
        <v>0</v>
      </c>
      <c r="G1952" t="s">
        <v>2019</v>
      </c>
      <c r="H1952" t="s">
        <v>2026</v>
      </c>
      <c r="I1952" t="s">
        <v>3978</v>
      </c>
      <c r="J1952" t="s">
        <v>4032</v>
      </c>
      <c r="K1952" t="s">
        <v>4058</v>
      </c>
      <c r="L1952">
        <v>-866.51</v>
      </c>
      <c r="N1952">
        <f t="shared" si="90"/>
        <v>-866.51</v>
      </c>
      <c r="O1952" t="s">
        <v>4104</v>
      </c>
      <c r="P1952" t="str">
        <f t="shared" si="91"/>
        <v xml:space="preserve"> </v>
      </c>
      <c r="Q1952" t="str">
        <f t="shared" si="92"/>
        <v>Unfavorable</v>
      </c>
    </row>
    <row r="1953" spans="1:17">
      <c r="A1953" t="s">
        <v>1963</v>
      </c>
      <c r="B1953" s="2">
        <v>45387</v>
      </c>
      <c r="C1953">
        <v>5000</v>
      </c>
      <c r="D1953" t="s">
        <v>2013</v>
      </c>
      <c r="E1953">
        <v>1517.29</v>
      </c>
      <c r="F1953">
        <v>0</v>
      </c>
      <c r="G1953" t="s">
        <v>2019</v>
      </c>
      <c r="H1953" t="s">
        <v>2027</v>
      </c>
      <c r="I1953" t="s">
        <v>3979</v>
      </c>
      <c r="J1953" t="s">
        <v>4029</v>
      </c>
      <c r="K1953" t="s">
        <v>4040</v>
      </c>
      <c r="L1953">
        <v>-1517.29</v>
      </c>
      <c r="N1953">
        <f t="shared" si="90"/>
        <v>-1517.29</v>
      </c>
      <c r="O1953" t="s">
        <v>4104</v>
      </c>
      <c r="P1953" t="str">
        <f t="shared" si="91"/>
        <v xml:space="preserve"> </v>
      </c>
      <c r="Q1953" t="str">
        <f t="shared" si="92"/>
        <v>Unfavorable</v>
      </c>
    </row>
    <row r="1954" spans="1:17">
      <c r="A1954" t="s">
        <v>1964</v>
      </c>
      <c r="B1954" s="2">
        <v>45662</v>
      </c>
      <c r="C1954">
        <v>5000</v>
      </c>
      <c r="D1954" t="s">
        <v>2013</v>
      </c>
      <c r="E1954">
        <v>58.18</v>
      </c>
      <c r="F1954">
        <v>0</v>
      </c>
      <c r="G1954" t="s">
        <v>2017</v>
      </c>
      <c r="H1954" t="s">
        <v>2026</v>
      </c>
      <c r="I1954" t="s">
        <v>3980</v>
      </c>
      <c r="J1954" t="s">
        <v>4029</v>
      </c>
      <c r="K1954" t="s">
        <v>4035</v>
      </c>
      <c r="L1954">
        <v>-58.18</v>
      </c>
      <c r="N1954">
        <f t="shared" si="90"/>
        <v>-58.18</v>
      </c>
      <c r="O1954" t="s">
        <v>4104</v>
      </c>
      <c r="P1954" t="str">
        <f t="shared" si="91"/>
        <v xml:space="preserve"> </v>
      </c>
      <c r="Q1954" t="str">
        <f t="shared" si="92"/>
        <v>Unfavorable</v>
      </c>
    </row>
    <row r="1955" spans="1:17">
      <c r="A1955" t="s">
        <v>1965</v>
      </c>
      <c r="B1955" s="2">
        <v>45649</v>
      </c>
      <c r="C1955">
        <v>4000</v>
      </c>
      <c r="D1955" t="s">
        <v>2012</v>
      </c>
      <c r="E1955">
        <v>0</v>
      </c>
      <c r="F1955">
        <v>944.88</v>
      </c>
      <c r="G1955" t="s">
        <v>2020</v>
      </c>
      <c r="H1955" t="s">
        <v>2024</v>
      </c>
      <c r="I1955" t="s">
        <v>3981</v>
      </c>
      <c r="J1955" t="s">
        <v>4030</v>
      </c>
      <c r="K1955" t="s">
        <v>4056</v>
      </c>
      <c r="L1955">
        <v>944.88</v>
      </c>
      <c r="N1955">
        <f t="shared" si="90"/>
        <v>944.88</v>
      </c>
      <c r="O1955" t="s">
        <v>4104</v>
      </c>
      <c r="P1955" t="str">
        <f t="shared" si="91"/>
        <v xml:space="preserve"> </v>
      </c>
      <c r="Q1955" t="str">
        <f t="shared" si="92"/>
        <v>Favorable</v>
      </c>
    </row>
    <row r="1956" spans="1:17">
      <c r="A1956" t="s">
        <v>1966</v>
      </c>
      <c r="B1956" s="2">
        <v>45671</v>
      </c>
      <c r="C1956">
        <v>6000</v>
      </c>
      <c r="D1956" t="s">
        <v>2014</v>
      </c>
      <c r="E1956">
        <v>394.98</v>
      </c>
      <c r="F1956">
        <v>0</v>
      </c>
      <c r="G1956" t="s">
        <v>2018</v>
      </c>
      <c r="H1956" t="s">
        <v>2024</v>
      </c>
      <c r="I1956" t="s">
        <v>3982</v>
      </c>
      <c r="J1956" t="s">
        <v>4032</v>
      </c>
      <c r="K1956" t="s">
        <v>4035</v>
      </c>
      <c r="L1956">
        <v>-394.98</v>
      </c>
      <c r="N1956">
        <f t="shared" si="90"/>
        <v>-394.98</v>
      </c>
      <c r="O1956" t="s">
        <v>4104</v>
      </c>
      <c r="P1956" t="str">
        <f t="shared" si="91"/>
        <v xml:space="preserve"> </v>
      </c>
      <c r="Q1956" t="str">
        <f t="shared" si="92"/>
        <v>Unfavorable</v>
      </c>
    </row>
    <row r="1957" spans="1:17">
      <c r="A1957" t="s">
        <v>1967</v>
      </c>
      <c r="B1957" s="2">
        <v>45082</v>
      </c>
      <c r="C1957">
        <v>5000</v>
      </c>
      <c r="D1957" t="s">
        <v>2013</v>
      </c>
      <c r="E1957">
        <v>1322.13</v>
      </c>
      <c r="F1957">
        <v>0</v>
      </c>
      <c r="G1957" t="s">
        <v>2019</v>
      </c>
      <c r="H1957" t="s">
        <v>2026</v>
      </c>
      <c r="I1957" t="s">
        <v>3983</v>
      </c>
      <c r="J1957" t="s">
        <v>4032</v>
      </c>
      <c r="K1957" t="s">
        <v>4055</v>
      </c>
      <c r="L1957">
        <v>-1322.13</v>
      </c>
      <c r="N1957">
        <f t="shared" si="90"/>
        <v>-1322.13</v>
      </c>
      <c r="O1957" t="s">
        <v>4104</v>
      </c>
      <c r="P1957" t="str">
        <f t="shared" si="91"/>
        <v xml:space="preserve"> </v>
      </c>
      <c r="Q1957" t="str">
        <f t="shared" si="92"/>
        <v>Unfavorable</v>
      </c>
    </row>
    <row r="1958" spans="1:17">
      <c r="A1958" t="s">
        <v>1968</v>
      </c>
      <c r="B1958" s="2">
        <v>45447</v>
      </c>
      <c r="C1958">
        <v>5010</v>
      </c>
      <c r="D1958" t="s">
        <v>2015</v>
      </c>
      <c r="E1958">
        <v>780.7</v>
      </c>
      <c r="F1958">
        <v>0</v>
      </c>
      <c r="G1958" t="s">
        <v>2019</v>
      </c>
      <c r="H1958" t="s">
        <v>2024</v>
      </c>
      <c r="I1958" t="s">
        <v>3984</v>
      </c>
      <c r="J1958" t="s">
        <v>4031</v>
      </c>
      <c r="K1958" t="s">
        <v>4034</v>
      </c>
      <c r="L1958">
        <v>-780.7</v>
      </c>
      <c r="N1958">
        <f t="shared" si="90"/>
        <v>-780.7</v>
      </c>
      <c r="O1958" t="s">
        <v>4104</v>
      </c>
      <c r="P1958" t="str">
        <f t="shared" si="91"/>
        <v xml:space="preserve"> </v>
      </c>
      <c r="Q1958" t="str">
        <f t="shared" si="92"/>
        <v>Unfavorable</v>
      </c>
    </row>
    <row r="1959" spans="1:17">
      <c r="A1959" t="s">
        <v>1969</v>
      </c>
      <c r="B1959" s="2">
        <v>45695</v>
      </c>
      <c r="C1959">
        <v>5000</v>
      </c>
      <c r="D1959" t="s">
        <v>2013</v>
      </c>
      <c r="E1959">
        <v>1051.1600000000001</v>
      </c>
      <c r="F1959">
        <v>0</v>
      </c>
      <c r="G1959" t="s">
        <v>2017</v>
      </c>
      <c r="H1959" t="s">
        <v>2024</v>
      </c>
      <c r="I1959" t="s">
        <v>3985</v>
      </c>
      <c r="J1959" t="s">
        <v>4028</v>
      </c>
      <c r="K1959" t="s">
        <v>4061</v>
      </c>
      <c r="L1959">
        <v>-1051.1600000000001</v>
      </c>
      <c r="N1959">
        <f t="shared" si="90"/>
        <v>-1051.1600000000001</v>
      </c>
      <c r="O1959" t="s">
        <v>4104</v>
      </c>
      <c r="P1959" t="str">
        <f t="shared" si="91"/>
        <v xml:space="preserve"> </v>
      </c>
      <c r="Q1959" t="str">
        <f t="shared" si="92"/>
        <v>Unfavorable</v>
      </c>
    </row>
    <row r="1960" spans="1:17">
      <c r="A1960" t="s">
        <v>1970</v>
      </c>
      <c r="B1960" s="2">
        <v>45243</v>
      </c>
      <c r="C1960">
        <v>4010</v>
      </c>
      <c r="D1960" t="s">
        <v>2016</v>
      </c>
      <c r="E1960">
        <v>0</v>
      </c>
      <c r="F1960">
        <v>3466.47</v>
      </c>
      <c r="G1960" t="s">
        <v>2021</v>
      </c>
      <c r="H1960" t="s">
        <v>2025</v>
      </c>
      <c r="I1960" t="s">
        <v>3986</v>
      </c>
      <c r="J1960" t="s">
        <v>4030</v>
      </c>
      <c r="K1960" t="s">
        <v>4042</v>
      </c>
      <c r="L1960">
        <v>3466.47</v>
      </c>
      <c r="N1960">
        <f t="shared" si="90"/>
        <v>3466.47</v>
      </c>
      <c r="O1960" t="s">
        <v>4104</v>
      </c>
      <c r="P1960" t="str">
        <f t="shared" si="91"/>
        <v xml:space="preserve"> </v>
      </c>
      <c r="Q1960" t="str">
        <f t="shared" si="92"/>
        <v>Favorable</v>
      </c>
    </row>
    <row r="1961" spans="1:17">
      <c r="A1961" t="s">
        <v>1971</v>
      </c>
      <c r="B1961" s="2">
        <v>45306</v>
      </c>
      <c r="C1961">
        <v>4000</v>
      </c>
      <c r="D1961" t="s">
        <v>2012</v>
      </c>
      <c r="E1961">
        <v>0</v>
      </c>
      <c r="F1961">
        <v>2900.85</v>
      </c>
      <c r="G1961" t="s">
        <v>2020</v>
      </c>
      <c r="H1961" t="s">
        <v>2026</v>
      </c>
      <c r="I1961" t="s">
        <v>3987</v>
      </c>
      <c r="J1961" t="s">
        <v>4032</v>
      </c>
      <c r="K1961" t="s">
        <v>4053</v>
      </c>
      <c r="L1961">
        <v>2900.85</v>
      </c>
      <c r="N1961">
        <f t="shared" si="90"/>
        <v>2900.85</v>
      </c>
      <c r="O1961" t="s">
        <v>4104</v>
      </c>
      <c r="P1961" t="str">
        <f t="shared" si="91"/>
        <v xml:space="preserve"> </v>
      </c>
      <c r="Q1961" t="str">
        <f t="shared" si="92"/>
        <v>Favorable</v>
      </c>
    </row>
    <row r="1962" spans="1:17">
      <c r="A1962" t="s">
        <v>1972</v>
      </c>
      <c r="B1962" s="2">
        <v>45641</v>
      </c>
      <c r="C1962">
        <v>5010</v>
      </c>
      <c r="D1962" t="s">
        <v>2015</v>
      </c>
      <c r="E1962">
        <v>852.05</v>
      </c>
      <c r="F1962">
        <v>0</v>
      </c>
      <c r="G1962" t="s">
        <v>2019</v>
      </c>
      <c r="H1962" t="s">
        <v>2024</v>
      </c>
      <c r="I1962" t="s">
        <v>3988</v>
      </c>
      <c r="J1962" t="s">
        <v>4032</v>
      </c>
      <c r="K1962" t="s">
        <v>4056</v>
      </c>
      <c r="L1962">
        <v>-852.05</v>
      </c>
      <c r="N1962">
        <f t="shared" si="90"/>
        <v>-852.05</v>
      </c>
      <c r="O1962" t="s">
        <v>4104</v>
      </c>
      <c r="P1962" t="str">
        <f t="shared" si="91"/>
        <v xml:space="preserve"> </v>
      </c>
      <c r="Q1962" t="str">
        <f t="shared" si="92"/>
        <v>Unfavorable</v>
      </c>
    </row>
    <row r="1963" spans="1:17">
      <c r="A1963" t="s">
        <v>1973</v>
      </c>
      <c r="B1963" s="2">
        <v>45050</v>
      </c>
      <c r="C1963">
        <v>6000</v>
      </c>
      <c r="D1963" t="s">
        <v>2014</v>
      </c>
      <c r="E1963">
        <v>1137.76</v>
      </c>
      <c r="F1963">
        <v>0</v>
      </c>
      <c r="G1963" t="s">
        <v>2018</v>
      </c>
      <c r="H1963" t="s">
        <v>2027</v>
      </c>
      <c r="I1963" t="s">
        <v>3989</v>
      </c>
      <c r="J1963" t="s">
        <v>4030</v>
      </c>
      <c r="K1963" t="s">
        <v>4062</v>
      </c>
      <c r="L1963">
        <v>-1137.76</v>
      </c>
      <c r="N1963">
        <f t="shared" si="90"/>
        <v>-1137.76</v>
      </c>
      <c r="O1963" t="s">
        <v>4104</v>
      </c>
      <c r="P1963" t="str">
        <f t="shared" si="91"/>
        <v xml:space="preserve"> </v>
      </c>
      <c r="Q1963" t="str">
        <f t="shared" si="92"/>
        <v>Unfavorable</v>
      </c>
    </row>
    <row r="1964" spans="1:17">
      <c r="A1964" t="s">
        <v>1974</v>
      </c>
      <c r="B1964" s="2">
        <v>45464</v>
      </c>
      <c r="C1964">
        <v>6000</v>
      </c>
      <c r="D1964" t="s">
        <v>2014</v>
      </c>
      <c r="E1964">
        <v>1927.94</v>
      </c>
      <c r="F1964">
        <v>0</v>
      </c>
      <c r="G1964" t="s">
        <v>2022</v>
      </c>
      <c r="H1964" t="s">
        <v>2027</v>
      </c>
      <c r="I1964" t="s">
        <v>3990</v>
      </c>
      <c r="J1964" t="s">
        <v>4032</v>
      </c>
      <c r="K1964" t="s">
        <v>4034</v>
      </c>
      <c r="L1964">
        <v>-1927.94</v>
      </c>
      <c r="N1964">
        <f t="shared" si="90"/>
        <v>-1927.94</v>
      </c>
      <c r="O1964" t="s">
        <v>4104</v>
      </c>
      <c r="P1964" t="str">
        <f t="shared" si="91"/>
        <v xml:space="preserve"> </v>
      </c>
      <c r="Q1964" t="str">
        <f t="shared" si="92"/>
        <v>Unfavorable</v>
      </c>
    </row>
    <row r="1965" spans="1:17">
      <c r="A1965" t="s">
        <v>1975</v>
      </c>
      <c r="B1965" s="2">
        <v>45713</v>
      </c>
      <c r="C1965">
        <v>4010</v>
      </c>
      <c r="D1965" t="s">
        <v>2016</v>
      </c>
      <c r="E1965">
        <v>0</v>
      </c>
      <c r="F1965">
        <v>2609.17</v>
      </c>
      <c r="G1965" t="s">
        <v>2018</v>
      </c>
      <c r="H1965" t="s">
        <v>2023</v>
      </c>
      <c r="I1965" t="s">
        <v>3991</v>
      </c>
      <c r="J1965" t="s">
        <v>4028</v>
      </c>
      <c r="K1965" t="s">
        <v>4061</v>
      </c>
      <c r="L1965">
        <v>2609.17</v>
      </c>
      <c r="N1965">
        <f t="shared" si="90"/>
        <v>2609.17</v>
      </c>
      <c r="O1965" t="s">
        <v>4104</v>
      </c>
      <c r="P1965" t="str">
        <f t="shared" si="91"/>
        <v xml:space="preserve"> </v>
      </c>
      <c r="Q1965" t="str">
        <f t="shared" si="92"/>
        <v>Favorable</v>
      </c>
    </row>
    <row r="1966" spans="1:17">
      <c r="A1966" t="s">
        <v>1976</v>
      </c>
      <c r="B1966" s="2">
        <v>45755</v>
      </c>
      <c r="C1966">
        <v>5000</v>
      </c>
      <c r="D1966" t="s">
        <v>2013</v>
      </c>
      <c r="E1966">
        <v>1813.3</v>
      </c>
      <c r="F1966">
        <v>0</v>
      </c>
      <c r="G1966" t="s">
        <v>2022</v>
      </c>
      <c r="H1966" t="s">
        <v>2025</v>
      </c>
      <c r="I1966" t="s">
        <v>3992</v>
      </c>
      <c r="J1966" t="s">
        <v>4030</v>
      </c>
      <c r="K1966" t="s">
        <v>4045</v>
      </c>
      <c r="L1966">
        <v>-1813.3</v>
      </c>
      <c r="N1966">
        <f t="shared" si="90"/>
        <v>-1813.3</v>
      </c>
      <c r="O1966" t="s">
        <v>4104</v>
      </c>
      <c r="P1966" t="str">
        <f t="shared" si="91"/>
        <v xml:space="preserve"> </v>
      </c>
      <c r="Q1966" t="str">
        <f t="shared" si="92"/>
        <v>Unfavorable</v>
      </c>
    </row>
    <row r="1967" spans="1:17">
      <c r="A1967" t="s">
        <v>1977</v>
      </c>
      <c r="B1967" s="2">
        <v>45166</v>
      </c>
      <c r="C1967">
        <v>4000</v>
      </c>
      <c r="D1967" t="s">
        <v>2012</v>
      </c>
      <c r="E1967">
        <v>0</v>
      </c>
      <c r="F1967">
        <v>2658.68</v>
      </c>
      <c r="G1967" t="s">
        <v>2022</v>
      </c>
      <c r="H1967" t="s">
        <v>2025</v>
      </c>
      <c r="I1967" t="s">
        <v>3993</v>
      </c>
      <c r="J1967" t="s">
        <v>4028</v>
      </c>
      <c r="K1967" t="s">
        <v>4037</v>
      </c>
      <c r="L1967">
        <v>2658.68</v>
      </c>
      <c r="N1967">
        <f t="shared" si="90"/>
        <v>2658.68</v>
      </c>
      <c r="O1967" t="s">
        <v>4104</v>
      </c>
      <c r="P1967" t="str">
        <f t="shared" si="91"/>
        <v xml:space="preserve"> </v>
      </c>
      <c r="Q1967" t="str">
        <f t="shared" si="92"/>
        <v>Favorable</v>
      </c>
    </row>
    <row r="1968" spans="1:17">
      <c r="A1968" t="s">
        <v>1978</v>
      </c>
      <c r="B1968" s="2">
        <v>45195</v>
      </c>
      <c r="C1968">
        <v>4010</v>
      </c>
      <c r="D1968" t="s">
        <v>2016</v>
      </c>
      <c r="E1968">
        <v>0</v>
      </c>
      <c r="F1968">
        <v>4776.24</v>
      </c>
      <c r="G1968" t="s">
        <v>2018</v>
      </c>
      <c r="H1968" t="s">
        <v>2025</v>
      </c>
      <c r="I1968" t="s">
        <v>3994</v>
      </c>
      <c r="J1968" t="s">
        <v>4030</v>
      </c>
      <c r="K1968" t="s">
        <v>4036</v>
      </c>
      <c r="L1968">
        <v>4776.24</v>
      </c>
      <c r="N1968">
        <f t="shared" si="90"/>
        <v>4776.24</v>
      </c>
      <c r="O1968" t="s">
        <v>4104</v>
      </c>
      <c r="P1968" t="str">
        <f t="shared" si="91"/>
        <v xml:space="preserve"> </v>
      </c>
      <c r="Q1968" t="str">
        <f t="shared" si="92"/>
        <v>Favorable</v>
      </c>
    </row>
    <row r="1969" spans="1:17">
      <c r="A1969" t="s">
        <v>1979</v>
      </c>
      <c r="B1969" s="2">
        <v>45548</v>
      </c>
      <c r="C1969">
        <v>5000</v>
      </c>
      <c r="D1969" t="s">
        <v>2013</v>
      </c>
      <c r="E1969">
        <v>839.33</v>
      </c>
      <c r="F1969">
        <v>0</v>
      </c>
      <c r="G1969" t="s">
        <v>2022</v>
      </c>
      <c r="H1969" t="s">
        <v>2027</v>
      </c>
      <c r="I1969" t="s">
        <v>3995</v>
      </c>
      <c r="J1969" t="s">
        <v>4031</v>
      </c>
      <c r="K1969" t="s">
        <v>4048</v>
      </c>
      <c r="L1969">
        <v>-839.33</v>
      </c>
      <c r="N1969">
        <f t="shared" si="90"/>
        <v>-839.33</v>
      </c>
      <c r="O1969" t="s">
        <v>4104</v>
      </c>
      <c r="P1969" t="str">
        <f t="shared" si="91"/>
        <v xml:space="preserve"> </v>
      </c>
      <c r="Q1969" t="str">
        <f t="shared" si="92"/>
        <v>Unfavorable</v>
      </c>
    </row>
    <row r="1970" spans="1:17">
      <c r="A1970" t="s">
        <v>1980</v>
      </c>
      <c r="B1970" s="2">
        <v>45218</v>
      </c>
      <c r="C1970">
        <v>6000</v>
      </c>
      <c r="D1970" t="s">
        <v>2014</v>
      </c>
      <c r="E1970">
        <v>961.76</v>
      </c>
      <c r="F1970">
        <v>0</v>
      </c>
      <c r="G1970" t="s">
        <v>2020</v>
      </c>
      <c r="H1970" t="s">
        <v>2025</v>
      </c>
      <c r="I1970" t="s">
        <v>3996</v>
      </c>
      <c r="J1970" t="s">
        <v>4030</v>
      </c>
      <c r="K1970" t="s">
        <v>4060</v>
      </c>
      <c r="L1970">
        <v>-961.76</v>
      </c>
      <c r="N1970">
        <f t="shared" si="90"/>
        <v>-961.76</v>
      </c>
      <c r="O1970" t="s">
        <v>4104</v>
      </c>
      <c r="P1970" t="str">
        <f t="shared" si="91"/>
        <v xml:space="preserve"> </v>
      </c>
      <c r="Q1970" t="str">
        <f t="shared" si="92"/>
        <v>Unfavorable</v>
      </c>
    </row>
    <row r="1971" spans="1:17">
      <c r="A1971" t="s">
        <v>1981</v>
      </c>
      <c r="B1971" s="2">
        <v>45770</v>
      </c>
      <c r="C1971">
        <v>4010</v>
      </c>
      <c r="D1971" t="s">
        <v>2016</v>
      </c>
      <c r="E1971">
        <v>0</v>
      </c>
      <c r="F1971">
        <v>1071.52</v>
      </c>
      <c r="G1971" t="s">
        <v>2019</v>
      </c>
      <c r="H1971" t="s">
        <v>2025</v>
      </c>
      <c r="I1971" t="s">
        <v>3997</v>
      </c>
      <c r="J1971" t="s">
        <v>4031</v>
      </c>
      <c r="K1971" t="s">
        <v>4045</v>
      </c>
      <c r="L1971">
        <v>1071.52</v>
      </c>
      <c r="N1971">
        <f t="shared" si="90"/>
        <v>1071.52</v>
      </c>
      <c r="O1971" t="s">
        <v>4104</v>
      </c>
      <c r="P1971" t="str">
        <f t="shared" si="91"/>
        <v xml:space="preserve"> </v>
      </c>
      <c r="Q1971" t="str">
        <f t="shared" si="92"/>
        <v>Favorable</v>
      </c>
    </row>
    <row r="1972" spans="1:17">
      <c r="A1972" t="s">
        <v>1982</v>
      </c>
      <c r="B1972" s="2">
        <v>45586</v>
      </c>
      <c r="C1972">
        <v>5000</v>
      </c>
      <c r="D1972" t="s">
        <v>2013</v>
      </c>
      <c r="E1972">
        <v>512.01</v>
      </c>
      <c r="F1972">
        <v>0</v>
      </c>
      <c r="G1972" t="s">
        <v>2019</v>
      </c>
      <c r="H1972" t="s">
        <v>2027</v>
      </c>
      <c r="I1972" t="s">
        <v>3998</v>
      </c>
      <c r="J1972" t="s">
        <v>4032</v>
      </c>
      <c r="K1972" t="s">
        <v>4059</v>
      </c>
      <c r="L1972">
        <v>-512.01</v>
      </c>
      <c r="N1972">
        <f t="shared" si="90"/>
        <v>-512.01</v>
      </c>
      <c r="O1972" t="s">
        <v>4104</v>
      </c>
      <c r="P1972" t="str">
        <f t="shared" si="91"/>
        <v xml:space="preserve"> </v>
      </c>
      <c r="Q1972" t="str">
        <f t="shared" si="92"/>
        <v>Unfavorable</v>
      </c>
    </row>
    <row r="1973" spans="1:17">
      <c r="A1973" t="s">
        <v>1983</v>
      </c>
      <c r="B1973" s="2">
        <v>45443</v>
      </c>
      <c r="C1973">
        <v>4010</v>
      </c>
      <c r="D1973" t="s">
        <v>2016</v>
      </c>
      <c r="E1973">
        <v>0</v>
      </c>
      <c r="F1973">
        <v>876.89</v>
      </c>
      <c r="G1973" t="s">
        <v>2019</v>
      </c>
      <c r="H1973" t="s">
        <v>2026</v>
      </c>
      <c r="I1973" t="s">
        <v>3999</v>
      </c>
      <c r="J1973" t="s">
        <v>4032</v>
      </c>
      <c r="K1973" t="s">
        <v>4033</v>
      </c>
      <c r="L1973">
        <v>876.89</v>
      </c>
      <c r="N1973">
        <f t="shared" si="90"/>
        <v>876.89</v>
      </c>
      <c r="O1973" t="s">
        <v>4104</v>
      </c>
      <c r="P1973" t="str">
        <f t="shared" si="91"/>
        <v xml:space="preserve"> </v>
      </c>
      <c r="Q1973" t="str">
        <f t="shared" si="92"/>
        <v>Favorable</v>
      </c>
    </row>
    <row r="1974" spans="1:17">
      <c r="A1974" t="s">
        <v>1984</v>
      </c>
      <c r="B1974" s="2">
        <v>45246</v>
      </c>
      <c r="C1974">
        <v>4010</v>
      </c>
      <c r="D1974" t="s">
        <v>2016</v>
      </c>
      <c r="E1974">
        <v>0</v>
      </c>
      <c r="F1974">
        <v>214.94</v>
      </c>
      <c r="G1974" t="s">
        <v>2022</v>
      </c>
      <c r="H1974" t="s">
        <v>2027</v>
      </c>
      <c r="I1974" t="s">
        <v>4000</v>
      </c>
      <c r="J1974" t="s">
        <v>4031</v>
      </c>
      <c r="K1974" t="s">
        <v>4042</v>
      </c>
      <c r="L1974">
        <v>214.94</v>
      </c>
      <c r="N1974">
        <f t="shared" si="90"/>
        <v>214.94</v>
      </c>
      <c r="O1974" t="s">
        <v>4104</v>
      </c>
      <c r="P1974" t="str">
        <f t="shared" si="91"/>
        <v xml:space="preserve"> </v>
      </c>
      <c r="Q1974" t="str">
        <f t="shared" si="92"/>
        <v>Favorable</v>
      </c>
    </row>
    <row r="1975" spans="1:17">
      <c r="A1975" t="s">
        <v>1985</v>
      </c>
      <c r="B1975" s="2">
        <v>45362</v>
      </c>
      <c r="C1975">
        <v>5010</v>
      </c>
      <c r="D1975" t="s">
        <v>2015</v>
      </c>
      <c r="E1975">
        <v>318.63</v>
      </c>
      <c r="F1975">
        <v>0</v>
      </c>
      <c r="G1975" t="s">
        <v>2022</v>
      </c>
      <c r="H1975" t="s">
        <v>2025</v>
      </c>
      <c r="I1975" t="s">
        <v>4001</v>
      </c>
      <c r="J1975" t="s">
        <v>4032</v>
      </c>
      <c r="K1975" t="s">
        <v>4049</v>
      </c>
      <c r="L1975">
        <v>-318.63</v>
      </c>
      <c r="N1975">
        <f t="shared" si="90"/>
        <v>-318.63</v>
      </c>
      <c r="O1975" t="s">
        <v>4104</v>
      </c>
      <c r="P1975" t="str">
        <f t="shared" si="91"/>
        <v xml:space="preserve"> </v>
      </c>
      <c r="Q1975" t="str">
        <f t="shared" si="92"/>
        <v>Unfavorable</v>
      </c>
    </row>
    <row r="1976" spans="1:17">
      <c r="A1976" t="s">
        <v>1986</v>
      </c>
      <c r="B1976" s="2">
        <v>45026</v>
      </c>
      <c r="C1976">
        <v>6000</v>
      </c>
      <c r="D1976" t="s">
        <v>2014</v>
      </c>
      <c r="E1976">
        <v>1505.25</v>
      </c>
      <c r="F1976">
        <v>0</v>
      </c>
      <c r="G1976" t="s">
        <v>2022</v>
      </c>
      <c r="H1976" t="s">
        <v>2026</v>
      </c>
      <c r="I1976" t="s">
        <v>4002</v>
      </c>
      <c r="J1976" t="s">
        <v>4031</v>
      </c>
      <c r="K1976" t="s">
        <v>4041</v>
      </c>
      <c r="L1976">
        <v>-1505.25</v>
      </c>
      <c r="N1976">
        <f t="shared" si="90"/>
        <v>-1505.25</v>
      </c>
      <c r="O1976" t="s">
        <v>4104</v>
      </c>
      <c r="P1976" t="str">
        <f t="shared" si="91"/>
        <v xml:space="preserve"> </v>
      </c>
      <c r="Q1976" t="str">
        <f t="shared" si="92"/>
        <v>Unfavorable</v>
      </c>
    </row>
    <row r="1977" spans="1:17">
      <c r="A1977" t="s">
        <v>1987</v>
      </c>
      <c r="B1977" s="2">
        <v>45484</v>
      </c>
      <c r="C1977">
        <v>5010</v>
      </c>
      <c r="D1977" t="s">
        <v>2015</v>
      </c>
      <c r="E1977">
        <v>1165.8499999999999</v>
      </c>
      <c r="F1977">
        <v>0</v>
      </c>
      <c r="G1977" t="s">
        <v>2018</v>
      </c>
      <c r="H1977" t="s">
        <v>2027</v>
      </c>
      <c r="I1977" t="s">
        <v>4003</v>
      </c>
      <c r="J1977" t="s">
        <v>4030</v>
      </c>
      <c r="K1977" t="s">
        <v>4054</v>
      </c>
      <c r="L1977">
        <v>-1165.8499999999999</v>
      </c>
      <c r="N1977">
        <f t="shared" si="90"/>
        <v>-1165.8499999999999</v>
      </c>
      <c r="O1977" t="s">
        <v>4104</v>
      </c>
      <c r="P1977" t="str">
        <f t="shared" si="91"/>
        <v xml:space="preserve"> </v>
      </c>
      <c r="Q1977" t="str">
        <f t="shared" si="92"/>
        <v>Unfavorable</v>
      </c>
    </row>
    <row r="1978" spans="1:17">
      <c r="A1978" t="s">
        <v>1988</v>
      </c>
      <c r="B1978" s="2">
        <v>45643</v>
      </c>
      <c r="C1978">
        <v>5000</v>
      </c>
      <c r="D1978" t="s">
        <v>2013</v>
      </c>
      <c r="E1978">
        <v>424.86</v>
      </c>
      <c r="F1978">
        <v>0</v>
      </c>
      <c r="G1978" t="s">
        <v>2021</v>
      </c>
      <c r="H1978" t="s">
        <v>2025</v>
      </c>
      <c r="I1978" t="s">
        <v>4004</v>
      </c>
      <c r="J1978" t="s">
        <v>4032</v>
      </c>
      <c r="K1978" t="s">
        <v>4056</v>
      </c>
      <c r="L1978">
        <v>-424.86</v>
      </c>
      <c r="N1978">
        <f t="shared" si="90"/>
        <v>-424.86</v>
      </c>
      <c r="O1978" t="s">
        <v>4104</v>
      </c>
      <c r="P1978" t="str">
        <f t="shared" si="91"/>
        <v xml:space="preserve"> </v>
      </c>
      <c r="Q1978" t="str">
        <f t="shared" si="92"/>
        <v>Unfavorable</v>
      </c>
    </row>
    <row r="1979" spans="1:17">
      <c r="A1979" t="s">
        <v>1989</v>
      </c>
      <c r="B1979" s="2">
        <v>45224</v>
      </c>
      <c r="C1979">
        <v>5000</v>
      </c>
      <c r="D1979" t="s">
        <v>2013</v>
      </c>
      <c r="E1979">
        <v>1626.39</v>
      </c>
      <c r="F1979">
        <v>0</v>
      </c>
      <c r="G1979" t="s">
        <v>2018</v>
      </c>
      <c r="H1979" t="s">
        <v>2026</v>
      </c>
      <c r="I1979" t="s">
        <v>4005</v>
      </c>
      <c r="J1979" t="s">
        <v>4029</v>
      </c>
      <c r="K1979" t="s">
        <v>4060</v>
      </c>
      <c r="L1979">
        <v>-1626.39</v>
      </c>
      <c r="N1979">
        <f t="shared" si="90"/>
        <v>-1626.39</v>
      </c>
      <c r="O1979" t="s">
        <v>4104</v>
      </c>
      <c r="P1979" t="str">
        <f t="shared" si="91"/>
        <v xml:space="preserve"> </v>
      </c>
      <c r="Q1979" t="str">
        <f t="shared" si="92"/>
        <v>Unfavorable</v>
      </c>
    </row>
    <row r="1980" spans="1:17">
      <c r="A1980" t="s">
        <v>1990</v>
      </c>
      <c r="B1980" s="2">
        <v>45408</v>
      </c>
      <c r="C1980">
        <v>6000</v>
      </c>
      <c r="D1980" t="s">
        <v>2014</v>
      </c>
      <c r="E1980">
        <v>559.39</v>
      </c>
      <c r="F1980">
        <v>0</v>
      </c>
      <c r="G1980" t="s">
        <v>2020</v>
      </c>
      <c r="H1980" t="s">
        <v>2027</v>
      </c>
      <c r="I1980" t="s">
        <v>4006</v>
      </c>
      <c r="J1980" t="s">
        <v>4031</v>
      </c>
      <c r="K1980" t="s">
        <v>4040</v>
      </c>
      <c r="L1980">
        <v>-559.39</v>
      </c>
      <c r="N1980">
        <f t="shared" si="90"/>
        <v>-559.39</v>
      </c>
      <c r="O1980" t="s">
        <v>4104</v>
      </c>
      <c r="P1980" t="str">
        <f t="shared" si="91"/>
        <v xml:space="preserve"> </v>
      </c>
      <c r="Q1980" t="str">
        <f t="shared" si="92"/>
        <v>Unfavorable</v>
      </c>
    </row>
    <row r="1981" spans="1:17">
      <c r="A1981" t="s">
        <v>1991</v>
      </c>
      <c r="B1981" s="2">
        <v>45421</v>
      </c>
      <c r="C1981">
        <v>5000</v>
      </c>
      <c r="D1981" t="s">
        <v>2013</v>
      </c>
      <c r="E1981">
        <v>1234.21</v>
      </c>
      <c r="F1981">
        <v>0</v>
      </c>
      <c r="G1981" t="s">
        <v>2021</v>
      </c>
      <c r="H1981" t="s">
        <v>2026</v>
      </c>
      <c r="I1981" t="s">
        <v>4007</v>
      </c>
      <c r="J1981" t="s">
        <v>4032</v>
      </c>
      <c r="K1981" t="s">
        <v>4033</v>
      </c>
      <c r="L1981">
        <v>-1234.21</v>
      </c>
      <c r="N1981">
        <f t="shared" si="90"/>
        <v>-1234.21</v>
      </c>
      <c r="O1981" t="s">
        <v>4104</v>
      </c>
      <c r="P1981" t="str">
        <f t="shared" si="91"/>
        <v xml:space="preserve"> </v>
      </c>
      <c r="Q1981" t="str">
        <f t="shared" si="92"/>
        <v>Unfavorable</v>
      </c>
    </row>
    <row r="1982" spans="1:17">
      <c r="A1982" t="s">
        <v>1992</v>
      </c>
      <c r="B1982" s="2">
        <v>45338</v>
      </c>
      <c r="C1982">
        <v>6000</v>
      </c>
      <c r="D1982" t="s">
        <v>2014</v>
      </c>
      <c r="E1982">
        <v>704.55</v>
      </c>
      <c r="F1982">
        <v>0</v>
      </c>
      <c r="G1982" t="s">
        <v>2020</v>
      </c>
      <c r="H1982" t="s">
        <v>2023</v>
      </c>
      <c r="I1982" t="s">
        <v>4008</v>
      </c>
      <c r="J1982" t="s">
        <v>4029</v>
      </c>
      <c r="K1982" t="s">
        <v>4044</v>
      </c>
      <c r="L1982">
        <v>-704.55</v>
      </c>
      <c r="N1982">
        <f t="shared" si="90"/>
        <v>-704.55</v>
      </c>
      <c r="O1982" t="s">
        <v>4104</v>
      </c>
      <c r="P1982" t="str">
        <f t="shared" si="91"/>
        <v xml:space="preserve"> </v>
      </c>
      <c r="Q1982" t="str">
        <f t="shared" si="92"/>
        <v>Unfavorable</v>
      </c>
    </row>
    <row r="1983" spans="1:17">
      <c r="A1983" t="s">
        <v>1993</v>
      </c>
      <c r="B1983" s="2">
        <v>44965</v>
      </c>
      <c r="C1983">
        <v>4010</v>
      </c>
      <c r="D1983" t="s">
        <v>2016</v>
      </c>
      <c r="E1983">
        <v>0</v>
      </c>
      <c r="F1983">
        <v>118.67</v>
      </c>
      <c r="G1983" t="s">
        <v>2017</v>
      </c>
      <c r="H1983" t="s">
        <v>2025</v>
      </c>
      <c r="I1983" t="s">
        <v>4009</v>
      </c>
      <c r="J1983" t="s">
        <v>4032</v>
      </c>
      <c r="K1983" t="s">
        <v>4057</v>
      </c>
      <c r="L1983">
        <v>118.67</v>
      </c>
      <c r="N1983">
        <f t="shared" si="90"/>
        <v>118.67</v>
      </c>
      <c r="O1983" t="s">
        <v>4104</v>
      </c>
      <c r="P1983" t="str">
        <f t="shared" si="91"/>
        <v xml:space="preserve"> </v>
      </c>
      <c r="Q1983" t="str">
        <f t="shared" si="92"/>
        <v>Favorable</v>
      </c>
    </row>
    <row r="1984" spans="1:17">
      <c r="A1984" t="s">
        <v>1994</v>
      </c>
      <c r="B1984" s="2">
        <v>45097</v>
      </c>
      <c r="C1984">
        <v>4000</v>
      </c>
      <c r="D1984" t="s">
        <v>2012</v>
      </c>
      <c r="E1984">
        <v>0</v>
      </c>
      <c r="F1984">
        <v>1819.43</v>
      </c>
      <c r="G1984" t="s">
        <v>2017</v>
      </c>
      <c r="H1984" t="s">
        <v>2023</v>
      </c>
      <c r="I1984" t="s">
        <v>4010</v>
      </c>
      <c r="J1984" t="s">
        <v>4029</v>
      </c>
      <c r="K1984" t="s">
        <v>4055</v>
      </c>
      <c r="L1984">
        <v>1819.43</v>
      </c>
      <c r="N1984">
        <f t="shared" si="90"/>
        <v>1819.43</v>
      </c>
      <c r="O1984" t="s">
        <v>4104</v>
      </c>
      <c r="P1984" t="str">
        <f t="shared" si="91"/>
        <v xml:space="preserve"> </v>
      </c>
      <c r="Q1984" t="str">
        <f t="shared" si="92"/>
        <v>Favorable</v>
      </c>
    </row>
    <row r="1985" spans="1:17">
      <c r="A1985" t="s">
        <v>1995</v>
      </c>
      <c r="B1985" s="2">
        <v>45180</v>
      </c>
      <c r="C1985">
        <v>5010</v>
      </c>
      <c r="D1985" t="s">
        <v>2015</v>
      </c>
      <c r="E1985">
        <v>1104.31</v>
      </c>
      <c r="F1985">
        <v>0</v>
      </c>
      <c r="G1985" t="s">
        <v>2020</v>
      </c>
      <c r="H1985" t="s">
        <v>2023</v>
      </c>
      <c r="I1985" t="s">
        <v>4011</v>
      </c>
      <c r="J1985" t="s">
        <v>4030</v>
      </c>
      <c r="K1985" t="s">
        <v>4036</v>
      </c>
      <c r="L1985">
        <v>-1104.31</v>
      </c>
      <c r="N1985">
        <f t="shared" si="90"/>
        <v>-1104.31</v>
      </c>
      <c r="O1985" t="s">
        <v>4104</v>
      </c>
      <c r="P1985" t="str">
        <f t="shared" si="91"/>
        <v xml:space="preserve"> </v>
      </c>
      <c r="Q1985" t="str">
        <f t="shared" si="92"/>
        <v>Unfavorable</v>
      </c>
    </row>
    <row r="1986" spans="1:17">
      <c r="A1986" t="s">
        <v>1996</v>
      </c>
      <c r="B1986" s="2">
        <v>44946</v>
      </c>
      <c r="C1986">
        <v>5000</v>
      </c>
      <c r="D1986" t="s">
        <v>2013</v>
      </c>
      <c r="E1986">
        <v>698.67</v>
      </c>
      <c r="F1986">
        <v>0</v>
      </c>
      <c r="G1986" t="s">
        <v>2022</v>
      </c>
      <c r="H1986" t="s">
        <v>2025</v>
      </c>
      <c r="I1986" t="s">
        <v>4012</v>
      </c>
      <c r="J1986" t="s">
        <v>4030</v>
      </c>
      <c r="K1986" t="s">
        <v>4047</v>
      </c>
      <c r="L1986">
        <v>-698.67</v>
      </c>
      <c r="N1986">
        <f t="shared" si="90"/>
        <v>-698.67</v>
      </c>
      <c r="O1986" t="s">
        <v>4104</v>
      </c>
      <c r="P1986" t="str">
        <f t="shared" si="91"/>
        <v xml:space="preserve"> </v>
      </c>
      <c r="Q1986" t="str">
        <f t="shared" si="92"/>
        <v>Unfavorable</v>
      </c>
    </row>
    <row r="1987" spans="1:17">
      <c r="A1987" t="s">
        <v>1997</v>
      </c>
      <c r="B1987" s="2">
        <v>45581</v>
      </c>
      <c r="C1987">
        <v>4000</v>
      </c>
      <c r="D1987" t="s">
        <v>2012</v>
      </c>
      <c r="E1987">
        <v>0</v>
      </c>
      <c r="F1987">
        <v>3256.52</v>
      </c>
      <c r="G1987" t="s">
        <v>2020</v>
      </c>
      <c r="H1987" t="s">
        <v>2026</v>
      </c>
      <c r="I1987" t="s">
        <v>4013</v>
      </c>
      <c r="J1987" t="s">
        <v>4029</v>
      </c>
      <c r="K1987" t="s">
        <v>4059</v>
      </c>
      <c r="L1987">
        <v>3256.52</v>
      </c>
      <c r="N1987">
        <f t="shared" ref="N1987:N2000" si="93">L:L-M:M</f>
        <v>3256.52</v>
      </c>
      <c r="O1987" t="s">
        <v>4104</v>
      </c>
      <c r="P1987" t="str">
        <f t="shared" ref="P1987:P2001" si="94">IF(AND(ABS(N:N)&gt;10000,M:M&lt;&gt;0),"Material", " ")</f>
        <v xml:space="preserve"> </v>
      </c>
      <c r="Q1987" t="str">
        <f t="shared" ref="Q1987:Q1997" si="95">IF(N:N&gt;0,"Favorable","Unfavorable")</f>
        <v>Favorable</v>
      </c>
    </row>
    <row r="1988" spans="1:17">
      <c r="A1988" t="s">
        <v>1998</v>
      </c>
      <c r="B1988" s="2">
        <v>45230</v>
      </c>
      <c r="C1988">
        <v>6000</v>
      </c>
      <c r="D1988" t="s">
        <v>2014</v>
      </c>
      <c r="E1988">
        <v>415.73</v>
      </c>
      <c r="F1988">
        <v>0</v>
      </c>
      <c r="G1988" t="s">
        <v>2020</v>
      </c>
      <c r="H1988" t="s">
        <v>2023</v>
      </c>
      <c r="I1988" t="s">
        <v>4014</v>
      </c>
      <c r="J1988" t="s">
        <v>4031</v>
      </c>
      <c r="K1988" t="s">
        <v>4060</v>
      </c>
      <c r="L1988">
        <v>-415.73</v>
      </c>
      <c r="N1988">
        <f t="shared" si="93"/>
        <v>-415.73</v>
      </c>
      <c r="O1988" t="s">
        <v>4104</v>
      </c>
      <c r="P1988" t="str">
        <f t="shared" si="94"/>
        <v xml:space="preserve"> </v>
      </c>
      <c r="Q1988" t="str">
        <f t="shared" si="95"/>
        <v>Unfavorable</v>
      </c>
    </row>
    <row r="1989" spans="1:17">
      <c r="A1989" t="s">
        <v>1999</v>
      </c>
      <c r="B1989" s="2">
        <v>45747</v>
      </c>
      <c r="C1989">
        <v>5000</v>
      </c>
      <c r="D1989" t="s">
        <v>2013</v>
      </c>
      <c r="E1989">
        <v>798.68</v>
      </c>
      <c r="F1989">
        <v>0</v>
      </c>
      <c r="G1989" t="s">
        <v>2020</v>
      </c>
      <c r="H1989" t="s">
        <v>2023</v>
      </c>
      <c r="I1989" t="s">
        <v>4015</v>
      </c>
      <c r="J1989" t="s">
        <v>4032</v>
      </c>
      <c r="K1989" t="s">
        <v>4046</v>
      </c>
      <c r="L1989">
        <v>-798.68</v>
      </c>
      <c r="N1989">
        <f t="shared" si="93"/>
        <v>-798.68</v>
      </c>
      <c r="O1989" t="s">
        <v>4104</v>
      </c>
      <c r="P1989" t="str">
        <f t="shared" si="94"/>
        <v xml:space="preserve"> </v>
      </c>
      <c r="Q1989" t="str">
        <f t="shared" si="95"/>
        <v>Unfavorable</v>
      </c>
    </row>
    <row r="1990" spans="1:17">
      <c r="A1990" t="s">
        <v>2000</v>
      </c>
      <c r="B1990" s="2">
        <v>45008</v>
      </c>
      <c r="C1990">
        <v>5010</v>
      </c>
      <c r="D1990" t="s">
        <v>2015</v>
      </c>
      <c r="E1990">
        <v>829.83</v>
      </c>
      <c r="F1990">
        <v>0</v>
      </c>
      <c r="G1990" t="s">
        <v>2018</v>
      </c>
      <c r="H1990" t="s">
        <v>2024</v>
      </c>
      <c r="I1990" t="s">
        <v>4016</v>
      </c>
      <c r="J1990" t="s">
        <v>4030</v>
      </c>
      <c r="K1990" t="s">
        <v>4051</v>
      </c>
      <c r="L1990">
        <v>-829.83</v>
      </c>
      <c r="N1990">
        <f t="shared" si="93"/>
        <v>-829.83</v>
      </c>
      <c r="O1990" t="s">
        <v>4104</v>
      </c>
      <c r="P1990" t="str">
        <f t="shared" si="94"/>
        <v xml:space="preserve"> </v>
      </c>
      <c r="Q1990" t="str">
        <f t="shared" si="95"/>
        <v>Unfavorable</v>
      </c>
    </row>
    <row r="1991" spans="1:17">
      <c r="A1991" t="s">
        <v>2001</v>
      </c>
      <c r="B1991" s="2">
        <v>45591</v>
      </c>
      <c r="C1991">
        <v>5010</v>
      </c>
      <c r="D1991" t="s">
        <v>2015</v>
      </c>
      <c r="E1991">
        <v>247.03</v>
      </c>
      <c r="F1991">
        <v>0</v>
      </c>
      <c r="G1991" t="s">
        <v>2020</v>
      </c>
      <c r="H1991" t="s">
        <v>2026</v>
      </c>
      <c r="I1991" t="s">
        <v>4017</v>
      </c>
      <c r="J1991" t="s">
        <v>4031</v>
      </c>
      <c r="K1991" t="s">
        <v>4059</v>
      </c>
      <c r="L1991">
        <v>-247.03</v>
      </c>
      <c r="N1991">
        <f t="shared" si="93"/>
        <v>-247.03</v>
      </c>
      <c r="O1991" t="s">
        <v>4104</v>
      </c>
      <c r="P1991" t="str">
        <f t="shared" si="94"/>
        <v xml:space="preserve"> </v>
      </c>
      <c r="Q1991" t="str">
        <f t="shared" si="95"/>
        <v>Unfavorable</v>
      </c>
    </row>
    <row r="1992" spans="1:17">
      <c r="A1992" t="s">
        <v>2002</v>
      </c>
      <c r="B1992" s="2">
        <v>45188</v>
      </c>
      <c r="C1992">
        <v>5000</v>
      </c>
      <c r="D1992" t="s">
        <v>2013</v>
      </c>
      <c r="E1992">
        <v>688.11</v>
      </c>
      <c r="F1992">
        <v>0</v>
      </c>
      <c r="G1992" t="s">
        <v>2018</v>
      </c>
      <c r="H1992" t="s">
        <v>2026</v>
      </c>
      <c r="I1992" t="s">
        <v>4018</v>
      </c>
      <c r="J1992" t="s">
        <v>4031</v>
      </c>
      <c r="K1992" t="s">
        <v>4036</v>
      </c>
      <c r="L1992">
        <v>-688.11</v>
      </c>
      <c r="N1992">
        <f t="shared" si="93"/>
        <v>-688.11</v>
      </c>
      <c r="O1992" t="s">
        <v>4104</v>
      </c>
      <c r="P1992" t="str">
        <f t="shared" si="94"/>
        <v xml:space="preserve"> </v>
      </c>
      <c r="Q1992" t="str">
        <f t="shared" si="95"/>
        <v>Unfavorable</v>
      </c>
    </row>
    <row r="1993" spans="1:17">
      <c r="A1993" t="s">
        <v>2003</v>
      </c>
      <c r="B1993" s="2">
        <v>45530</v>
      </c>
      <c r="C1993">
        <v>6000</v>
      </c>
      <c r="D1993" t="s">
        <v>2014</v>
      </c>
      <c r="E1993">
        <v>1196.93</v>
      </c>
      <c r="F1993">
        <v>0</v>
      </c>
      <c r="G1993" t="s">
        <v>2020</v>
      </c>
      <c r="H1993" t="s">
        <v>2024</v>
      </c>
      <c r="I1993" t="s">
        <v>4019</v>
      </c>
      <c r="J1993" t="s">
        <v>4031</v>
      </c>
      <c r="K1993" t="s">
        <v>4058</v>
      </c>
      <c r="L1993">
        <v>-1196.93</v>
      </c>
      <c r="N1993">
        <f t="shared" si="93"/>
        <v>-1196.93</v>
      </c>
      <c r="O1993" t="s">
        <v>4104</v>
      </c>
      <c r="P1993" t="str">
        <f t="shared" si="94"/>
        <v xml:space="preserve"> </v>
      </c>
      <c r="Q1993" t="str">
        <f t="shared" si="95"/>
        <v>Unfavorable</v>
      </c>
    </row>
    <row r="1994" spans="1:17">
      <c r="A1994" t="s">
        <v>2004</v>
      </c>
      <c r="B1994" s="2">
        <v>45452</v>
      </c>
      <c r="C1994">
        <v>4010</v>
      </c>
      <c r="D1994" t="s">
        <v>2016</v>
      </c>
      <c r="E1994">
        <v>0</v>
      </c>
      <c r="F1994">
        <v>2003.64</v>
      </c>
      <c r="G1994" t="s">
        <v>2021</v>
      </c>
      <c r="H1994" t="s">
        <v>2023</v>
      </c>
      <c r="I1994" t="s">
        <v>4020</v>
      </c>
      <c r="J1994" t="s">
        <v>4032</v>
      </c>
      <c r="K1994" t="s">
        <v>4034</v>
      </c>
      <c r="L1994">
        <v>2003.64</v>
      </c>
      <c r="N1994">
        <f t="shared" si="93"/>
        <v>2003.64</v>
      </c>
      <c r="O1994" t="s">
        <v>4104</v>
      </c>
      <c r="P1994" t="str">
        <f t="shared" si="94"/>
        <v xml:space="preserve"> </v>
      </c>
      <c r="Q1994" t="str">
        <f t="shared" si="95"/>
        <v>Favorable</v>
      </c>
    </row>
    <row r="1995" spans="1:17">
      <c r="A1995" t="s">
        <v>2005</v>
      </c>
      <c r="B1995" s="2">
        <v>45615</v>
      </c>
      <c r="C1995">
        <v>4000</v>
      </c>
      <c r="D1995" t="s">
        <v>2012</v>
      </c>
      <c r="E1995">
        <v>0</v>
      </c>
      <c r="F1995">
        <v>1233.1300000000001</v>
      </c>
      <c r="G1995" t="s">
        <v>2017</v>
      </c>
      <c r="H1995" t="s">
        <v>2026</v>
      </c>
      <c r="I1995" t="s">
        <v>4021</v>
      </c>
      <c r="J1995" t="s">
        <v>4028</v>
      </c>
      <c r="K1995" t="s">
        <v>4043</v>
      </c>
      <c r="L1995">
        <v>1233.1300000000001</v>
      </c>
      <c r="N1995">
        <f t="shared" si="93"/>
        <v>1233.1300000000001</v>
      </c>
      <c r="O1995" t="s">
        <v>4104</v>
      </c>
      <c r="P1995" t="str">
        <f t="shared" si="94"/>
        <v xml:space="preserve"> </v>
      </c>
      <c r="Q1995" t="str">
        <f t="shared" si="95"/>
        <v>Favorable</v>
      </c>
    </row>
    <row r="1996" spans="1:17">
      <c r="A1996" t="s">
        <v>2006</v>
      </c>
      <c r="B1996" s="2">
        <v>45299</v>
      </c>
      <c r="C1996">
        <v>4010</v>
      </c>
      <c r="D1996" t="s">
        <v>2016</v>
      </c>
      <c r="E1996">
        <v>0</v>
      </c>
      <c r="F1996">
        <v>767.31</v>
      </c>
      <c r="G1996" t="s">
        <v>2017</v>
      </c>
      <c r="H1996" t="s">
        <v>2027</v>
      </c>
      <c r="I1996" t="s">
        <v>4022</v>
      </c>
      <c r="J1996" t="s">
        <v>4031</v>
      </c>
      <c r="K1996" t="s">
        <v>4053</v>
      </c>
      <c r="L1996">
        <v>767.31</v>
      </c>
      <c r="N1996">
        <f t="shared" si="93"/>
        <v>767.31</v>
      </c>
      <c r="O1996" s="5" t="s">
        <v>4104</v>
      </c>
      <c r="P1996" t="str">
        <f t="shared" si="94"/>
        <v xml:space="preserve"> </v>
      </c>
      <c r="Q1996" t="str">
        <f t="shared" si="95"/>
        <v>Favorable</v>
      </c>
    </row>
    <row r="1997" spans="1:17">
      <c r="A1997" t="s">
        <v>2007</v>
      </c>
      <c r="B1997" s="2">
        <v>45812</v>
      </c>
      <c r="C1997">
        <v>5010</v>
      </c>
      <c r="D1997" t="s">
        <v>2015</v>
      </c>
      <c r="E1997">
        <v>719.33</v>
      </c>
      <c r="F1997">
        <v>0</v>
      </c>
      <c r="G1997" t="s">
        <v>2019</v>
      </c>
      <c r="H1997" t="s">
        <v>2024</v>
      </c>
      <c r="I1997" t="s">
        <v>4023</v>
      </c>
      <c r="J1997" t="s">
        <v>4029</v>
      </c>
      <c r="K1997" t="s">
        <v>4052</v>
      </c>
      <c r="L1997">
        <v>-719.33</v>
      </c>
      <c r="N1997">
        <f t="shared" si="93"/>
        <v>-719.33</v>
      </c>
      <c r="O1997" t="s">
        <v>4104</v>
      </c>
      <c r="P1997" t="str">
        <f t="shared" si="94"/>
        <v xml:space="preserve"> </v>
      </c>
      <c r="Q1997" t="str">
        <f t="shared" si="95"/>
        <v>Unfavorable</v>
      </c>
    </row>
    <row r="1998" spans="1:17">
      <c r="A1998" t="s">
        <v>2008</v>
      </c>
      <c r="B1998" s="2">
        <v>45147</v>
      </c>
      <c r="C1998">
        <v>4000</v>
      </c>
      <c r="D1998" t="s">
        <v>2012</v>
      </c>
      <c r="E1998">
        <v>0</v>
      </c>
      <c r="F1998">
        <v>2016.99</v>
      </c>
      <c r="G1998" t="s">
        <v>2018</v>
      </c>
      <c r="H1998" t="s">
        <v>2025</v>
      </c>
      <c r="I1998" t="s">
        <v>4024</v>
      </c>
      <c r="J1998" t="s">
        <v>4032</v>
      </c>
      <c r="K1998" t="s">
        <v>4037</v>
      </c>
      <c r="L1998">
        <v>2016.99</v>
      </c>
      <c r="N1998">
        <f t="shared" si="93"/>
        <v>2016.99</v>
      </c>
      <c r="O1998" t="s">
        <v>4104</v>
      </c>
      <c r="P1998" t="str">
        <f t="shared" si="94"/>
        <v xml:space="preserve"> </v>
      </c>
    </row>
    <row r="1999" spans="1:17">
      <c r="A1999" t="s">
        <v>2009</v>
      </c>
      <c r="B1999" s="2">
        <v>45249</v>
      </c>
      <c r="C1999">
        <v>4000</v>
      </c>
      <c r="D1999" t="s">
        <v>2012</v>
      </c>
      <c r="E1999">
        <v>0</v>
      </c>
      <c r="F1999">
        <v>4719.37</v>
      </c>
      <c r="G1999" t="s">
        <v>2022</v>
      </c>
      <c r="H1999" t="s">
        <v>2027</v>
      </c>
      <c r="I1999" t="s">
        <v>4025</v>
      </c>
      <c r="J1999" t="s">
        <v>4032</v>
      </c>
      <c r="K1999" t="s">
        <v>4042</v>
      </c>
      <c r="L1999">
        <v>4719.37</v>
      </c>
      <c r="N1999">
        <f t="shared" si="93"/>
        <v>4719.37</v>
      </c>
      <c r="O1999" t="s">
        <v>4104</v>
      </c>
      <c r="P1999" t="str">
        <f t="shared" si="94"/>
        <v xml:space="preserve"> </v>
      </c>
    </row>
    <row r="2000" spans="1:17">
      <c r="A2000" t="s">
        <v>2010</v>
      </c>
      <c r="B2000" s="2">
        <v>45013</v>
      </c>
      <c r="C2000">
        <v>4010</v>
      </c>
      <c r="D2000" t="s">
        <v>2016</v>
      </c>
      <c r="E2000">
        <v>0</v>
      </c>
      <c r="F2000">
        <v>4523.09</v>
      </c>
      <c r="G2000" t="s">
        <v>2022</v>
      </c>
      <c r="H2000" t="s">
        <v>2023</v>
      </c>
      <c r="I2000" t="s">
        <v>4026</v>
      </c>
      <c r="J2000" t="s">
        <v>4030</v>
      </c>
      <c r="K2000" t="s">
        <v>4051</v>
      </c>
      <c r="L2000">
        <v>4523.09</v>
      </c>
      <c r="N2000">
        <f t="shared" si="93"/>
        <v>4523.09</v>
      </c>
      <c r="O2000" t="s">
        <v>4104</v>
      </c>
      <c r="P2000" t="str">
        <f t="shared" si="94"/>
        <v xml:space="preserve"> </v>
      </c>
    </row>
    <row r="2001" spans="1:16">
      <c r="A2001" t="s">
        <v>2011</v>
      </c>
      <c r="B2001" s="2">
        <v>45555</v>
      </c>
      <c r="C2001">
        <v>4000</v>
      </c>
      <c r="D2001" t="s">
        <v>2012</v>
      </c>
      <c r="E2001">
        <v>0</v>
      </c>
      <c r="F2001">
        <v>354.88</v>
      </c>
      <c r="G2001" t="s">
        <v>2018</v>
      </c>
      <c r="H2001" t="s">
        <v>2023</v>
      </c>
      <c r="I2001" t="s">
        <v>4027</v>
      </c>
      <c r="J2001" t="s">
        <v>4031</v>
      </c>
      <c r="K2001" t="s">
        <v>4048</v>
      </c>
      <c r="L2001">
        <v>354.88</v>
      </c>
      <c r="N2001">
        <v>354.88</v>
      </c>
      <c r="O2001" t="s">
        <v>4104</v>
      </c>
      <c r="P2001" t="str">
        <f t="shared" si="94"/>
        <v xml:space="preserve"> </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CC854-10B0-4205-9E7A-32CA8F03E5B8}">
  <dimension ref="B1:D1"/>
  <sheetViews>
    <sheetView workbookViewId="0">
      <selection activeCell="B4" sqref="B4"/>
    </sheetView>
  </sheetViews>
  <sheetFormatPr defaultRowHeight="15"/>
  <sheetData>
    <row r="1" spans="2:4" ht="21">
      <c r="B1" s="27" t="s">
        <v>4127</v>
      </c>
      <c r="C1" s="27"/>
      <c r="D1" s="2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ANALYZE BY DEPT</vt:lpstr>
      <vt:lpstr>ANALYZEE BY MONTH</vt:lpstr>
      <vt:lpstr>ANALYZE BY ACCOUNT</vt:lpstr>
      <vt:lpstr>Sheet13</vt:lpstr>
      <vt:lpstr>Sheet19</vt:lpstr>
      <vt:lpstr>GeneralLedger</vt:lpstr>
      <vt:lpstr>Sheet22</vt:lpstr>
      <vt:lpstr>Sheet10</vt:lpstr>
      <vt:lpstr>Sheet16</vt:lpstr>
      <vt:lpstr>BUDGETFORECAST</vt:lpstr>
      <vt:lpstr>Sheet7</vt:lpstr>
      <vt:lpstr>Sheet8</vt:lpstr>
      <vt:lpstr>Sheet9</vt:lpstr>
      <vt:lpstr>Sheet11</vt:lpstr>
      <vt:lpstr>Sheet12</vt:lpstr>
      <vt:lpstr>Sheet17</vt:lpstr>
      <vt:lpstr>Sheet20</vt:lpstr>
      <vt:lpstr>Sheet25</vt:lpstr>
      <vt:lpstr>ac vs bu</vt:lpstr>
      <vt:lpstr>top cont to var</vt:lpstr>
      <vt:lpstr>mom trends</vt:lpstr>
      <vt:lpstr>performance</vt:lpstr>
      <vt:lpstr>dashboard</vt:lpstr>
      <vt:lpstr>Sheet1</vt:lpstr>
      <vt:lpstr>Sheet6</vt:lpstr>
      <vt:lpstr>ACTUAL VS BUDGET</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DELL</cp:lastModifiedBy>
  <cp:lastPrinted>2026-01-08T07:10:06Z</cp:lastPrinted>
  <dcterms:created xsi:type="dcterms:W3CDTF">2025-12-30T08:11:01Z</dcterms:created>
  <dcterms:modified xsi:type="dcterms:W3CDTF">2026-01-17T14:26:03Z</dcterms:modified>
</cp:coreProperties>
</file>